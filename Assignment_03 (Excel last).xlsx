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8_{A8839598-3D75-4089-939D-3A9619BA8EE1}" xr6:coauthVersionLast="47" xr6:coauthVersionMax="47" xr10:uidLastSave="{00000000-0000-0000-0000-000000000000}"/>
  <bookViews>
    <workbookView xWindow="-108" yWindow="-108" windowWidth="23256" windowHeight="13176" xr2:uid="{66FCE7A9-101A-4BBA-A583-A59516ED3570}"/>
  </bookViews>
  <sheets>
    <sheet name="Sales_data" sheetId="2" r:id="rId1"/>
    <sheet name="Product_master" sheetId="3" r:id="rId2"/>
    <sheet name="Customer_master" sheetId="4" r:id="rId3"/>
    <sheet name="Que_1" sheetId="5" r:id="rId4"/>
    <sheet name="Que_2" sheetId="6" r:id="rId5"/>
    <sheet name="Que_3" sheetId="7" r:id="rId6"/>
    <sheet name="Que_4 (Product Lookup)" sheetId="8" r:id="rId7"/>
    <sheet name="Sales Summary Report" sheetId="9" r:id="rId8"/>
    <sheet name="Sales Statistics Report " sheetId="10" r:id="rId9"/>
    <sheet name="Product Prformance Report " sheetId="11" r:id="rId10"/>
    <sheet name="Financial Analysis Report" sheetId="12" r:id="rId11"/>
    <sheet name="Cleaned_Data" sheetId="14" r:id="rId12"/>
    <sheet name="Clean data(copy for dashboard)" sheetId="16" r:id="rId13"/>
    <sheet name="Data for Dashboared" sheetId="20" r:id="rId14"/>
    <sheet name="Sales Dashboared" sheetId="15" r:id="rId15"/>
  </sheets>
  <definedNames>
    <definedName name="_xlnm._FilterDatabase" localSheetId="12" hidden="1">'Clean data(copy for dashboard)'!$A$1:$V$499</definedName>
    <definedName name="_xlnm._FilterDatabase" localSheetId="11" hidden="1">Cleaned_Data!$A$1:$V$499</definedName>
    <definedName name="Slicer_Category">#N/A</definedName>
    <definedName name="Slicer_Order_Date">#N/A</definedName>
    <definedName name="Slicer_Region">#N/A</definedName>
  </definedNames>
  <calcPr calcId="191029"/>
  <pivotCaches>
    <pivotCache cacheId="0"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 i="15" l="1"/>
  <c r="B14" i="12"/>
  <c r="B6" i="12"/>
  <c r="B9" i="12"/>
  <c r="AC4" i="11"/>
  <c r="AK8" i="11"/>
  <c r="AG8" i="11"/>
  <c r="AC10" i="11" a="1"/>
  <c r="AD6" i="11"/>
  <c r="AD17" i="10"/>
  <c r="AB15" i="10"/>
  <c r="AG13" i="10"/>
  <c r="AE13" i="10"/>
  <c r="AD11" i="10"/>
  <c r="AD9" i="10"/>
  <c r="L520" i="9"/>
  <c r="K517" i="9"/>
  <c r="M514" i="9"/>
  <c r="G508" i="9"/>
  <c r="I511" i="9"/>
  <c r="I7" i="8"/>
  <c r="I6" i="8"/>
  <c r="I5" i="8"/>
  <c r="I4" i="8"/>
  <c r="I3" i="8"/>
  <c r="AC3" i="7"/>
  <c r="AC4" i="7"/>
  <c r="AC5" i="7"/>
  <c r="AC6" i="7"/>
  <c r="AC7" i="7"/>
  <c r="AC8" i="7"/>
  <c r="AC9" i="7"/>
  <c r="AC10" i="7"/>
  <c r="AC11" i="7"/>
  <c r="AC12" i="7"/>
  <c r="AC13" i="7"/>
  <c r="AC14" i="7"/>
  <c r="AC15" i="7"/>
  <c r="AC16" i="7"/>
  <c r="AC17" i="7"/>
  <c r="AC18" i="7"/>
  <c r="AC19" i="7"/>
  <c r="AC20" i="7"/>
  <c r="AC21" i="7"/>
  <c r="AC22" i="7"/>
  <c r="AC23" i="7"/>
  <c r="AC24" i="7"/>
  <c r="AC25" i="7"/>
  <c r="AC26" i="7"/>
  <c r="AC27" i="7"/>
  <c r="AC28" i="7"/>
  <c r="AC29" i="7"/>
  <c r="AC30" i="7"/>
  <c r="AC31" i="7"/>
  <c r="AC32" i="7"/>
  <c r="AC33" i="7"/>
  <c r="AC34" i="7"/>
  <c r="AC35" i="7"/>
  <c r="AC36" i="7"/>
  <c r="AC37" i="7"/>
  <c r="AC38" i="7"/>
  <c r="AC39" i="7"/>
  <c r="AC40" i="7"/>
  <c r="AC41" i="7"/>
  <c r="AC42" i="7"/>
  <c r="AC43" i="7"/>
  <c r="AC44" i="7"/>
  <c r="AC45" i="7"/>
  <c r="AC46" i="7"/>
  <c r="AC47" i="7"/>
  <c r="AC48" i="7"/>
  <c r="AC49" i="7"/>
  <c r="AC50" i="7"/>
  <c r="AC51" i="7"/>
  <c r="AC52" i="7"/>
  <c r="AC53" i="7"/>
  <c r="AC54" i="7"/>
  <c r="AC55" i="7"/>
  <c r="AC56" i="7"/>
  <c r="AC57" i="7"/>
  <c r="AC58" i="7"/>
  <c r="AC59" i="7"/>
  <c r="AC60" i="7"/>
  <c r="AC61" i="7"/>
  <c r="AC62" i="7"/>
  <c r="AC63" i="7"/>
  <c r="AC64" i="7"/>
  <c r="AC65" i="7"/>
  <c r="AC66" i="7"/>
  <c r="AC67" i="7"/>
  <c r="AC68" i="7"/>
  <c r="AC69" i="7"/>
  <c r="AC70" i="7"/>
  <c r="AC71" i="7"/>
  <c r="AC72" i="7"/>
  <c r="AC73" i="7"/>
  <c r="AC74" i="7"/>
  <c r="AC75" i="7"/>
  <c r="AC76" i="7"/>
  <c r="AC77" i="7"/>
  <c r="AC78" i="7"/>
  <c r="AC79" i="7"/>
  <c r="AC80" i="7"/>
  <c r="AC81" i="7"/>
  <c r="AC82" i="7"/>
  <c r="AC83" i="7"/>
  <c r="AC84" i="7"/>
  <c r="AC85" i="7"/>
  <c r="AC86" i="7"/>
  <c r="AC87" i="7"/>
  <c r="AC88" i="7"/>
  <c r="AC89" i="7"/>
  <c r="AC90" i="7"/>
  <c r="AC91" i="7"/>
  <c r="AC92" i="7"/>
  <c r="AC93" i="7"/>
  <c r="AC94" i="7"/>
  <c r="AC95" i="7"/>
  <c r="AC96" i="7"/>
  <c r="AC97" i="7"/>
  <c r="AC98" i="7"/>
  <c r="AC99" i="7"/>
  <c r="AC100" i="7"/>
  <c r="AC101" i="7"/>
  <c r="AC102" i="7"/>
  <c r="AC103" i="7"/>
  <c r="AC104" i="7"/>
  <c r="AC105" i="7"/>
  <c r="AC106" i="7"/>
  <c r="AC107" i="7"/>
  <c r="AC108" i="7"/>
  <c r="AC109" i="7"/>
  <c r="AC110" i="7"/>
  <c r="AC111" i="7"/>
  <c r="AC112" i="7"/>
  <c r="AC113" i="7"/>
  <c r="AC114" i="7"/>
  <c r="AC115" i="7"/>
  <c r="AC116" i="7"/>
  <c r="AC117" i="7"/>
  <c r="AC118" i="7"/>
  <c r="AC119" i="7"/>
  <c r="AC120" i="7"/>
  <c r="AC121" i="7"/>
  <c r="AC122" i="7"/>
  <c r="AC123" i="7"/>
  <c r="AC124" i="7"/>
  <c r="AC125" i="7"/>
  <c r="AC126" i="7"/>
  <c r="AC127" i="7"/>
  <c r="AC128" i="7"/>
  <c r="AC129" i="7"/>
  <c r="AC130" i="7"/>
  <c r="AC131" i="7"/>
  <c r="AC132" i="7"/>
  <c r="AC133" i="7"/>
  <c r="AC134" i="7"/>
  <c r="AC135" i="7"/>
  <c r="AC136" i="7"/>
  <c r="AC137" i="7"/>
  <c r="AC138" i="7"/>
  <c r="AC139" i="7"/>
  <c r="AC140" i="7"/>
  <c r="AC141" i="7"/>
  <c r="AC142" i="7"/>
  <c r="AC143" i="7"/>
  <c r="AC144" i="7"/>
  <c r="AC145" i="7"/>
  <c r="AC146" i="7"/>
  <c r="AC147" i="7"/>
  <c r="AC148" i="7"/>
  <c r="AC149" i="7"/>
  <c r="AC150" i="7"/>
  <c r="AC151" i="7"/>
  <c r="AC152" i="7"/>
  <c r="AC153" i="7"/>
  <c r="AC154" i="7"/>
  <c r="AC155" i="7"/>
  <c r="AC156" i="7"/>
  <c r="AC157" i="7"/>
  <c r="AC158" i="7"/>
  <c r="AC159" i="7"/>
  <c r="AC160" i="7"/>
  <c r="AC161" i="7"/>
  <c r="AC162" i="7"/>
  <c r="AC163" i="7"/>
  <c r="AC164" i="7"/>
  <c r="AC165" i="7"/>
  <c r="AC166" i="7"/>
  <c r="AC167" i="7"/>
  <c r="AC168" i="7"/>
  <c r="AC169" i="7"/>
  <c r="AC170" i="7"/>
  <c r="AC171" i="7"/>
  <c r="AC172" i="7"/>
  <c r="AC173" i="7"/>
  <c r="AC174" i="7"/>
  <c r="AC175" i="7"/>
  <c r="AC176" i="7"/>
  <c r="AC177" i="7"/>
  <c r="AC178" i="7"/>
  <c r="AC179" i="7"/>
  <c r="AC180" i="7"/>
  <c r="AC181" i="7"/>
  <c r="AC182" i="7"/>
  <c r="AC183" i="7"/>
  <c r="AC184" i="7"/>
  <c r="AC185" i="7"/>
  <c r="AC186" i="7"/>
  <c r="AC187" i="7"/>
  <c r="AC188" i="7"/>
  <c r="AC189" i="7"/>
  <c r="AC190" i="7"/>
  <c r="AC191" i="7"/>
  <c r="AC192" i="7"/>
  <c r="AC193" i="7"/>
  <c r="AC194" i="7"/>
  <c r="AC195" i="7"/>
  <c r="AC196" i="7"/>
  <c r="AC197" i="7"/>
  <c r="AC198" i="7"/>
  <c r="AC199" i="7"/>
  <c r="AC200" i="7"/>
  <c r="AC201" i="7"/>
  <c r="AC202" i="7"/>
  <c r="AC203" i="7"/>
  <c r="AC204" i="7"/>
  <c r="AC205" i="7"/>
  <c r="AC206" i="7"/>
  <c r="AC207" i="7"/>
  <c r="AC208" i="7"/>
  <c r="AC209" i="7"/>
  <c r="AC210" i="7"/>
  <c r="AC211" i="7"/>
  <c r="AC212" i="7"/>
  <c r="AC213" i="7"/>
  <c r="AC214" i="7"/>
  <c r="AC215" i="7"/>
  <c r="AC216" i="7"/>
  <c r="AC217" i="7"/>
  <c r="AC218" i="7"/>
  <c r="AC219" i="7"/>
  <c r="AC220" i="7"/>
  <c r="AC221" i="7"/>
  <c r="AC222" i="7"/>
  <c r="AC223" i="7"/>
  <c r="AC224" i="7"/>
  <c r="AC225" i="7"/>
  <c r="AC226" i="7"/>
  <c r="AC227" i="7"/>
  <c r="AC228" i="7"/>
  <c r="AC229" i="7"/>
  <c r="AC230" i="7"/>
  <c r="AC231" i="7"/>
  <c r="AC232" i="7"/>
  <c r="AC233" i="7"/>
  <c r="AC234" i="7"/>
  <c r="AC235" i="7"/>
  <c r="AC236" i="7"/>
  <c r="AC237" i="7"/>
  <c r="AC238" i="7"/>
  <c r="AC239" i="7"/>
  <c r="AC240" i="7"/>
  <c r="AC241" i="7"/>
  <c r="AC242" i="7"/>
  <c r="AC243" i="7"/>
  <c r="AC244" i="7"/>
  <c r="AC245" i="7"/>
  <c r="AC246" i="7"/>
  <c r="AC247" i="7"/>
  <c r="AC248" i="7"/>
  <c r="AC249" i="7"/>
  <c r="AC250" i="7"/>
  <c r="AC251" i="7"/>
  <c r="AC252" i="7"/>
  <c r="AC253" i="7"/>
  <c r="AC254" i="7"/>
  <c r="AC255" i="7"/>
  <c r="AC256" i="7"/>
  <c r="AC257" i="7"/>
  <c r="AC258" i="7"/>
  <c r="AC259" i="7"/>
  <c r="AC260" i="7"/>
  <c r="AC261" i="7"/>
  <c r="AC262" i="7"/>
  <c r="AC263" i="7"/>
  <c r="AC264" i="7"/>
  <c r="AC265" i="7"/>
  <c r="AC266" i="7"/>
  <c r="AC267" i="7"/>
  <c r="AC268" i="7"/>
  <c r="AC269" i="7"/>
  <c r="AC270" i="7"/>
  <c r="AC271" i="7"/>
  <c r="AC272" i="7"/>
  <c r="AC273" i="7"/>
  <c r="AC274" i="7"/>
  <c r="AC275" i="7"/>
  <c r="AC276" i="7"/>
  <c r="AC277" i="7"/>
  <c r="AC278" i="7"/>
  <c r="AC279" i="7"/>
  <c r="AC280" i="7"/>
  <c r="AC281" i="7"/>
  <c r="AC282" i="7"/>
  <c r="AC283" i="7"/>
  <c r="AC284" i="7"/>
  <c r="AC285" i="7"/>
  <c r="AC286" i="7"/>
  <c r="AC287" i="7"/>
  <c r="AC288" i="7"/>
  <c r="AC289" i="7"/>
  <c r="AC290" i="7"/>
  <c r="AC291" i="7"/>
  <c r="AC292" i="7"/>
  <c r="AC293" i="7"/>
  <c r="AC294" i="7"/>
  <c r="AC295" i="7"/>
  <c r="AC296" i="7"/>
  <c r="AC297" i="7"/>
  <c r="AC298" i="7"/>
  <c r="AC299" i="7"/>
  <c r="AC300" i="7"/>
  <c r="AC301" i="7"/>
  <c r="AC302" i="7"/>
  <c r="AC303" i="7"/>
  <c r="AC304" i="7"/>
  <c r="AC305" i="7"/>
  <c r="AC306" i="7"/>
  <c r="AC307" i="7"/>
  <c r="AC308" i="7"/>
  <c r="AC309" i="7"/>
  <c r="AC310" i="7"/>
  <c r="AC311" i="7"/>
  <c r="AC312" i="7"/>
  <c r="AC313" i="7"/>
  <c r="AC314" i="7"/>
  <c r="AC315" i="7"/>
  <c r="AC316" i="7"/>
  <c r="AC317" i="7"/>
  <c r="AC318" i="7"/>
  <c r="AC319" i="7"/>
  <c r="AC320" i="7"/>
  <c r="AC321" i="7"/>
  <c r="AC322" i="7"/>
  <c r="AC323" i="7"/>
  <c r="AC324" i="7"/>
  <c r="AC325" i="7"/>
  <c r="AC326" i="7"/>
  <c r="AC327" i="7"/>
  <c r="AC328" i="7"/>
  <c r="AC329" i="7"/>
  <c r="AC330" i="7"/>
  <c r="AC331" i="7"/>
  <c r="AC332" i="7"/>
  <c r="AC333" i="7"/>
  <c r="AC334" i="7"/>
  <c r="AC335" i="7"/>
  <c r="AC336" i="7"/>
  <c r="AC337" i="7"/>
  <c r="AC338" i="7"/>
  <c r="AC339" i="7"/>
  <c r="AC340" i="7"/>
  <c r="AC341" i="7"/>
  <c r="AC342" i="7"/>
  <c r="AC343" i="7"/>
  <c r="AC344" i="7"/>
  <c r="AC345" i="7"/>
  <c r="AC346" i="7"/>
  <c r="AC347" i="7"/>
  <c r="AC348" i="7"/>
  <c r="AC349" i="7"/>
  <c r="AC350" i="7"/>
  <c r="AC351" i="7"/>
  <c r="AC352" i="7"/>
  <c r="AC353" i="7"/>
  <c r="AC354" i="7"/>
  <c r="AC355" i="7"/>
  <c r="AC356" i="7"/>
  <c r="AC357" i="7"/>
  <c r="AC358" i="7"/>
  <c r="AC359" i="7"/>
  <c r="AC360" i="7"/>
  <c r="AC361" i="7"/>
  <c r="AC362" i="7"/>
  <c r="AC363" i="7"/>
  <c r="AC364" i="7"/>
  <c r="AC365" i="7"/>
  <c r="AC366" i="7"/>
  <c r="AC367" i="7"/>
  <c r="AC368" i="7"/>
  <c r="AC369" i="7"/>
  <c r="AC370" i="7"/>
  <c r="AC371" i="7"/>
  <c r="AC372" i="7"/>
  <c r="AC373" i="7"/>
  <c r="AC374" i="7"/>
  <c r="AC375" i="7"/>
  <c r="AC376" i="7"/>
  <c r="AC377" i="7"/>
  <c r="AC378" i="7"/>
  <c r="AC379" i="7"/>
  <c r="AC380" i="7"/>
  <c r="AC381" i="7"/>
  <c r="AC382" i="7"/>
  <c r="AC383" i="7"/>
  <c r="AC384" i="7"/>
  <c r="AC385" i="7"/>
  <c r="AC386" i="7"/>
  <c r="AC387" i="7"/>
  <c r="AC388" i="7"/>
  <c r="AC389" i="7"/>
  <c r="AC390" i="7"/>
  <c r="AC391" i="7"/>
  <c r="AC392" i="7"/>
  <c r="AC393" i="7"/>
  <c r="AC394" i="7"/>
  <c r="AC395" i="7"/>
  <c r="AC396" i="7"/>
  <c r="AC397" i="7"/>
  <c r="AC398" i="7"/>
  <c r="AC399" i="7"/>
  <c r="AC400" i="7"/>
  <c r="AC401" i="7"/>
  <c r="AC402" i="7"/>
  <c r="AC403" i="7"/>
  <c r="AC404" i="7"/>
  <c r="AC405" i="7"/>
  <c r="AC406" i="7"/>
  <c r="AC407" i="7"/>
  <c r="AC408" i="7"/>
  <c r="AC409" i="7"/>
  <c r="AC410" i="7"/>
  <c r="AC411" i="7"/>
  <c r="AC412" i="7"/>
  <c r="AC413" i="7"/>
  <c r="AC414" i="7"/>
  <c r="AC415" i="7"/>
  <c r="AC416" i="7"/>
  <c r="AC417" i="7"/>
  <c r="AC418" i="7"/>
  <c r="AC419" i="7"/>
  <c r="AC420" i="7"/>
  <c r="AC421" i="7"/>
  <c r="AC422" i="7"/>
  <c r="AC423" i="7"/>
  <c r="AC424" i="7"/>
  <c r="AC425" i="7"/>
  <c r="AC426" i="7"/>
  <c r="AC427" i="7"/>
  <c r="AC428" i="7"/>
  <c r="AC429" i="7"/>
  <c r="AC430" i="7"/>
  <c r="AC431" i="7"/>
  <c r="AC432" i="7"/>
  <c r="AC433" i="7"/>
  <c r="AC434" i="7"/>
  <c r="AC435" i="7"/>
  <c r="AC436" i="7"/>
  <c r="AC437" i="7"/>
  <c r="AC438" i="7"/>
  <c r="AC439" i="7"/>
  <c r="AC440" i="7"/>
  <c r="AC441" i="7"/>
  <c r="AC442" i="7"/>
  <c r="AC443" i="7"/>
  <c r="AC444" i="7"/>
  <c r="AC445" i="7"/>
  <c r="AC446" i="7"/>
  <c r="AC447" i="7"/>
  <c r="AC448" i="7"/>
  <c r="AC449" i="7"/>
  <c r="AC450" i="7"/>
  <c r="AC451" i="7"/>
  <c r="AC452" i="7"/>
  <c r="AC453" i="7"/>
  <c r="AC454" i="7"/>
  <c r="AC455" i="7"/>
  <c r="AC456" i="7"/>
  <c r="AC457" i="7"/>
  <c r="AC458" i="7"/>
  <c r="AC459" i="7"/>
  <c r="AC460" i="7"/>
  <c r="AC461" i="7"/>
  <c r="AC462" i="7"/>
  <c r="AC463" i="7"/>
  <c r="AC464" i="7"/>
  <c r="AC465" i="7"/>
  <c r="AC466" i="7"/>
  <c r="AC467" i="7"/>
  <c r="AC468" i="7"/>
  <c r="AC469" i="7"/>
  <c r="AC470" i="7"/>
  <c r="AC471" i="7"/>
  <c r="AC472" i="7"/>
  <c r="AC473" i="7"/>
  <c r="AC474" i="7"/>
  <c r="AC475" i="7"/>
  <c r="AC476" i="7"/>
  <c r="AC477" i="7"/>
  <c r="AC478" i="7"/>
  <c r="AC479" i="7"/>
  <c r="AC480" i="7"/>
  <c r="AC481" i="7"/>
  <c r="AC482" i="7"/>
  <c r="AC483" i="7"/>
  <c r="AC484" i="7"/>
  <c r="AC485" i="7"/>
  <c r="AC486" i="7"/>
  <c r="AC487" i="7"/>
  <c r="AC488" i="7"/>
  <c r="AC489" i="7"/>
  <c r="AC490" i="7"/>
  <c r="AC491" i="7"/>
  <c r="AC492" i="7"/>
  <c r="AC493" i="7"/>
  <c r="AC494" i="7"/>
  <c r="AC495" i="7"/>
  <c r="AC496" i="7"/>
  <c r="AC497" i="7"/>
  <c r="AC498" i="7"/>
  <c r="AC499" i="7"/>
  <c r="AC500" i="7"/>
  <c r="AC501" i="7"/>
  <c r="AC2" i="7"/>
  <c r="AB8" i="7"/>
  <c r="AB3" i="7"/>
  <c r="AB4" i="7"/>
  <c r="AB5" i="7"/>
  <c r="AB6" i="7"/>
  <c r="AB7" i="7"/>
  <c r="AB9" i="7"/>
  <c r="AB10" i="7"/>
  <c r="AB11" i="7"/>
  <c r="AB12" i="7"/>
  <c r="AB13" i="7"/>
  <c r="AB14" i="7"/>
  <c r="AB15" i="7"/>
  <c r="AB16" i="7"/>
  <c r="AB17" i="7"/>
  <c r="AB18" i="7"/>
  <c r="AB19" i="7"/>
  <c r="AB20" i="7"/>
  <c r="AB21" i="7"/>
  <c r="AB22" i="7"/>
  <c r="AB23" i="7"/>
  <c r="AB24" i="7"/>
  <c r="AB25" i="7"/>
  <c r="AB26" i="7"/>
  <c r="AB27" i="7"/>
  <c r="AB28" i="7"/>
  <c r="AB29" i="7"/>
  <c r="AB30" i="7"/>
  <c r="AB31" i="7"/>
  <c r="AB32" i="7"/>
  <c r="AB33" i="7"/>
  <c r="AB34" i="7"/>
  <c r="AB35" i="7"/>
  <c r="AB36" i="7"/>
  <c r="AB37" i="7"/>
  <c r="AB38" i="7"/>
  <c r="AB39" i="7"/>
  <c r="AB40" i="7"/>
  <c r="AB41" i="7"/>
  <c r="AB42" i="7"/>
  <c r="AB43" i="7"/>
  <c r="AB44" i="7"/>
  <c r="AB45" i="7"/>
  <c r="AB46" i="7"/>
  <c r="AB47" i="7"/>
  <c r="AB48" i="7"/>
  <c r="AB49" i="7"/>
  <c r="AB50" i="7"/>
  <c r="AB51" i="7"/>
  <c r="AB52" i="7"/>
  <c r="AB53" i="7"/>
  <c r="AB54" i="7"/>
  <c r="AB55" i="7"/>
  <c r="AB56" i="7"/>
  <c r="AB57" i="7"/>
  <c r="AB58" i="7"/>
  <c r="AB59" i="7"/>
  <c r="AB60" i="7"/>
  <c r="AB61" i="7"/>
  <c r="AB62" i="7"/>
  <c r="AB63" i="7"/>
  <c r="AB64" i="7"/>
  <c r="AB65" i="7"/>
  <c r="AB66" i="7"/>
  <c r="AB67" i="7"/>
  <c r="AB68" i="7"/>
  <c r="AB69" i="7"/>
  <c r="AB70" i="7"/>
  <c r="AB71" i="7"/>
  <c r="AB72" i="7"/>
  <c r="AB73" i="7"/>
  <c r="AB74" i="7"/>
  <c r="AB75" i="7"/>
  <c r="AB76" i="7"/>
  <c r="AB77" i="7"/>
  <c r="AB78" i="7"/>
  <c r="AB79" i="7"/>
  <c r="AB80" i="7"/>
  <c r="AB81" i="7"/>
  <c r="AB82" i="7"/>
  <c r="AB83" i="7"/>
  <c r="AB84" i="7"/>
  <c r="AB85" i="7"/>
  <c r="AB86" i="7"/>
  <c r="AB87" i="7"/>
  <c r="AB88" i="7"/>
  <c r="AB89" i="7"/>
  <c r="AB90" i="7"/>
  <c r="AB91" i="7"/>
  <c r="AB92" i="7"/>
  <c r="AB93" i="7"/>
  <c r="AB94" i="7"/>
  <c r="AB95" i="7"/>
  <c r="AB96" i="7"/>
  <c r="AB97" i="7"/>
  <c r="AB98" i="7"/>
  <c r="AB99" i="7"/>
  <c r="AB100" i="7"/>
  <c r="AB101" i="7"/>
  <c r="AB102" i="7"/>
  <c r="AB103" i="7"/>
  <c r="AB104" i="7"/>
  <c r="AB105" i="7"/>
  <c r="AB106" i="7"/>
  <c r="AB107" i="7"/>
  <c r="AB108" i="7"/>
  <c r="AB109" i="7"/>
  <c r="AB110" i="7"/>
  <c r="AB111" i="7"/>
  <c r="AB112" i="7"/>
  <c r="AB113" i="7"/>
  <c r="AB114" i="7"/>
  <c r="AB115" i="7"/>
  <c r="AB116" i="7"/>
  <c r="AB117" i="7"/>
  <c r="AB118" i="7"/>
  <c r="AB119" i="7"/>
  <c r="AB120" i="7"/>
  <c r="AB121" i="7"/>
  <c r="AB122" i="7"/>
  <c r="AB123" i="7"/>
  <c r="AB124" i="7"/>
  <c r="AB125" i="7"/>
  <c r="AB126" i="7"/>
  <c r="AB127" i="7"/>
  <c r="AB128" i="7"/>
  <c r="AB129" i="7"/>
  <c r="AB130" i="7"/>
  <c r="AB131" i="7"/>
  <c r="AB132" i="7"/>
  <c r="AB133" i="7"/>
  <c r="AB134" i="7"/>
  <c r="AB135" i="7"/>
  <c r="AB136" i="7"/>
  <c r="AB137" i="7"/>
  <c r="AB138" i="7"/>
  <c r="AB139" i="7"/>
  <c r="AB140" i="7"/>
  <c r="AB141" i="7"/>
  <c r="AB142" i="7"/>
  <c r="AB143" i="7"/>
  <c r="AB144" i="7"/>
  <c r="AB145" i="7"/>
  <c r="AB146" i="7"/>
  <c r="AB147" i="7"/>
  <c r="AB148" i="7"/>
  <c r="AB149" i="7"/>
  <c r="AB150" i="7"/>
  <c r="AB151" i="7"/>
  <c r="AB152" i="7"/>
  <c r="AB153" i="7"/>
  <c r="AB154" i="7"/>
  <c r="AB155" i="7"/>
  <c r="AB156" i="7"/>
  <c r="AB157" i="7"/>
  <c r="AB158" i="7"/>
  <c r="AB159" i="7"/>
  <c r="AB160" i="7"/>
  <c r="AB161" i="7"/>
  <c r="AB162" i="7"/>
  <c r="AB163" i="7"/>
  <c r="AB164" i="7"/>
  <c r="AB165" i="7"/>
  <c r="AB166" i="7"/>
  <c r="AB167" i="7"/>
  <c r="AB168" i="7"/>
  <c r="AB169" i="7"/>
  <c r="AB170" i="7"/>
  <c r="AB171" i="7"/>
  <c r="AB172" i="7"/>
  <c r="AB173" i="7"/>
  <c r="AB174" i="7"/>
  <c r="AB175" i="7"/>
  <c r="AB176" i="7"/>
  <c r="AB177" i="7"/>
  <c r="AB178" i="7"/>
  <c r="AB179" i="7"/>
  <c r="AB180" i="7"/>
  <c r="AB181" i="7"/>
  <c r="AB182" i="7"/>
  <c r="AB183" i="7"/>
  <c r="AB184" i="7"/>
  <c r="AB185" i="7"/>
  <c r="AB186" i="7"/>
  <c r="AB187" i="7"/>
  <c r="AB188" i="7"/>
  <c r="AB189" i="7"/>
  <c r="AB190" i="7"/>
  <c r="AB191" i="7"/>
  <c r="AB192" i="7"/>
  <c r="AB193" i="7"/>
  <c r="AB194" i="7"/>
  <c r="AB195" i="7"/>
  <c r="AB196" i="7"/>
  <c r="AB197" i="7"/>
  <c r="AB198" i="7"/>
  <c r="AB199" i="7"/>
  <c r="AB200" i="7"/>
  <c r="AB201" i="7"/>
  <c r="AB202" i="7"/>
  <c r="AB203" i="7"/>
  <c r="AB204" i="7"/>
  <c r="AB205" i="7"/>
  <c r="AB206" i="7"/>
  <c r="AB207" i="7"/>
  <c r="AB208" i="7"/>
  <c r="AB209" i="7"/>
  <c r="AB210" i="7"/>
  <c r="AB211" i="7"/>
  <c r="AB212" i="7"/>
  <c r="AB213" i="7"/>
  <c r="AB214" i="7"/>
  <c r="AB215" i="7"/>
  <c r="AB216" i="7"/>
  <c r="AB217" i="7"/>
  <c r="AB218" i="7"/>
  <c r="AB219" i="7"/>
  <c r="AB220" i="7"/>
  <c r="AB221" i="7"/>
  <c r="AB222" i="7"/>
  <c r="AB223" i="7"/>
  <c r="AB224" i="7"/>
  <c r="AB225" i="7"/>
  <c r="AB226" i="7"/>
  <c r="AB227" i="7"/>
  <c r="AB228" i="7"/>
  <c r="AB229" i="7"/>
  <c r="AB230" i="7"/>
  <c r="AB231" i="7"/>
  <c r="AB232" i="7"/>
  <c r="AB233" i="7"/>
  <c r="AB234" i="7"/>
  <c r="AB235" i="7"/>
  <c r="AB236" i="7"/>
  <c r="AB237" i="7"/>
  <c r="AB238" i="7"/>
  <c r="AB239" i="7"/>
  <c r="AB240" i="7"/>
  <c r="AB241" i="7"/>
  <c r="AB242" i="7"/>
  <c r="AB243" i="7"/>
  <c r="AB244" i="7"/>
  <c r="AB245" i="7"/>
  <c r="AB246" i="7"/>
  <c r="AB247" i="7"/>
  <c r="AB248" i="7"/>
  <c r="AB249" i="7"/>
  <c r="AB250" i="7"/>
  <c r="AB251" i="7"/>
  <c r="AB252" i="7"/>
  <c r="AB253" i="7"/>
  <c r="AB254" i="7"/>
  <c r="AB255" i="7"/>
  <c r="AB256" i="7"/>
  <c r="AB257" i="7"/>
  <c r="AB258" i="7"/>
  <c r="AB259" i="7"/>
  <c r="AB260" i="7"/>
  <c r="AB261" i="7"/>
  <c r="AB262" i="7"/>
  <c r="AB263" i="7"/>
  <c r="AB264" i="7"/>
  <c r="AB265" i="7"/>
  <c r="AB266" i="7"/>
  <c r="AB267" i="7"/>
  <c r="AB268" i="7"/>
  <c r="AB269" i="7"/>
  <c r="AB270" i="7"/>
  <c r="AB271" i="7"/>
  <c r="AB272" i="7"/>
  <c r="AB273" i="7"/>
  <c r="AB274" i="7"/>
  <c r="AB275" i="7"/>
  <c r="AB276" i="7"/>
  <c r="AB277" i="7"/>
  <c r="AB278" i="7"/>
  <c r="AB279" i="7"/>
  <c r="AB280" i="7"/>
  <c r="AB281" i="7"/>
  <c r="AB282" i="7"/>
  <c r="AB283" i="7"/>
  <c r="AB284" i="7"/>
  <c r="AB285" i="7"/>
  <c r="AB286" i="7"/>
  <c r="AB287" i="7"/>
  <c r="AB288" i="7"/>
  <c r="AB289" i="7"/>
  <c r="AB290" i="7"/>
  <c r="AB291" i="7"/>
  <c r="AB292" i="7"/>
  <c r="AB293" i="7"/>
  <c r="AB294" i="7"/>
  <c r="AB295" i="7"/>
  <c r="AB296" i="7"/>
  <c r="AB297" i="7"/>
  <c r="AB298" i="7"/>
  <c r="AB299" i="7"/>
  <c r="AB300" i="7"/>
  <c r="AB301" i="7"/>
  <c r="AB302" i="7"/>
  <c r="AB303" i="7"/>
  <c r="AB304" i="7"/>
  <c r="AB305" i="7"/>
  <c r="AB306" i="7"/>
  <c r="AB307" i="7"/>
  <c r="AB308" i="7"/>
  <c r="AB309" i="7"/>
  <c r="AB310" i="7"/>
  <c r="AB311" i="7"/>
  <c r="AB312" i="7"/>
  <c r="AB313" i="7"/>
  <c r="AB314" i="7"/>
  <c r="AB315" i="7"/>
  <c r="AB316" i="7"/>
  <c r="AB317" i="7"/>
  <c r="AB318" i="7"/>
  <c r="AB319" i="7"/>
  <c r="AB320" i="7"/>
  <c r="AB321" i="7"/>
  <c r="AB322" i="7"/>
  <c r="AB323" i="7"/>
  <c r="AB324" i="7"/>
  <c r="AB325" i="7"/>
  <c r="AB326" i="7"/>
  <c r="AB327" i="7"/>
  <c r="AB328" i="7"/>
  <c r="AB329" i="7"/>
  <c r="AB330" i="7"/>
  <c r="AB331" i="7"/>
  <c r="AB332" i="7"/>
  <c r="AB333" i="7"/>
  <c r="AB334" i="7"/>
  <c r="AB335" i="7"/>
  <c r="AB336" i="7"/>
  <c r="AB337" i="7"/>
  <c r="AB338" i="7"/>
  <c r="AB339" i="7"/>
  <c r="AB340" i="7"/>
  <c r="AB341" i="7"/>
  <c r="AB342" i="7"/>
  <c r="AB343" i="7"/>
  <c r="AB344" i="7"/>
  <c r="AB345" i="7"/>
  <c r="AB346" i="7"/>
  <c r="AB347" i="7"/>
  <c r="AB348" i="7"/>
  <c r="AB349" i="7"/>
  <c r="AB350" i="7"/>
  <c r="AB351" i="7"/>
  <c r="AB352" i="7"/>
  <c r="AB353" i="7"/>
  <c r="AB354" i="7"/>
  <c r="AB355" i="7"/>
  <c r="AB356" i="7"/>
  <c r="AB357" i="7"/>
  <c r="AB358" i="7"/>
  <c r="AB359" i="7"/>
  <c r="AB360" i="7"/>
  <c r="AB361" i="7"/>
  <c r="AB362" i="7"/>
  <c r="AB363" i="7"/>
  <c r="AB364" i="7"/>
  <c r="AB365" i="7"/>
  <c r="AB366" i="7"/>
  <c r="AB367" i="7"/>
  <c r="AB368" i="7"/>
  <c r="AB369" i="7"/>
  <c r="AB370" i="7"/>
  <c r="AB371" i="7"/>
  <c r="AB372" i="7"/>
  <c r="AB373" i="7"/>
  <c r="AB374" i="7"/>
  <c r="AB375" i="7"/>
  <c r="AB376" i="7"/>
  <c r="AB377" i="7"/>
  <c r="AB378" i="7"/>
  <c r="AB379" i="7"/>
  <c r="AB380" i="7"/>
  <c r="AB381" i="7"/>
  <c r="AB382" i="7"/>
  <c r="AB383" i="7"/>
  <c r="AB384" i="7"/>
  <c r="AB385" i="7"/>
  <c r="AB386" i="7"/>
  <c r="AB387" i="7"/>
  <c r="AB388" i="7"/>
  <c r="AB389" i="7"/>
  <c r="AB390" i="7"/>
  <c r="AB391" i="7"/>
  <c r="AB392" i="7"/>
  <c r="AB393" i="7"/>
  <c r="AB394" i="7"/>
  <c r="AB395" i="7"/>
  <c r="AB396" i="7"/>
  <c r="AB397" i="7"/>
  <c r="AB398" i="7"/>
  <c r="AB399" i="7"/>
  <c r="AB400" i="7"/>
  <c r="AB401" i="7"/>
  <c r="AB402" i="7"/>
  <c r="AB403" i="7"/>
  <c r="AB404" i="7"/>
  <c r="AB405" i="7"/>
  <c r="AB406" i="7"/>
  <c r="AB407" i="7"/>
  <c r="AB408" i="7"/>
  <c r="AB409" i="7"/>
  <c r="AB410" i="7"/>
  <c r="AB411" i="7"/>
  <c r="AB412" i="7"/>
  <c r="AB413" i="7"/>
  <c r="AB414" i="7"/>
  <c r="AB415" i="7"/>
  <c r="AB416" i="7"/>
  <c r="AB417" i="7"/>
  <c r="AB418" i="7"/>
  <c r="AB419" i="7"/>
  <c r="AB420" i="7"/>
  <c r="AB421" i="7"/>
  <c r="AB422" i="7"/>
  <c r="AB423" i="7"/>
  <c r="AB424" i="7"/>
  <c r="AB425" i="7"/>
  <c r="AB426" i="7"/>
  <c r="AB427" i="7"/>
  <c r="AB428" i="7"/>
  <c r="AB429" i="7"/>
  <c r="AB430" i="7"/>
  <c r="AB431" i="7"/>
  <c r="AB432" i="7"/>
  <c r="AB433" i="7"/>
  <c r="AB434" i="7"/>
  <c r="AB435" i="7"/>
  <c r="AB436" i="7"/>
  <c r="AB437" i="7"/>
  <c r="AB438" i="7"/>
  <c r="AB439" i="7"/>
  <c r="AB440" i="7"/>
  <c r="AB441" i="7"/>
  <c r="AB442" i="7"/>
  <c r="AB443" i="7"/>
  <c r="AB444" i="7"/>
  <c r="AB445" i="7"/>
  <c r="AB446" i="7"/>
  <c r="AB447" i="7"/>
  <c r="AB448" i="7"/>
  <c r="AB449" i="7"/>
  <c r="AB450" i="7"/>
  <c r="AB451" i="7"/>
  <c r="AB452" i="7"/>
  <c r="AB453" i="7"/>
  <c r="AB454" i="7"/>
  <c r="AB455" i="7"/>
  <c r="AB456" i="7"/>
  <c r="AB457" i="7"/>
  <c r="AB458" i="7"/>
  <c r="AB459" i="7"/>
  <c r="AB460" i="7"/>
  <c r="AB461" i="7"/>
  <c r="AB462" i="7"/>
  <c r="AB463" i="7"/>
  <c r="AB464" i="7"/>
  <c r="AB465" i="7"/>
  <c r="AB466" i="7"/>
  <c r="AB467" i="7"/>
  <c r="AB468" i="7"/>
  <c r="AB469" i="7"/>
  <c r="AB470" i="7"/>
  <c r="AB471" i="7"/>
  <c r="AB472" i="7"/>
  <c r="AB473" i="7"/>
  <c r="AB474" i="7"/>
  <c r="AB475" i="7"/>
  <c r="AB476" i="7"/>
  <c r="AB477" i="7"/>
  <c r="AB478" i="7"/>
  <c r="AB479" i="7"/>
  <c r="AB480" i="7"/>
  <c r="AB481" i="7"/>
  <c r="AB482" i="7"/>
  <c r="AB483" i="7"/>
  <c r="AB484" i="7"/>
  <c r="AB485" i="7"/>
  <c r="AB486" i="7"/>
  <c r="AB487" i="7"/>
  <c r="AB488" i="7"/>
  <c r="AB489" i="7"/>
  <c r="AB490" i="7"/>
  <c r="AB491" i="7"/>
  <c r="AB492" i="7"/>
  <c r="AB493" i="7"/>
  <c r="AB494" i="7"/>
  <c r="AB495" i="7"/>
  <c r="AB496" i="7"/>
  <c r="AB497" i="7"/>
  <c r="AB498" i="7"/>
  <c r="AB499" i="7"/>
  <c r="AB500" i="7"/>
  <c r="AB501" i="7"/>
  <c r="AB2" i="7"/>
  <c r="AA3" i="7"/>
  <c r="AA4" i="7"/>
  <c r="AA5" i="7"/>
  <c r="AA6" i="7"/>
  <c r="AA7" i="7"/>
  <c r="AA8" i="7"/>
  <c r="AA9" i="7"/>
  <c r="AA10" i="7"/>
  <c r="AA11" i="7"/>
  <c r="AA12" i="7"/>
  <c r="AA13" i="7"/>
  <c r="AA14" i="7"/>
  <c r="AA15" i="7"/>
  <c r="AA16" i="7"/>
  <c r="AA17" i="7"/>
  <c r="AA18" i="7"/>
  <c r="AA19" i="7"/>
  <c r="AA20" i="7"/>
  <c r="AA21" i="7"/>
  <c r="AA22" i="7"/>
  <c r="AA23" i="7"/>
  <c r="AA24" i="7"/>
  <c r="AA25" i="7"/>
  <c r="AA26" i="7"/>
  <c r="AA27" i="7"/>
  <c r="AA28" i="7"/>
  <c r="AA29" i="7"/>
  <c r="AA30" i="7"/>
  <c r="AA31" i="7"/>
  <c r="AA32" i="7"/>
  <c r="AA33" i="7"/>
  <c r="AA34" i="7"/>
  <c r="AA35" i="7"/>
  <c r="AA36" i="7"/>
  <c r="AA37" i="7"/>
  <c r="AA38" i="7"/>
  <c r="AA39" i="7"/>
  <c r="AA40" i="7"/>
  <c r="AA41" i="7"/>
  <c r="AA42" i="7"/>
  <c r="AA43" i="7"/>
  <c r="AA44" i="7"/>
  <c r="AA45" i="7"/>
  <c r="AA46" i="7"/>
  <c r="AA47" i="7"/>
  <c r="AA48" i="7"/>
  <c r="AA49" i="7"/>
  <c r="AA50" i="7"/>
  <c r="AA51" i="7"/>
  <c r="AA52" i="7"/>
  <c r="AA53" i="7"/>
  <c r="AA54" i="7"/>
  <c r="AA55" i="7"/>
  <c r="AA56" i="7"/>
  <c r="AA57" i="7"/>
  <c r="AA58" i="7"/>
  <c r="AA59" i="7"/>
  <c r="AA60" i="7"/>
  <c r="AA61" i="7"/>
  <c r="AA62" i="7"/>
  <c r="AA63" i="7"/>
  <c r="AA64" i="7"/>
  <c r="AA65" i="7"/>
  <c r="AA66" i="7"/>
  <c r="AA67" i="7"/>
  <c r="AA68" i="7"/>
  <c r="AA69" i="7"/>
  <c r="AA70" i="7"/>
  <c r="AA71" i="7"/>
  <c r="AA72" i="7"/>
  <c r="AA73" i="7"/>
  <c r="AA74" i="7"/>
  <c r="AA75" i="7"/>
  <c r="AA76" i="7"/>
  <c r="AA77" i="7"/>
  <c r="AA78" i="7"/>
  <c r="AA79" i="7"/>
  <c r="AA80" i="7"/>
  <c r="AA81" i="7"/>
  <c r="AA82" i="7"/>
  <c r="AA83" i="7"/>
  <c r="AA84" i="7"/>
  <c r="AA85" i="7"/>
  <c r="AA86" i="7"/>
  <c r="AA87" i="7"/>
  <c r="AA88" i="7"/>
  <c r="AA89" i="7"/>
  <c r="AA90" i="7"/>
  <c r="AA91" i="7"/>
  <c r="AA92" i="7"/>
  <c r="AA93" i="7"/>
  <c r="AA94" i="7"/>
  <c r="AA95" i="7"/>
  <c r="AA96" i="7"/>
  <c r="AA97" i="7"/>
  <c r="AA98" i="7"/>
  <c r="AA99" i="7"/>
  <c r="AA100" i="7"/>
  <c r="AA101" i="7"/>
  <c r="AA102" i="7"/>
  <c r="AA103" i="7"/>
  <c r="AA104" i="7"/>
  <c r="AA105" i="7"/>
  <c r="AA106" i="7"/>
  <c r="AA107" i="7"/>
  <c r="AA108" i="7"/>
  <c r="AA109" i="7"/>
  <c r="AA110" i="7"/>
  <c r="AA111" i="7"/>
  <c r="AA112" i="7"/>
  <c r="AA113" i="7"/>
  <c r="AA114" i="7"/>
  <c r="AA115" i="7"/>
  <c r="AA116" i="7"/>
  <c r="AA117" i="7"/>
  <c r="AA118" i="7"/>
  <c r="AA119" i="7"/>
  <c r="AA120" i="7"/>
  <c r="AA121" i="7"/>
  <c r="AA122" i="7"/>
  <c r="AA123" i="7"/>
  <c r="AA124" i="7"/>
  <c r="AA125" i="7"/>
  <c r="AA126" i="7"/>
  <c r="AA127" i="7"/>
  <c r="AA128" i="7"/>
  <c r="AA129" i="7"/>
  <c r="AA130" i="7"/>
  <c r="AA131" i="7"/>
  <c r="AA132" i="7"/>
  <c r="AA133" i="7"/>
  <c r="AA134" i="7"/>
  <c r="AA135" i="7"/>
  <c r="AA136" i="7"/>
  <c r="AA137" i="7"/>
  <c r="AA138" i="7"/>
  <c r="AA139" i="7"/>
  <c r="AA140" i="7"/>
  <c r="AA141" i="7"/>
  <c r="AA142" i="7"/>
  <c r="AA143" i="7"/>
  <c r="AA144" i="7"/>
  <c r="AA145" i="7"/>
  <c r="AA146" i="7"/>
  <c r="AA147" i="7"/>
  <c r="AA148" i="7"/>
  <c r="AA149" i="7"/>
  <c r="AA150" i="7"/>
  <c r="AA151" i="7"/>
  <c r="AA152" i="7"/>
  <c r="AA153" i="7"/>
  <c r="AA154" i="7"/>
  <c r="AA155" i="7"/>
  <c r="AA156" i="7"/>
  <c r="AA157" i="7"/>
  <c r="AA158" i="7"/>
  <c r="AA159" i="7"/>
  <c r="AA160" i="7"/>
  <c r="AA161" i="7"/>
  <c r="AA162" i="7"/>
  <c r="AA163" i="7"/>
  <c r="AA164" i="7"/>
  <c r="AA165" i="7"/>
  <c r="AA166" i="7"/>
  <c r="AA167" i="7"/>
  <c r="AA168" i="7"/>
  <c r="AA169" i="7"/>
  <c r="AA170" i="7"/>
  <c r="AA171" i="7"/>
  <c r="AA172" i="7"/>
  <c r="AA173" i="7"/>
  <c r="AA174" i="7"/>
  <c r="AA175" i="7"/>
  <c r="AA176" i="7"/>
  <c r="AA177" i="7"/>
  <c r="AA178" i="7"/>
  <c r="AA179" i="7"/>
  <c r="AA180" i="7"/>
  <c r="AA181" i="7"/>
  <c r="AA182" i="7"/>
  <c r="AA183" i="7"/>
  <c r="AA184" i="7"/>
  <c r="AA185" i="7"/>
  <c r="AA186" i="7"/>
  <c r="AA187" i="7"/>
  <c r="AA188" i="7"/>
  <c r="AA189" i="7"/>
  <c r="AA190" i="7"/>
  <c r="AA191" i="7"/>
  <c r="AA192" i="7"/>
  <c r="AA193" i="7"/>
  <c r="AA194" i="7"/>
  <c r="AA195" i="7"/>
  <c r="AA196" i="7"/>
  <c r="AA197" i="7"/>
  <c r="AA198" i="7"/>
  <c r="AA199" i="7"/>
  <c r="AA200" i="7"/>
  <c r="AA201" i="7"/>
  <c r="AA202" i="7"/>
  <c r="AA203" i="7"/>
  <c r="AA204" i="7"/>
  <c r="AA205" i="7"/>
  <c r="AA206" i="7"/>
  <c r="AA207" i="7"/>
  <c r="AA208" i="7"/>
  <c r="AA209" i="7"/>
  <c r="AA210" i="7"/>
  <c r="AA211" i="7"/>
  <c r="AA212" i="7"/>
  <c r="AA213" i="7"/>
  <c r="AA214" i="7"/>
  <c r="AA215" i="7"/>
  <c r="AA216" i="7"/>
  <c r="AA217" i="7"/>
  <c r="AA218" i="7"/>
  <c r="AA219" i="7"/>
  <c r="AA220" i="7"/>
  <c r="AA221" i="7"/>
  <c r="AA222" i="7"/>
  <c r="AA223" i="7"/>
  <c r="AA224" i="7"/>
  <c r="AA225" i="7"/>
  <c r="AA226" i="7"/>
  <c r="AA227" i="7"/>
  <c r="AA228" i="7"/>
  <c r="AA229" i="7"/>
  <c r="AA230" i="7"/>
  <c r="AA231" i="7"/>
  <c r="AA232" i="7"/>
  <c r="AA233" i="7"/>
  <c r="AA234" i="7"/>
  <c r="AA235" i="7"/>
  <c r="AA236" i="7"/>
  <c r="AA237" i="7"/>
  <c r="AA238" i="7"/>
  <c r="AA239" i="7"/>
  <c r="AA240" i="7"/>
  <c r="AA241" i="7"/>
  <c r="AA242" i="7"/>
  <c r="AA243" i="7"/>
  <c r="AA244" i="7"/>
  <c r="AA245" i="7"/>
  <c r="AA246" i="7"/>
  <c r="AA247" i="7"/>
  <c r="AA248" i="7"/>
  <c r="AA249" i="7"/>
  <c r="AA250" i="7"/>
  <c r="AA251" i="7"/>
  <c r="AA252" i="7"/>
  <c r="AA253" i="7"/>
  <c r="AA254" i="7"/>
  <c r="AA255" i="7"/>
  <c r="AA256" i="7"/>
  <c r="AA257" i="7"/>
  <c r="AA258" i="7"/>
  <c r="AA259" i="7"/>
  <c r="AA260" i="7"/>
  <c r="AA261" i="7"/>
  <c r="AA262" i="7"/>
  <c r="AA263" i="7"/>
  <c r="AA264" i="7"/>
  <c r="AA265" i="7"/>
  <c r="AA266" i="7"/>
  <c r="AA267" i="7"/>
  <c r="AA268" i="7"/>
  <c r="AA269" i="7"/>
  <c r="AA270" i="7"/>
  <c r="AA271" i="7"/>
  <c r="AA272" i="7"/>
  <c r="AA273" i="7"/>
  <c r="AA274" i="7"/>
  <c r="AA275" i="7"/>
  <c r="AA276" i="7"/>
  <c r="AA277" i="7"/>
  <c r="AA278" i="7"/>
  <c r="AA279" i="7"/>
  <c r="AA280" i="7"/>
  <c r="AA281" i="7"/>
  <c r="AA282" i="7"/>
  <c r="AA283" i="7"/>
  <c r="AA284" i="7"/>
  <c r="AA285" i="7"/>
  <c r="AA286" i="7"/>
  <c r="AA287" i="7"/>
  <c r="AA288" i="7"/>
  <c r="AA289" i="7"/>
  <c r="AA290" i="7"/>
  <c r="AA291" i="7"/>
  <c r="AA292" i="7"/>
  <c r="AA293" i="7"/>
  <c r="AA294" i="7"/>
  <c r="AA295" i="7"/>
  <c r="AA296" i="7"/>
  <c r="AA297" i="7"/>
  <c r="AA298" i="7"/>
  <c r="AA299" i="7"/>
  <c r="AA300" i="7"/>
  <c r="AA301" i="7"/>
  <c r="AA302" i="7"/>
  <c r="AA303" i="7"/>
  <c r="AA304" i="7"/>
  <c r="AA305" i="7"/>
  <c r="AA306" i="7"/>
  <c r="AA307" i="7"/>
  <c r="AA308" i="7"/>
  <c r="AA309" i="7"/>
  <c r="AA310" i="7"/>
  <c r="AA311" i="7"/>
  <c r="AA312" i="7"/>
  <c r="AA313" i="7"/>
  <c r="AA314" i="7"/>
  <c r="AA315" i="7"/>
  <c r="AA316" i="7"/>
  <c r="AA317" i="7"/>
  <c r="AA318" i="7"/>
  <c r="AA319" i="7"/>
  <c r="AA320" i="7"/>
  <c r="AA321" i="7"/>
  <c r="AA322" i="7"/>
  <c r="AA323" i="7"/>
  <c r="AA324" i="7"/>
  <c r="AA325" i="7"/>
  <c r="AA326" i="7"/>
  <c r="AA327" i="7"/>
  <c r="AA328" i="7"/>
  <c r="AA329" i="7"/>
  <c r="AA330" i="7"/>
  <c r="AA331" i="7"/>
  <c r="AA332" i="7"/>
  <c r="AA333" i="7"/>
  <c r="AA334" i="7"/>
  <c r="AA335" i="7"/>
  <c r="AA336" i="7"/>
  <c r="AA337" i="7"/>
  <c r="AA338" i="7"/>
  <c r="AA339" i="7"/>
  <c r="AA340" i="7"/>
  <c r="AA341" i="7"/>
  <c r="AA342" i="7"/>
  <c r="AA343" i="7"/>
  <c r="AA344" i="7"/>
  <c r="AA345" i="7"/>
  <c r="AA346" i="7"/>
  <c r="AA347" i="7"/>
  <c r="AA348" i="7"/>
  <c r="AA349" i="7"/>
  <c r="AA350" i="7"/>
  <c r="AA351" i="7"/>
  <c r="AA352" i="7"/>
  <c r="AA353" i="7"/>
  <c r="AA354" i="7"/>
  <c r="AA355" i="7"/>
  <c r="AA356" i="7"/>
  <c r="AA357" i="7"/>
  <c r="AA358" i="7"/>
  <c r="AA359" i="7"/>
  <c r="AA360" i="7"/>
  <c r="AA361" i="7"/>
  <c r="AA362" i="7"/>
  <c r="AA363" i="7"/>
  <c r="AA364" i="7"/>
  <c r="AA365" i="7"/>
  <c r="AA366" i="7"/>
  <c r="AA367" i="7"/>
  <c r="AA368" i="7"/>
  <c r="AA369" i="7"/>
  <c r="AA370" i="7"/>
  <c r="AA371" i="7"/>
  <c r="AA372" i="7"/>
  <c r="AA373" i="7"/>
  <c r="AA374" i="7"/>
  <c r="AA375" i="7"/>
  <c r="AA376" i="7"/>
  <c r="AA377" i="7"/>
  <c r="AA378" i="7"/>
  <c r="AA379" i="7"/>
  <c r="AA380" i="7"/>
  <c r="AA381" i="7"/>
  <c r="AA382" i="7"/>
  <c r="AA383" i="7"/>
  <c r="AA384" i="7"/>
  <c r="AA385" i="7"/>
  <c r="AA386" i="7"/>
  <c r="AA387" i="7"/>
  <c r="AA388" i="7"/>
  <c r="AA389" i="7"/>
  <c r="AA390" i="7"/>
  <c r="AA391" i="7"/>
  <c r="AA392" i="7"/>
  <c r="AA393" i="7"/>
  <c r="AA394" i="7"/>
  <c r="AA395" i="7"/>
  <c r="AA396" i="7"/>
  <c r="AA397" i="7"/>
  <c r="AA398" i="7"/>
  <c r="AA399" i="7"/>
  <c r="AA400" i="7"/>
  <c r="AA401" i="7"/>
  <c r="AA402" i="7"/>
  <c r="AA403" i="7"/>
  <c r="AA404" i="7"/>
  <c r="AA405" i="7"/>
  <c r="AA406" i="7"/>
  <c r="AA407" i="7"/>
  <c r="AA408" i="7"/>
  <c r="AA409" i="7"/>
  <c r="AA410" i="7"/>
  <c r="AA411" i="7"/>
  <c r="AA412" i="7"/>
  <c r="AA413" i="7"/>
  <c r="AA414" i="7"/>
  <c r="AA415" i="7"/>
  <c r="AA416" i="7"/>
  <c r="AA417" i="7"/>
  <c r="AA418" i="7"/>
  <c r="AA419" i="7"/>
  <c r="AA420" i="7"/>
  <c r="AA421" i="7"/>
  <c r="AA422" i="7"/>
  <c r="AA423" i="7"/>
  <c r="AA424" i="7"/>
  <c r="AA425" i="7"/>
  <c r="AA426" i="7"/>
  <c r="AA427" i="7"/>
  <c r="AA428" i="7"/>
  <c r="AA429" i="7"/>
  <c r="AA430" i="7"/>
  <c r="AA431" i="7"/>
  <c r="AA432" i="7"/>
  <c r="AA433" i="7"/>
  <c r="AA434" i="7"/>
  <c r="AA435" i="7"/>
  <c r="AA436" i="7"/>
  <c r="AA437" i="7"/>
  <c r="AA438" i="7"/>
  <c r="AA439" i="7"/>
  <c r="AA440" i="7"/>
  <c r="AA441" i="7"/>
  <c r="AA442" i="7"/>
  <c r="AA443" i="7"/>
  <c r="AA444" i="7"/>
  <c r="AA445" i="7"/>
  <c r="AA446" i="7"/>
  <c r="AA447" i="7"/>
  <c r="AA448" i="7"/>
  <c r="AA449" i="7"/>
  <c r="AA450" i="7"/>
  <c r="AA451" i="7"/>
  <c r="AA452" i="7"/>
  <c r="AA453" i="7"/>
  <c r="AA454" i="7"/>
  <c r="AA455" i="7"/>
  <c r="AA456" i="7"/>
  <c r="AA457" i="7"/>
  <c r="AA458" i="7"/>
  <c r="AA459" i="7"/>
  <c r="AA460" i="7"/>
  <c r="AA461" i="7"/>
  <c r="AA462" i="7"/>
  <c r="AA463" i="7"/>
  <c r="AA464" i="7"/>
  <c r="AA465" i="7"/>
  <c r="AA466" i="7"/>
  <c r="AA467" i="7"/>
  <c r="AA468" i="7"/>
  <c r="AA469" i="7"/>
  <c r="AA470" i="7"/>
  <c r="AA471" i="7"/>
  <c r="AA472" i="7"/>
  <c r="AA473" i="7"/>
  <c r="AA474" i="7"/>
  <c r="AA475" i="7"/>
  <c r="AA476" i="7"/>
  <c r="AA477" i="7"/>
  <c r="AA478" i="7"/>
  <c r="AA479" i="7"/>
  <c r="AA480" i="7"/>
  <c r="AA481" i="7"/>
  <c r="AA482" i="7"/>
  <c r="AA483" i="7"/>
  <c r="AA484" i="7"/>
  <c r="AA485" i="7"/>
  <c r="AA486" i="7"/>
  <c r="AA487" i="7"/>
  <c r="AA488" i="7"/>
  <c r="AA489" i="7"/>
  <c r="AA490" i="7"/>
  <c r="AA491" i="7"/>
  <c r="AA492" i="7"/>
  <c r="AA493" i="7"/>
  <c r="AA494" i="7"/>
  <c r="AA495" i="7"/>
  <c r="AA496" i="7"/>
  <c r="AA497" i="7"/>
  <c r="AA498" i="7"/>
  <c r="AA499" i="7"/>
  <c r="AA500" i="7"/>
  <c r="AA501" i="7"/>
  <c r="AA2" i="7"/>
  <c r="Z501" i="7"/>
  <c r="X501" i="7"/>
  <c r="Y501" i="7" s="1"/>
  <c r="W501" i="7"/>
  <c r="Z500" i="7"/>
  <c r="X500" i="7"/>
  <c r="Y500" i="7" s="1"/>
  <c r="W500" i="7"/>
  <c r="Z499" i="7"/>
  <c r="X499" i="7"/>
  <c r="Y499" i="7" s="1"/>
  <c r="W499" i="7"/>
  <c r="Z498" i="7"/>
  <c r="X498" i="7"/>
  <c r="Y498" i="7" s="1"/>
  <c r="W498" i="7"/>
  <c r="Z497" i="7"/>
  <c r="X497" i="7"/>
  <c r="Y497" i="7" s="1"/>
  <c r="W497" i="7"/>
  <c r="Z496" i="7"/>
  <c r="X496" i="7"/>
  <c r="Y496" i="7" s="1"/>
  <c r="W496" i="7"/>
  <c r="Z495" i="7"/>
  <c r="X495" i="7"/>
  <c r="Y495" i="7" s="1"/>
  <c r="W495" i="7"/>
  <c r="Z494" i="7"/>
  <c r="X494" i="7"/>
  <c r="Y494" i="7" s="1"/>
  <c r="W494" i="7"/>
  <c r="Z493" i="7"/>
  <c r="X493" i="7"/>
  <c r="Y493" i="7" s="1"/>
  <c r="W493" i="7"/>
  <c r="Z492" i="7"/>
  <c r="X492" i="7"/>
  <c r="Y492" i="7" s="1"/>
  <c r="W492" i="7"/>
  <c r="Z491" i="7"/>
  <c r="X491" i="7"/>
  <c r="Y491" i="7" s="1"/>
  <c r="W491" i="7"/>
  <c r="Z490" i="7"/>
  <c r="X490" i="7"/>
  <c r="Y490" i="7" s="1"/>
  <c r="W490" i="7"/>
  <c r="Z489" i="7"/>
  <c r="X489" i="7"/>
  <c r="Y489" i="7" s="1"/>
  <c r="W489" i="7"/>
  <c r="Z488" i="7"/>
  <c r="X488" i="7"/>
  <c r="Y488" i="7" s="1"/>
  <c r="W488" i="7"/>
  <c r="Z487" i="7"/>
  <c r="X487" i="7"/>
  <c r="Y487" i="7" s="1"/>
  <c r="W487" i="7"/>
  <c r="Z486" i="7"/>
  <c r="X486" i="7"/>
  <c r="Y486" i="7" s="1"/>
  <c r="W486" i="7"/>
  <c r="Z485" i="7"/>
  <c r="X485" i="7"/>
  <c r="Y485" i="7" s="1"/>
  <c r="W485" i="7"/>
  <c r="Z484" i="7"/>
  <c r="X484" i="7"/>
  <c r="Y484" i="7" s="1"/>
  <c r="W484" i="7"/>
  <c r="Z483" i="7"/>
  <c r="X483" i="7"/>
  <c r="Y483" i="7" s="1"/>
  <c r="W483" i="7"/>
  <c r="Z482" i="7"/>
  <c r="X482" i="7"/>
  <c r="Y482" i="7" s="1"/>
  <c r="W482" i="7"/>
  <c r="Z481" i="7"/>
  <c r="X481" i="7"/>
  <c r="Y481" i="7" s="1"/>
  <c r="W481" i="7"/>
  <c r="Z480" i="7"/>
  <c r="X480" i="7"/>
  <c r="Y480" i="7" s="1"/>
  <c r="W480" i="7"/>
  <c r="Z479" i="7"/>
  <c r="X479" i="7"/>
  <c r="Y479" i="7" s="1"/>
  <c r="W479" i="7"/>
  <c r="Z478" i="7"/>
  <c r="X478" i="7"/>
  <c r="Y478" i="7" s="1"/>
  <c r="W478" i="7"/>
  <c r="Z477" i="7"/>
  <c r="X477" i="7"/>
  <c r="Y477" i="7" s="1"/>
  <c r="W477" i="7"/>
  <c r="Z476" i="7"/>
  <c r="X476" i="7"/>
  <c r="Y476" i="7" s="1"/>
  <c r="W476" i="7"/>
  <c r="Z475" i="7"/>
  <c r="X475" i="7"/>
  <c r="Y475" i="7" s="1"/>
  <c r="W475" i="7"/>
  <c r="Z474" i="7"/>
  <c r="X474" i="7"/>
  <c r="Y474" i="7" s="1"/>
  <c r="W474" i="7"/>
  <c r="Z473" i="7"/>
  <c r="X473" i="7"/>
  <c r="Y473" i="7" s="1"/>
  <c r="W473" i="7"/>
  <c r="Z472" i="7"/>
  <c r="X472" i="7"/>
  <c r="Y472" i="7" s="1"/>
  <c r="W472" i="7"/>
  <c r="Z471" i="7"/>
  <c r="X471" i="7"/>
  <c r="Y471" i="7" s="1"/>
  <c r="W471" i="7"/>
  <c r="Z470" i="7"/>
  <c r="X470" i="7"/>
  <c r="Y470" i="7" s="1"/>
  <c r="W470" i="7"/>
  <c r="Z469" i="7"/>
  <c r="X469" i="7"/>
  <c r="Y469" i="7" s="1"/>
  <c r="W469" i="7"/>
  <c r="Z468" i="7"/>
  <c r="X468" i="7"/>
  <c r="Y468" i="7" s="1"/>
  <c r="W468" i="7"/>
  <c r="Z467" i="7"/>
  <c r="X467" i="7"/>
  <c r="Y467" i="7" s="1"/>
  <c r="W467" i="7"/>
  <c r="Z466" i="7"/>
  <c r="X466" i="7"/>
  <c r="Y466" i="7" s="1"/>
  <c r="W466" i="7"/>
  <c r="Z465" i="7"/>
  <c r="X465" i="7"/>
  <c r="Y465" i="7" s="1"/>
  <c r="W465" i="7"/>
  <c r="Z464" i="7"/>
  <c r="X464" i="7"/>
  <c r="Y464" i="7" s="1"/>
  <c r="W464" i="7"/>
  <c r="Z463" i="7"/>
  <c r="X463" i="7"/>
  <c r="Y463" i="7" s="1"/>
  <c r="W463" i="7"/>
  <c r="Z462" i="7"/>
  <c r="X462" i="7"/>
  <c r="Y462" i="7" s="1"/>
  <c r="W462" i="7"/>
  <c r="Z461" i="7"/>
  <c r="X461" i="7"/>
  <c r="Y461" i="7" s="1"/>
  <c r="W461" i="7"/>
  <c r="Z460" i="7"/>
  <c r="X460" i="7"/>
  <c r="Y460" i="7" s="1"/>
  <c r="W460" i="7"/>
  <c r="Z459" i="7"/>
  <c r="X459" i="7"/>
  <c r="Y459" i="7" s="1"/>
  <c r="W459" i="7"/>
  <c r="Z458" i="7"/>
  <c r="X458" i="7"/>
  <c r="Y458" i="7" s="1"/>
  <c r="W458" i="7"/>
  <c r="Z457" i="7"/>
  <c r="X457" i="7"/>
  <c r="Y457" i="7" s="1"/>
  <c r="W457" i="7"/>
  <c r="Z456" i="7"/>
  <c r="X456" i="7"/>
  <c r="Y456" i="7" s="1"/>
  <c r="W456" i="7"/>
  <c r="Z455" i="7"/>
  <c r="X455" i="7"/>
  <c r="Y455" i="7" s="1"/>
  <c r="W455" i="7"/>
  <c r="Z454" i="7"/>
  <c r="X454" i="7"/>
  <c r="Y454" i="7" s="1"/>
  <c r="W454" i="7"/>
  <c r="Z453" i="7"/>
  <c r="X453" i="7"/>
  <c r="Y453" i="7" s="1"/>
  <c r="W453" i="7"/>
  <c r="Z452" i="7"/>
  <c r="X452" i="7"/>
  <c r="Y452" i="7" s="1"/>
  <c r="W452" i="7"/>
  <c r="Z451" i="7"/>
  <c r="X451" i="7"/>
  <c r="Y451" i="7" s="1"/>
  <c r="W451" i="7"/>
  <c r="Z450" i="7"/>
  <c r="X450" i="7"/>
  <c r="Y450" i="7" s="1"/>
  <c r="W450" i="7"/>
  <c r="Z449" i="7"/>
  <c r="X449" i="7"/>
  <c r="Y449" i="7" s="1"/>
  <c r="W449" i="7"/>
  <c r="Z448" i="7"/>
  <c r="X448" i="7"/>
  <c r="Y448" i="7" s="1"/>
  <c r="W448" i="7"/>
  <c r="Z447" i="7"/>
  <c r="X447" i="7"/>
  <c r="Y447" i="7" s="1"/>
  <c r="W447" i="7"/>
  <c r="Z446" i="7"/>
  <c r="X446" i="7"/>
  <c r="Y446" i="7" s="1"/>
  <c r="W446" i="7"/>
  <c r="Z445" i="7"/>
  <c r="X445" i="7"/>
  <c r="Y445" i="7" s="1"/>
  <c r="W445" i="7"/>
  <c r="Z444" i="7"/>
  <c r="X444" i="7"/>
  <c r="Y444" i="7" s="1"/>
  <c r="W444" i="7"/>
  <c r="Z443" i="7"/>
  <c r="X443" i="7"/>
  <c r="Y443" i="7" s="1"/>
  <c r="W443" i="7"/>
  <c r="Z442" i="7"/>
  <c r="X442" i="7"/>
  <c r="Y442" i="7" s="1"/>
  <c r="W442" i="7"/>
  <c r="Z441" i="7"/>
  <c r="X441" i="7"/>
  <c r="Y441" i="7" s="1"/>
  <c r="W441" i="7"/>
  <c r="Z440" i="7"/>
  <c r="X440" i="7"/>
  <c r="Y440" i="7" s="1"/>
  <c r="W440" i="7"/>
  <c r="Z439" i="7"/>
  <c r="X439" i="7"/>
  <c r="Y439" i="7" s="1"/>
  <c r="W439" i="7"/>
  <c r="Z438" i="7"/>
  <c r="X438" i="7"/>
  <c r="Y438" i="7" s="1"/>
  <c r="W438" i="7"/>
  <c r="Z437" i="7"/>
  <c r="X437" i="7"/>
  <c r="Y437" i="7" s="1"/>
  <c r="W437" i="7"/>
  <c r="Z436" i="7"/>
  <c r="X436" i="7"/>
  <c r="Y436" i="7" s="1"/>
  <c r="W436" i="7"/>
  <c r="Z435" i="7"/>
  <c r="X435" i="7"/>
  <c r="Y435" i="7" s="1"/>
  <c r="W435" i="7"/>
  <c r="Z434" i="7"/>
  <c r="X434" i="7"/>
  <c r="Y434" i="7" s="1"/>
  <c r="W434" i="7"/>
  <c r="Z433" i="7"/>
  <c r="X433" i="7"/>
  <c r="Y433" i="7" s="1"/>
  <c r="W433" i="7"/>
  <c r="Z432" i="7"/>
  <c r="X432" i="7"/>
  <c r="Y432" i="7" s="1"/>
  <c r="W432" i="7"/>
  <c r="Z431" i="7"/>
  <c r="X431" i="7"/>
  <c r="Y431" i="7" s="1"/>
  <c r="W431" i="7"/>
  <c r="Z430" i="7"/>
  <c r="X430" i="7"/>
  <c r="Y430" i="7" s="1"/>
  <c r="W430" i="7"/>
  <c r="Z429" i="7"/>
  <c r="X429" i="7"/>
  <c r="Y429" i="7" s="1"/>
  <c r="W429" i="7"/>
  <c r="Z428" i="7"/>
  <c r="X428" i="7"/>
  <c r="Y428" i="7" s="1"/>
  <c r="W428" i="7"/>
  <c r="Z427" i="7"/>
  <c r="X427" i="7"/>
  <c r="Y427" i="7" s="1"/>
  <c r="W427" i="7"/>
  <c r="Z426" i="7"/>
  <c r="X426" i="7"/>
  <c r="Y426" i="7" s="1"/>
  <c r="W426" i="7"/>
  <c r="Z425" i="7"/>
  <c r="X425" i="7"/>
  <c r="Y425" i="7" s="1"/>
  <c r="W425" i="7"/>
  <c r="Z424" i="7"/>
  <c r="X424" i="7"/>
  <c r="Y424" i="7" s="1"/>
  <c r="W424" i="7"/>
  <c r="Z423" i="7"/>
  <c r="X423" i="7"/>
  <c r="Y423" i="7" s="1"/>
  <c r="W423" i="7"/>
  <c r="Z422" i="7"/>
  <c r="X422" i="7"/>
  <c r="Y422" i="7" s="1"/>
  <c r="W422" i="7"/>
  <c r="Z421" i="7"/>
  <c r="X421" i="7"/>
  <c r="Y421" i="7" s="1"/>
  <c r="W421" i="7"/>
  <c r="Z420" i="7"/>
  <c r="X420" i="7"/>
  <c r="Y420" i="7" s="1"/>
  <c r="W420" i="7"/>
  <c r="Z419" i="7"/>
  <c r="X419" i="7"/>
  <c r="Y419" i="7" s="1"/>
  <c r="W419" i="7"/>
  <c r="Z418" i="7"/>
  <c r="X418" i="7"/>
  <c r="Y418" i="7" s="1"/>
  <c r="W418" i="7"/>
  <c r="Z417" i="7"/>
  <c r="X417" i="7"/>
  <c r="Y417" i="7" s="1"/>
  <c r="W417" i="7"/>
  <c r="Z416" i="7"/>
  <c r="X416" i="7"/>
  <c r="Y416" i="7" s="1"/>
  <c r="W416" i="7"/>
  <c r="Z415" i="7"/>
  <c r="X415" i="7"/>
  <c r="Y415" i="7" s="1"/>
  <c r="W415" i="7"/>
  <c r="Z414" i="7"/>
  <c r="X414" i="7"/>
  <c r="Y414" i="7" s="1"/>
  <c r="W414" i="7"/>
  <c r="Z413" i="7"/>
  <c r="X413" i="7"/>
  <c r="Y413" i="7" s="1"/>
  <c r="W413" i="7"/>
  <c r="Z412" i="7"/>
  <c r="X412" i="7"/>
  <c r="Y412" i="7" s="1"/>
  <c r="W412" i="7"/>
  <c r="Z411" i="7"/>
  <c r="X411" i="7"/>
  <c r="Y411" i="7" s="1"/>
  <c r="W411" i="7"/>
  <c r="Z410" i="7"/>
  <c r="X410" i="7"/>
  <c r="Y410" i="7" s="1"/>
  <c r="W410" i="7"/>
  <c r="Z409" i="7"/>
  <c r="X409" i="7"/>
  <c r="Y409" i="7" s="1"/>
  <c r="W409" i="7"/>
  <c r="Z408" i="7"/>
  <c r="X408" i="7"/>
  <c r="Y408" i="7" s="1"/>
  <c r="W408" i="7"/>
  <c r="Z407" i="7"/>
  <c r="X407" i="7"/>
  <c r="Y407" i="7" s="1"/>
  <c r="W407" i="7"/>
  <c r="Z406" i="7"/>
  <c r="X406" i="7"/>
  <c r="Y406" i="7" s="1"/>
  <c r="W406" i="7"/>
  <c r="Z405" i="7"/>
  <c r="X405" i="7"/>
  <c r="Y405" i="7" s="1"/>
  <c r="W405" i="7"/>
  <c r="Z404" i="7"/>
  <c r="X404" i="7"/>
  <c r="Y404" i="7" s="1"/>
  <c r="W404" i="7"/>
  <c r="Z403" i="7"/>
  <c r="X403" i="7"/>
  <c r="Y403" i="7" s="1"/>
  <c r="W403" i="7"/>
  <c r="Z402" i="7"/>
  <c r="X402" i="7"/>
  <c r="Y402" i="7" s="1"/>
  <c r="W402" i="7"/>
  <c r="Z401" i="7"/>
  <c r="X401" i="7"/>
  <c r="Y401" i="7" s="1"/>
  <c r="W401" i="7"/>
  <c r="Z400" i="7"/>
  <c r="X400" i="7"/>
  <c r="Y400" i="7" s="1"/>
  <c r="W400" i="7"/>
  <c r="Z399" i="7"/>
  <c r="X399" i="7"/>
  <c r="Y399" i="7" s="1"/>
  <c r="W399" i="7"/>
  <c r="Z398" i="7"/>
  <c r="X398" i="7"/>
  <c r="Y398" i="7" s="1"/>
  <c r="W398" i="7"/>
  <c r="Z397" i="7"/>
  <c r="X397" i="7"/>
  <c r="Y397" i="7" s="1"/>
  <c r="W397" i="7"/>
  <c r="Z396" i="7"/>
  <c r="X396" i="7"/>
  <c r="Y396" i="7" s="1"/>
  <c r="W396" i="7"/>
  <c r="Z395" i="7"/>
  <c r="X395" i="7"/>
  <c r="Y395" i="7" s="1"/>
  <c r="W395" i="7"/>
  <c r="Z394" i="7"/>
  <c r="X394" i="7"/>
  <c r="Y394" i="7" s="1"/>
  <c r="W394" i="7"/>
  <c r="Z393" i="7"/>
  <c r="X393" i="7"/>
  <c r="Y393" i="7" s="1"/>
  <c r="W393" i="7"/>
  <c r="Z392" i="7"/>
  <c r="X392" i="7"/>
  <c r="Y392" i="7" s="1"/>
  <c r="W392" i="7"/>
  <c r="Z391" i="7"/>
  <c r="X391" i="7"/>
  <c r="Y391" i="7" s="1"/>
  <c r="W391" i="7"/>
  <c r="Z390" i="7"/>
  <c r="X390" i="7"/>
  <c r="Y390" i="7" s="1"/>
  <c r="W390" i="7"/>
  <c r="Z389" i="7"/>
  <c r="X389" i="7"/>
  <c r="Y389" i="7" s="1"/>
  <c r="W389" i="7"/>
  <c r="Z388" i="7"/>
  <c r="X388" i="7"/>
  <c r="Y388" i="7" s="1"/>
  <c r="W388" i="7"/>
  <c r="Z387" i="7"/>
  <c r="X387" i="7"/>
  <c r="Y387" i="7" s="1"/>
  <c r="W387" i="7"/>
  <c r="Z386" i="7"/>
  <c r="X386" i="7"/>
  <c r="Y386" i="7" s="1"/>
  <c r="W386" i="7"/>
  <c r="Z385" i="7"/>
  <c r="X385" i="7"/>
  <c r="Y385" i="7" s="1"/>
  <c r="W385" i="7"/>
  <c r="Z384" i="7"/>
  <c r="X384" i="7"/>
  <c r="Y384" i="7" s="1"/>
  <c r="W384" i="7"/>
  <c r="Z383" i="7"/>
  <c r="X383" i="7"/>
  <c r="Y383" i="7" s="1"/>
  <c r="W383" i="7"/>
  <c r="Z382" i="7"/>
  <c r="X382" i="7"/>
  <c r="Y382" i="7" s="1"/>
  <c r="W382" i="7"/>
  <c r="Z381" i="7"/>
  <c r="X381" i="7"/>
  <c r="Y381" i="7" s="1"/>
  <c r="W381" i="7"/>
  <c r="Z380" i="7"/>
  <c r="X380" i="7"/>
  <c r="Y380" i="7" s="1"/>
  <c r="W380" i="7"/>
  <c r="Z379" i="7"/>
  <c r="X379" i="7"/>
  <c r="Y379" i="7" s="1"/>
  <c r="W379" i="7"/>
  <c r="Z378" i="7"/>
  <c r="X378" i="7"/>
  <c r="Y378" i="7" s="1"/>
  <c r="W378" i="7"/>
  <c r="Z377" i="7"/>
  <c r="X377" i="7"/>
  <c r="Y377" i="7" s="1"/>
  <c r="W377" i="7"/>
  <c r="Z376" i="7"/>
  <c r="X376" i="7"/>
  <c r="Y376" i="7" s="1"/>
  <c r="W376" i="7"/>
  <c r="Z375" i="7"/>
  <c r="X375" i="7"/>
  <c r="Y375" i="7" s="1"/>
  <c r="W375" i="7"/>
  <c r="Z374" i="7"/>
  <c r="X374" i="7"/>
  <c r="Y374" i="7" s="1"/>
  <c r="W374" i="7"/>
  <c r="Z373" i="7"/>
  <c r="X373" i="7"/>
  <c r="Y373" i="7" s="1"/>
  <c r="W373" i="7"/>
  <c r="Z372" i="7"/>
  <c r="X372" i="7"/>
  <c r="Y372" i="7" s="1"/>
  <c r="W372" i="7"/>
  <c r="Z371" i="7"/>
  <c r="X371" i="7"/>
  <c r="Y371" i="7" s="1"/>
  <c r="W371" i="7"/>
  <c r="Z370" i="7"/>
  <c r="X370" i="7"/>
  <c r="Y370" i="7" s="1"/>
  <c r="W370" i="7"/>
  <c r="Z369" i="7"/>
  <c r="X369" i="7"/>
  <c r="Y369" i="7" s="1"/>
  <c r="W369" i="7"/>
  <c r="Z368" i="7"/>
  <c r="X368" i="7"/>
  <c r="Y368" i="7" s="1"/>
  <c r="W368" i="7"/>
  <c r="Z367" i="7"/>
  <c r="X367" i="7"/>
  <c r="Y367" i="7" s="1"/>
  <c r="W367" i="7"/>
  <c r="Z366" i="7"/>
  <c r="X366" i="7"/>
  <c r="Y366" i="7" s="1"/>
  <c r="W366" i="7"/>
  <c r="Z365" i="7"/>
  <c r="X365" i="7"/>
  <c r="Y365" i="7" s="1"/>
  <c r="W365" i="7"/>
  <c r="Z364" i="7"/>
  <c r="X364" i="7"/>
  <c r="Y364" i="7" s="1"/>
  <c r="W364" i="7"/>
  <c r="Z363" i="7"/>
  <c r="X363" i="7"/>
  <c r="Y363" i="7" s="1"/>
  <c r="W363" i="7"/>
  <c r="Z362" i="7"/>
  <c r="X362" i="7"/>
  <c r="Y362" i="7" s="1"/>
  <c r="W362" i="7"/>
  <c r="Z361" i="7"/>
  <c r="X361" i="7"/>
  <c r="Y361" i="7" s="1"/>
  <c r="W361" i="7"/>
  <c r="Z360" i="7"/>
  <c r="X360" i="7"/>
  <c r="Y360" i="7" s="1"/>
  <c r="W360" i="7"/>
  <c r="Z359" i="7"/>
  <c r="X359" i="7"/>
  <c r="Y359" i="7" s="1"/>
  <c r="W359" i="7"/>
  <c r="Z358" i="7"/>
  <c r="X358" i="7"/>
  <c r="Y358" i="7" s="1"/>
  <c r="W358" i="7"/>
  <c r="Z357" i="7"/>
  <c r="X357" i="7"/>
  <c r="Y357" i="7" s="1"/>
  <c r="W357" i="7"/>
  <c r="Z356" i="7"/>
  <c r="X356" i="7"/>
  <c r="Y356" i="7" s="1"/>
  <c r="W356" i="7"/>
  <c r="Z355" i="7"/>
  <c r="X355" i="7"/>
  <c r="Y355" i="7" s="1"/>
  <c r="W355" i="7"/>
  <c r="Z354" i="7"/>
  <c r="X354" i="7"/>
  <c r="Y354" i="7" s="1"/>
  <c r="W354" i="7"/>
  <c r="Z353" i="7"/>
  <c r="X353" i="7"/>
  <c r="Y353" i="7" s="1"/>
  <c r="W353" i="7"/>
  <c r="Z352" i="7"/>
  <c r="X352" i="7"/>
  <c r="Y352" i="7" s="1"/>
  <c r="W352" i="7"/>
  <c r="Z351" i="7"/>
  <c r="X351" i="7"/>
  <c r="Y351" i="7" s="1"/>
  <c r="W351" i="7"/>
  <c r="Z350" i="7"/>
  <c r="X350" i="7"/>
  <c r="Y350" i="7" s="1"/>
  <c r="W350" i="7"/>
  <c r="Z349" i="7"/>
  <c r="X349" i="7"/>
  <c r="Y349" i="7" s="1"/>
  <c r="W349" i="7"/>
  <c r="Z348" i="7"/>
  <c r="X348" i="7"/>
  <c r="Y348" i="7" s="1"/>
  <c r="W348" i="7"/>
  <c r="Z347" i="7"/>
  <c r="X347" i="7"/>
  <c r="Y347" i="7" s="1"/>
  <c r="W347" i="7"/>
  <c r="Z346" i="7"/>
  <c r="X346" i="7"/>
  <c r="Y346" i="7" s="1"/>
  <c r="W346" i="7"/>
  <c r="Z345" i="7"/>
  <c r="X345" i="7"/>
  <c r="Y345" i="7" s="1"/>
  <c r="W345" i="7"/>
  <c r="Z344" i="7"/>
  <c r="X344" i="7"/>
  <c r="Y344" i="7" s="1"/>
  <c r="W344" i="7"/>
  <c r="Z343" i="7"/>
  <c r="X343" i="7"/>
  <c r="Y343" i="7" s="1"/>
  <c r="W343" i="7"/>
  <c r="Z342" i="7"/>
  <c r="X342" i="7"/>
  <c r="Y342" i="7" s="1"/>
  <c r="W342" i="7"/>
  <c r="Z341" i="7"/>
  <c r="X341" i="7"/>
  <c r="Y341" i="7" s="1"/>
  <c r="W341" i="7"/>
  <c r="Z340" i="7"/>
  <c r="X340" i="7"/>
  <c r="Y340" i="7" s="1"/>
  <c r="W340" i="7"/>
  <c r="Z339" i="7"/>
  <c r="X339" i="7"/>
  <c r="Y339" i="7" s="1"/>
  <c r="W339" i="7"/>
  <c r="Z338" i="7"/>
  <c r="X338" i="7"/>
  <c r="Y338" i="7" s="1"/>
  <c r="W338" i="7"/>
  <c r="Z337" i="7"/>
  <c r="X337" i="7"/>
  <c r="Y337" i="7" s="1"/>
  <c r="W337" i="7"/>
  <c r="Z336" i="7"/>
  <c r="X336" i="7"/>
  <c r="Y336" i="7" s="1"/>
  <c r="W336" i="7"/>
  <c r="Z335" i="7"/>
  <c r="X335" i="7"/>
  <c r="Y335" i="7" s="1"/>
  <c r="W335" i="7"/>
  <c r="Z334" i="7"/>
  <c r="X334" i="7"/>
  <c r="Y334" i="7" s="1"/>
  <c r="W334" i="7"/>
  <c r="Z333" i="7"/>
  <c r="X333" i="7"/>
  <c r="Y333" i="7" s="1"/>
  <c r="W333" i="7"/>
  <c r="Z332" i="7"/>
  <c r="X332" i="7"/>
  <c r="Y332" i="7" s="1"/>
  <c r="W332" i="7"/>
  <c r="Z331" i="7"/>
  <c r="X331" i="7"/>
  <c r="Y331" i="7" s="1"/>
  <c r="W331" i="7"/>
  <c r="Z330" i="7"/>
  <c r="X330" i="7"/>
  <c r="Y330" i="7" s="1"/>
  <c r="W330" i="7"/>
  <c r="Z329" i="7"/>
  <c r="X329" i="7"/>
  <c r="Y329" i="7" s="1"/>
  <c r="W329" i="7"/>
  <c r="Z328" i="7"/>
  <c r="X328" i="7"/>
  <c r="Y328" i="7" s="1"/>
  <c r="W328" i="7"/>
  <c r="Z327" i="7"/>
  <c r="X327" i="7"/>
  <c r="Y327" i="7" s="1"/>
  <c r="W327" i="7"/>
  <c r="Z326" i="7"/>
  <c r="X326" i="7"/>
  <c r="Y326" i="7" s="1"/>
  <c r="W326" i="7"/>
  <c r="Z325" i="7"/>
  <c r="X325" i="7"/>
  <c r="Y325" i="7" s="1"/>
  <c r="W325" i="7"/>
  <c r="Z324" i="7"/>
  <c r="X324" i="7"/>
  <c r="Y324" i="7" s="1"/>
  <c r="W324" i="7"/>
  <c r="Z323" i="7"/>
  <c r="X323" i="7"/>
  <c r="Y323" i="7" s="1"/>
  <c r="W323" i="7"/>
  <c r="Z322" i="7"/>
  <c r="X322" i="7"/>
  <c r="Y322" i="7" s="1"/>
  <c r="W322" i="7"/>
  <c r="Z321" i="7"/>
  <c r="X321" i="7"/>
  <c r="Y321" i="7" s="1"/>
  <c r="W321" i="7"/>
  <c r="Z320" i="7"/>
  <c r="X320" i="7"/>
  <c r="Y320" i="7" s="1"/>
  <c r="W320" i="7"/>
  <c r="Z319" i="7"/>
  <c r="X319" i="7"/>
  <c r="Y319" i="7" s="1"/>
  <c r="W319" i="7"/>
  <c r="Z318" i="7"/>
  <c r="X318" i="7"/>
  <c r="Y318" i="7" s="1"/>
  <c r="W318" i="7"/>
  <c r="Z317" i="7"/>
  <c r="X317" i="7"/>
  <c r="Y317" i="7" s="1"/>
  <c r="W317" i="7"/>
  <c r="Z316" i="7"/>
  <c r="X316" i="7"/>
  <c r="Y316" i="7" s="1"/>
  <c r="W316" i="7"/>
  <c r="Z315" i="7"/>
  <c r="X315" i="7"/>
  <c r="Y315" i="7" s="1"/>
  <c r="W315" i="7"/>
  <c r="Z314" i="7"/>
  <c r="X314" i="7"/>
  <c r="Y314" i="7" s="1"/>
  <c r="W314" i="7"/>
  <c r="Z313" i="7"/>
  <c r="X313" i="7"/>
  <c r="Y313" i="7" s="1"/>
  <c r="W313" i="7"/>
  <c r="Z312" i="7"/>
  <c r="X312" i="7"/>
  <c r="Y312" i="7" s="1"/>
  <c r="W312" i="7"/>
  <c r="Z311" i="7"/>
  <c r="X311" i="7"/>
  <c r="Y311" i="7" s="1"/>
  <c r="W311" i="7"/>
  <c r="Z310" i="7"/>
  <c r="X310" i="7"/>
  <c r="Y310" i="7" s="1"/>
  <c r="W310" i="7"/>
  <c r="Z309" i="7"/>
  <c r="X309" i="7"/>
  <c r="Y309" i="7" s="1"/>
  <c r="W309" i="7"/>
  <c r="Z308" i="7"/>
  <c r="X308" i="7"/>
  <c r="Y308" i="7" s="1"/>
  <c r="W308" i="7"/>
  <c r="Z307" i="7"/>
  <c r="X307" i="7"/>
  <c r="Y307" i="7" s="1"/>
  <c r="W307" i="7"/>
  <c r="Z306" i="7"/>
  <c r="X306" i="7"/>
  <c r="Y306" i="7" s="1"/>
  <c r="W306" i="7"/>
  <c r="Z305" i="7"/>
  <c r="X305" i="7"/>
  <c r="Y305" i="7" s="1"/>
  <c r="W305" i="7"/>
  <c r="Z304" i="7"/>
  <c r="X304" i="7"/>
  <c r="Y304" i="7" s="1"/>
  <c r="W304" i="7"/>
  <c r="Z303" i="7"/>
  <c r="X303" i="7"/>
  <c r="Y303" i="7" s="1"/>
  <c r="W303" i="7"/>
  <c r="Z302" i="7"/>
  <c r="X302" i="7"/>
  <c r="Y302" i="7" s="1"/>
  <c r="W302" i="7"/>
  <c r="Z301" i="7"/>
  <c r="X301" i="7"/>
  <c r="Y301" i="7" s="1"/>
  <c r="W301" i="7"/>
  <c r="Z300" i="7"/>
  <c r="X300" i="7"/>
  <c r="Y300" i="7" s="1"/>
  <c r="W300" i="7"/>
  <c r="Z299" i="7"/>
  <c r="X299" i="7"/>
  <c r="Y299" i="7" s="1"/>
  <c r="W299" i="7"/>
  <c r="Z298" i="7"/>
  <c r="X298" i="7"/>
  <c r="Y298" i="7" s="1"/>
  <c r="W298" i="7"/>
  <c r="Z297" i="7"/>
  <c r="X297" i="7"/>
  <c r="Y297" i="7" s="1"/>
  <c r="W297" i="7"/>
  <c r="Z296" i="7"/>
  <c r="X296" i="7"/>
  <c r="Y296" i="7" s="1"/>
  <c r="W296" i="7"/>
  <c r="Z295" i="7"/>
  <c r="X295" i="7"/>
  <c r="Y295" i="7" s="1"/>
  <c r="W295" i="7"/>
  <c r="Z294" i="7"/>
  <c r="X294" i="7"/>
  <c r="Y294" i="7" s="1"/>
  <c r="W294" i="7"/>
  <c r="Z293" i="7"/>
  <c r="X293" i="7"/>
  <c r="Y293" i="7" s="1"/>
  <c r="W293" i="7"/>
  <c r="Z292" i="7"/>
  <c r="X292" i="7"/>
  <c r="Y292" i="7" s="1"/>
  <c r="W292" i="7"/>
  <c r="Z291" i="7"/>
  <c r="X291" i="7"/>
  <c r="Y291" i="7" s="1"/>
  <c r="W291" i="7"/>
  <c r="Z290" i="7"/>
  <c r="X290" i="7"/>
  <c r="Y290" i="7" s="1"/>
  <c r="W290" i="7"/>
  <c r="Z289" i="7"/>
  <c r="X289" i="7"/>
  <c r="Y289" i="7" s="1"/>
  <c r="W289" i="7"/>
  <c r="Z288" i="7"/>
  <c r="X288" i="7"/>
  <c r="Y288" i="7" s="1"/>
  <c r="W288" i="7"/>
  <c r="Z287" i="7"/>
  <c r="X287" i="7"/>
  <c r="Y287" i="7" s="1"/>
  <c r="W287" i="7"/>
  <c r="Z286" i="7"/>
  <c r="X286" i="7"/>
  <c r="Y286" i="7" s="1"/>
  <c r="W286" i="7"/>
  <c r="Z285" i="7"/>
  <c r="X285" i="7"/>
  <c r="Y285" i="7" s="1"/>
  <c r="W285" i="7"/>
  <c r="Z284" i="7"/>
  <c r="X284" i="7"/>
  <c r="Y284" i="7" s="1"/>
  <c r="W284" i="7"/>
  <c r="Z283" i="7"/>
  <c r="X283" i="7"/>
  <c r="Y283" i="7" s="1"/>
  <c r="W283" i="7"/>
  <c r="Z282" i="7"/>
  <c r="X282" i="7"/>
  <c r="Y282" i="7" s="1"/>
  <c r="W282" i="7"/>
  <c r="Z281" i="7"/>
  <c r="X281" i="7"/>
  <c r="Y281" i="7" s="1"/>
  <c r="W281" i="7"/>
  <c r="Z280" i="7"/>
  <c r="X280" i="7"/>
  <c r="Y280" i="7" s="1"/>
  <c r="W280" i="7"/>
  <c r="Z279" i="7"/>
  <c r="X279" i="7"/>
  <c r="Y279" i="7" s="1"/>
  <c r="W279" i="7"/>
  <c r="Z278" i="7"/>
  <c r="X278" i="7"/>
  <c r="Y278" i="7" s="1"/>
  <c r="W278" i="7"/>
  <c r="Z277" i="7"/>
  <c r="X277" i="7"/>
  <c r="Y277" i="7" s="1"/>
  <c r="W277" i="7"/>
  <c r="Z276" i="7"/>
  <c r="X276" i="7"/>
  <c r="Y276" i="7" s="1"/>
  <c r="W276" i="7"/>
  <c r="Z275" i="7"/>
  <c r="X275" i="7"/>
  <c r="Y275" i="7" s="1"/>
  <c r="W275" i="7"/>
  <c r="Z274" i="7"/>
  <c r="X274" i="7"/>
  <c r="Y274" i="7" s="1"/>
  <c r="W274" i="7"/>
  <c r="Z273" i="7"/>
  <c r="X273" i="7"/>
  <c r="Y273" i="7" s="1"/>
  <c r="W273" i="7"/>
  <c r="Z272" i="7"/>
  <c r="X272" i="7"/>
  <c r="Y272" i="7" s="1"/>
  <c r="W272" i="7"/>
  <c r="Z271" i="7"/>
  <c r="X271" i="7"/>
  <c r="Y271" i="7" s="1"/>
  <c r="W271" i="7"/>
  <c r="Z270" i="7"/>
  <c r="X270" i="7"/>
  <c r="Y270" i="7" s="1"/>
  <c r="W270" i="7"/>
  <c r="Z269" i="7"/>
  <c r="X269" i="7"/>
  <c r="Y269" i="7" s="1"/>
  <c r="W269" i="7"/>
  <c r="Z268" i="7"/>
  <c r="X268" i="7"/>
  <c r="Y268" i="7" s="1"/>
  <c r="W268" i="7"/>
  <c r="Z267" i="7"/>
  <c r="X267" i="7"/>
  <c r="Y267" i="7" s="1"/>
  <c r="W267" i="7"/>
  <c r="Z266" i="7"/>
  <c r="X266" i="7"/>
  <c r="Y266" i="7" s="1"/>
  <c r="W266" i="7"/>
  <c r="Z265" i="7"/>
  <c r="X265" i="7"/>
  <c r="Y265" i="7" s="1"/>
  <c r="W265" i="7"/>
  <c r="Z264" i="7"/>
  <c r="X264" i="7"/>
  <c r="Y264" i="7" s="1"/>
  <c r="W264" i="7"/>
  <c r="Z263" i="7"/>
  <c r="X263" i="7"/>
  <c r="Y263" i="7" s="1"/>
  <c r="W263" i="7"/>
  <c r="Z262" i="7"/>
  <c r="X262" i="7"/>
  <c r="Y262" i="7" s="1"/>
  <c r="W262" i="7"/>
  <c r="Z261" i="7"/>
  <c r="X261" i="7"/>
  <c r="Y261" i="7" s="1"/>
  <c r="W261" i="7"/>
  <c r="Z260" i="7"/>
  <c r="X260" i="7"/>
  <c r="Y260" i="7" s="1"/>
  <c r="W260" i="7"/>
  <c r="Z259" i="7"/>
  <c r="X259" i="7"/>
  <c r="Y259" i="7" s="1"/>
  <c r="W259" i="7"/>
  <c r="Z258" i="7"/>
  <c r="X258" i="7"/>
  <c r="Y258" i="7" s="1"/>
  <c r="W258" i="7"/>
  <c r="Z257" i="7"/>
  <c r="X257" i="7"/>
  <c r="Y257" i="7" s="1"/>
  <c r="W257" i="7"/>
  <c r="Z256" i="7"/>
  <c r="X256" i="7"/>
  <c r="Y256" i="7" s="1"/>
  <c r="W256" i="7"/>
  <c r="Z255" i="7"/>
  <c r="X255" i="7"/>
  <c r="Y255" i="7" s="1"/>
  <c r="W255" i="7"/>
  <c r="Z254" i="7"/>
  <c r="X254" i="7"/>
  <c r="Y254" i="7" s="1"/>
  <c r="W254" i="7"/>
  <c r="Z253" i="7"/>
  <c r="X253" i="7"/>
  <c r="Y253" i="7" s="1"/>
  <c r="W253" i="7"/>
  <c r="Z252" i="7"/>
  <c r="X252" i="7"/>
  <c r="Y252" i="7" s="1"/>
  <c r="W252" i="7"/>
  <c r="Z251" i="7"/>
  <c r="X251" i="7"/>
  <c r="Y251" i="7" s="1"/>
  <c r="W251" i="7"/>
  <c r="Z250" i="7"/>
  <c r="X250" i="7"/>
  <c r="Y250" i="7" s="1"/>
  <c r="W250" i="7"/>
  <c r="Z249" i="7"/>
  <c r="X249" i="7"/>
  <c r="Y249" i="7" s="1"/>
  <c r="W249" i="7"/>
  <c r="Z248" i="7"/>
  <c r="X248" i="7"/>
  <c r="Y248" i="7" s="1"/>
  <c r="W248" i="7"/>
  <c r="Z247" i="7"/>
  <c r="X247" i="7"/>
  <c r="Y247" i="7" s="1"/>
  <c r="W247" i="7"/>
  <c r="Z246" i="7"/>
  <c r="X246" i="7"/>
  <c r="Y246" i="7" s="1"/>
  <c r="W246" i="7"/>
  <c r="Z245" i="7"/>
  <c r="X245" i="7"/>
  <c r="Y245" i="7" s="1"/>
  <c r="W245" i="7"/>
  <c r="Z244" i="7"/>
  <c r="X244" i="7"/>
  <c r="Y244" i="7" s="1"/>
  <c r="W244" i="7"/>
  <c r="Z243" i="7"/>
  <c r="X243" i="7"/>
  <c r="Y243" i="7" s="1"/>
  <c r="W243" i="7"/>
  <c r="Z242" i="7"/>
  <c r="X242" i="7"/>
  <c r="Y242" i="7" s="1"/>
  <c r="W242" i="7"/>
  <c r="Z241" i="7"/>
  <c r="X241" i="7"/>
  <c r="Y241" i="7" s="1"/>
  <c r="W241" i="7"/>
  <c r="Z240" i="7"/>
  <c r="X240" i="7"/>
  <c r="Y240" i="7" s="1"/>
  <c r="W240" i="7"/>
  <c r="Z239" i="7"/>
  <c r="X239" i="7"/>
  <c r="Y239" i="7" s="1"/>
  <c r="W239" i="7"/>
  <c r="Z238" i="7"/>
  <c r="X238" i="7"/>
  <c r="Y238" i="7" s="1"/>
  <c r="W238" i="7"/>
  <c r="Z237" i="7"/>
  <c r="X237" i="7"/>
  <c r="Y237" i="7" s="1"/>
  <c r="W237" i="7"/>
  <c r="Z236" i="7"/>
  <c r="X236" i="7"/>
  <c r="Y236" i="7" s="1"/>
  <c r="W236" i="7"/>
  <c r="Z235" i="7"/>
  <c r="X235" i="7"/>
  <c r="Y235" i="7" s="1"/>
  <c r="W235" i="7"/>
  <c r="Z234" i="7"/>
  <c r="X234" i="7"/>
  <c r="Y234" i="7" s="1"/>
  <c r="W234" i="7"/>
  <c r="Z233" i="7"/>
  <c r="X233" i="7"/>
  <c r="Y233" i="7" s="1"/>
  <c r="W233" i="7"/>
  <c r="Z232" i="7"/>
  <c r="X232" i="7"/>
  <c r="Y232" i="7" s="1"/>
  <c r="W232" i="7"/>
  <c r="Z231" i="7"/>
  <c r="X231" i="7"/>
  <c r="Y231" i="7" s="1"/>
  <c r="W231" i="7"/>
  <c r="Z230" i="7"/>
  <c r="X230" i="7"/>
  <c r="Y230" i="7" s="1"/>
  <c r="W230" i="7"/>
  <c r="Z229" i="7"/>
  <c r="X229" i="7"/>
  <c r="Y229" i="7" s="1"/>
  <c r="W229" i="7"/>
  <c r="Z228" i="7"/>
  <c r="X228" i="7"/>
  <c r="Y228" i="7" s="1"/>
  <c r="W228" i="7"/>
  <c r="Z227" i="7"/>
  <c r="X227" i="7"/>
  <c r="Y227" i="7" s="1"/>
  <c r="W227" i="7"/>
  <c r="Z226" i="7"/>
  <c r="X226" i="7"/>
  <c r="Y226" i="7" s="1"/>
  <c r="W226" i="7"/>
  <c r="Z225" i="7"/>
  <c r="X225" i="7"/>
  <c r="Y225" i="7" s="1"/>
  <c r="W225" i="7"/>
  <c r="Z224" i="7"/>
  <c r="X224" i="7"/>
  <c r="Y224" i="7" s="1"/>
  <c r="W224" i="7"/>
  <c r="Z223" i="7"/>
  <c r="X223" i="7"/>
  <c r="Y223" i="7" s="1"/>
  <c r="W223" i="7"/>
  <c r="Z222" i="7"/>
  <c r="X222" i="7"/>
  <c r="Y222" i="7" s="1"/>
  <c r="W222" i="7"/>
  <c r="Z221" i="7"/>
  <c r="X221" i="7"/>
  <c r="Y221" i="7" s="1"/>
  <c r="W221" i="7"/>
  <c r="Z220" i="7"/>
  <c r="X220" i="7"/>
  <c r="Y220" i="7" s="1"/>
  <c r="W220" i="7"/>
  <c r="Z219" i="7"/>
  <c r="X219" i="7"/>
  <c r="Y219" i="7" s="1"/>
  <c r="W219" i="7"/>
  <c r="Z218" i="7"/>
  <c r="X218" i="7"/>
  <c r="Y218" i="7" s="1"/>
  <c r="W218" i="7"/>
  <c r="Z217" i="7"/>
  <c r="X217" i="7"/>
  <c r="Y217" i="7" s="1"/>
  <c r="W217" i="7"/>
  <c r="Z216" i="7"/>
  <c r="X216" i="7"/>
  <c r="Y216" i="7" s="1"/>
  <c r="W216" i="7"/>
  <c r="Z215" i="7"/>
  <c r="X215" i="7"/>
  <c r="Y215" i="7" s="1"/>
  <c r="W215" i="7"/>
  <c r="Z214" i="7"/>
  <c r="X214" i="7"/>
  <c r="Y214" i="7" s="1"/>
  <c r="W214" i="7"/>
  <c r="Z213" i="7"/>
  <c r="X213" i="7"/>
  <c r="Y213" i="7" s="1"/>
  <c r="W213" i="7"/>
  <c r="Z212" i="7"/>
  <c r="X212" i="7"/>
  <c r="Y212" i="7" s="1"/>
  <c r="W212" i="7"/>
  <c r="Z211" i="7"/>
  <c r="X211" i="7"/>
  <c r="Y211" i="7" s="1"/>
  <c r="W211" i="7"/>
  <c r="Z210" i="7"/>
  <c r="X210" i="7"/>
  <c r="Y210" i="7" s="1"/>
  <c r="W210" i="7"/>
  <c r="Z209" i="7"/>
  <c r="X209" i="7"/>
  <c r="Y209" i="7" s="1"/>
  <c r="W209" i="7"/>
  <c r="Z208" i="7"/>
  <c r="X208" i="7"/>
  <c r="Y208" i="7" s="1"/>
  <c r="W208" i="7"/>
  <c r="Z207" i="7"/>
  <c r="X207" i="7"/>
  <c r="Y207" i="7" s="1"/>
  <c r="W207" i="7"/>
  <c r="Z206" i="7"/>
  <c r="X206" i="7"/>
  <c r="Y206" i="7" s="1"/>
  <c r="W206" i="7"/>
  <c r="Z205" i="7"/>
  <c r="X205" i="7"/>
  <c r="Y205" i="7" s="1"/>
  <c r="W205" i="7"/>
  <c r="Z204" i="7"/>
  <c r="X204" i="7"/>
  <c r="Y204" i="7" s="1"/>
  <c r="W204" i="7"/>
  <c r="Z203" i="7"/>
  <c r="X203" i="7"/>
  <c r="Y203" i="7" s="1"/>
  <c r="W203" i="7"/>
  <c r="Z202" i="7"/>
  <c r="X202" i="7"/>
  <c r="Y202" i="7" s="1"/>
  <c r="W202" i="7"/>
  <c r="Z201" i="7"/>
  <c r="X201" i="7"/>
  <c r="Y201" i="7" s="1"/>
  <c r="W201" i="7"/>
  <c r="Z200" i="7"/>
  <c r="X200" i="7"/>
  <c r="Y200" i="7" s="1"/>
  <c r="W200" i="7"/>
  <c r="Z199" i="7"/>
  <c r="X199" i="7"/>
  <c r="Y199" i="7" s="1"/>
  <c r="W199" i="7"/>
  <c r="Z198" i="7"/>
  <c r="X198" i="7"/>
  <c r="Y198" i="7" s="1"/>
  <c r="W198" i="7"/>
  <c r="Z197" i="7"/>
  <c r="X197" i="7"/>
  <c r="Y197" i="7" s="1"/>
  <c r="W197" i="7"/>
  <c r="Z196" i="7"/>
  <c r="X196" i="7"/>
  <c r="Y196" i="7" s="1"/>
  <c r="W196" i="7"/>
  <c r="Z195" i="7"/>
  <c r="X195" i="7"/>
  <c r="Y195" i="7" s="1"/>
  <c r="W195" i="7"/>
  <c r="Z194" i="7"/>
  <c r="X194" i="7"/>
  <c r="Y194" i="7" s="1"/>
  <c r="W194" i="7"/>
  <c r="Z193" i="7"/>
  <c r="X193" i="7"/>
  <c r="Y193" i="7" s="1"/>
  <c r="W193" i="7"/>
  <c r="Z192" i="7"/>
  <c r="X192" i="7"/>
  <c r="Y192" i="7" s="1"/>
  <c r="W192" i="7"/>
  <c r="Z191" i="7"/>
  <c r="X191" i="7"/>
  <c r="Y191" i="7" s="1"/>
  <c r="W191" i="7"/>
  <c r="Z190" i="7"/>
  <c r="X190" i="7"/>
  <c r="Y190" i="7" s="1"/>
  <c r="W190" i="7"/>
  <c r="Z189" i="7"/>
  <c r="X189" i="7"/>
  <c r="Y189" i="7" s="1"/>
  <c r="W189" i="7"/>
  <c r="Z188" i="7"/>
  <c r="X188" i="7"/>
  <c r="Y188" i="7" s="1"/>
  <c r="W188" i="7"/>
  <c r="Z187" i="7"/>
  <c r="X187" i="7"/>
  <c r="Y187" i="7" s="1"/>
  <c r="W187" i="7"/>
  <c r="Z186" i="7"/>
  <c r="X186" i="7"/>
  <c r="Y186" i="7" s="1"/>
  <c r="W186" i="7"/>
  <c r="Z185" i="7"/>
  <c r="X185" i="7"/>
  <c r="Y185" i="7" s="1"/>
  <c r="W185" i="7"/>
  <c r="Z184" i="7"/>
  <c r="X184" i="7"/>
  <c r="Y184" i="7" s="1"/>
  <c r="W184" i="7"/>
  <c r="Z183" i="7"/>
  <c r="X183" i="7"/>
  <c r="Y183" i="7" s="1"/>
  <c r="W183" i="7"/>
  <c r="Z182" i="7"/>
  <c r="X182" i="7"/>
  <c r="Y182" i="7" s="1"/>
  <c r="W182" i="7"/>
  <c r="Z181" i="7"/>
  <c r="X181" i="7"/>
  <c r="Y181" i="7" s="1"/>
  <c r="W181" i="7"/>
  <c r="Z180" i="7"/>
  <c r="X180" i="7"/>
  <c r="Y180" i="7" s="1"/>
  <c r="W180" i="7"/>
  <c r="Z179" i="7"/>
  <c r="X179" i="7"/>
  <c r="Y179" i="7" s="1"/>
  <c r="W179" i="7"/>
  <c r="Z178" i="7"/>
  <c r="X178" i="7"/>
  <c r="Y178" i="7" s="1"/>
  <c r="W178" i="7"/>
  <c r="Z177" i="7"/>
  <c r="X177" i="7"/>
  <c r="Y177" i="7" s="1"/>
  <c r="W177" i="7"/>
  <c r="Z176" i="7"/>
  <c r="X176" i="7"/>
  <c r="Y176" i="7" s="1"/>
  <c r="W176" i="7"/>
  <c r="Z175" i="7"/>
  <c r="X175" i="7"/>
  <c r="Y175" i="7" s="1"/>
  <c r="W175" i="7"/>
  <c r="Z174" i="7"/>
  <c r="X174" i="7"/>
  <c r="Y174" i="7" s="1"/>
  <c r="W174" i="7"/>
  <c r="Z173" i="7"/>
  <c r="X173" i="7"/>
  <c r="Y173" i="7" s="1"/>
  <c r="W173" i="7"/>
  <c r="Z172" i="7"/>
  <c r="X172" i="7"/>
  <c r="Y172" i="7" s="1"/>
  <c r="W172" i="7"/>
  <c r="Z171" i="7"/>
  <c r="X171" i="7"/>
  <c r="Y171" i="7" s="1"/>
  <c r="W171" i="7"/>
  <c r="Z170" i="7"/>
  <c r="X170" i="7"/>
  <c r="Y170" i="7" s="1"/>
  <c r="W170" i="7"/>
  <c r="Z169" i="7"/>
  <c r="X169" i="7"/>
  <c r="Y169" i="7" s="1"/>
  <c r="W169" i="7"/>
  <c r="Z168" i="7"/>
  <c r="X168" i="7"/>
  <c r="Y168" i="7" s="1"/>
  <c r="W168" i="7"/>
  <c r="Z167" i="7"/>
  <c r="X167" i="7"/>
  <c r="Y167" i="7" s="1"/>
  <c r="W167" i="7"/>
  <c r="Z166" i="7"/>
  <c r="X166" i="7"/>
  <c r="Y166" i="7" s="1"/>
  <c r="W166" i="7"/>
  <c r="Z165" i="7"/>
  <c r="X165" i="7"/>
  <c r="Y165" i="7" s="1"/>
  <c r="W165" i="7"/>
  <c r="Z164" i="7"/>
  <c r="X164" i="7"/>
  <c r="Y164" i="7" s="1"/>
  <c r="W164" i="7"/>
  <c r="Z163" i="7"/>
  <c r="X163" i="7"/>
  <c r="Y163" i="7" s="1"/>
  <c r="W163" i="7"/>
  <c r="Z162" i="7"/>
  <c r="X162" i="7"/>
  <c r="Y162" i="7" s="1"/>
  <c r="W162" i="7"/>
  <c r="Z161" i="7"/>
  <c r="X161" i="7"/>
  <c r="Y161" i="7" s="1"/>
  <c r="W161" i="7"/>
  <c r="Z160" i="7"/>
  <c r="X160" i="7"/>
  <c r="Y160" i="7" s="1"/>
  <c r="W160" i="7"/>
  <c r="Z159" i="7"/>
  <c r="X159" i="7"/>
  <c r="Y159" i="7" s="1"/>
  <c r="W159" i="7"/>
  <c r="Z158" i="7"/>
  <c r="X158" i="7"/>
  <c r="Y158" i="7" s="1"/>
  <c r="W158" i="7"/>
  <c r="Z157" i="7"/>
  <c r="X157" i="7"/>
  <c r="Y157" i="7" s="1"/>
  <c r="W157" i="7"/>
  <c r="Z156" i="7"/>
  <c r="X156" i="7"/>
  <c r="Y156" i="7" s="1"/>
  <c r="W156" i="7"/>
  <c r="Z155" i="7"/>
  <c r="X155" i="7"/>
  <c r="Y155" i="7" s="1"/>
  <c r="W155" i="7"/>
  <c r="Z154" i="7"/>
  <c r="X154" i="7"/>
  <c r="Y154" i="7" s="1"/>
  <c r="W154" i="7"/>
  <c r="Z153" i="7"/>
  <c r="X153" i="7"/>
  <c r="Y153" i="7" s="1"/>
  <c r="W153" i="7"/>
  <c r="Z152" i="7"/>
  <c r="X152" i="7"/>
  <c r="Y152" i="7" s="1"/>
  <c r="W152" i="7"/>
  <c r="Z151" i="7"/>
  <c r="X151" i="7"/>
  <c r="Y151" i="7" s="1"/>
  <c r="W151" i="7"/>
  <c r="Z150" i="7"/>
  <c r="X150" i="7"/>
  <c r="Y150" i="7" s="1"/>
  <c r="W150" i="7"/>
  <c r="Z149" i="7"/>
  <c r="X149" i="7"/>
  <c r="Y149" i="7" s="1"/>
  <c r="W149" i="7"/>
  <c r="Z148" i="7"/>
  <c r="X148" i="7"/>
  <c r="Y148" i="7" s="1"/>
  <c r="W148" i="7"/>
  <c r="Z147" i="7"/>
  <c r="X147" i="7"/>
  <c r="Y147" i="7" s="1"/>
  <c r="W147" i="7"/>
  <c r="Z146" i="7"/>
  <c r="X146" i="7"/>
  <c r="Y146" i="7" s="1"/>
  <c r="W146" i="7"/>
  <c r="Z145" i="7"/>
  <c r="X145" i="7"/>
  <c r="Y145" i="7" s="1"/>
  <c r="W145" i="7"/>
  <c r="Z144" i="7"/>
  <c r="X144" i="7"/>
  <c r="Y144" i="7" s="1"/>
  <c r="W144" i="7"/>
  <c r="Z143" i="7"/>
  <c r="X143" i="7"/>
  <c r="Y143" i="7" s="1"/>
  <c r="W143" i="7"/>
  <c r="Z142" i="7"/>
  <c r="X142" i="7"/>
  <c r="Y142" i="7" s="1"/>
  <c r="W142" i="7"/>
  <c r="Z141" i="7"/>
  <c r="X141" i="7"/>
  <c r="Y141" i="7" s="1"/>
  <c r="W141" i="7"/>
  <c r="Z140" i="7"/>
  <c r="X140" i="7"/>
  <c r="Y140" i="7" s="1"/>
  <c r="W140" i="7"/>
  <c r="Z139" i="7"/>
  <c r="X139" i="7"/>
  <c r="Y139" i="7" s="1"/>
  <c r="W139" i="7"/>
  <c r="Z138" i="7"/>
  <c r="X138" i="7"/>
  <c r="Y138" i="7" s="1"/>
  <c r="W138" i="7"/>
  <c r="Z137" i="7"/>
  <c r="X137" i="7"/>
  <c r="Y137" i="7" s="1"/>
  <c r="W137" i="7"/>
  <c r="Z136" i="7"/>
  <c r="X136" i="7"/>
  <c r="Y136" i="7" s="1"/>
  <c r="W136" i="7"/>
  <c r="Z135" i="7"/>
  <c r="X135" i="7"/>
  <c r="Y135" i="7" s="1"/>
  <c r="W135" i="7"/>
  <c r="Z134" i="7"/>
  <c r="X134" i="7"/>
  <c r="Y134" i="7" s="1"/>
  <c r="W134" i="7"/>
  <c r="Z133" i="7"/>
  <c r="X133" i="7"/>
  <c r="Y133" i="7" s="1"/>
  <c r="W133" i="7"/>
  <c r="Z132" i="7"/>
  <c r="X132" i="7"/>
  <c r="Y132" i="7" s="1"/>
  <c r="W132" i="7"/>
  <c r="Z131" i="7"/>
  <c r="X131" i="7"/>
  <c r="Y131" i="7" s="1"/>
  <c r="W131" i="7"/>
  <c r="Z130" i="7"/>
  <c r="X130" i="7"/>
  <c r="Y130" i="7" s="1"/>
  <c r="W130" i="7"/>
  <c r="Z129" i="7"/>
  <c r="X129" i="7"/>
  <c r="Y129" i="7" s="1"/>
  <c r="W129" i="7"/>
  <c r="Z128" i="7"/>
  <c r="X128" i="7"/>
  <c r="Y128" i="7" s="1"/>
  <c r="W128" i="7"/>
  <c r="Z127" i="7"/>
  <c r="X127" i="7"/>
  <c r="Y127" i="7" s="1"/>
  <c r="W127" i="7"/>
  <c r="Z126" i="7"/>
  <c r="X126" i="7"/>
  <c r="Y126" i="7" s="1"/>
  <c r="W126" i="7"/>
  <c r="Z125" i="7"/>
  <c r="X125" i="7"/>
  <c r="Y125" i="7" s="1"/>
  <c r="W125" i="7"/>
  <c r="Z124" i="7"/>
  <c r="X124" i="7"/>
  <c r="Y124" i="7" s="1"/>
  <c r="W124" i="7"/>
  <c r="Z123" i="7"/>
  <c r="X123" i="7"/>
  <c r="Y123" i="7" s="1"/>
  <c r="W123" i="7"/>
  <c r="Z122" i="7"/>
  <c r="X122" i="7"/>
  <c r="Y122" i="7" s="1"/>
  <c r="W122" i="7"/>
  <c r="Z121" i="7"/>
  <c r="X121" i="7"/>
  <c r="Y121" i="7" s="1"/>
  <c r="W121" i="7"/>
  <c r="Z120" i="7"/>
  <c r="X120" i="7"/>
  <c r="Y120" i="7" s="1"/>
  <c r="W120" i="7"/>
  <c r="Z119" i="7"/>
  <c r="X119" i="7"/>
  <c r="Y119" i="7" s="1"/>
  <c r="W119" i="7"/>
  <c r="Z118" i="7"/>
  <c r="X118" i="7"/>
  <c r="Y118" i="7" s="1"/>
  <c r="W118" i="7"/>
  <c r="Z117" i="7"/>
  <c r="X117" i="7"/>
  <c r="Y117" i="7" s="1"/>
  <c r="W117" i="7"/>
  <c r="Z116" i="7"/>
  <c r="X116" i="7"/>
  <c r="Y116" i="7" s="1"/>
  <c r="W116" i="7"/>
  <c r="Z115" i="7"/>
  <c r="X115" i="7"/>
  <c r="Y115" i="7" s="1"/>
  <c r="W115" i="7"/>
  <c r="Z114" i="7"/>
  <c r="X114" i="7"/>
  <c r="Y114" i="7" s="1"/>
  <c r="W114" i="7"/>
  <c r="Z113" i="7"/>
  <c r="X113" i="7"/>
  <c r="Y113" i="7" s="1"/>
  <c r="W113" i="7"/>
  <c r="Z112" i="7"/>
  <c r="X112" i="7"/>
  <c r="Y112" i="7" s="1"/>
  <c r="W112" i="7"/>
  <c r="Z111" i="7"/>
  <c r="X111" i="7"/>
  <c r="Y111" i="7" s="1"/>
  <c r="W111" i="7"/>
  <c r="Z110" i="7"/>
  <c r="X110" i="7"/>
  <c r="Y110" i="7" s="1"/>
  <c r="W110" i="7"/>
  <c r="Z109" i="7"/>
  <c r="X109" i="7"/>
  <c r="Y109" i="7" s="1"/>
  <c r="W109" i="7"/>
  <c r="Z108" i="7"/>
  <c r="X108" i="7"/>
  <c r="Y108" i="7" s="1"/>
  <c r="W108" i="7"/>
  <c r="Z107" i="7"/>
  <c r="X107" i="7"/>
  <c r="Y107" i="7" s="1"/>
  <c r="W107" i="7"/>
  <c r="Z106" i="7"/>
  <c r="X106" i="7"/>
  <c r="Y106" i="7" s="1"/>
  <c r="W106" i="7"/>
  <c r="Z105" i="7"/>
  <c r="X105" i="7"/>
  <c r="Y105" i="7" s="1"/>
  <c r="W105" i="7"/>
  <c r="Z104" i="7"/>
  <c r="X104" i="7"/>
  <c r="Y104" i="7" s="1"/>
  <c r="W104" i="7"/>
  <c r="Z103" i="7"/>
  <c r="X103" i="7"/>
  <c r="Y103" i="7" s="1"/>
  <c r="W103" i="7"/>
  <c r="Z102" i="7"/>
  <c r="X102" i="7"/>
  <c r="Y102" i="7" s="1"/>
  <c r="W102" i="7"/>
  <c r="Z101" i="7"/>
  <c r="X101" i="7"/>
  <c r="Y101" i="7" s="1"/>
  <c r="W101" i="7"/>
  <c r="Z100" i="7"/>
  <c r="X100" i="7"/>
  <c r="Y100" i="7" s="1"/>
  <c r="W100" i="7"/>
  <c r="Z99" i="7"/>
  <c r="X99" i="7"/>
  <c r="Y99" i="7" s="1"/>
  <c r="W99" i="7"/>
  <c r="Z98" i="7"/>
  <c r="X98" i="7"/>
  <c r="Y98" i="7" s="1"/>
  <c r="W98" i="7"/>
  <c r="Z97" i="7"/>
  <c r="X97" i="7"/>
  <c r="Y97" i="7" s="1"/>
  <c r="W97" i="7"/>
  <c r="Z96" i="7"/>
  <c r="X96" i="7"/>
  <c r="Y96" i="7" s="1"/>
  <c r="W96" i="7"/>
  <c r="Z95" i="7"/>
  <c r="X95" i="7"/>
  <c r="Y95" i="7" s="1"/>
  <c r="W95" i="7"/>
  <c r="Z94" i="7"/>
  <c r="X94" i="7"/>
  <c r="Y94" i="7" s="1"/>
  <c r="W94" i="7"/>
  <c r="Z93" i="7"/>
  <c r="X93" i="7"/>
  <c r="Y93" i="7" s="1"/>
  <c r="W93" i="7"/>
  <c r="Z92" i="7"/>
  <c r="X92" i="7"/>
  <c r="Y92" i="7" s="1"/>
  <c r="W92" i="7"/>
  <c r="Z91" i="7"/>
  <c r="X91" i="7"/>
  <c r="Y91" i="7" s="1"/>
  <c r="W91" i="7"/>
  <c r="Z90" i="7"/>
  <c r="X90" i="7"/>
  <c r="Y90" i="7" s="1"/>
  <c r="W90" i="7"/>
  <c r="Z89" i="7"/>
  <c r="X89" i="7"/>
  <c r="Y89" i="7" s="1"/>
  <c r="W89" i="7"/>
  <c r="Z88" i="7"/>
  <c r="X88" i="7"/>
  <c r="Y88" i="7" s="1"/>
  <c r="W88" i="7"/>
  <c r="Z87" i="7"/>
  <c r="X87" i="7"/>
  <c r="Y87" i="7" s="1"/>
  <c r="W87" i="7"/>
  <c r="Z86" i="7"/>
  <c r="X86" i="7"/>
  <c r="Y86" i="7" s="1"/>
  <c r="W86" i="7"/>
  <c r="Z85" i="7"/>
  <c r="X85" i="7"/>
  <c r="Y85" i="7" s="1"/>
  <c r="W85" i="7"/>
  <c r="Z84" i="7"/>
  <c r="X84" i="7"/>
  <c r="Y84" i="7" s="1"/>
  <c r="W84" i="7"/>
  <c r="Z83" i="7"/>
  <c r="X83" i="7"/>
  <c r="Y83" i="7" s="1"/>
  <c r="W83" i="7"/>
  <c r="Z82" i="7"/>
  <c r="X82" i="7"/>
  <c r="Y82" i="7" s="1"/>
  <c r="W82" i="7"/>
  <c r="Z81" i="7"/>
  <c r="X81" i="7"/>
  <c r="Y81" i="7" s="1"/>
  <c r="W81" i="7"/>
  <c r="Z80" i="7"/>
  <c r="X80" i="7"/>
  <c r="Y80" i="7" s="1"/>
  <c r="W80" i="7"/>
  <c r="Z79" i="7"/>
  <c r="X79" i="7"/>
  <c r="Y79" i="7" s="1"/>
  <c r="W79" i="7"/>
  <c r="Z78" i="7"/>
  <c r="X78" i="7"/>
  <c r="Y78" i="7" s="1"/>
  <c r="W78" i="7"/>
  <c r="Z77" i="7"/>
  <c r="X77" i="7"/>
  <c r="Y77" i="7" s="1"/>
  <c r="W77" i="7"/>
  <c r="Z76" i="7"/>
  <c r="X76" i="7"/>
  <c r="Y76" i="7" s="1"/>
  <c r="W76" i="7"/>
  <c r="Z75" i="7"/>
  <c r="X75" i="7"/>
  <c r="Y75" i="7" s="1"/>
  <c r="W75" i="7"/>
  <c r="Z74" i="7"/>
  <c r="X74" i="7"/>
  <c r="Y74" i="7" s="1"/>
  <c r="W74" i="7"/>
  <c r="Z73" i="7"/>
  <c r="X73" i="7"/>
  <c r="Y73" i="7" s="1"/>
  <c r="W73" i="7"/>
  <c r="Z72" i="7"/>
  <c r="X72" i="7"/>
  <c r="Y72" i="7" s="1"/>
  <c r="W72" i="7"/>
  <c r="Z71" i="7"/>
  <c r="X71" i="7"/>
  <c r="Y71" i="7" s="1"/>
  <c r="W71" i="7"/>
  <c r="Z70" i="7"/>
  <c r="X70" i="7"/>
  <c r="Y70" i="7" s="1"/>
  <c r="W70" i="7"/>
  <c r="Z69" i="7"/>
  <c r="X69" i="7"/>
  <c r="Y69" i="7" s="1"/>
  <c r="W69" i="7"/>
  <c r="Z68" i="7"/>
  <c r="X68" i="7"/>
  <c r="Y68" i="7" s="1"/>
  <c r="W68" i="7"/>
  <c r="Z67" i="7"/>
  <c r="X67" i="7"/>
  <c r="Y67" i="7" s="1"/>
  <c r="W67" i="7"/>
  <c r="Z66" i="7"/>
  <c r="X66" i="7"/>
  <c r="Y66" i="7" s="1"/>
  <c r="W66" i="7"/>
  <c r="Z65" i="7"/>
  <c r="X65" i="7"/>
  <c r="Y65" i="7" s="1"/>
  <c r="W65" i="7"/>
  <c r="Z64" i="7"/>
  <c r="X64" i="7"/>
  <c r="Y64" i="7" s="1"/>
  <c r="W64" i="7"/>
  <c r="Z63" i="7"/>
  <c r="X63" i="7"/>
  <c r="Y63" i="7" s="1"/>
  <c r="W63" i="7"/>
  <c r="Z62" i="7"/>
  <c r="X62" i="7"/>
  <c r="Y62" i="7" s="1"/>
  <c r="W62" i="7"/>
  <c r="Z61" i="7"/>
  <c r="X61" i="7"/>
  <c r="Y61" i="7" s="1"/>
  <c r="W61" i="7"/>
  <c r="Z60" i="7"/>
  <c r="X60" i="7"/>
  <c r="Y60" i="7" s="1"/>
  <c r="W60" i="7"/>
  <c r="Z59" i="7"/>
  <c r="X59" i="7"/>
  <c r="Y59" i="7" s="1"/>
  <c r="W59" i="7"/>
  <c r="Z58" i="7"/>
  <c r="X58" i="7"/>
  <c r="Y58" i="7" s="1"/>
  <c r="W58" i="7"/>
  <c r="Z57" i="7"/>
  <c r="X57" i="7"/>
  <c r="Y57" i="7" s="1"/>
  <c r="W57" i="7"/>
  <c r="Z56" i="7"/>
  <c r="X56" i="7"/>
  <c r="Y56" i="7" s="1"/>
  <c r="W56" i="7"/>
  <c r="Z55" i="7"/>
  <c r="X55" i="7"/>
  <c r="Y55" i="7" s="1"/>
  <c r="W55" i="7"/>
  <c r="Z54" i="7"/>
  <c r="X54" i="7"/>
  <c r="Y54" i="7" s="1"/>
  <c r="W54" i="7"/>
  <c r="Z53" i="7"/>
  <c r="X53" i="7"/>
  <c r="Y53" i="7" s="1"/>
  <c r="W53" i="7"/>
  <c r="Z52" i="7"/>
  <c r="X52" i="7"/>
  <c r="Y52" i="7" s="1"/>
  <c r="W52" i="7"/>
  <c r="Z51" i="7"/>
  <c r="X51" i="7"/>
  <c r="Y51" i="7" s="1"/>
  <c r="W51" i="7"/>
  <c r="Z50" i="7"/>
  <c r="X50" i="7"/>
  <c r="Y50" i="7" s="1"/>
  <c r="W50" i="7"/>
  <c r="Z49" i="7"/>
  <c r="X49" i="7"/>
  <c r="Y49" i="7" s="1"/>
  <c r="W49" i="7"/>
  <c r="Z48" i="7"/>
  <c r="X48" i="7"/>
  <c r="Y48" i="7" s="1"/>
  <c r="W48" i="7"/>
  <c r="Z47" i="7"/>
  <c r="X47" i="7"/>
  <c r="Y47" i="7" s="1"/>
  <c r="W47" i="7"/>
  <c r="Z46" i="7"/>
  <c r="X46" i="7"/>
  <c r="Y46" i="7" s="1"/>
  <c r="W46" i="7"/>
  <c r="Z45" i="7"/>
  <c r="X45" i="7"/>
  <c r="Y45" i="7" s="1"/>
  <c r="W45" i="7"/>
  <c r="Z44" i="7"/>
  <c r="X44" i="7"/>
  <c r="Y44" i="7" s="1"/>
  <c r="W44" i="7"/>
  <c r="Z43" i="7"/>
  <c r="X43" i="7"/>
  <c r="Y43" i="7" s="1"/>
  <c r="W43" i="7"/>
  <c r="Z42" i="7"/>
  <c r="X42" i="7"/>
  <c r="Y42" i="7" s="1"/>
  <c r="W42" i="7"/>
  <c r="Z41" i="7"/>
  <c r="X41" i="7"/>
  <c r="Y41" i="7" s="1"/>
  <c r="W41" i="7"/>
  <c r="Z40" i="7"/>
  <c r="X40" i="7"/>
  <c r="Y40" i="7" s="1"/>
  <c r="W40" i="7"/>
  <c r="Z39" i="7"/>
  <c r="X39" i="7"/>
  <c r="Y39" i="7" s="1"/>
  <c r="W39" i="7"/>
  <c r="Z38" i="7"/>
  <c r="X38" i="7"/>
  <c r="Y38" i="7" s="1"/>
  <c r="W38" i="7"/>
  <c r="Z37" i="7"/>
  <c r="X37" i="7"/>
  <c r="Y37" i="7" s="1"/>
  <c r="W37" i="7"/>
  <c r="Z36" i="7"/>
  <c r="X36" i="7"/>
  <c r="Y36" i="7" s="1"/>
  <c r="W36" i="7"/>
  <c r="Z35" i="7"/>
  <c r="X35" i="7"/>
  <c r="Y35" i="7" s="1"/>
  <c r="W35" i="7"/>
  <c r="Z34" i="7"/>
  <c r="X34" i="7"/>
  <c r="Y34" i="7" s="1"/>
  <c r="W34" i="7"/>
  <c r="Z33" i="7"/>
  <c r="X33" i="7"/>
  <c r="Y33" i="7" s="1"/>
  <c r="W33" i="7"/>
  <c r="Z32" i="7"/>
  <c r="X32" i="7"/>
  <c r="Y32" i="7" s="1"/>
  <c r="W32" i="7"/>
  <c r="Z31" i="7"/>
  <c r="X31" i="7"/>
  <c r="Y31" i="7" s="1"/>
  <c r="W31" i="7"/>
  <c r="Z30" i="7"/>
  <c r="X30" i="7"/>
  <c r="Y30" i="7" s="1"/>
  <c r="W30" i="7"/>
  <c r="Z29" i="7"/>
  <c r="X29" i="7"/>
  <c r="Y29" i="7" s="1"/>
  <c r="W29" i="7"/>
  <c r="Z28" i="7"/>
  <c r="X28" i="7"/>
  <c r="Y28" i="7" s="1"/>
  <c r="W28" i="7"/>
  <c r="Z27" i="7"/>
  <c r="X27" i="7"/>
  <c r="Y27" i="7" s="1"/>
  <c r="W27" i="7"/>
  <c r="Z26" i="7"/>
  <c r="X26" i="7"/>
  <c r="Y26" i="7" s="1"/>
  <c r="W26" i="7"/>
  <c r="Z25" i="7"/>
  <c r="X25" i="7"/>
  <c r="Y25" i="7" s="1"/>
  <c r="W25" i="7"/>
  <c r="Z24" i="7"/>
  <c r="X24" i="7"/>
  <c r="Y24" i="7" s="1"/>
  <c r="W24" i="7"/>
  <c r="Z23" i="7"/>
  <c r="X23" i="7"/>
  <c r="Y23" i="7" s="1"/>
  <c r="W23" i="7"/>
  <c r="Z22" i="7"/>
  <c r="X22" i="7"/>
  <c r="Y22" i="7" s="1"/>
  <c r="W22" i="7"/>
  <c r="Z21" i="7"/>
  <c r="X21" i="7"/>
  <c r="Y21" i="7" s="1"/>
  <c r="W21" i="7"/>
  <c r="Z20" i="7"/>
  <c r="X20" i="7"/>
  <c r="Y20" i="7" s="1"/>
  <c r="W20" i="7"/>
  <c r="Z19" i="7"/>
  <c r="X19" i="7"/>
  <c r="Y19" i="7" s="1"/>
  <c r="W19" i="7"/>
  <c r="Z18" i="7"/>
  <c r="X18" i="7"/>
  <c r="Y18" i="7" s="1"/>
  <c r="W18" i="7"/>
  <c r="Z17" i="7"/>
  <c r="X17" i="7"/>
  <c r="Y17" i="7" s="1"/>
  <c r="W17" i="7"/>
  <c r="Z16" i="7"/>
  <c r="X16" i="7"/>
  <c r="Y16" i="7" s="1"/>
  <c r="W16" i="7"/>
  <c r="Z15" i="7"/>
  <c r="X15" i="7"/>
  <c r="Y15" i="7" s="1"/>
  <c r="W15" i="7"/>
  <c r="Z14" i="7"/>
  <c r="X14" i="7"/>
  <c r="Y14" i="7" s="1"/>
  <c r="W14" i="7"/>
  <c r="Z13" i="7"/>
  <c r="X13" i="7"/>
  <c r="Y13" i="7" s="1"/>
  <c r="W13" i="7"/>
  <c r="Z12" i="7"/>
  <c r="X12" i="7"/>
  <c r="Y12" i="7" s="1"/>
  <c r="W12" i="7"/>
  <c r="Z11" i="7"/>
  <c r="X11" i="7"/>
  <c r="Y11" i="7" s="1"/>
  <c r="W11" i="7"/>
  <c r="Z10" i="7"/>
  <c r="X10" i="7"/>
  <c r="Y10" i="7" s="1"/>
  <c r="W10" i="7"/>
  <c r="Z9" i="7"/>
  <c r="X9" i="7"/>
  <c r="Y9" i="7" s="1"/>
  <c r="W9" i="7"/>
  <c r="Z8" i="7"/>
  <c r="X8" i="7"/>
  <c r="Y8" i="7" s="1"/>
  <c r="W8" i="7"/>
  <c r="Z7" i="7"/>
  <c r="X7" i="7"/>
  <c r="Y7" i="7" s="1"/>
  <c r="W7" i="7"/>
  <c r="Z6" i="7"/>
  <c r="X6" i="7"/>
  <c r="Y6" i="7" s="1"/>
  <c r="W6" i="7"/>
  <c r="Z5" i="7"/>
  <c r="X5" i="7"/>
  <c r="Y5" i="7" s="1"/>
  <c r="W5" i="7"/>
  <c r="Z4" i="7"/>
  <c r="X4" i="7"/>
  <c r="Y4" i="7" s="1"/>
  <c r="W4" i="7"/>
  <c r="Z3" i="7"/>
  <c r="X3" i="7"/>
  <c r="Y3" i="7" s="1"/>
  <c r="W3" i="7"/>
  <c r="Z2" i="7"/>
  <c r="X2" i="7"/>
  <c r="Y2" i="7" s="1"/>
  <c r="W2" i="7"/>
  <c r="Z3" i="6"/>
  <c r="Z4" i="6"/>
  <c r="Z5" i="6"/>
  <c r="Z6" i="6"/>
  <c r="Z7" i="6"/>
  <c r="Z8" i="6"/>
  <c r="Z9" i="6"/>
  <c r="Z10" i="6"/>
  <c r="Z11" i="6"/>
  <c r="Z12" i="6"/>
  <c r="Z13" i="6"/>
  <c r="Z14" i="6"/>
  <c r="Z15" i="6"/>
  <c r="Z16" i="6"/>
  <c r="Z17" i="6"/>
  <c r="Z18" i="6"/>
  <c r="Z19" i="6"/>
  <c r="Z20" i="6"/>
  <c r="Z21" i="6"/>
  <c r="Z22" i="6"/>
  <c r="Z23" i="6"/>
  <c r="Z24" i="6"/>
  <c r="Z25" i="6"/>
  <c r="Z26" i="6"/>
  <c r="Z27" i="6"/>
  <c r="Z28" i="6"/>
  <c r="Z29" i="6"/>
  <c r="Z30" i="6"/>
  <c r="Z31" i="6"/>
  <c r="Z32" i="6"/>
  <c r="Z33" i="6"/>
  <c r="Z34" i="6"/>
  <c r="Z35" i="6"/>
  <c r="Z36" i="6"/>
  <c r="Z37" i="6"/>
  <c r="Z38" i="6"/>
  <c r="Z39" i="6"/>
  <c r="Z40" i="6"/>
  <c r="Z41" i="6"/>
  <c r="Z42" i="6"/>
  <c r="Z43" i="6"/>
  <c r="Z44" i="6"/>
  <c r="Z45" i="6"/>
  <c r="Z46" i="6"/>
  <c r="Z47" i="6"/>
  <c r="Z48" i="6"/>
  <c r="Z49" i="6"/>
  <c r="Z50" i="6"/>
  <c r="Z51" i="6"/>
  <c r="Z52" i="6"/>
  <c r="Z53" i="6"/>
  <c r="Z54" i="6"/>
  <c r="Z55" i="6"/>
  <c r="Z56" i="6"/>
  <c r="Z57" i="6"/>
  <c r="Z58" i="6"/>
  <c r="Z59" i="6"/>
  <c r="Z60" i="6"/>
  <c r="Z61" i="6"/>
  <c r="Z62" i="6"/>
  <c r="Z63" i="6"/>
  <c r="Z64" i="6"/>
  <c r="Z65" i="6"/>
  <c r="Z66" i="6"/>
  <c r="Z67" i="6"/>
  <c r="Z68" i="6"/>
  <c r="Z69" i="6"/>
  <c r="Z70" i="6"/>
  <c r="Z71" i="6"/>
  <c r="Z72" i="6"/>
  <c r="Z73" i="6"/>
  <c r="Z74" i="6"/>
  <c r="Z75" i="6"/>
  <c r="Z76" i="6"/>
  <c r="Z77" i="6"/>
  <c r="Z78" i="6"/>
  <c r="Z79" i="6"/>
  <c r="Z80" i="6"/>
  <c r="Z81" i="6"/>
  <c r="Z82" i="6"/>
  <c r="Z83" i="6"/>
  <c r="Z84" i="6"/>
  <c r="Z85" i="6"/>
  <c r="Z86" i="6"/>
  <c r="Z87" i="6"/>
  <c r="Z88" i="6"/>
  <c r="Z89" i="6"/>
  <c r="Z90" i="6"/>
  <c r="Z91" i="6"/>
  <c r="Z92" i="6"/>
  <c r="Z93" i="6"/>
  <c r="Z94" i="6"/>
  <c r="Z95" i="6"/>
  <c r="Z96" i="6"/>
  <c r="Z97" i="6"/>
  <c r="Z98" i="6"/>
  <c r="Z99" i="6"/>
  <c r="Z100" i="6"/>
  <c r="Z101" i="6"/>
  <c r="Z102" i="6"/>
  <c r="Z103" i="6"/>
  <c r="Z104" i="6"/>
  <c r="Z105" i="6"/>
  <c r="Z106" i="6"/>
  <c r="Z107" i="6"/>
  <c r="Z108" i="6"/>
  <c r="Z109" i="6"/>
  <c r="Z110" i="6"/>
  <c r="Z111" i="6"/>
  <c r="Z112" i="6"/>
  <c r="Z113" i="6"/>
  <c r="Z114" i="6"/>
  <c r="Z115" i="6"/>
  <c r="Z116" i="6"/>
  <c r="Z117" i="6"/>
  <c r="Z118" i="6"/>
  <c r="Z119" i="6"/>
  <c r="Z120" i="6"/>
  <c r="Z121" i="6"/>
  <c r="Z122" i="6"/>
  <c r="Z123" i="6"/>
  <c r="Z124" i="6"/>
  <c r="Z125" i="6"/>
  <c r="Z126" i="6"/>
  <c r="Z127" i="6"/>
  <c r="Z128" i="6"/>
  <c r="Z129" i="6"/>
  <c r="Z130" i="6"/>
  <c r="Z131" i="6"/>
  <c r="Z132" i="6"/>
  <c r="Z133" i="6"/>
  <c r="Z134" i="6"/>
  <c r="Z135" i="6"/>
  <c r="Z136" i="6"/>
  <c r="Z137" i="6"/>
  <c r="Z138" i="6"/>
  <c r="Z139" i="6"/>
  <c r="Z140" i="6"/>
  <c r="Z141" i="6"/>
  <c r="Z142" i="6"/>
  <c r="Z143" i="6"/>
  <c r="Z144" i="6"/>
  <c r="Z145" i="6"/>
  <c r="Z146" i="6"/>
  <c r="Z147" i="6"/>
  <c r="Z148" i="6"/>
  <c r="Z149" i="6"/>
  <c r="Z150" i="6"/>
  <c r="Z151" i="6"/>
  <c r="Z152" i="6"/>
  <c r="Z153" i="6"/>
  <c r="Z154" i="6"/>
  <c r="Z155" i="6"/>
  <c r="Z156" i="6"/>
  <c r="Z157" i="6"/>
  <c r="Z158" i="6"/>
  <c r="Z159" i="6"/>
  <c r="Z160" i="6"/>
  <c r="Z161" i="6"/>
  <c r="Z162" i="6"/>
  <c r="Z163" i="6"/>
  <c r="Z164" i="6"/>
  <c r="Z165" i="6"/>
  <c r="Z166" i="6"/>
  <c r="Z167" i="6"/>
  <c r="Z168" i="6"/>
  <c r="Z169" i="6"/>
  <c r="Z170" i="6"/>
  <c r="Z171" i="6"/>
  <c r="Z172" i="6"/>
  <c r="Z173" i="6"/>
  <c r="Z174" i="6"/>
  <c r="Z175" i="6"/>
  <c r="Z176" i="6"/>
  <c r="Z177" i="6"/>
  <c r="Z178" i="6"/>
  <c r="Z179" i="6"/>
  <c r="Z180" i="6"/>
  <c r="Z181" i="6"/>
  <c r="Z182" i="6"/>
  <c r="Z183" i="6"/>
  <c r="Z184" i="6"/>
  <c r="Z185" i="6"/>
  <c r="Z186" i="6"/>
  <c r="Z187" i="6"/>
  <c r="Z188" i="6"/>
  <c r="Z189" i="6"/>
  <c r="Z190" i="6"/>
  <c r="Z191" i="6"/>
  <c r="Z192" i="6"/>
  <c r="Z193" i="6"/>
  <c r="Z194" i="6"/>
  <c r="Z195" i="6"/>
  <c r="Z196" i="6"/>
  <c r="Z197" i="6"/>
  <c r="Z198" i="6"/>
  <c r="Z199" i="6"/>
  <c r="Z200" i="6"/>
  <c r="Z201" i="6"/>
  <c r="Z202" i="6"/>
  <c r="Z203" i="6"/>
  <c r="Z204" i="6"/>
  <c r="Z205" i="6"/>
  <c r="Z206" i="6"/>
  <c r="Z207" i="6"/>
  <c r="Z208" i="6"/>
  <c r="Z209" i="6"/>
  <c r="Z210" i="6"/>
  <c r="Z211" i="6"/>
  <c r="Z212" i="6"/>
  <c r="Z213" i="6"/>
  <c r="Z214" i="6"/>
  <c r="Z215" i="6"/>
  <c r="Z216" i="6"/>
  <c r="Z217" i="6"/>
  <c r="Z218" i="6"/>
  <c r="Z219" i="6"/>
  <c r="Z220" i="6"/>
  <c r="Z221" i="6"/>
  <c r="Z222" i="6"/>
  <c r="Z223" i="6"/>
  <c r="Z224" i="6"/>
  <c r="Z225" i="6"/>
  <c r="Z226" i="6"/>
  <c r="Z227" i="6"/>
  <c r="Z228" i="6"/>
  <c r="Z229" i="6"/>
  <c r="Z230" i="6"/>
  <c r="Z231" i="6"/>
  <c r="Z232" i="6"/>
  <c r="Z233" i="6"/>
  <c r="Z234" i="6"/>
  <c r="Z235" i="6"/>
  <c r="Z236" i="6"/>
  <c r="Z237" i="6"/>
  <c r="Z238" i="6"/>
  <c r="Z239" i="6"/>
  <c r="Z240" i="6"/>
  <c r="Z241" i="6"/>
  <c r="Z242" i="6"/>
  <c r="Z243" i="6"/>
  <c r="Z244" i="6"/>
  <c r="Z245" i="6"/>
  <c r="Z246" i="6"/>
  <c r="Z247" i="6"/>
  <c r="Z248" i="6"/>
  <c r="Z249" i="6"/>
  <c r="Z250" i="6"/>
  <c r="Z251" i="6"/>
  <c r="Z252" i="6"/>
  <c r="Z253" i="6"/>
  <c r="Z254" i="6"/>
  <c r="Z255" i="6"/>
  <c r="Z256" i="6"/>
  <c r="Z257" i="6"/>
  <c r="Z258" i="6"/>
  <c r="Z259" i="6"/>
  <c r="Z260" i="6"/>
  <c r="Z261" i="6"/>
  <c r="Z262" i="6"/>
  <c r="Z263" i="6"/>
  <c r="Z264" i="6"/>
  <c r="Z265" i="6"/>
  <c r="Z266" i="6"/>
  <c r="Z267" i="6"/>
  <c r="Z268" i="6"/>
  <c r="Z269" i="6"/>
  <c r="Z270" i="6"/>
  <c r="Z271" i="6"/>
  <c r="Z272" i="6"/>
  <c r="Z273" i="6"/>
  <c r="Z274" i="6"/>
  <c r="Z275" i="6"/>
  <c r="Z276" i="6"/>
  <c r="Z277" i="6"/>
  <c r="Z278" i="6"/>
  <c r="Z279" i="6"/>
  <c r="Z280" i="6"/>
  <c r="Z281" i="6"/>
  <c r="Z282" i="6"/>
  <c r="Z283" i="6"/>
  <c r="Z284" i="6"/>
  <c r="Z285" i="6"/>
  <c r="Z286" i="6"/>
  <c r="Z287" i="6"/>
  <c r="Z288" i="6"/>
  <c r="Z289" i="6"/>
  <c r="Z290" i="6"/>
  <c r="Z291" i="6"/>
  <c r="Z292" i="6"/>
  <c r="Z293" i="6"/>
  <c r="Z294" i="6"/>
  <c r="Z295" i="6"/>
  <c r="Z296" i="6"/>
  <c r="Z297" i="6"/>
  <c r="Z298" i="6"/>
  <c r="Z299" i="6"/>
  <c r="Z300" i="6"/>
  <c r="Z301" i="6"/>
  <c r="Z302" i="6"/>
  <c r="Z303" i="6"/>
  <c r="Z304" i="6"/>
  <c r="Z305" i="6"/>
  <c r="Z306" i="6"/>
  <c r="Z307" i="6"/>
  <c r="Z308" i="6"/>
  <c r="Z309" i="6"/>
  <c r="Z310" i="6"/>
  <c r="Z311" i="6"/>
  <c r="Z312" i="6"/>
  <c r="Z313" i="6"/>
  <c r="Z314" i="6"/>
  <c r="Z315" i="6"/>
  <c r="Z316" i="6"/>
  <c r="Z317" i="6"/>
  <c r="Z318" i="6"/>
  <c r="Z319" i="6"/>
  <c r="Z320" i="6"/>
  <c r="Z321" i="6"/>
  <c r="Z322" i="6"/>
  <c r="Z323" i="6"/>
  <c r="Z324" i="6"/>
  <c r="Z325" i="6"/>
  <c r="Z326" i="6"/>
  <c r="Z327" i="6"/>
  <c r="Z328" i="6"/>
  <c r="Z329" i="6"/>
  <c r="Z330" i="6"/>
  <c r="Z331" i="6"/>
  <c r="Z332" i="6"/>
  <c r="Z333" i="6"/>
  <c r="Z334" i="6"/>
  <c r="Z335" i="6"/>
  <c r="Z336" i="6"/>
  <c r="Z337" i="6"/>
  <c r="Z338" i="6"/>
  <c r="Z339" i="6"/>
  <c r="Z340" i="6"/>
  <c r="Z341" i="6"/>
  <c r="Z342" i="6"/>
  <c r="Z343" i="6"/>
  <c r="Z344" i="6"/>
  <c r="Z345" i="6"/>
  <c r="Z346" i="6"/>
  <c r="Z347" i="6"/>
  <c r="Z348" i="6"/>
  <c r="Z349" i="6"/>
  <c r="Z350" i="6"/>
  <c r="Z351" i="6"/>
  <c r="Z352" i="6"/>
  <c r="Z353" i="6"/>
  <c r="Z354" i="6"/>
  <c r="Z355" i="6"/>
  <c r="Z356" i="6"/>
  <c r="Z357" i="6"/>
  <c r="Z358" i="6"/>
  <c r="Z359" i="6"/>
  <c r="Z360" i="6"/>
  <c r="Z361" i="6"/>
  <c r="Z362" i="6"/>
  <c r="Z363" i="6"/>
  <c r="Z364" i="6"/>
  <c r="Z365" i="6"/>
  <c r="Z366" i="6"/>
  <c r="Z367" i="6"/>
  <c r="Z368" i="6"/>
  <c r="Z369" i="6"/>
  <c r="Z370" i="6"/>
  <c r="Z371" i="6"/>
  <c r="Z372" i="6"/>
  <c r="Z373" i="6"/>
  <c r="Z374" i="6"/>
  <c r="Z375" i="6"/>
  <c r="Z376" i="6"/>
  <c r="Z377" i="6"/>
  <c r="Z378" i="6"/>
  <c r="Z379" i="6"/>
  <c r="Z380" i="6"/>
  <c r="Z381" i="6"/>
  <c r="Z382" i="6"/>
  <c r="Z383" i="6"/>
  <c r="Z384" i="6"/>
  <c r="Z385" i="6"/>
  <c r="Z386" i="6"/>
  <c r="Z387" i="6"/>
  <c r="Z388" i="6"/>
  <c r="Z389" i="6"/>
  <c r="Z390" i="6"/>
  <c r="Z391" i="6"/>
  <c r="Z392" i="6"/>
  <c r="Z393" i="6"/>
  <c r="Z394" i="6"/>
  <c r="Z395" i="6"/>
  <c r="Z396" i="6"/>
  <c r="Z397" i="6"/>
  <c r="Z398" i="6"/>
  <c r="Z399" i="6"/>
  <c r="Z400" i="6"/>
  <c r="Z401" i="6"/>
  <c r="Z402" i="6"/>
  <c r="Z403" i="6"/>
  <c r="Z404" i="6"/>
  <c r="Z405" i="6"/>
  <c r="Z406" i="6"/>
  <c r="Z407" i="6"/>
  <c r="Z408" i="6"/>
  <c r="Z409" i="6"/>
  <c r="Z410" i="6"/>
  <c r="Z411" i="6"/>
  <c r="Z412" i="6"/>
  <c r="Z413" i="6"/>
  <c r="Z414" i="6"/>
  <c r="Z415" i="6"/>
  <c r="Z416" i="6"/>
  <c r="Z417" i="6"/>
  <c r="Z418" i="6"/>
  <c r="Z419" i="6"/>
  <c r="Z420" i="6"/>
  <c r="Z421" i="6"/>
  <c r="Z422" i="6"/>
  <c r="Z423" i="6"/>
  <c r="Z424" i="6"/>
  <c r="Z425" i="6"/>
  <c r="Z426" i="6"/>
  <c r="Z427" i="6"/>
  <c r="Z428" i="6"/>
  <c r="Z429" i="6"/>
  <c r="Z430" i="6"/>
  <c r="Z431" i="6"/>
  <c r="Z432" i="6"/>
  <c r="Z433" i="6"/>
  <c r="Z434" i="6"/>
  <c r="Z435" i="6"/>
  <c r="Z436" i="6"/>
  <c r="Z437" i="6"/>
  <c r="Z438" i="6"/>
  <c r="Z439" i="6"/>
  <c r="Z440" i="6"/>
  <c r="Z441" i="6"/>
  <c r="Z442" i="6"/>
  <c r="Z443" i="6"/>
  <c r="Z444" i="6"/>
  <c r="Z445" i="6"/>
  <c r="Z446" i="6"/>
  <c r="Z447" i="6"/>
  <c r="Z448" i="6"/>
  <c r="Z449" i="6"/>
  <c r="Z450" i="6"/>
  <c r="Z451" i="6"/>
  <c r="Z452" i="6"/>
  <c r="Z453" i="6"/>
  <c r="Z454" i="6"/>
  <c r="Z455" i="6"/>
  <c r="Z456" i="6"/>
  <c r="Z457" i="6"/>
  <c r="Z458" i="6"/>
  <c r="Z459" i="6"/>
  <c r="Z460" i="6"/>
  <c r="Z461" i="6"/>
  <c r="Z462" i="6"/>
  <c r="Z463" i="6"/>
  <c r="Z464" i="6"/>
  <c r="Z465" i="6"/>
  <c r="Z466" i="6"/>
  <c r="Z467" i="6"/>
  <c r="Z468" i="6"/>
  <c r="Z469" i="6"/>
  <c r="Z470" i="6"/>
  <c r="Z471" i="6"/>
  <c r="Z472" i="6"/>
  <c r="Z473" i="6"/>
  <c r="Z474" i="6"/>
  <c r="Z475" i="6"/>
  <c r="Z476" i="6"/>
  <c r="Z477" i="6"/>
  <c r="Z478" i="6"/>
  <c r="Z479" i="6"/>
  <c r="Z480" i="6"/>
  <c r="Z481" i="6"/>
  <c r="Z482" i="6"/>
  <c r="Z483" i="6"/>
  <c r="Z484" i="6"/>
  <c r="Z485" i="6"/>
  <c r="Z486" i="6"/>
  <c r="Z487" i="6"/>
  <c r="Z488" i="6"/>
  <c r="Z489" i="6"/>
  <c r="Z490" i="6"/>
  <c r="Z491" i="6"/>
  <c r="Z492" i="6"/>
  <c r="Z493" i="6"/>
  <c r="Z494" i="6"/>
  <c r="Z495" i="6"/>
  <c r="Z496" i="6"/>
  <c r="Z497" i="6"/>
  <c r="Z498" i="6"/>
  <c r="Z499" i="6"/>
  <c r="Z500" i="6"/>
  <c r="Z501" i="6"/>
  <c r="Z2" i="6"/>
  <c r="X2" i="6"/>
  <c r="Y2" i="6" s="1"/>
  <c r="Y3" i="6"/>
  <c r="Y4" i="6"/>
  <c r="Y5" i="6"/>
  <c r="Y6" i="6"/>
  <c r="Y7" i="6"/>
  <c r="Y8" i="6"/>
  <c r="Y9" i="6"/>
  <c r="Y10" i="6"/>
  <c r="Y11" i="6"/>
  <c r="Y12" i="6"/>
  <c r="Y13" i="6"/>
  <c r="Y14" i="6"/>
  <c r="Y15" i="6"/>
  <c r="Y16" i="6"/>
  <c r="Y17" i="6"/>
  <c r="Y18" i="6"/>
  <c r="Y19" i="6"/>
  <c r="Y20" i="6"/>
  <c r="Y21" i="6"/>
  <c r="Y22" i="6"/>
  <c r="Y23" i="6"/>
  <c r="Y24" i="6"/>
  <c r="Y25" i="6"/>
  <c r="Y26" i="6"/>
  <c r="Y27" i="6"/>
  <c r="Y28" i="6"/>
  <c r="Y29" i="6"/>
  <c r="Y30" i="6"/>
  <c r="Y31" i="6"/>
  <c r="Y32" i="6"/>
  <c r="Y33" i="6"/>
  <c r="Y34" i="6"/>
  <c r="Y35" i="6"/>
  <c r="Y36" i="6"/>
  <c r="Y37" i="6"/>
  <c r="Y38" i="6"/>
  <c r="Y39" i="6"/>
  <c r="Y40" i="6"/>
  <c r="Y41" i="6"/>
  <c r="Y42" i="6"/>
  <c r="Y43" i="6"/>
  <c r="Y44" i="6"/>
  <c r="Y45" i="6"/>
  <c r="Y46" i="6"/>
  <c r="Y47" i="6"/>
  <c r="Y48" i="6"/>
  <c r="Y49" i="6"/>
  <c r="Y50" i="6"/>
  <c r="Y51" i="6"/>
  <c r="Y52" i="6"/>
  <c r="Y53" i="6"/>
  <c r="Y54" i="6"/>
  <c r="Y55" i="6"/>
  <c r="Y56" i="6"/>
  <c r="Y57" i="6"/>
  <c r="Y58" i="6"/>
  <c r="Y59" i="6"/>
  <c r="Y60" i="6"/>
  <c r="Y61" i="6"/>
  <c r="Y62" i="6"/>
  <c r="Y63" i="6"/>
  <c r="Y64" i="6"/>
  <c r="Y65" i="6"/>
  <c r="Y66" i="6"/>
  <c r="Y67" i="6"/>
  <c r="Y68" i="6"/>
  <c r="Y69" i="6"/>
  <c r="Y70" i="6"/>
  <c r="Y71" i="6"/>
  <c r="Y72" i="6"/>
  <c r="Y73" i="6"/>
  <c r="Y74" i="6"/>
  <c r="Y75" i="6"/>
  <c r="Y76" i="6"/>
  <c r="Y77" i="6"/>
  <c r="Y78" i="6"/>
  <c r="Y79" i="6"/>
  <c r="Y80" i="6"/>
  <c r="Y81" i="6"/>
  <c r="Y82" i="6"/>
  <c r="Y83" i="6"/>
  <c r="Y84" i="6"/>
  <c r="Y85" i="6"/>
  <c r="Y86" i="6"/>
  <c r="Y87" i="6"/>
  <c r="Y88" i="6"/>
  <c r="Y89" i="6"/>
  <c r="Y90" i="6"/>
  <c r="Y91" i="6"/>
  <c r="Y92" i="6"/>
  <c r="Y93" i="6"/>
  <c r="Y94" i="6"/>
  <c r="Y95" i="6"/>
  <c r="Y96" i="6"/>
  <c r="Y97" i="6"/>
  <c r="Y98" i="6"/>
  <c r="Y99" i="6"/>
  <c r="Y100" i="6"/>
  <c r="Y101" i="6"/>
  <c r="Y102" i="6"/>
  <c r="Y103" i="6"/>
  <c r="Y104" i="6"/>
  <c r="Y105" i="6"/>
  <c r="Y106" i="6"/>
  <c r="Y107" i="6"/>
  <c r="Y108" i="6"/>
  <c r="Y109" i="6"/>
  <c r="Y110" i="6"/>
  <c r="Y111" i="6"/>
  <c r="Y112" i="6"/>
  <c r="Y113" i="6"/>
  <c r="Y114" i="6"/>
  <c r="Y115" i="6"/>
  <c r="Y116" i="6"/>
  <c r="Y117" i="6"/>
  <c r="Y118" i="6"/>
  <c r="Y119" i="6"/>
  <c r="Y120" i="6"/>
  <c r="Y121" i="6"/>
  <c r="Y122" i="6"/>
  <c r="Y123" i="6"/>
  <c r="Y124" i="6"/>
  <c r="Y125" i="6"/>
  <c r="Y126" i="6"/>
  <c r="Y127" i="6"/>
  <c r="Y128" i="6"/>
  <c r="Y129" i="6"/>
  <c r="Y130" i="6"/>
  <c r="Y131" i="6"/>
  <c r="Y132" i="6"/>
  <c r="Y133" i="6"/>
  <c r="Y134" i="6"/>
  <c r="Y135" i="6"/>
  <c r="Y136" i="6"/>
  <c r="Y137" i="6"/>
  <c r="Y138" i="6"/>
  <c r="Y139" i="6"/>
  <c r="Y140" i="6"/>
  <c r="Y141" i="6"/>
  <c r="Y142" i="6"/>
  <c r="Y143" i="6"/>
  <c r="Y144" i="6"/>
  <c r="Y145" i="6"/>
  <c r="Y146" i="6"/>
  <c r="Y147" i="6"/>
  <c r="Y148" i="6"/>
  <c r="Y149" i="6"/>
  <c r="Y150" i="6"/>
  <c r="Y151" i="6"/>
  <c r="Y152" i="6"/>
  <c r="Y153" i="6"/>
  <c r="Y154" i="6"/>
  <c r="Y155" i="6"/>
  <c r="Y156" i="6"/>
  <c r="Y157" i="6"/>
  <c r="Y158" i="6"/>
  <c r="Y159" i="6"/>
  <c r="Y160" i="6"/>
  <c r="Y161" i="6"/>
  <c r="Y162" i="6"/>
  <c r="Y163" i="6"/>
  <c r="Y164" i="6"/>
  <c r="Y165" i="6"/>
  <c r="Y166" i="6"/>
  <c r="X3" i="6"/>
  <c r="X4" i="6"/>
  <c r="X5" i="6"/>
  <c r="X6" i="6"/>
  <c r="X7" i="6"/>
  <c r="X8" i="6"/>
  <c r="X9" i="6"/>
  <c r="X10" i="6"/>
  <c r="X11" i="6"/>
  <c r="X12" i="6"/>
  <c r="X13" i="6"/>
  <c r="X14" i="6"/>
  <c r="X15" i="6"/>
  <c r="X16" i="6"/>
  <c r="X17" i="6"/>
  <c r="X18" i="6"/>
  <c r="X19" i="6"/>
  <c r="X20" i="6"/>
  <c r="X21" i="6"/>
  <c r="X22" i="6"/>
  <c r="X23" i="6"/>
  <c r="X24" i="6"/>
  <c r="X25" i="6"/>
  <c r="X26" i="6"/>
  <c r="X27" i="6"/>
  <c r="X28" i="6"/>
  <c r="X29" i="6"/>
  <c r="X30" i="6"/>
  <c r="X31" i="6"/>
  <c r="X32" i="6"/>
  <c r="X33" i="6"/>
  <c r="X34" i="6"/>
  <c r="X35" i="6"/>
  <c r="X36" i="6"/>
  <c r="X37" i="6"/>
  <c r="X38" i="6"/>
  <c r="X39" i="6"/>
  <c r="X40" i="6"/>
  <c r="X41" i="6"/>
  <c r="X42" i="6"/>
  <c r="X43" i="6"/>
  <c r="X44" i="6"/>
  <c r="X45" i="6"/>
  <c r="X46" i="6"/>
  <c r="X47" i="6"/>
  <c r="X48" i="6"/>
  <c r="X49" i="6"/>
  <c r="X50" i="6"/>
  <c r="X51" i="6"/>
  <c r="X52" i="6"/>
  <c r="X53" i="6"/>
  <c r="X54" i="6"/>
  <c r="X55" i="6"/>
  <c r="X56" i="6"/>
  <c r="X57" i="6"/>
  <c r="X58" i="6"/>
  <c r="X59" i="6"/>
  <c r="X60" i="6"/>
  <c r="X61" i="6"/>
  <c r="X62" i="6"/>
  <c r="X63" i="6"/>
  <c r="X64" i="6"/>
  <c r="X65" i="6"/>
  <c r="X66" i="6"/>
  <c r="X67" i="6"/>
  <c r="X68" i="6"/>
  <c r="X69" i="6"/>
  <c r="X70" i="6"/>
  <c r="X71" i="6"/>
  <c r="X72" i="6"/>
  <c r="X73" i="6"/>
  <c r="X74" i="6"/>
  <c r="X75" i="6"/>
  <c r="X76" i="6"/>
  <c r="X77" i="6"/>
  <c r="X78" i="6"/>
  <c r="X79" i="6"/>
  <c r="X80" i="6"/>
  <c r="X81" i="6"/>
  <c r="X82" i="6"/>
  <c r="X83" i="6"/>
  <c r="X84" i="6"/>
  <c r="X85" i="6"/>
  <c r="X86" i="6"/>
  <c r="X87" i="6"/>
  <c r="X88" i="6"/>
  <c r="X89" i="6"/>
  <c r="X90" i="6"/>
  <c r="X91" i="6"/>
  <c r="X92" i="6"/>
  <c r="X93" i="6"/>
  <c r="X94" i="6"/>
  <c r="X95" i="6"/>
  <c r="X96" i="6"/>
  <c r="X97" i="6"/>
  <c r="X98" i="6"/>
  <c r="X99" i="6"/>
  <c r="X100" i="6"/>
  <c r="X101" i="6"/>
  <c r="X102" i="6"/>
  <c r="X103" i="6"/>
  <c r="X104" i="6"/>
  <c r="X105" i="6"/>
  <c r="X106" i="6"/>
  <c r="X107" i="6"/>
  <c r="X108" i="6"/>
  <c r="X109" i="6"/>
  <c r="X110" i="6"/>
  <c r="X111" i="6"/>
  <c r="X112" i="6"/>
  <c r="X113" i="6"/>
  <c r="X114" i="6"/>
  <c r="X115" i="6"/>
  <c r="X116" i="6"/>
  <c r="X117" i="6"/>
  <c r="X118" i="6"/>
  <c r="X119" i="6"/>
  <c r="X120" i="6"/>
  <c r="X121" i="6"/>
  <c r="X122" i="6"/>
  <c r="X123" i="6"/>
  <c r="X124" i="6"/>
  <c r="X125" i="6"/>
  <c r="X126" i="6"/>
  <c r="X127" i="6"/>
  <c r="X128" i="6"/>
  <c r="X129" i="6"/>
  <c r="X130" i="6"/>
  <c r="X131" i="6"/>
  <c r="X132" i="6"/>
  <c r="X133" i="6"/>
  <c r="X134" i="6"/>
  <c r="X135" i="6"/>
  <c r="X136" i="6"/>
  <c r="X137" i="6"/>
  <c r="X138" i="6"/>
  <c r="X139" i="6"/>
  <c r="X140" i="6"/>
  <c r="X141" i="6"/>
  <c r="X142" i="6"/>
  <c r="X143" i="6"/>
  <c r="X144" i="6"/>
  <c r="X145" i="6"/>
  <c r="X146" i="6"/>
  <c r="X147" i="6"/>
  <c r="X148" i="6"/>
  <c r="X149" i="6"/>
  <c r="X150" i="6"/>
  <c r="X151" i="6"/>
  <c r="X152" i="6"/>
  <c r="X153" i="6"/>
  <c r="X154" i="6"/>
  <c r="X155" i="6"/>
  <c r="X156" i="6"/>
  <c r="X157" i="6"/>
  <c r="X158" i="6"/>
  <c r="X159" i="6"/>
  <c r="X160" i="6"/>
  <c r="X161" i="6"/>
  <c r="X162" i="6"/>
  <c r="X163" i="6"/>
  <c r="X164" i="6"/>
  <c r="X165" i="6"/>
  <c r="X166" i="6"/>
  <c r="X167" i="6"/>
  <c r="Y167" i="6" s="1"/>
  <c r="X168" i="6"/>
  <c r="Y168" i="6" s="1"/>
  <c r="X169" i="6"/>
  <c r="Y169" i="6" s="1"/>
  <c r="X170" i="6"/>
  <c r="Y170" i="6" s="1"/>
  <c r="X171" i="6"/>
  <c r="Y171" i="6" s="1"/>
  <c r="X172" i="6"/>
  <c r="Y172" i="6" s="1"/>
  <c r="X173" i="6"/>
  <c r="Y173" i="6" s="1"/>
  <c r="X174" i="6"/>
  <c r="Y174" i="6" s="1"/>
  <c r="X175" i="6"/>
  <c r="Y175" i="6" s="1"/>
  <c r="X176" i="6"/>
  <c r="Y176" i="6" s="1"/>
  <c r="X177" i="6"/>
  <c r="Y177" i="6" s="1"/>
  <c r="X178" i="6"/>
  <c r="Y178" i="6" s="1"/>
  <c r="X179" i="6"/>
  <c r="Y179" i="6" s="1"/>
  <c r="X180" i="6"/>
  <c r="Y180" i="6" s="1"/>
  <c r="X181" i="6"/>
  <c r="Y181" i="6" s="1"/>
  <c r="X182" i="6"/>
  <c r="Y182" i="6" s="1"/>
  <c r="X183" i="6"/>
  <c r="Y183" i="6" s="1"/>
  <c r="X184" i="6"/>
  <c r="Y184" i="6" s="1"/>
  <c r="X185" i="6"/>
  <c r="Y185" i="6" s="1"/>
  <c r="X186" i="6"/>
  <c r="Y186" i="6" s="1"/>
  <c r="X187" i="6"/>
  <c r="Y187" i="6" s="1"/>
  <c r="X188" i="6"/>
  <c r="Y188" i="6" s="1"/>
  <c r="X189" i="6"/>
  <c r="Y189" i="6" s="1"/>
  <c r="X190" i="6"/>
  <c r="Y190" i="6" s="1"/>
  <c r="X191" i="6"/>
  <c r="Y191" i="6" s="1"/>
  <c r="X192" i="6"/>
  <c r="Y192" i="6" s="1"/>
  <c r="X193" i="6"/>
  <c r="Y193" i="6" s="1"/>
  <c r="X194" i="6"/>
  <c r="Y194" i="6" s="1"/>
  <c r="X195" i="6"/>
  <c r="Y195" i="6" s="1"/>
  <c r="X196" i="6"/>
  <c r="Y196" i="6" s="1"/>
  <c r="X197" i="6"/>
  <c r="Y197" i="6" s="1"/>
  <c r="X198" i="6"/>
  <c r="Y198" i="6" s="1"/>
  <c r="X199" i="6"/>
  <c r="Y199" i="6" s="1"/>
  <c r="X200" i="6"/>
  <c r="Y200" i="6" s="1"/>
  <c r="X201" i="6"/>
  <c r="Y201" i="6" s="1"/>
  <c r="X202" i="6"/>
  <c r="Y202" i="6" s="1"/>
  <c r="X203" i="6"/>
  <c r="Y203" i="6" s="1"/>
  <c r="X204" i="6"/>
  <c r="Y204" i="6" s="1"/>
  <c r="X205" i="6"/>
  <c r="Y205" i="6" s="1"/>
  <c r="X206" i="6"/>
  <c r="Y206" i="6" s="1"/>
  <c r="X207" i="6"/>
  <c r="Y207" i="6" s="1"/>
  <c r="X208" i="6"/>
  <c r="Y208" i="6" s="1"/>
  <c r="X209" i="6"/>
  <c r="Y209" i="6" s="1"/>
  <c r="X210" i="6"/>
  <c r="Y210" i="6" s="1"/>
  <c r="X211" i="6"/>
  <c r="Y211" i="6" s="1"/>
  <c r="X212" i="6"/>
  <c r="Y212" i="6" s="1"/>
  <c r="X213" i="6"/>
  <c r="Y213" i="6" s="1"/>
  <c r="X214" i="6"/>
  <c r="Y214" i="6" s="1"/>
  <c r="X215" i="6"/>
  <c r="Y215" i="6" s="1"/>
  <c r="X216" i="6"/>
  <c r="Y216" i="6" s="1"/>
  <c r="X217" i="6"/>
  <c r="Y217" i="6" s="1"/>
  <c r="X218" i="6"/>
  <c r="Y218" i="6" s="1"/>
  <c r="X219" i="6"/>
  <c r="Y219" i="6" s="1"/>
  <c r="X220" i="6"/>
  <c r="Y220" i="6" s="1"/>
  <c r="X221" i="6"/>
  <c r="Y221" i="6" s="1"/>
  <c r="X222" i="6"/>
  <c r="Y222" i="6" s="1"/>
  <c r="X223" i="6"/>
  <c r="Y223" i="6" s="1"/>
  <c r="X224" i="6"/>
  <c r="Y224" i="6" s="1"/>
  <c r="X225" i="6"/>
  <c r="Y225" i="6" s="1"/>
  <c r="X226" i="6"/>
  <c r="Y226" i="6" s="1"/>
  <c r="X227" i="6"/>
  <c r="Y227" i="6" s="1"/>
  <c r="X228" i="6"/>
  <c r="Y228" i="6" s="1"/>
  <c r="X229" i="6"/>
  <c r="Y229" i="6" s="1"/>
  <c r="X230" i="6"/>
  <c r="Y230" i="6" s="1"/>
  <c r="X231" i="6"/>
  <c r="Y231" i="6" s="1"/>
  <c r="X232" i="6"/>
  <c r="Y232" i="6" s="1"/>
  <c r="X233" i="6"/>
  <c r="Y233" i="6" s="1"/>
  <c r="X234" i="6"/>
  <c r="Y234" i="6" s="1"/>
  <c r="X235" i="6"/>
  <c r="Y235" i="6" s="1"/>
  <c r="X236" i="6"/>
  <c r="Y236" i="6" s="1"/>
  <c r="X237" i="6"/>
  <c r="Y237" i="6" s="1"/>
  <c r="X238" i="6"/>
  <c r="Y238" i="6" s="1"/>
  <c r="X239" i="6"/>
  <c r="Y239" i="6" s="1"/>
  <c r="X240" i="6"/>
  <c r="Y240" i="6" s="1"/>
  <c r="X241" i="6"/>
  <c r="Y241" i="6" s="1"/>
  <c r="X242" i="6"/>
  <c r="Y242" i="6" s="1"/>
  <c r="X243" i="6"/>
  <c r="Y243" i="6" s="1"/>
  <c r="X244" i="6"/>
  <c r="Y244" i="6" s="1"/>
  <c r="X245" i="6"/>
  <c r="Y245" i="6" s="1"/>
  <c r="X246" i="6"/>
  <c r="Y246" i="6" s="1"/>
  <c r="X247" i="6"/>
  <c r="Y247" i="6" s="1"/>
  <c r="X248" i="6"/>
  <c r="Y248" i="6" s="1"/>
  <c r="X249" i="6"/>
  <c r="Y249" i="6" s="1"/>
  <c r="X250" i="6"/>
  <c r="Y250" i="6" s="1"/>
  <c r="X251" i="6"/>
  <c r="Y251" i="6" s="1"/>
  <c r="X252" i="6"/>
  <c r="Y252" i="6" s="1"/>
  <c r="X253" i="6"/>
  <c r="Y253" i="6" s="1"/>
  <c r="X254" i="6"/>
  <c r="Y254" i="6" s="1"/>
  <c r="X255" i="6"/>
  <c r="Y255" i="6" s="1"/>
  <c r="X256" i="6"/>
  <c r="Y256" i="6" s="1"/>
  <c r="X257" i="6"/>
  <c r="Y257" i="6" s="1"/>
  <c r="X258" i="6"/>
  <c r="Y258" i="6" s="1"/>
  <c r="X259" i="6"/>
  <c r="Y259" i="6" s="1"/>
  <c r="X260" i="6"/>
  <c r="Y260" i="6" s="1"/>
  <c r="X261" i="6"/>
  <c r="Y261" i="6" s="1"/>
  <c r="X262" i="6"/>
  <c r="Y262" i="6" s="1"/>
  <c r="X263" i="6"/>
  <c r="Y263" i="6" s="1"/>
  <c r="X264" i="6"/>
  <c r="Y264" i="6" s="1"/>
  <c r="X265" i="6"/>
  <c r="Y265" i="6" s="1"/>
  <c r="X266" i="6"/>
  <c r="Y266" i="6" s="1"/>
  <c r="X267" i="6"/>
  <c r="Y267" i="6" s="1"/>
  <c r="X268" i="6"/>
  <c r="Y268" i="6" s="1"/>
  <c r="X269" i="6"/>
  <c r="Y269" i="6" s="1"/>
  <c r="X270" i="6"/>
  <c r="Y270" i="6" s="1"/>
  <c r="X271" i="6"/>
  <c r="Y271" i="6" s="1"/>
  <c r="X272" i="6"/>
  <c r="Y272" i="6" s="1"/>
  <c r="X273" i="6"/>
  <c r="Y273" i="6" s="1"/>
  <c r="X274" i="6"/>
  <c r="Y274" i="6" s="1"/>
  <c r="X275" i="6"/>
  <c r="Y275" i="6" s="1"/>
  <c r="X276" i="6"/>
  <c r="Y276" i="6" s="1"/>
  <c r="X277" i="6"/>
  <c r="Y277" i="6" s="1"/>
  <c r="X278" i="6"/>
  <c r="Y278" i="6" s="1"/>
  <c r="X279" i="6"/>
  <c r="Y279" i="6" s="1"/>
  <c r="X280" i="6"/>
  <c r="Y280" i="6" s="1"/>
  <c r="X281" i="6"/>
  <c r="Y281" i="6" s="1"/>
  <c r="X282" i="6"/>
  <c r="Y282" i="6" s="1"/>
  <c r="X283" i="6"/>
  <c r="Y283" i="6" s="1"/>
  <c r="X284" i="6"/>
  <c r="Y284" i="6" s="1"/>
  <c r="X285" i="6"/>
  <c r="Y285" i="6" s="1"/>
  <c r="X286" i="6"/>
  <c r="Y286" i="6" s="1"/>
  <c r="X287" i="6"/>
  <c r="Y287" i="6" s="1"/>
  <c r="X288" i="6"/>
  <c r="Y288" i="6" s="1"/>
  <c r="X289" i="6"/>
  <c r="Y289" i="6" s="1"/>
  <c r="X290" i="6"/>
  <c r="Y290" i="6" s="1"/>
  <c r="X291" i="6"/>
  <c r="Y291" i="6" s="1"/>
  <c r="X292" i="6"/>
  <c r="Y292" i="6" s="1"/>
  <c r="X293" i="6"/>
  <c r="Y293" i="6" s="1"/>
  <c r="X294" i="6"/>
  <c r="Y294" i="6" s="1"/>
  <c r="X295" i="6"/>
  <c r="Y295" i="6" s="1"/>
  <c r="X296" i="6"/>
  <c r="Y296" i="6" s="1"/>
  <c r="X297" i="6"/>
  <c r="Y297" i="6" s="1"/>
  <c r="X298" i="6"/>
  <c r="Y298" i="6" s="1"/>
  <c r="X299" i="6"/>
  <c r="Y299" i="6" s="1"/>
  <c r="X300" i="6"/>
  <c r="Y300" i="6" s="1"/>
  <c r="X301" i="6"/>
  <c r="Y301" i="6" s="1"/>
  <c r="X302" i="6"/>
  <c r="Y302" i="6" s="1"/>
  <c r="X303" i="6"/>
  <c r="Y303" i="6" s="1"/>
  <c r="X304" i="6"/>
  <c r="Y304" i="6" s="1"/>
  <c r="X305" i="6"/>
  <c r="Y305" i="6" s="1"/>
  <c r="X306" i="6"/>
  <c r="Y306" i="6" s="1"/>
  <c r="X307" i="6"/>
  <c r="Y307" i="6" s="1"/>
  <c r="X308" i="6"/>
  <c r="Y308" i="6" s="1"/>
  <c r="X309" i="6"/>
  <c r="Y309" i="6" s="1"/>
  <c r="X310" i="6"/>
  <c r="Y310" i="6" s="1"/>
  <c r="X311" i="6"/>
  <c r="Y311" i="6" s="1"/>
  <c r="X312" i="6"/>
  <c r="Y312" i="6" s="1"/>
  <c r="X313" i="6"/>
  <c r="Y313" i="6" s="1"/>
  <c r="X314" i="6"/>
  <c r="Y314" i="6" s="1"/>
  <c r="X315" i="6"/>
  <c r="Y315" i="6" s="1"/>
  <c r="X316" i="6"/>
  <c r="Y316" i="6" s="1"/>
  <c r="X317" i="6"/>
  <c r="Y317" i="6" s="1"/>
  <c r="X318" i="6"/>
  <c r="Y318" i="6" s="1"/>
  <c r="X319" i="6"/>
  <c r="Y319" i="6" s="1"/>
  <c r="X320" i="6"/>
  <c r="Y320" i="6" s="1"/>
  <c r="X321" i="6"/>
  <c r="Y321" i="6" s="1"/>
  <c r="X322" i="6"/>
  <c r="Y322" i="6" s="1"/>
  <c r="X323" i="6"/>
  <c r="Y323" i="6" s="1"/>
  <c r="X324" i="6"/>
  <c r="Y324" i="6" s="1"/>
  <c r="X325" i="6"/>
  <c r="Y325" i="6" s="1"/>
  <c r="X326" i="6"/>
  <c r="Y326" i="6" s="1"/>
  <c r="X327" i="6"/>
  <c r="Y327" i="6" s="1"/>
  <c r="X328" i="6"/>
  <c r="Y328" i="6" s="1"/>
  <c r="X329" i="6"/>
  <c r="Y329" i="6" s="1"/>
  <c r="X330" i="6"/>
  <c r="Y330" i="6" s="1"/>
  <c r="X331" i="6"/>
  <c r="Y331" i="6" s="1"/>
  <c r="X332" i="6"/>
  <c r="Y332" i="6" s="1"/>
  <c r="X333" i="6"/>
  <c r="Y333" i="6" s="1"/>
  <c r="X334" i="6"/>
  <c r="Y334" i="6" s="1"/>
  <c r="X335" i="6"/>
  <c r="Y335" i="6" s="1"/>
  <c r="X336" i="6"/>
  <c r="Y336" i="6" s="1"/>
  <c r="X337" i="6"/>
  <c r="Y337" i="6" s="1"/>
  <c r="X338" i="6"/>
  <c r="Y338" i="6" s="1"/>
  <c r="X339" i="6"/>
  <c r="Y339" i="6" s="1"/>
  <c r="X340" i="6"/>
  <c r="Y340" i="6" s="1"/>
  <c r="X341" i="6"/>
  <c r="Y341" i="6" s="1"/>
  <c r="X342" i="6"/>
  <c r="Y342" i="6" s="1"/>
  <c r="X343" i="6"/>
  <c r="Y343" i="6" s="1"/>
  <c r="X344" i="6"/>
  <c r="Y344" i="6" s="1"/>
  <c r="X345" i="6"/>
  <c r="Y345" i="6" s="1"/>
  <c r="X346" i="6"/>
  <c r="Y346" i="6" s="1"/>
  <c r="X347" i="6"/>
  <c r="Y347" i="6" s="1"/>
  <c r="X348" i="6"/>
  <c r="Y348" i="6" s="1"/>
  <c r="X349" i="6"/>
  <c r="Y349" i="6" s="1"/>
  <c r="X350" i="6"/>
  <c r="Y350" i="6" s="1"/>
  <c r="X351" i="6"/>
  <c r="Y351" i="6" s="1"/>
  <c r="X352" i="6"/>
  <c r="Y352" i="6" s="1"/>
  <c r="X353" i="6"/>
  <c r="Y353" i="6" s="1"/>
  <c r="X354" i="6"/>
  <c r="Y354" i="6" s="1"/>
  <c r="X355" i="6"/>
  <c r="Y355" i="6" s="1"/>
  <c r="X356" i="6"/>
  <c r="Y356" i="6" s="1"/>
  <c r="X357" i="6"/>
  <c r="Y357" i="6" s="1"/>
  <c r="X358" i="6"/>
  <c r="Y358" i="6" s="1"/>
  <c r="X359" i="6"/>
  <c r="Y359" i="6" s="1"/>
  <c r="X360" i="6"/>
  <c r="Y360" i="6" s="1"/>
  <c r="X361" i="6"/>
  <c r="Y361" i="6" s="1"/>
  <c r="X362" i="6"/>
  <c r="Y362" i="6" s="1"/>
  <c r="X363" i="6"/>
  <c r="Y363" i="6" s="1"/>
  <c r="X364" i="6"/>
  <c r="Y364" i="6" s="1"/>
  <c r="X365" i="6"/>
  <c r="Y365" i="6" s="1"/>
  <c r="X366" i="6"/>
  <c r="Y366" i="6" s="1"/>
  <c r="X367" i="6"/>
  <c r="Y367" i="6" s="1"/>
  <c r="X368" i="6"/>
  <c r="Y368" i="6" s="1"/>
  <c r="X369" i="6"/>
  <c r="Y369" i="6" s="1"/>
  <c r="X370" i="6"/>
  <c r="Y370" i="6" s="1"/>
  <c r="X371" i="6"/>
  <c r="Y371" i="6" s="1"/>
  <c r="X372" i="6"/>
  <c r="Y372" i="6" s="1"/>
  <c r="X373" i="6"/>
  <c r="Y373" i="6" s="1"/>
  <c r="X374" i="6"/>
  <c r="Y374" i="6" s="1"/>
  <c r="X375" i="6"/>
  <c r="Y375" i="6" s="1"/>
  <c r="X376" i="6"/>
  <c r="Y376" i="6" s="1"/>
  <c r="X377" i="6"/>
  <c r="Y377" i="6" s="1"/>
  <c r="X378" i="6"/>
  <c r="Y378" i="6" s="1"/>
  <c r="X379" i="6"/>
  <c r="Y379" i="6" s="1"/>
  <c r="X380" i="6"/>
  <c r="Y380" i="6" s="1"/>
  <c r="X381" i="6"/>
  <c r="Y381" i="6" s="1"/>
  <c r="X382" i="6"/>
  <c r="Y382" i="6" s="1"/>
  <c r="X383" i="6"/>
  <c r="Y383" i="6" s="1"/>
  <c r="X384" i="6"/>
  <c r="Y384" i="6" s="1"/>
  <c r="X385" i="6"/>
  <c r="Y385" i="6" s="1"/>
  <c r="X386" i="6"/>
  <c r="Y386" i="6" s="1"/>
  <c r="X387" i="6"/>
  <c r="Y387" i="6" s="1"/>
  <c r="X388" i="6"/>
  <c r="Y388" i="6" s="1"/>
  <c r="X389" i="6"/>
  <c r="Y389" i="6" s="1"/>
  <c r="X390" i="6"/>
  <c r="Y390" i="6" s="1"/>
  <c r="X391" i="6"/>
  <c r="Y391" i="6" s="1"/>
  <c r="X392" i="6"/>
  <c r="Y392" i="6" s="1"/>
  <c r="X393" i="6"/>
  <c r="Y393" i="6" s="1"/>
  <c r="X394" i="6"/>
  <c r="Y394" i="6" s="1"/>
  <c r="X395" i="6"/>
  <c r="Y395" i="6" s="1"/>
  <c r="X396" i="6"/>
  <c r="Y396" i="6" s="1"/>
  <c r="X397" i="6"/>
  <c r="Y397" i="6" s="1"/>
  <c r="X398" i="6"/>
  <c r="Y398" i="6" s="1"/>
  <c r="X399" i="6"/>
  <c r="Y399" i="6" s="1"/>
  <c r="X400" i="6"/>
  <c r="Y400" i="6" s="1"/>
  <c r="X401" i="6"/>
  <c r="Y401" i="6" s="1"/>
  <c r="X402" i="6"/>
  <c r="Y402" i="6" s="1"/>
  <c r="X403" i="6"/>
  <c r="Y403" i="6" s="1"/>
  <c r="X404" i="6"/>
  <c r="Y404" i="6" s="1"/>
  <c r="X405" i="6"/>
  <c r="Y405" i="6" s="1"/>
  <c r="X406" i="6"/>
  <c r="Y406" i="6" s="1"/>
  <c r="X407" i="6"/>
  <c r="Y407" i="6" s="1"/>
  <c r="X408" i="6"/>
  <c r="Y408" i="6" s="1"/>
  <c r="X409" i="6"/>
  <c r="Y409" i="6" s="1"/>
  <c r="X410" i="6"/>
  <c r="Y410" i="6" s="1"/>
  <c r="X411" i="6"/>
  <c r="Y411" i="6" s="1"/>
  <c r="X412" i="6"/>
  <c r="Y412" i="6" s="1"/>
  <c r="X413" i="6"/>
  <c r="Y413" i="6" s="1"/>
  <c r="X414" i="6"/>
  <c r="Y414" i="6" s="1"/>
  <c r="X415" i="6"/>
  <c r="Y415" i="6" s="1"/>
  <c r="X416" i="6"/>
  <c r="Y416" i="6" s="1"/>
  <c r="X417" i="6"/>
  <c r="Y417" i="6" s="1"/>
  <c r="X418" i="6"/>
  <c r="Y418" i="6" s="1"/>
  <c r="X419" i="6"/>
  <c r="Y419" i="6" s="1"/>
  <c r="X420" i="6"/>
  <c r="Y420" i="6" s="1"/>
  <c r="X421" i="6"/>
  <c r="Y421" i="6" s="1"/>
  <c r="X422" i="6"/>
  <c r="Y422" i="6" s="1"/>
  <c r="X423" i="6"/>
  <c r="Y423" i="6" s="1"/>
  <c r="X424" i="6"/>
  <c r="Y424" i="6" s="1"/>
  <c r="X425" i="6"/>
  <c r="Y425" i="6" s="1"/>
  <c r="X426" i="6"/>
  <c r="Y426" i="6" s="1"/>
  <c r="X427" i="6"/>
  <c r="Y427" i="6" s="1"/>
  <c r="X428" i="6"/>
  <c r="Y428" i="6" s="1"/>
  <c r="X429" i="6"/>
  <c r="Y429" i="6" s="1"/>
  <c r="X430" i="6"/>
  <c r="Y430" i="6" s="1"/>
  <c r="X431" i="6"/>
  <c r="Y431" i="6" s="1"/>
  <c r="X432" i="6"/>
  <c r="Y432" i="6" s="1"/>
  <c r="X433" i="6"/>
  <c r="Y433" i="6" s="1"/>
  <c r="X434" i="6"/>
  <c r="Y434" i="6" s="1"/>
  <c r="X435" i="6"/>
  <c r="Y435" i="6" s="1"/>
  <c r="X436" i="6"/>
  <c r="Y436" i="6" s="1"/>
  <c r="X437" i="6"/>
  <c r="Y437" i="6" s="1"/>
  <c r="X438" i="6"/>
  <c r="Y438" i="6" s="1"/>
  <c r="X439" i="6"/>
  <c r="Y439" i="6" s="1"/>
  <c r="X440" i="6"/>
  <c r="Y440" i="6" s="1"/>
  <c r="X441" i="6"/>
  <c r="Y441" i="6" s="1"/>
  <c r="X442" i="6"/>
  <c r="Y442" i="6" s="1"/>
  <c r="X443" i="6"/>
  <c r="Y443" i="6" s="1"/>
  <c r="X444" i="6"/>
  <c r="Y444" i="6" s="1"/>
  <c r="X445" i="6"/>
  <c r="Y445" i="6" s="1"/>
  <c r="X446" i="6"/>
  <c r="Y446" i="6" s="1"/>
  <c r="X447" i="6"/>
  <c r="Y447" i="6" s="1"/>
  <c r="X448" i="6"/>
  <c r="Y448" i="6" s="1"/>
  <c r="X449" i="6"/>
  <c r="Y449" i="6" s="1"/>
  <c r="X450" i="6"/>
  <c r="Y450" i="6" s="1"/>
  <c r="X451" i="6"/>
  <c r="Y451" i="6" s="1"/>
  <c r="X452" i="6"/>
  <c r="Y452" i="6" s="1"/>
  <c r="X453" i="6"/>
  <c r="Y453" i="6" s="1"/>
  <c r="X454" i="6"/>
  <c r="Y454" i="6" s="1"/>
  <c r="X455" i="6"/>
  <c r="Y455" i="6" s="1"/>
  <c r="X456" i="6"/>
  <c r="Y456" i="6" s="1"/>
  <c r="X457" i="6"/>
  <c r="Y457" i="6" s="1"/>
  <c r="X458" i="6"/>
  <c r="Y458" i="6" s="1"/>
  <c r="X459" i="6"/>
  <c r="Y459" i="6" s="1"/>
  <c r="X460" i="6"/>
  <c r="Y460" i="6" s="1"/>
  <c r="X461" i="6"/>
  <c r="Y461" i="6" s="1"/>
  <c r="X462" i="6"/>
  <c r="Y462" i="6" s="1"/>
  <c r="X463" i="6"/>
  <c r="Y463" i="6" s="1"/>
  <c r="X464" i="6"/>
  <c r="Y464" i="6" s="1"/>
  <c r="X465" i="6"/>
  <c r="Y465" i="6" s="1"/>
  <c r="X466" i="6"/>
  <c r="Y466" i="6" s="1"/>
  <c r="X467" i="6"/>
  <c r="Y467" i="6" s="1"/>
  <c r="X468" i="6"/>
  <c r="Y468" i="6" s="1"/>
  <c r="X469" i="6"/>
  <c r="Y469" i="6" s="1"/>
  <c r="X470" i="6"/>
  <c r="Y470" i="6" s="1"/>
  <c r="X471" i="6"/>
  <c r="Y471" i="6" s="1"/>
  <c r="X472" i="6"/>
  <c r="Y472" i="6" s="1"/>
  <c r="X473" i="6"/>
  <c r="Y473" i="6" s="1"/>
  <c r="X474" i="6"/>
  <c r="Y474" i="6" s="1"/>
  <c r="X475" i="6"/>
  <c r="Y475" i="6" s="1"/>
  <c r="X476" i="6"/>
  <c r="Y476" i="6" s="1"/>
  <c r="X477" i="6"/>
  <c r="Y477" i="6" s="1"/>
  <c r="X478" i="6"/>
  <c r="Y478" i="6" s="1"/>
  <c r="X479" i="6"/>
  <c r="Y479" i="6" s="1"/>
  <c r="X480" i="6"/>
  <c r="Y480" i="6" s="1"/>
  <c r="X481" i="6"/>
  <c r="Y481" i="6" s="1"/>
  <c r="X482" i="6"/>
  <c r="Y482" i="6" s="1"/>
  <c r="X483" i="6"/>
  <c r="Y483" i="6" s="1"/>
  <c r="X484" i="6"/>
  <c r="Y484" i="6" s="1"/>
  <c r="X485" i="6"/>
  <c r="Y485" i="6" s="1"/>
  <c r="X486" i="6"/>
  <c r="Y486" i="6" s="1"/>
  <c r="X487" i="6"/>
  <c r="Y487" i="6" s="1"/>
  <c r="X488" i="6"/>
  <c r="Y488" i="6" s="1"/>
  <c r="X489" i="6"/>
  <c r="Y489" i="6" s="1"/>
  <c r="X490" i="6"/>
  <c r="Y490" i="6" s="1"/>
  <c r="X491" i="6"/>
  <c r="Y491" i="6" s="1"/>
  <c r="X492" i="6"/>
  <c r="Y492" i="6" s="1"/>
  <c r="X493" i="6"/>
  <c r="Y493" i="6" s="1"/>
  <c r="X494" i="6"/>
  <c r="Y494" i="6" s="1"/>
  <c r="X495" i="6"/>
  <c r="Y495" i="6" s="1"/>
  <c r="X496" i="6"/>
  <c r="Y496" i="6" s="1"/>
  <c r="X497" i="6"/>
  <c r="Y497" i="6" s="1"/>
  <c r="X498" i="6"/>
  <c r="Y498" i="6" s="1"/>
  <c r="X499" i="6"/>
  <c r="Y499" i="6" s="1"/>
  <c r="X500" i="6"/>
  <c r="Y500" i="6" s="1"/>
  <c r="X501" i="6"/>
  <c r="Y501" i="6" s="1"/>
  <c r="W501" i="6"/>
  <c r="W500" i="6"/>
  <c r="W499" i="6"/>
  <c r="W498" i="6"/>
  <c r="W497" i="6"/>
  <c r="W496" i="6"/>
  <c r="W495" i="6"/>
  <c r="W494" i="6"/>
  <c r="W493" i="6"/>
  <c r="W492" i="6"/>
  <c r="W491" i="6"/>
  <c r="W490" i="6"/>
  <c r="W489" i="6"/>
  <c r="W488" i="6"/>
  <c r="W487" i="6"/>
  <c r="W486" i="6"/>
  <c r="W485" i="6"/>
  <c r="W484" i="6"/>
  <c r="W483" i="6"/>
  <c r="W482" i="6"/>
  <c r="W481" i="6"/>
  <c r="W480" i="6"/>
  <c r="W479" i="6"/>
  <c r="W478" i="6"/>
  <c r="W477" i="6"/>
  <c r="W476" i="6"/>
  <c r="W475" i="6"/>
  <c r="W474" i="6"/>
  <c r="W473" i="6"/>
  <c r="W472" i="6"/>
  <c r="W471" i="6"/>
  <c r="W470" i="6"/>
  <c r="W469" i="6"/>
  <c r="W468" i="6"/>
  <c r="W467" i="6"/>
  <c r="W466" i="6"/>
  <c r="W465" i="6"/>
  <c r="W464" i="6"/>
  <c r="W463" i="6"/>
  <c r="W462" i="6"/>
  <c r="W461" i="6"/>
  <c r="W460" i="6"/>
  <c r="W459" i="6"/>
  <c r="W458" i="6"/>
  <c r="W457" i="6"/>
  <c r="W456" i="6"/>
  <c r="W455" i="6"/>
  <c r="W454" i="6"/>
  <c r="W453" i="6"/>
  <c r="W452" i="6"/>
  <c r="W451" i="6"/>
  <c r="W450" i="6"/>
  <c r="W449" i="6"/>
  <c r="W448" i="6"/>
  <c r="W447" i="6"/>
  <c r="W446" i="6"/>
  <c r="W445" i="6"/>
  <c r="W444" i="6"/>
  <c r="W443" i="6"/>
  <c r="W442" i="6"/>
  <c r="W441" i="6"/>
  <c r="W440" i="6"/>
  <c r="W439" i="6"/>
  <c r="W438" i="6"/>
  <c r="W437" i="6"/>
  <c r="W436" i="6"/>
  <c r="W435" i="6"/>
  <c r="W434" i="6"/>
  <c r="W433" i="6"/>
  <c r="W432" i="6"/>
  <c r="W431" i="6"/>
  <c r="W430" i="6"/>
  <c r="W429" i="6"/>
  <c r="W428" i="6"/>
  <c r="W427" i="6"/>
  <c r="W426" i="6"/>
  <c r="W425" i="6"/>
  <c r="W424" i="6"/>
  <c r="W423" i="6"/>
  <c r="W422" i="6"/>
  <c r="W421" i="6"/>
  <c r="W420" i="6"/>
  <c r="W419" i="6"/>
  <c r="W418" i="6"/>
  <c r="W417" i="6"/>
  <c r="W416" i="6"/>
  <c r="W415" i="6"/>
  <c r="W414" i="6"/>
  <c r="W413" i="6"/>
  <c r="W412" i="6"/>
  <c r="W411" i="6"/>
  <c r="W410" i="6"/>
  <c r="W409" i="6"/>
  <c r="W408" i="6"/>
  <c r="W407" i="6"/>
  <c r="W406" i="6"/>
  <c r="W405" i="6"/>
  <c r="W404" i="6"/>
  <c r="W403" i="6"/>
  <c r="W402" i="6"/>
  <c r="W401" i="6"/>
  <c r="W400" i="6"/>
  <c r="W399" i="6"/>
  <c r="W398" i="6"/>
  <c r="W397" i="6"/>
  <c r="W396" i="6"/>
  <c r="W395" i="6"/>
  <c r="W394" i="6"/>
  <c r="W393" i="6"/>
  <c r="W392" i="6"/>
  <c r="W391" i="6"/>
  <c r="W390" i="6"/>
  <c r="W389" i="6"/>
  <c r="W388" i="6"/>
  <c r="W387" i="6"/>
  <c r="W386" i="6"/>
  <c r="W385" i="6"/>
  <c r="W384" i="6"/>
  <c r="W383" i="6"/>
  <c r="W382" i="6"/>
  <c r="W381" i="6"/>
  <c r="W380" i="6"/>
  <c r="W379" i="6"/>
  <c r="W378" i="6"/>
  <c r="W377" i="6"/>
  <c r="W376" i="6"/>
  <c r="W375" i="6"/>
  <c r="W374" i="6"/>
  <c r="W373" i="6"/>
  <c r="W372" i="6"/>
  <c r="W371" i="6"/>
  <c r="W370" i="6"/>
  <c r="W369" i="6"/>
  <c r="W368" i="6"/>
  <c r="W367" i="6"/>
  <c r="W366" i="6"/>
  <c r="W365" i="6"/>
  <c r="W364" i="6"/>
  <c r="W363" i="6"/>
  <c r="W362" i="6"/>
  <c r="W361" i="6"/>
  <c r="W360" i="6"/>
  <c r="W359" i="6"/>
  <c r="W358" i="6"/>
  <c r="W357" i="6"/>
  <c r="W356" i="6"/>
  <c r="W355" i="6"/>
  <c r="W354" i="6"/>
  <c r="W353" i="6"/>
  <c r="W352" i="6"/>
  <c r="W351" i="6"/>
  <c r="W350" i="6"/>
  <c r="W349" i="6"/>
  <c r="W348" i="6"/>
  <c r="W347" i="6"/>
  <c r="W346" i="6"/>
  <c r="W345" i="6"/>
  <c r="W344" i="6"/>
  <c r="W343" i="6"/>
  <c r="W342" i="6"/>
  <c r="W341" i="6"/>
  <c r="W340" i="6"/>
  <c r="W339" i="6"/>
  <c r="W338" i="6"/>
  <c r="W337" i="6"/>
  <c r="W336" i="6"/>
  <c r="W335" i="6"/>
  <c r="W334" i="6"/>
  <c r="W333" i="6"/>
  <c r="W332" i="6"/>
  <c r="W331" i="6"/>
  <c r="W330" i="6"/>
  <c r="W329" i="6"/>
  <c r="W328" i="6"/>
  <c r="W327" i="6"/>
  <c r="W326" i="6"/>
  <c r="W325" i="6"/>
  <c r="W324" i="6"/>
  <c r="W323" i="6"/>
  <c r="W322" i="6"/>
  <c r="W321" i="6"/>
  <c r="W320" i="6"/>
  <c r="W319" i="6"/>
  <c r="W318" i="6"/>
  <c r="W317" i="6"/>
  <c r="W316" i="6"/>
  <c r="W315" i="6"/>
  <c r="W314" i="6"/>
  <c r="W313" i="6"/>
  <c r="W312" i="6"/>
  <c r="W311" i="6"/>
  <c r="W310" i="6"/>
  <c r="W309" i="6"/>
  <c r="W308" i="6"/>
  <c r="W307" i="6"/>
  <c r="W306" i="6"/>
  <c r="W305" i="6"/>
  <c r="W304" i="6"/>
  <c r="W303" i="6"/>
  <c r="W302" i="6"/>
  <c r="W301" i="6"/>
  <c r="W300" i="6"/>
  <c r="W299" i="6"/>
  <c r="W298" i="6"/>
  <c r="W297" i="6"/>
  <c r="W296" i="6"/>
  <c r="W295" i="6"/>
  <c r="W294" i="6"/>
  <c r="W293" i="6"/>
  <c r="W292" i="6"/>
  <c r="W291" i="6"/>
  <c r="W290" i="6"/>
  <c r="W289" i="6"/>
  <c r="W288" i="6"/>
  <c r="W287" i="6"/>
  <c r="W286" i="6"/>
  <c r="W285" i="6"/>
  <c r="W284" i="6"/>
  <c r="W283" i="6"/>
  <c r="W282" i="6"/>
  <c r="W281" i="6"/>
  <c r="W280" i="6"/>
  <c r="W279" i="6"/>
  <c r="W278" i="6"/>
  <c r="W277" i="6"/>
  <c r="W276" i="6"/>
  <c r="W275" i="6"/>
  <c r="W274" i="6"/>
  <c r="W273" i="6"/>
  <c r="W272" i="6"/>
  <c r="W271" i="6"/>
  <c r="W270" i="6"/>
  <c r="W269" i="6"/>
  <c r="W268" i="6"/>
  <c r="W267" i="6"/>
  <c r="W266" i="6"/>
  <c r="W265" i="6"/>
  <c r="W264" i="6"/>
  <c r="W263" i="6"/>
  <c r="W262" i="6"/>
  <c r="W261" i="6"/>
  <c r="W260" i="6"/>
  <c r="W259" i="6"/>
  <c r="W258" i="6"/>
  <c r="W257" i="6"/>
  <c r="W256" i="6"/>
  <c r="W255" i="6"/>
  <c r="W254" i="6"/>
  <c r="W253" i="6"/>
  <c r="W252" i="6"/>
  <c r="W251" i="6"/>
  <c r="W250" i="6"/>
  <c r="W249" i="6"/>
  <c r="W248" i="6"/>
  <c r="W247" i="6"/>
  <c r="W246" i="6"/>
  <c r="W245" i="6"/>
  <c r="W244" i="6"/>
  <c r="W243" i="6"/>
  <c r="W242" i="6"/>
  <c r="W241" i="6"/>
  <c r="W240" i="6"/>
  <c r="W239" i="6"/>
  <c r="W238" i="6"/>
  <c r="W237" i="6"/>
  <c r="W236" i="6"/>
  <c r="W235" i="6"/>
  <c r="W234" i="6"/>
  <c r="W233" i="6"/>
  <c r="W232" i="6"/>
  <c r="W231" i="6"/>
  <c r="W230" i="6"/>
  <c r="W229" i="6"/>
  <c r="W228" i="6"/>
  <c r="W227" i="6"/>
  <c r="W226" i="6"/>
  <c r="W225" i="6"/>
  <c r="W224" i="6"/>
  <c r="W223" i="6"/>
  <c r="W222" i="6"/>
  <c r="W221" i="6"/>
  <c r="W220" i="6"/>
  <c r="W219" i="6"/>
  <c r="W218" i="6"/>
  <c r="W217" i="6"/>
  <c r="W216" i="6"/>
  <c r="W215" i="6"/>
  <c r="W214" i="6"/>
  <c r="W213" i="6"/>
  <c r="W212" i="6"/>
  <c r="W211" i="6"/>
  <c r="W210" i="6"/>
  <c r="W209" i="6"/>
  <c r="W208" i="6"/>
  <c r="W207" i="6"/>
  <c r="W206" i="6"/>
  <c r="W205" i="6"/>
  <c r="W204" i="6"/>
  <c r="W203" i="6"/>
  <c r="W202" i="6"/>
  <c r="W201" i="6"/>
  <c r="W200" i="6"/>
  <c r="W199" i="6"/>
  <c r="W198" i="6"/>
  <c r="W197" i="6"/>
  <c r="W196" i="6"/>
  <c r="W195" i="6"/>
  <c r="W194" i="6"/>
  <c r="W193" i="6"/>
  <c r="W192" i="6"/>
  <c r="W191" i="6"/>
  <c r="W190" i="6"/>
  <c r="W189" i="6"/>
  <c r="W188" i="6"/>
  <c r="W187" i="6"/>
  <c r="W186" i="6"/>
  <c r="W185" i="6"/>
  <c r="W184" i="6"/>
  <c r="W183" i="6"/>
  <c r="W182" i="6"/>
  <c r="W181" i="6"/>
  <c r="W180" i="6"/>
  <c r="W179" i="6"/>
  <c r="W178" i="6"/>
  <c r="W177" i="6"/>
  <c r="W176" i="6"/>
  <c r="W175" i="6"/>
  <c r="W174" i="6"/>
  <c r="W173" i="6"/>
  <c r="W172" i="6"/>
  <c r="W171" i="6"/>
  <c r="W170" i="6"/>
  <c r="W169" i="6"/>
  <c r="W168" i="6"/>
  <c r="W167" i="6"/>
  <c r="W166" i="6"/>
  <c r="W165" i="6"/>
  <c r="W164" i="6"/>
  <c r="W163" i="6"/>
  <c r="W162" i="6"/>
  <c r="W161" i="6"/>
  <c r="W160" i="6"/>
  <c r="W159" i="6"/>
  <c r="W158" i="6"/>
  <c r="W157" i="6"/>
  <c r="W156" i="6"/>
  <c r="W155" i="6"/>
  <c r="W154" i="6"/>
  <c r="W153" i="6"/>
  <c r="W152" i="6"/>
  <c r="W151" i="6"/>
  <c r="W150" i="6"/>
  <c r="W149" i="6"/>
  <c r="W148" i="6"/>
  <c r="W147" i="6"/>
  <c r="W146" i="6"/>
  <c r="W145" i="6"/>
  <c r="W144" i="6"/>
  <c r="W143" i="6"/>
  <c r="W142" i="6"/>
  <c r="W141" i="6"/>
  <c r="W140" i="6"/>
  <c r="W139" i="6"/>
  <c r="W138" i="6"/>
  <c r="W137" i="6"/>
  <c r="W136" i="6"/>
  <c r="W135" i="6"/>
  <c r="W134" i="6"/>
  <c r="W133" i="6"/>
  <c r="W132" i="6"/>
  <c r="W131" i="6"/>
  <c r="W130" i="6"/>
  <c r="W129" i="6"/>
  <c r="W128" i="6"/>
  <c r="W127" i="6"/>
  <c r="W126" i="6"/>
  <c r="W125" i="6"/>
  <c r="W124" i="6"/>
  <c r="W123" i="6"/>
  <c r="W122" i="6"/>
  <c r="W121" i="6"/>
  <c r="W120" i="6"/>
  <c r="W119" i="6"/>
  <c r="W118" i="6"/>
  <c r="W117" i="6"/>
  <c r="W116" i="6"/>
  <c r="W115" i="6"/>
  <c r="W114" i="6"/>
  <c r="W113" i="6"/>
  <c r="W112" i="6"/>
  <c r="W111" i="6"/>
  <c r="W110" i="6"/>
  <c r="W109" i="6"/>
  <c r="W108" i="6"/>
  <c r="W107" i="6"/>
  <c r="W106" i="6"/>
  <c r="W105" i="6"/>
  <c r="W104" i="6"/>
  <c r="W103" i="6"/>
  <c r="W102" i="6"/>
  <c r="W101" i="6"/>
  <c r="W100" i="6"/>
  <c r="W99" i="6"/>
  <c r="W98" i="6"/>
  <c r="W97" i="6"/>
  <c r="W96" i="6"/>
  <c r="W95" i="6"/>
  <c r="W94" i="6"/>
  <c r="W93" i="6"/>
  <c r="W92" i="6"/>
  <c r="W91" i="6"/>
  <c r="W90" i="6"/>
  <c r="W89" i="6"/>
  <c r="W88" i="6"/>
  <c r="W87" i="6"/>
  <c r="W86" i="6"/>
  <c r="W85" i="6"/>
  <c r="W84" i="6"/>
  <c r="W83" i="6"/>
  <c r="W82" i="6"/>
  <c r="W81" i="6"/>
  <c r="W80" i="6"/>
  <c r="W79" i="6"/>
  <c r="W78" i="6"/>
  <c r="W77" i="6"/>
  <c r="W76" i="6"/>
  <c r="W75" i="6"/>
  <c r="W74" i="6"/>
  <c r="W73" i="6"/>
  <c r="W72" i="6"/>
  <c r="W71" i="6"/>
  <c r="W70" i="6"/>
  <c r="W69" i="6"/>
  <c r="W68" i="6"/>
  <c r="W67" i="6"/>
  <c r="W66" i="6"/>
  <c r="W65" i="6"/>
  <c r="W64" i="6"/>
  <c r="W63" i="6"/>
  <c r="W62" i="6"/>
  <c r="W61" i="6"/>
  <c r="W60" i="6"/>
  <c r="W59" i="6"/>
  <c r="W58" i="6"/>
  <c r="W57" i="6"/>
  <c r="W56" i="6"/>
  <c r="W55" i="6"/>
  <c r="W54" i="6"/>
  <c r="W53" i="6"/>
  <c r="W52" i="6"/>
  <c r="W51" i="6"/>
  <c r="W50" i="6"/>
  <c r="W49" i="6"/>
  <c r="W48" i="6"/>
  <c r="W47" i="6"/>
  <c r="W46" i="6"/>
  <c r="W45" i="6"/>
  <c r="W44" i="6"/>
  <c r="W43" i="6"/>
  <c r="W42" i="6"/>
  <c r="W41" i="6"/>
  <c r="W40" i="6"/>
  <c r="W39" i="6"/>
  <c r="W38" i="6"/>
  <c r="W37" i="6"/>
  <c r="W36" i="6"/>
  <c r="W35" i="6"/>
  <c r="W34" i="6"/>
  <c r="W33" i="6"/>
  <c r="W32" i="6"/>
  <c r="W31" i="6"/>
  <c r="W30" i="6"/>
  <c r="W29" i="6"/>
  <c r="W28" i="6"/>
  <c r="W27" i="6"/>
  <c r="W26" i="6"/>
  <c r="W25" i="6"/>
  <c r="W24" i="6"/>
  <c r="W23" i="6"/>
  <c r="W22" i="6"/>
  <c r="W21" i="6"/>
  <c r="W20" i="6"/>
  <c r="W19" i="6"/>
  <c r="W18" i="6"/>
  <c r="W17" i="6"/>
  <c r="W16" i="6"/>
  <c r="W15" i="6"/>
  <c r="W14" i="6"/>
  <c r="W13" i="6"/>
  <c r="W12" i="6"/>
  <c r="W11" i="6"/>
  <c r="W10" i="6"/>
  <c r="W9" i="6"/>
  <c r="W8" i="6"/>
  <c r="W7" i="6"/>
  <c r="W6" i="6"/>
  <c r="W5" i="6"/>
  <c r="W4" i="6"/>
  <c r="W3" i="6"/>
  <c r="W2" i="6"/>
  <c r="W3" i="5"/>
  <c r="W4" i="5"/>
  <c r="W5" i="5"/>
  <c r="W6" i="5"/>
  <c r="W7" i="5"/>
  <c r="W8" i="5"/>
  <c r="W9" i="5"/>
  <c r="W10" i="5"/>
  <c r="W11" i="5"/>
  <c r="W12" i="5"/>
  <c r="W13" i="5"/>
  <c r="W14" i="5"/>
  <c r="W15" i="5"/>
  <c r="W16" i="5"/>
  <c r="W17" i="5"/>
  <c r="W18" i="5"/>
  <c r="W19" i="5"/>
  <c r="W20" i="5"/>
  <c r="W21" i="5"/>
  <c r="W22" i="5"/>
  <c r="W23" i="5"/>
  <c r="W24" i="5"/>
  <c r="W25" i="5"/>
  <c r="W26" i="5"/>
  <c r="W27" i="5"/>
  <c r="W28" i="5"/>
  <c r="W29" i="5"/>
  <c r="W30" i="5"/>
  <c r="W31" i="5"/>
  <c r="W32" i="5"/>
  <c r="W33" i="5"/>
  <c r="W34" i="5"/>
  <c r="W35" i="5"/>
  <c r="W36" i="5"/>
  <c r="W37" i="5"/>
  <c r="W38" i="5"/>
  <c r="W39" i="5"/>
  <c r="W40" i="5"/>
  <c r="W41" i="5"/>
  <c r="W42" i="5"/>
  <c r="W43" i="5"/>
  <c r="W44" i="5"/>
  <c r="W45" i="5"/>
  <c r="W46" i="5"/>
  <c r="W47" i="5"/>
  <c r="W48" i="5"/>
  <c r="W49" i="5"/>
  <c r="W50" i="5"/>
  <c r="W51" i="5"/>
  <c r="W52" i="5"/>
  <c r="W53" i="5"/>
  <c r="W54" i="5"/>
  <c r="W55" i="5"/>
  <c r="W56" i="5"/>
  <c r="W57" i="5"/>
  <c r="W58" i="5"/>
  <c r="W59" i="5"/>
  <c r="W60" i="5"/>
  <c r="W61" i="5"/>
  <c r="W62" i="5"/>
  <c r="W63" i="5"/>
  <c r="W64" i="5"/>
  <c r="W65" i="5"/>
  <c r="W66" i="5"/>
  <c r="W67" i="5"/>
  <c r="W68" i="5"/>
  <c r="W69" i="5"/>
  <c r="W70" i="5"/>
  <c r="W71" i="5"/>
  <c r="W72" i="5"/>
  <c r="W73" i="5"/>
  <c r="W74" i="5"/>
  <c r="W75" i="5"/>
  <c r="W76" i="5"/>
  <c r="W77" i="5"/>
  <c r="W78" i="5"/>
  <c r="W79" i="5"/>
  <c r="W80" i="5"/>
  <c r="W81" i="5"/>
  <c r="W82" i="5"/>
  <c r="W83" i="5"/>
  <c r="W84" i="5"/>
  <c r="W85" i="5"/>
  <c r="W86" i="5"/>
  <c r="W87" i="5"/>
  <c r="W88" i="5"/>
  <c r="W89" i="5"/>
  <c r="W90" i="5"/>
  <c r="W91" i="5"/>
  <c r="W92" i="5"/>
  <c r="W93" i="5"/>
  <c r="W94" i="5"/>
  <c r="W95" i="5"/>
  <c r="W96" i="5"/>
  <c r="W97" i="5"/>
  <c r="W98" i="5"/>
  <c r="W99" i="5"/>
  <c r="W100" i="5"/>
  <c r="W101" i="5"/>
  <c r="W102" i="5"/>
  <c r="W103" i="5"/>
  <c r="W104" i="5"/>
  <c r="W105" i="5"/>
  <c r="W106" i="5"/>
  <c r="W107" i="5"/>
  <c r="W108" i="5"/>
  <c r="W109" i="5"/>
  <c r="W110" i="5"/>
  <c r="W111" i="5"/>
  <c r="W112" i="5"/>
  <c r="W113" i="5"/>
  <c r="W114" i="5"/>
  <c r="W115" i="5"/>
  <c r="W116" i="5"/>
  <c r="W117" i="5"/>
  <c r="W118" i="5"/>
  <c r="W119" i="5"/>
  <c r="W120" i="5"/>
  <c r="W121" i="5"/>
  <c r="W122" i="5"/>
  <c r="W123" i="5"/>
  <c r="W124" i="5"/>
  <c r="W125" i="5"/>
  <c r="W126" i="5"/>
  <c r="W127" i="5"/>
  <c r="W128" i="5"/>
  <c r="W129" i="5"/>
  <c r="W130" i="5"/>
  <c r="W131" i="5"/>
  <c r="W132" i="5"/>
  <c r="W133" i="5"/>
  <c r="W134" i="5"/>
  <c r="W135" i="5"/>
  <c r="W136" i="5"/>
  <c r="W137" i="5"/>
  <c r="W138" i="5"/>
  <c r="W139" i="5"/>
  <c r="W140" i="5"/>
  <c r="W141" i="5"/>
  <c r="W142" i="5"/>
  <c r="W143" i="5"/>
  <c r="W144" i="5"/>
  <c r="W145" i="5"/>
  <c r="W146" i="5"/>
  <c r="W147" i="5"/>
  <c r="W148" i="5"/>
  <c r="W149" i="5"/>
  <c r="W150" i="5"/>
  <c r="W151" i="5"/>
  <c r="W152" i="5"/>
  <c r="W153" i="5"/>
  <c r="W154" i="5"/>
  <c r="W155" i="5"/>
  <c r="W156" i="5"/>
  <c r="W157" i="5"/>
  <c r="W158" i="5"/>
  <c r="W159" i="5"/>
  <c r="W160" i="5"/>
  <c r="W161" i="5"/>
  <c r="W162" i="5"/>
  <c r="W163" i="5"/>
  <c r="W164" i="5"/>
  <c r="W165" i="5"/>
  <c r="W166" i="5"/>
  <c r="W167" i="5"/>
  <c r="W168" i="5"/>
  <c r="W169" i="5"/>
  <c r="W170" i="5"/>
  <c r="W171" i="5"/>
  <c r="W172" i="5"/>
  <c r="W173" i="5"/>
  <c r="W174" i="5"/>
  <c r="W175" i="5"/>
  <c r="W176" i="5"/>
  <c r="W177" i="5"/>
  <c r="W178" i="5"/>
  <c r="W179" i="5"/>
  <c r="W180" i="5"/>
  <c r="W181" i="5"/>
  <c r="W182" i="5"/>
  <c r="W183" i="5"/>
  <c r="W184" i="5"/>
  <c r="W185" i="5"/>
  <c r="W186" i="5"/>
  <c r="W187" i="5"/>
  <c r="W188" i="5"/>
  <c r="W189" i="5"/>
  <c r="W190" i="5"/>
  <c r="W191" i="5"/>
  <c r="W192" i="5"/>
  <c r="W193" i="5"/>
  <c r="W194" i="5"/>
  <c r="W195" i="5"/>
  <c r="W196" i="5"/>
  <c r="W197" i="5"/>
  <c r="W198" i="5"/>
  <c r="W199" i="5"/>
  <c r="W200" i="5"/>
  <c r="W201" i="5"/>
  <c r="W202" i="5"/>
  <c r="W203" i="5"/>
  <c r="W204" i="5"/>
  <c r="W205" i="5"/>
  <c r="W206" i="5"/>
  <c r="W207" i="5"/>
  <c r="W208" i="5"/>
  <c r="W209" i="5"/>
  <c r="W210" i="5"/>
  <c r="W211" i="5"/>
  <c r="W212" i="5"/>
  <c r="W213" i="5"/>
  <c r="W214" i="5"/>
  <c r="W215" i="5"/>
  <c r="W216" i="5"/>
  <c r="W217" i="5"/>
  <c r="W218" i="5"/>
  <c r="W219" i="5"/>
  <c r="W220" i="5"/>
  <c r="W221" i="5"/>
  <c r="W222" i="5"/>
  <c r="W223" i="5"/>
  <c r="W224" i="5"/>
  <c r="W225" i="5"/>
  <c r="W226" i="5"/>
  <c r="W227" i="5"/>
  <c r="W228" i="5"/>
  <c r="W229" i="5"/>
  <c r="W230" i="5"/>
  <c r="W231" i="5"/>
  <c r="W232" i="5"/>
  <c r="W233" i="5"/>
  <c r="W234" i="5"/>
  <c r="W235" i="5"/>
  <c r="W236" i="5"/>
  <c r="W237" i="5"/>
  <c r="W238" i="5"/>
  <c r="W239" i="5"/>
  <c r="W240" i="5"/>
  <c r="W241" i="5"/>
  <c r="W242" i="5"/>
  <c r="W243" i="5"/>
  <c r="W244" i="5"/>
  <c r="W245" i="5"/>
  <c r="W246" i="5"/>
  <c r="W247" i="5"/>
  <c r="W248" i="5"/>
  <c r="W249" i="5"/>
  <c r="W250" i="5"/>
  <c r="W251" i="5"/>
  <c r="W252" i="5"/>
  <c r="W253" i="5"/>
  <c r="W254" i="5"/>
  <c r="W255" i="5"/>
  <c r="W256" i="5"/>
  <c r="W257" i="5"/>
  <c r="W258" i="5"/>
  <c r="W259" i="5"/>
  <c r="W260" i="5"/>
  <c r="W261" i="5"/>
  <c r="W262" i="5"/>
  <c r="W263" i="5"/>
  <c r="W264" i="5"/>
  <c r="W265" i="5"/>
  <c r="W266" i="5"/>
  <c r="W267" i="5"/>
  <c r="W268" i="5"/>
  <c r="W269" i="5"/>
  <c r="W270" i="5"/>
  <c r="W271" i="5"/>
  <c r="W272" i="5"/>
  <c r="W273" i="5"/>
  <c r="W274" i="5"/>
  <c r="W275" i="5"/>
  <c r="W276" i="5"/>
  <c r="W277" i="5"/>
  <c r="W278" i="5"/>
  <c r="W279" i="5"/>
  <c r="W280" i="5"/>
  <c r="W281" i="5"/>
  <c r="W282" i="5"/>
  <c r="W283" i="5"/>
  <c r="W284" i="5"/>
  <c r="W285" i="5"/>
  <c r="W286" i="5"/>
  <c r="W287" i="5"/>
  <c r="W288" i="5"/>
  <c r="W289" i="5"/>
  <c r="W290" i="5"/>
  <c r="W291" i="5"/>
  <c r="W292" i="5"/>
  <c r="W293" i="5"/>
  <c r="W294" i="5"/>
  <c r="W295" i="5"/>
  <c r="W296" i="5"/>
  <c r="W297" i="5"/>
  <c r="W298" i="5"/>
  <c r="W299" i="5"/>
  <c r="W300" i="5"/>
  <c r="W301" i="5"/>
  <c r="W302" i="5"/>
  <c r="W303" i="5"/>
  <c r="W304" i="5"/>
  <c r="W305" i="5"/>
  <c r="W306" i="5"/>
  <c r="W307" i="5"/>
  <c r="W308" i="5"/>
  <c r="W309" i="5"/>
  <c r="W310" i="5"/>
  <c r="W311" i="5"/>
  <c r="W312" i="5"/>
  <c r="W313" i="5"/>
  <c r="W314" i="5"/>
  <c r="W315" i="5"/>
  <c r="W316" i="5"/>
  <c r="W317" i="5"/>
  <c r="W318" i="5"/>
  <c r="W319" i="5"/>
  <c r="W320" i="5"/>
  <c r="W321" i="5"/>
  <c r="W322" i="5"/>
  <c r="W323" i="5"/>
  <c r="W324" i="5"/>
  <c r="W325" i="5"/>
  <c r="W326" i="5"/>
  <c r="W327" i="5"/>
  <c r="W328" i="5"/>
  <c r="W329" i="5"/>
  <c r="W330" i="5"/>
  <c r="W331" i="5"/>
  <c r="W332" i="5"/>
  <c r="W333" i="5"/>
  <c r="W334" i="5"/>
  <c r="W335" i="5"/>
  <c r="W336" i="5"/>
  <c r="W337" i="5"/>
  <c r="W338" i="5"/>
  <c r="W339" i="5"/>
  <c r="W340" i="5"/>
  <c r="W341" i="5"/>
  <c r="W342" i="5"/>
  <c r="W343" i="5"/>
  <c r="W344" i="5"/>
  <c r="W345" i="5"/>
  <c r="W346" i="5"/>
  <c r="W347" i="5"/>
  <c r="W348" i="5"/>
  <c r="W349" i="5"/>
  <c r="W350" i="5"/>
  <c r="W351" i="5"/>
  <c r="W352" i="5"/>
  <c r="W353" i="5"/>
  <c r="W354" i="5"/>
  <c r="W355" i="5"/>
  <c r="W356" i="5"/>
  <c r="W357" i="5"/>
  <c r="W358" i="5"/>
  <c r="W359" i="5"/>
  <c r="W360" i="5"/>
  <c r="W361" i="5"/>
  <c r="W362" i="5"/>
  <c r="W363" i="5"/>
  <c r="W364" i="5"/>
  <c r="W365" i="5"/>
  <c r="W366" i="5"/>
  <c r="W367" i="5"/>
  <c r="W368" i="5"/>
  <c r="W369" i="5"/>
  <c r="W370" i="5"/>
  <c r="W371" i="5"/>
  <c r="W372" i="5"/>
  <c r="W373" i="5"/>
  <c r="W374" i="5"/>
  <c r="W375" i="5"/>
  <c r="W376" i="5"/>
  <c r="W377" i="5"/>
  <c r="W378" i="5"/>
  <c r="W379" i="5"/>
  <c r="W380" i="5"/>
  <c r="W381" i="5"/>
  <c r="W382" i="5"/>
  <c r="W383" i="5"/>
  <c r="W384" i="5"/>
  <c r="W385" i="5"/>
  <c r="W386" i="5"/>
  <c r="W387" i="5"/>
  <c r="W388" i="5"/>
  <c r="W389" i="5"/>
  <c r="W390" i="5"/>
  <c r="W391" i="5"/>
  <c r="W392" i="5"/>
  <c r="W393" i="5"/>
  <c r="W394" i="5"/>
  <c r="W395" i="5"/>
  <c r="W396" i="5"/>
  <c r="W397" i="5"/>
  <c r="W398" i="5"/>
  <c r="W399" i="5"/>
  <c r="W400" i="5"/>
  <c r="W401" i="5"/>
  <c r="W402" i="5"/>
  <c r="W403" i="5"/>
  <c r="W404" i="5"/>
  <c r="W405" i="5"/>
  <c r="W406" i="5"/>
  <c r="W407" i="5"/>
  <c r="W408" i="5"/>
  <c r="W409" i="5"/>
  <c r="W410" i="5"/>
  <c r="W411" i="5"/>
  <c r="W412" i="5"/>
  <c r="W413" i="5"/>
  <c r="W414" i="5"/>
  <c r="W415" i="5"/>
  <c r="W416" i="5"/>
  <c r="W417" i="5"/>
  <c r="W418" i="5"/>
  <c r="W419" i="5"/>
  <c r="W420" i="5"/>
  <c r="W421" i="5"/>
  <c r="W422" i="5"/>
  <c r="W423" i="5"/>
  <c r="W424" i="5"/>
  <c r="W425" i="5"/>
  <c r="W426" i="5"/>
  <c r="W427" i="5"/>
  <c r="W428" i="5"/>
  <c r="W429" i="5"/>
  <c r="W430" i="5"/>
  <c r="W431" i="5"/>
  <c r="W432" i="5"/>
  <c r="W433" i="5"/>
  <c r="W434" i="5"/>
  <c r="W435" i="5"/>
  <c r="W436" i="5"/>
  <c r="W437" i="5"/>
  <c r="W438" i="5"/>
  <c r="W439" i="5"/>
  <c r="W440" i="5"/>
  <c r="W441" i="5"/>
  <c r="W442" i="5"/>
  <c r="W443" i="5"/>
  <c r="W444" i="5"/>
  <c r="W445" i="5"/>
  <c r="W446" i="5"/>
  <c r="W447" i="5"/>
  <c r="W448" i="5"/>
  <c r="W449" i="5"/>
  <c r="W450" i="5"/>
  <c r="W451" i="5"/>
  <c r="W452" i="5"/>
  <c r="W453" i="5"/>
  <c r="W454" i="5"/>
  <c r="W455" i="5"/>
  <c r="W456" i="5"/>
  <c r="W457" i="5"/>
  <c r="W458" i="5"/>
  <c r="W459" i="5"/>
  <c r="W460" i="5"/>
  <c r="W461" i="5"/>
  <c r="W462" i="5"/>
  <c r="W463" i="5"/>
  <c r="W464" i="5"/>
  <c r="W465" i="5"/>
  <c r="W466" i="5"/>
  <c r="W467" i="5"/>
  <c r="W468" i="5"/>
  <c r="W469" i="5"/>
  <c r="W470" i="5"/>
  <c r="W471" i="5"/>
  <c r="W472" i="5"/>
  <c r="W473" i="5"/>
  <c r="W474" i="5"/>
  <c r="W475" i="5"/>
  <c r="W476" i="5"/>
  <c r="W477" i="5"/>
  <c r="W478" i="5"/>
  <c r="W479" i="5"/>
  <c r="W480" i="5"/>
  <c r="W481" i="5"/>
  <c r="W482" i="5"/>
  <c r="W483" i="5"/>
  <c r="W484" i="5"/>
  <c r="W485" i="5"/>
  <c r="W486" i="5"/>
  <c r="W487" i="5"/>
  <c r="W488" i="5"/>
  <c r="W489" i="5"/>
  <c r="W490" i="5"/>
  <c r="W491" i="5"/>
  <c r="W492" i="5"/>
  <c r="W493" i="5"/>
  <c r="W494" i="5"/>
  <c r="W495" i="5"/>
  <c r="W496" i="5"/>
  <c r="W497" i="5"/>
  <c r="W498" i="5"/>
  <c r="W499" i="5"/>
  <c r="W500" i="5"/>
  <c r="W501" i="5"/>
  <c r="W2"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<sst xmlns="http://schemas.openxmlformats.org/spreadsheetml/2006/main" count="77123" uniqueCount="2165">
  <si>
    <t>Order_ID</t>
  </si>
  <si>
    <t>Customer_ID</t>
  </si>
  <si>
    <t>Product_ID</t>
  </si>
  <si>
    <t>Order_Date</t>
  </si>
  <si>
    <t>Delivery_Date</t>
  </si>
  <si>
    <t>Customer_Name</t>
  </si>
  <si>
    <t>Gender</t>
  </si>
  <si>
    <t>DOB</t>
  </si>
  <si>
    <t>City</t>
  </si>
  <si>
    <t>Region</t>
  </si>
  <si>
    <t>Category</t>
  </si>
  <si>
    <t>Product_Name</t>
  </si>
  <si>
    <t>Quantity</t>
  </si>
  <si>
    <t>Unit_Price</t>
  </si>
  <si>
    <t>Discount_%</t>
  </si>
  <si>
    <t>Sales</t>
  </si>
  <si>
    <t>Rating</t>
  </si>
  <si>
    <t>Payment_Mode</t>
  </si>
  <si>
    <t>Salesperson</t>
  </si>
  <si>
    <t>Email</t>
  </si>
  <si>
    <t>Phone</t>
  </si>
  <si>
    <t>Order_Status</t>
  </si>
  <si>
    <t>ORD10001</t>
  </si>
  <si>
    <t>C008</t>
  </si>
  <si>
    <t>P202</t>
  </si>
  <si>
    <t>18/09/2025</t>
  </si>
  <si>
    <t>22/09/2025</t>
  </si>
  <si>
    <t>Kavya Nair</t>
  </si>
  <si>
    <t>Female</t>
  </si>
  <si>
    <t>01/08/1976</t>
  </si>
  <si>
    <t>Hyderabad</t>
  </si>
  <si>
    <t>South</t>
  </si>
  <si>
    <t>Home Appliances</t>
  </si>
  <si>
    <t>Iron</t>
  </si>
  <si>
    <t>Cash</t>
  </si>
  <si>
    <t>Ritika</t>
  </si>
  <si>
    <t>KAvya.nair@company.com</t>
  </si>
  <si>
    <t>9431429797</t>
  </si>
  <si>
    <t>Completed</t>
  </si>
  <si>
    <t>ORD10002</t>
  </si>
  <si>
    <t>P104</t>
  </si>
  <si>
    <t>27/04/2025</t>
  </si>
  <si>
    <t>04/05/2025</t>
  </si>
  <si>
    <t>16/10/2000</t>
  </si>
  <si>
    <t>Delhi</t>
  </si>
  <si>
    <t>North</t>
  </si>
  <si>
    <t>Electronics</t>
  </si>
  <si>
    <t>Monitor</t>
  </si>
  <si>
    <t>NetBanking</t>
  </si>
  <si>
    <t>Rahul</t>
  </si>
  <si>
    <t>kavya.nair@company.com</t>
  </si>
  <si>
    <t>9129865339</t>
  </si>
  <si>
    <t>ORD10003</t>
  </si>
  <si>
    <t>C010</t>
  </si>
  <si>
    <t>P101</t>
  </si>
  <si>
    <t>03/09/2025</t>
  </si>
  <si>
    <t>14/09/2025</t>
  </si>
  <si>
    <t>pooja      shah</t>
  </si>
  <si>
    <t>16/09/1994</t>
  </si>
  <si>
    <t>Bengaluru</t>
  </si>
  <si>
    <t>Laptop</t>
  </si>
  <si>
    <t>Aisha</t>
  </si>
  <si>
    <t>pooja.shah@company.com</t>
  </si>
  <si>
    <t>9380975626</t>
  </si>
  <si>
    <t>Pending</t>
  </si>
  <si>
    <t>21/03/2026</t>
  </si>
  <si>
    <t>02/04/2026</t>
  </si>
  <si>
    <t>07/03/2004</t>
  </si>
  <si>
    <t>9600261125</t>
  </si>
  <si>
    <t>Cancelled</t>
  </si>
  <si>
    <t>ORD10005</t>
  </si>
  <si>
    <t>C009</t>
  </si>
  <si>
    <t>P103</t>
  </si>
  <si>
    <t>27/09/2025</t>
  </si>
  <si>
    <t>07/10/2025</t>
  </si>
  <si>
    <t>Mohit     Verma</t>
  </si>
  <si>
    <t>Male</t>
  </si>
  <si>
    <t>13/04/1976</t>
  </si>
  <si>
    <t>Keyboard</t>
  </si>
  <si>
    <t>Card</t>
  </si>
  <si>
    <t>mohit.verma@company.com</t>
  </si>
  <si>
    <t>9724635978</t>
  </si>
  <si>
    <t>ORD10006</t>
  </si>
  <si>
    <t>C007</t>
  </si>
  <si>
    <t>04/01/2026</t>
  </si>
  <si>
    <t>12/01/2026</t>
  </si>
  <si>
    <t>arjun Rao</t>
  </si>
  <si>
    <t>07/02/1988</t>
  </si>
  <si>
    <t>UPI</t>
  </si>
  <si>
    <t>arjun.rao@company.com</t>
  </si>
  <si>
    <t>9780584905</t>
  </si>
  <si>
    <t>ORD10007</t>
  </si>
  <si>
    <t>P201</t>
  </si>
  <si>
    <t>31/02/2025</t>
  </si>
  <si>
    <t>25/02/2026</t>
  </si>
  <si>
    <t>Kavya      Nair</t>
  </si>
  <si>
    <t>20/03/2003</t>
  </si>
  <si>
    <t>Mixer</t>
  </si>
  <si>
    <t>9958252176</t>
  </si>
  <si>
    <t>ORD10008</t>
  </si>
  <si>
    <t>C002</t>
  </si>
  <si>
    <t>13/04/2025</t>
  </si>
  <si>
    <t>19/04/2025</t>
  </si>
  <si>
    <t>Priya Patel</t>
  </si>
  <si>
    <t>07/03/1995</t>
  </si>
  <si>
    <t>Mumbai</t>
  </si>
  <si>
    <t>West</t>
  </si>
  <si>
    <t>priYa.patel@company.com</t>
  </si>
  <si>
    <t>9705521654</t>
  </si>
  <si>
    <t>ORD10009</t>
  </si>
  <si>
    <t>31/01/2026</t>
  </si>
  <si>
    <t>02/02/2026</t>
  </si>
  <si>
    <t>kavya Nair</t>
  </si>
  <si>
    <t>06/04/1997</t>
  </si>
  <si>
    <t>Pune</t>
  </si>
  <si>
    <t>Neha</t>
  </si>
  <si>
    <t>9588041011</t>
  </si>
  <si>
    <t>ORD10010</t>
  </si>
  <si>
    <t>P301</t>
  </si>
  <si>
    <t>25/03/2025</t>
  </si>
  <si>
    <t>27/03/2025</t>
  </si>
  <si>
    <t>07/01/1990</t>
  </si>
  <si>
    <t>Stationery</t>
  </si>
  <si>
    <t>Notebook</t>
  </si>
  <si>
    <t>PRiya.patel@company.com</t>
  </si>
  <si>
    <t>9340540608</t>
  </si>
  <si>
    <t>ORD10011</t>
  </si>
  <si>
    <t>C003</t>
  </si>
  <si>
    <t>19/09/2025</t>
  </si>
  <si>
    <t>23/09/2025</t>
  </si>
  <si>
    <t xml:space="preserve">               Rohit Singh</t>
  </si>
  <si>
    <t>10/05/1982</t>
  </si>
  <si>
    <t>rohit.singh@company.com</t>
  </si>
  <si>
    <t>9521710321</t>
  </si>
  <si>
    <t>ORD10012</t>
  </si>
  <si>
    <t>08/03/2025</t>
  </si>
  <si>
    <t>15/03/2025</t>
  </si>
  <si>
    <t>23/01/1982</t>
  </si>
  <si>
    <t>Ahmedabad</t>
  </si>
  <si>
    <t>9123535241</t>
  </si>
  <si>
    <t>ORD10013</t>
  </si>
  <si>
    <t>10/01/2025</t>
  </si>
  <si>
    <t>15/01/2025</t>
  </si>
  <si>
    <t>06/07/1992</t>
  </si>
  <si>
    <t>priya.patel@company.com</t>
  </si>
  <si>
    <t>9367316892</t>
  </si>
  <si>
    <t>ORD10014</t>
  </si>
  <si>
    <t>09/03/2025</t>
  </si>
  <si>
    <t>13/03/2025</t>
  </si>
  <si>
    <t>rohit Singh</t>
  </si>
  <si>
    <t>19/03/2002</t>
  </si>
  <si>
    <t>Karan</t>
  </si>
  <si>
    <t>rOhit.singh@company.com</t>
  </si>
  <si>
    <t>9778489803</t>
  </si>
  <si>
    <t>ORD10015</t>
  </si>
  <si>
    <t>26/07/2025</t>
  </si>
  <si>
    <t>07/08/2025</t>
  </si>
  <si>
    <t xml:space="preserve">    Kavya nair</t>
  </si>
  <si>
    <t>17/01/2001</t>
  </si>
  <si>
    <t>9582960180</t>
  </si>
  <si>
    <t>ORD10016</t>
  </si>
  <si>
    <t>08/04/2026</t>
  </si>
  <si>
    <t>11/04/2026</t>
  </si>
  <si>
    <t>Pooja Shah</t>
  </si>
  <si>
    <t>11/04/2002</t>
  </si>
  <si>
    <t>pooja.shahcompany.com</t>
  </si>
  <si>
    <t>9611394005</t>
  </si>
  <si>
    <t>ORD10017</t>
  </si>
  <si>
    <t>C004</t>
  </si>
  <si>
    <t>P203</t>
  </si>
  <si>
    <t>22/02/2026</t>
  </si>
  <si>
    <t>03/03/2026</t>
  </si>
  <si>
    <t xml:space="preserve">  Amit Sharma </t>
  </si>
  <si>
    <t>16/01/2002</t>
  </si>
  <si>
    <t>Microwave</t>
  </si>
  <si>
    <t>anita.gupta@company.com</t>
  </si>
  <si>
    <t>9692599404</t>
  </si>
  <si>
    <t>ORD10018</t>
  </si>
  <si>
    <t>28/02/2026</t>
  </si>
  <si>
    <t>05/03/2026</t>
  </si>
  <si>
    <t>Arjun Rao</t>
  </si>
  <si>
    <t>09/10/1989</t>
  </si>
  <si>
    <t>9426119622</t>
  </si>
  <si>
    <t>ORD10019</t>
  </si>
  <si>
    <t>P102</t>
  </si>
  <si>
    <t>01/12/2025</t>
  </si>
  <si>
    <t>04/12/2025</t>
  </si>
  <si>
    <t>arjun rao</t>
  </si>
  <si>
    <t>28/10/1991</t>
  </si>
  <si>
    <t>Mouse</t>
  </si>
  <si>
    <t>arjun.Rao@company.com</t>
  </si>
  <si>
    <t>9184436009</t>
  </si>
  <si>
    <t>ORD10020</t>
  </si>
  <si>
    <t>25/06/2025</t>
  </si>
  <si>
    <t>03/07/2025</t>
  </si>
  <si>
    <t>01/03/1990</t>
  </si>
  <si>
    <t>9263774934</t>
  </si>
  <si>
    <t>ORD10021</t>
  </si>
  <si>
    <t>26/04/2025</t>
  </si>
  <si>
    <t>05/05/2025</t>
  </si>
  <si>
    <t>Rohit Singh</t>
  </si>
  <si>
    <t>18/07/2002</t>
  </si>
  <si>
    <t>electronics</t>
  </si>
  <si>
    <t>9473159572</t>
  </si>
  <si>
    <t>ORD10022</t>
  </si>
  <si>
    <t>03/01/2025</t>
  </si>
  <si>
    <t>08/01/2025</t>
  </si>
  <si>
    <t>15/12/2004</t>
  </si>
  <si>
    <t>9660493688</t>
  </si>
  <si>
    <t>ORD10023</t>
  </si>
  <si>
    <t>30/04/2025</t>
  </si>
  <si>
    <t>04/07/1984</t>
  </si>
  <si>
    <t>Jaipur</t>
  </si>
  <si>
    <t>9513325819</t>
  </si>
  <si>
    <t>ORD10024</t>
  </si>
  <si>
    <t>22/12/2025</t>
  </si>
  <si>
    <t>01/01/2026</t>
  </si>
  <si>
    <t>Mohit Verma</t>
  </si>
  <si>
    <t>25/02/1978</t>
  </si>
  <si>
    <t>9641063242</t>
  </si>
  <si>
    <t>ORD10025</t>
  </si>
  <si>
    <t>C005</t>
  </si>
  <si>
    <t>P302</t>
  </si>
  <si>
    <t>09/04/2026</t>
  </si>
  <si>
    <t>20/04/2026</t>
  </si>
  <si>
    <t>Vikas Mehta</t>
  </si>
  <si>
    <t>03/08/1991</t>
  </si>
  <si>
    <t>Pen</t>
  </si>
  <si>
    <t>vikas.mehta@company.com</t>
  </si>
  <si>
    <t>9277372518</t>
  </si>
  <si>
    <t>ORD10026</t>
  </si>
  <si>
    <t>24/06/2025</t>
  </si>
  <si>
    <t>02/07/2025</t>
  </si>
  <si>
    <t>11/12/1977</t>
  </si>
  <si>
    <t>9193154372</t>
  </si>
  <si>
    <t>ORD10027</t>
  </si>
  <si>
    <t>22/05/2025</t>
  </si>
  <si>
    <t>25/05/2025</t>
  </si>
  <si>
    <t>08/02/1992</t>
  </si>
  <si>
    <t>9400073244</t>
  </si>
  <si>
    <t>ORD10028</t>
  </si>
  <si>
    <t>13/03/2026</t>
  </si>
  <si>
    <t>20/03/2026</t>
  </si>
  <si>
    <t>05/06/2004</t>
  </si>
  <si>
    <t>9771556720</t>
  </si>
  <si>
    <t>ORD10029</t>
  </si>
  <si>
    <t>08/09/2025</t>
  </si>
  <si>
    <t>20/09/2025</t>
  </si>
  <si>
    <t>11/08/2001</t>
  </si>
  <si>
    <t>9127480734</t>
  </si>
  <si>
    <t>ORD10030</t>
  </si>
  <si>
    <t>C006</t>
  </si>
  <si>
    <t>11/01/2026</t>
  </si>
  <si>
    <t>16/01/2026</t>
  </si>
  <si>
    <t>Sneha Joshi</t>
  </si>
  <si>
    <t>04/04/1981</t>
  </si>
  <si>
    <t>sneha.joshi@company.com</t>
  </si>
  <si>
    <t>9512997042</t>
  </si>
  <si>
    <t>ORD10031</t>
  </si>
  <si>
    <t>P303</t>
  </si>
  <si>
    <t>16/06/2025</t>
  </si>
  <si>
    <t>26/06/2025</t>
  </si>
  <si>
    <t>02/07/1996</t>
  </si>
  <si>
    <t>Marker</t>
  </si>
  <si>
    <t>9372748661</t>
  </si>
  <si>
    <t>ORD10032</t>
  </si>
  <si>
    <t>01/07/2025</t>
  </si>
  <si>
    <t>13/07/2025</t>
  </si>
  <si>
    <t>Priya    Patel</t>
  </si>
  <si>
    <t>15/11/1976</t>
  </si>
  <si>
    <t>9570437805</t>
  </si>
  <si>
    <t>ORD10033</t>
  </si>
  <si>
    <t>07/03/2025</t>
  </si>
  <si>
    <t>28/10/1988</t>
  </si>
  <si>
    <t>9310669113</t>
  </si>
  <si>
    <t>ORD10034</t>
  </si>
  <si>
    <t>04/07/2025</t>
  </si>
  <si>
    <t>23/06/2004</t>
  </si>
  <si>
    <t>wrongmail</t>
  </si>
  <si>
    <t>9437132894</t>
  </si>
  <si>
    <t>ORD10035</t>
  </si>
  <si>
    <t>09/10/2025</t>
  </si>
  <si>
    <t>19/10/2025</t>
  </si>
  <si>
    <t>22/04/1996</t>
  </si>
  <si>
    <t>9762437243</t>
  </si>
  <si>
    <t>ORD10036</t>
  </si>
  <si>
    <t>19/11/2025</t>
  </si>
  <si>
    <t>26/11/2025</t>
  </si>
  <si>
    <t>07/07/1979</t>
  </si>
  <si>
    <t>9149046970</t>
  </si>
  <si>
    <t>ORD10037</t>
  </si>
  <si>
    <t>05/11/2025</t>
  </si>
  <si>
    <t>14/11/2025</t>
  </si>
  <si>
    <t>27/09/1980</t>
  </si>
  <si>
    <t>Kolkata</t>
  </si>
  <si>
    <t>East</t>
  </si>
  <si>
    <t>9869182901</t>
  </si>
  <si>
    <t>ORD10038</t>
  </si>
  <si>
    <t>08/03/2026</t>
  </si>
  <si>
    <t>21/06/1980</t>
  </si>
  <si>
    <t>9283578533</t>
  </si>
  <si>
    <t>ORD10039</t>
  </si>
  <si>
    <t>13/02/2025</t>
  </si>
  <si>
    <t>19/02/2025</t>
  </si>
  <si>
    <t>17/06/1979</t>
  </si>
  <si>
    <t xml:space="preserve">1200 </t>
  </si>
  <si>
    <t>9963005771</t>
  </si>
  <si>
    <t>ORD10040</t>
  </si>
  <si>
    <t>05/10/2025</t>
  </si>
  <si>
    <t>15/10/2025</t>
  </si>
  <si>
    <t>18/06/1992</t>
  </si>
  <si>
    <t>9484632635</t>
  </si>
  <si>
    <t>ORD10041</t>
  </si>
  <si>
    <t>10/02/2026</t>
  </si>
  <si>
    <t>12/02/2026</t>
  </si>
  <si>
    <t>06/06/1994</t>
  </si>
  <si>
    <t>9276319484</t>
  </si>
  <si>
    <t>ORD10042</t>
  </si>
  <si>
    <t>04/06/2025</t>
  </si>
  <si>
    <t>22/09/1988</t>
  </si>
  <si>
    <t>9619034852</t>
  </si>
  <si>
    <t>ORD10043</t>
  </si>
  <si>
    <t>08/02/2026</t>
  </si>
  <si>
    <t>14/02/2026</t>
  </si>
  <si>
    <t>14/07/2001</t>
  </si>
  <si>
    <t>9636416962</t>
  </si>
  <si>
    <t>ORD10044</t>
  </si>
  <si>
    <t>C001</t>
  </si>
  <si>
    <t>30/03/2025</t>
  </si>
  <si>
    <t>31/03/2025</t>
  </si>
  <si>
    <t>amit Sharma</t>
  </si>
  <si>
    <t>09/08/1991</t>
  </si>
  <si>
    <t>amit.sharma@company.com</t>
  </si>
  <si>
    <t>9357133880</t>
  </si>
  <si>
    <t>ORD10045</t>
  </si>
  <si>
    <t>25/04/2025</t>
  </si>
  <si>
    <t>28/04/2025</t>
  </si>
  <si>
    <t>21/10/1988</t>
  </si>
  <si>
    <t>9575210324</t>
  </si>
  <si>
    <t>ORD10046</t>
  </si>
  <si>
    <t>13/10/2025</t>
  </si>
  <si>
    <t>23/10/2025</t>
  </si>
  <si>
    <t>19/11/2002</t>
  </si>
  <si>
    <t>9276080204</t>
  </si>
  <si>
    <t>ORD10047</t>
  </si>
  <si>
    <t>11/10/2025</t>
  </si>
  <si>
    <t>14/10/2025</t>
  </si>
  <si>
    <t>06/07/2000</t>
  </si>
  <si>
    <t>sneha.joshicompany.com</t>
  </si>
  <si>
    <t>9856624471</t>
  </si>
  <si>
    <t>ORD10048</t>
  </si>
  <si>
    <t>27/11/2025</t>
  </si>
  <si>
    <t>03/12/2025</t>
  </si>
  <si>
    <t>26/11/1998</t>
  </si>
  <si>
    <t>9238141322</t>
  </si>
  <si>
    <t>ORD10049</t>
  </si>
  <si>
    <t>19/04/2026</t>
  </si>
  <si>
    <t>03/06/1996</t>
  </si>
  <si>
    <t>9890380030</t>
  </si>
  <si>
    <t>ORD10050</t>
  </si>
  <si>
    <t>21/04/2026</t>
  </si>
  <si>
    <t>Anita Gupta</t>
  </si>
  <si>
    <t>15/03/1987</t>
  </si>
  <si>
    <t>9495893170</t>
  </si>
  <si>
    <t>ORD10051</t>
  </si>
  <si>
    <t>28/03/2025</t>
  </si>
  <si>
    <t>07/04/2025</t>
  </si>
  <si>
    <t>POoja Shah</t>
  </si>
  <si>
    <t>20/02/1979</t>
  </si>
  <si>
    <t>9485166307</t>
  </si>
  <si>
    <t>ORD10052</t>
  </si>
  <si>
    <t>25/08/2025</t>
  </si>
  <si>
    <t>28/08/2025</t>
  </si>
  <si>
    <t>09/08/2000</t>
  </si>
  <si>
    <t>9924709648</t>
  </si>
  <si>
    <t>ORD10053</t>
  </si>
  <si>
    <t>19/08/2025</t>
  </si>
  <si>
    <t>23/08/2025</t>
  </si>
  <si>
    <t>17/01/1976</t>
  </si>
  <si>
    <t>9350554626</t>
  </si>
  <si>
    <t>ORD10054</t>
  </si>
  <si>
    <t>27/07/2025</t>
  </si>
  <si>
    <t>05/08/2025</t>
  </si>
  <si>
    <t>04/04/1975</t>
  </si>
  <si>
    <t>9743295580</t>
  </si>
  <si>
    <t>ORD10055</t>
  </si>
  <si>
    <t>21/02/2025</t>
  </si>
  <si>
    <t>26/02/2025</t>
  </si>
  <si>
    <t>RoHit Singh</t>
  </si>
  <si>
    <t>11/12/1976</t>
  </si>
  <si>
    <t>9822926495</t>
  </si>
  <si>
    <t>ORD10056</t>
  </si>
  <si>
    <t>10/08/2025</t>
  </si>
  <si>
    <t>11/08/2025</t>
  </si>
  <si>
    <t>Amit Sharma</t>
  </si>
  <si>
    <t>03/12/1979</t>
  </si>
  <si>
    <t>9518298190</t>
  </si>
  <si>
    <t>ORD10057</t>
  </si>
  <si>
    <t>24/03/2026</t>
  </si>
  <si>
    <t>30/03/2026</t>
  </si>
  <si>
    <t>27/12/1978</t>
  </si>
  <si>
    <t>amit.sharmcompany.com</t>
  </si>
  <si>
    <t>9366223547</t>
  </si>
  <si>
    <t>ORD10058</t>
  </si>
  <si>
    <t>19/03/2026</t>
  </si>
  <si>
    <t>15/04/1975</t>
  </si>
  <si>
    <t>9701988524</t>
  </si>
  <si>
    <t>ORD10059</t>
  </si>
  <si>
    <t>15/06/2025</t>
  </si>
  <si>
    <t>19/12/1988</t>
  </si>
  <si>
    <t>9836327649</t>
  </si>
  <si>
    <t>completed</t>
  </si>
  <si>
    <t>ORD10060</t>
  </si>
  <si>
    <t>05/03/2025</t>
  </si>
  <si>
    <t>06/03/2025</t>
  </si>
  <si>
    <t>07/03/1979</t>
  </si>
  <si>
    <t>Vikas.mehta@company.com</t>
  </si>
  <si>
    <t>9261800516</t>
  </si>
  <si>
    <t>ORD10061</t>
  </si>
  <si>
    <t>17/12/2003</t>
  </si>
  <si>
    <t>9950802015</t>
  </si>
  <si>
    <t>ORD10062</t>
  </si>
  <si>
    <t>16/08/2025</t>
  </si>
  <si>
    <t>05/04/1984</t>
  </si>
  <si>
    <t>9595183767</t>
  </si>
  <si>
    <t>ORD10063</t>
  </si>
  <si>
    <t>13/05/2026</t>
  </si>
  <si>
    <t>20/05/2026</t>
  </si>
  <si>
    <t>13/04/1996</t>
  </si>
  <si>
    <t>9560201307</t>
  </si>
  <si>
    <t>ORD10064</t>
  </si>
  <si>
    <t>01/03/2025</t>
  </si>
  <si>
    <t>08/09/2003</t>
  </si>
  <si>
    <t>9826484650</t>
  </si>
  <si>
    <t>ORD10065</t>
  </si>
  <si>
    <t>09/02/2025</t>
  </si>
  <si>
    <t>12/02/2025</t>
  </si>
  <si>
    <t>24/09/1992</t>
  </si>
  <si>
    <t>9219978007</t>
  </si>
  <si>
    <t>ORD10066</t>
  </si>
  <si>
    <t>09/01/2026</t>
  </si>
  <si>
    <t>10/01/2026</t>
  </si>
  <si>
    <t>19/09/1986</t>
  </si>
  <si>
    <t>9662063276</t>
  </si>
  <si>
    <t>ORD10067</t>
  </si>
  <si>
    <t>01/09/2025</t>
  </si>
  <si>
    <t>05/09/2025</t>
  </si>
  <si>
    <t>28/05/1985</t>
  </si>
  <si>
    <t>9190393639</t>
  </si>
  <si>
    <t>ORD10068</t>
  </si>
  <si>
    <t>09/02/2026</t>
  </si>
  <si>
    <t>27/08/1979</t>
  </si>
  <si>
    <t>9106328582</t>
  </si>
  <si>
    <t>ORD10069</t>
  </si>
  <si>
    <t>14/12/2025</t>
  </si>
  <si>
    <t>19/12/2025</t>
  </si>
  <si>
    <t>22/12/1976</t>
  </si>
  <si>
    <t>9264401015</t>
  </si>
  <si>
    <t>ORD10070</t>
  </si>
  <si>
    <t>10/04/2025</t>
  </si>
  <si>
    <t>05/02/2000</t>
  </si>
  <si>
    <t>9959237375</t>
  </si>
  <si>
    <t>ORD10071</t>
  </si>
  <si>
    <t>24/12/2025</t>
  </si>
  <si>
    <t>03/01/2026</t>
  </si>
  <si>
    <t>24/02/1987</t>
  </si>
  <si>
    <t>Anita.gupta@company.com</t>
  </si>
  <si>
    <t>9561836580</t>
  </si>
  <si>
    <t>ORD10072</t>
  </si>
  <si>
    <t>30/08/2025</t>
  </si>
  <si>
    <t>24/07/1984</t>
  </si>
  <si>
    <t>9512666401</t>
  </si>
  <si>
    <t>ORD10073</t>
  </si>
  <si>
    <t>13/12/2025</t>
  </si>
  <si>
    <t>23/12/2025</t>
  </si>
  <si>
    <t>22/09/1981</t>
  </si>
  <si>
    <t>9808988530</t>
  </si>
  <si>
    <t>ORD10074</t>
  </si>
  <si>
    <t>04/02/2026</t>
  </si>
  <si>
    <t>16/02/2026</t>
  </si>
  <si>
    <t>20/06/1980</t>
  </si>
  <si>
    <t>9286410494</t>
  </si>
  <si>
    <t>ORD10075</t>
  </si>
  <si>
    <t>26/01/2026</t>
  </si>
  <si>
    <t>28/01/2026</t>
  </si>
  <si>
    <t>02/11/1982</t>
  </si>
  <si>
    <t>9311555196</t>
  </si>
  <si>
    <t>ORD10076</t>
  </si>
  <si>
    <t>27/06/2025</t>
  </si>
  <si>
    <t>07/07/2025</t>
  </si>
  <si>
    <t>10/01/1980</t>
  </si>
  <si>
    <t>9101810266</t>
  </si>
  <si>
    <t>ORD10077</t>
  </si>
  <si>
    <t>17/03/2026</t>
  </si>
  <si>
    <t>27/04/1981</t>
  </si>
  <si>
    <t>9464556593</t>
  </si>
  <si>
    <t>ORD10078</t>
  </si>
  <si>
    <t>09/06/2025</t>
  </si>
  <si>
    <t>18/06/2025</t>
  </si>
  <si>
    <t>12/03/1985</t>
  </si>
  <si>
    <t>9338278358</t>
  </si>
  <si>
    <t>ORD10079</t>
  </si>
  <si>
    <t>15/11/2025</t>
  </si>
  <si>
    <t>16/11/2025</t>
  </si>
  <si>
    <t>15/03/1999</t>
  </si>
  <si>
    <t>9621410770</t>
  </si>
  <si>
    <t>ORD10080</t>
  </si>
  <si>
    <t>06/11/2025</t>
  </si>
  <si>
    <t>10/11/2025</t>
  </si>
  <si>
    <t>07/07/1983</t>
  </si>
  <si>
    <t>9981333189</t>
  </si>
  <si>
    <t>ORD10081</t>
  </si>
  <si>
    <t>01/01/2025</t>
  </si>
  <si>
    <t>07/01/2025</t>
  </si>
  <si>
    <t>06/03/1989</t>
  </si>
  <si>
    <t>9723450355</t>
  </si>
  <si>
    <t>ORD10082</t>
  </si>
  <si>
    <t>25/04/2026</t>
  </si>
  <si>
    <t>03/05/2026</t>
  </si>
  <si>
    <t>20/06/1982</t>
  </si>
  <si>
    <t>9886243907</t>
  </si>
  <si>
    <t>ORD10083</t>
  </si>
  <si>
    <t>23/06/2001</t>
  </si>
  <si>
    <t>9473931904</t>
  </si>
  <si>
    <t>ORD10084</t>
  </si>
  <si>
    <t>18/03/2025</t>
  </si>
  <si>
    <t>21/03/2025</t>
  </si>
  <si>
    <t>19/07/1983</t>
  </si>
  <si>
    <t>9287159610</t>
  </si>
  <si>
    <t>ORD10085</t>
  </si>
  <si>
    <t>30/10/2025</t>
  </si>
  <si>
    <t>31/10/2025</t>
  </si>
  <si>
    <t>24/03/1993</t>
  </si>
  <si>
    <t>9876513858</t>
  </si>
  <si>
    <t>ORD10086</t>
  </si>
  <si>
    <t>11/11/2025</t>
  </si>
  <si>
    <t>10/05/1995</t>
  </si>
  <si>
    <t>9237400853</t>
  </si>
  <si>
    <t>ORD10087</t>
  </si>
  <si>
    <t>18/04/2025</t>
  </si>
  <si>
    <t>15/02/2001</t>
  </si>
  <si>
    <t>9599597595</t>
  </si>
  <si>
    <t>ORD10088</t>
  </si>
  <si>
    <t>16/03/2026</t>
  </si>
  <si>
    <t>26/03/2026</t>
  </si>
  <si>
    <t>14/08/1999</t>
  </si>
  <si>
    <t>9230007509</t>
  </si>
  <si>
    <t>ORD10089</t>
  </si>
  <si>
    <t>15/09/2025</t>
  </si>
  <si>
    <t>24/09/2025</t>
  </si>
  <si>
    <t>20/03/2002</t>
  </si>
  <si>
    <t>north</t>
  </si>
  <si>
    <t>9823428025</t>
  </si>
  <si>
    <t>ORD10090</t>
  </si>
  <si>
    <t>11/03/2026</t>
  </si>
  <si>
    <t>13/06/1992</t>
  </si>
  <si>
    <t>9505048912</t>
  </si>
  <si>
    <t>ORD10091</t>
  </si>
  <si>
    <t>20/08/2025</t>
  </si>
  <si>
    <t>18/06/1996</t>
  </si>
  <si>
    <t>9508068393</t>
  </si>
  <si>
    <t>ORD10092</t>
  </si>
  <si>
    <t>13/08/2025</t>
  </si>
  <si>
    <t>14/08/2025</t>
  </si>
  <si>
    <t>08/11/1982</t>
  </si>
  <si>
    <t>9785807771</t>
  </si>
  <si>
    <t>ORD10093</t>
  </si>
  <si>
    <t>16/03/2025</t>
  </si>
  <si>
    <t>20/03/2025</t>
  </si>
  <si>
    <t>25/06/1984</t>
  </si>
  <si>
    <t>9215250979</t>
  </si>
  <si>
    <t>ORD10094</t>
  </si>
  <si>
    <t>04/09/2025</t>
  </si>
  <si>
    <t>10/09/2025</t>
  </si>
  <si>
    <t>21/06/1994</t>
  </si>
  <si>
    <t>9845884906</t>
  </si>
  <si>
    <t>ORD10095</t>
  </si>
  <si>
    <t>12/04/2025</t>
  </si>
  <si>
    <t>15/04/2025</t>
  </si>
  <si>
    <t>17/10/1990</t>
  </si>
  <si>
    <t>9393097397</t>
  </si>
  <si>
    <t>ORD10096</t>
  </si>
  <si>
    <t>04/05/2026</t>
  </si>
  <si>
    <t>07/05/2026</t>
  </si>
  <si>
    <t>28/01/1987</t>
  </si>
  <si>
    <t>9958032109</t>
  </si>
  <si>
    <t>ORD10097</t>
  </si>
  <si>
    <t>18/01/2026</t>
  </si>
  <si>
    <t>27/01/2026</t>
  </si>
  <si>
    <t>21/09/1983</t>
  </si>
  <si>
    <t>9755082957</t>
  </si>
  <si>
    <t>ORD10098</t>
  </si>
  <si>
    <t>14/03/2026</t>
  </si>
  <si>
    <t>04/04/1989</t>
  </si>
  <si>
    <t>9872235856</t>
  </si>
  <si>
    <t>ORD10099</t>
  </si>
  <si>
    <t>09/05/2025</t>
  </si>
  <si>
    <t>11/05/2025</t>
  </si>
  <si>
    <t>25/09/1987</t>
  </si>
  <si>
    <t>9335138816</t>
  </si>
  <si>
    <t>ORD10100</t>
  </si>
  <si>
    <t>10/05/2026</t>
  </si>
  <si>
    <t>07/08/1982</t>
  </si>
  <si>
    <t>9750365609</t>
  </si>
  <si>
    <t>ORD10101</t>
  </si>
  <si>
    <t>21/04/2025</t>
  </si>
  <si>
    <t>29/04/2025</t>
  </si>
  <si>
    <t>17/07/1986</t>
  </si>
  <si>
    <t>9736812737</t>
  </si>
  <si>
    <t>ORD10102</t>
  </si>
  <si>
    <t>11/12/2025</t>
  </si>
  <si>
    <t>20/12/2025</t>
  </si>
  <si>
    <t>06/04/1987</t>
  </si>
  <si>
    <t>9271420931</t>
  </si>
  <si>
    <t>ORD10103</t>
  </si>
  <si>
    <t>15/05/2026</t>
  </si>
  <si>
    <t>25/02/2004</t>
  </si>
  <si>
    <t>9781411370</t>
  </si>
  <si>
    <t>ORD10104</t>
  </si>
  <si>
    <t>13/01/2025</t>
  </si>
  <si>
    <t>20/01/2025</t>
  </si>
  <si>
    <t>24/04/2001</t>
  </si>
  <si>
    <t>9584152818</t>
  </si>
  <si>
    <t>ORD10105</t>
  </si>
  <si>
    <t>17/03/2025</t>
  </si>
  <si>
    <t>01/07/1996</t>
  </si>
  <si>
    <t>9507986836</t>
  </si>
  <si>
    <t>ORD10106</t>
  </si>
  <si>
    <t>25/02/2025</t>
  </si>
  <si>
    <t>06/02/1979</t>
  </si>
  <si>
    <t>9518249687</t>
  </si>
  <si>
    <t>ORD10107</t>
  </si>
  <si>
    <t>27/02/2025</t>
  </si>
  <si>
    <t>12/12/1985</t>
  </si>
  <si>
    <t>9179328207</t>
  </si>
  <si>
    <t>ORD10108</t>
  </si>
  <si>
    <t>18/03/2026</t>
  </si>
  <si>
    <t>28/01/1992</t>
  </si>
  <si>
    <t>9778490728</t>
  </si>
  <si>
    <t>ORD10109</t>
  </si>
  <si>
    <t>10/07/2025</t>
  </si>
  <si>
    <t>12/07/2025</t>
  </si>
  <si>
    <t>05/07/1993</t>
  </si>
  <si>
    <t>9223058722</t>
  </si>
  <si>
    <t>ORD10110</t>
  </si>
  <si>
    <t>18/11/2025</t>
  </si>
  <si>
    <t>13/09/1977</t>
  </si>
  <si>
    <t>9999889465</t>
  </si>
  <si>
    <t>ORD10111</t>
  </si>
  <si>
    <t>11/10/1985</t>
  </si>
  <si>
    <t>9489687402</t>
  </si>
  <si>
    <t>ORD10112</t>
  </si>
  <si>
    <t>09/04/2025</t>
  </si>
  <si>
    <t>02/10/2001</t>
  </si>
  <si>
    <t>9236963301</t>
  </si>
  <si>
    <t>ORD10113</t>
  </si>
  <si>
    <t>03/04/2026</t>
  </si>
  <si>
    <t>10/04/2026</t>
  </si>
  <si>
    <t>08/04/1986</t>
  </si>
  <si>
    <t>9653594592</t>
  </si>
  <si>
    <t>ORD10114</t>
  </si>
  <si>
    <t>28/10/2025</t>
  </si>
  <si>
    <t>21/07/1990</t>
  </si>
  <si>
    <t>9781970426</t>
  </si>
  <si>
    <t>ORD10115</t>
  </si>
  <si>
    <t>03/04/2025</t>
  </si>
  <si>
    <t>14/04/2025</t>
  </si>
  <si>
    <t>11/04/1994</t>
  </si>
  <si>
    <t>9862165194</t>
  </si>
  <si>
    <t>ORD10116</t>
  </si>
  <si>
    <t>04/05/1992</t>
  </si>
  <si>
    <t>9661280388</t>
  </si>
  <si>
    <t>ORD10117</t>
  </si>
  <si>
    <t>24/08/2025</t>
  </si>
  <si>
    <t>31/08/2025</t>
  </si>
  <si>
    <t>13/05/1980</t>
  </si>
  <si>
    <t>9896985355</t>
  </si>
  <si>
    <t>ORD10118</t>
  </si>
  <si>
    <t>31/05/2025</t>
  </si>
  <si>
    <t>11/06/2025</t>
  </si>
  <si>
    <t>07/09/1995</t>
  </si>
  <si>
    <t>9807154421</t>
  </si>
  <si>
    <t>ORD10119</t>
  </si>
  <si>
    <t>30/05/2025</t>
  </si>
  <si>
    <t>02/06/2025</t>
  </si>
  <si>
    <t>08/03/1988</t>
  </si>
  <si>
    <t>Ten</t>
  </si>
  <si>
    <t>9919834000</t>
  </si>
  <si>
    <t>ORD10120</t>
  </si>
  <si>
    <t>07/07/1989</t>
  </si>
  <si>
    <t>9739798818</t>
  </si>
  <si>
    <t>ORD10121</t>
  </si>
  <si>
    <t>16/12/2025</t>
  </si>
  <si>
    <t>11/11/1993</t>
  </si>
  <si>
    <t>9208625306</t>
  </si>
  <si>
    <t>ORD10122</t>
  </si>
  <si>
    <t>01/02/2000</t>
  </si>
  <si>
    <t>9970178536</t>
  </si>
  <si>
    <t>ORD10123</t>
  </si>
  <si>
    <t>22/06/1986</t>
  </si>
  <si>
    <t>9633745195</t>
  </si>
  <si>
    <t>ORD10124</t>
  </si>
  <si>
    <t>20/10/2025</t>
  </si>
  <si>
    <t>26/10/2025</t>
  </si>
  <si>
    <t>16/02/1986</t>
  </si>
  <si>
    <t>9922102053</t>
  </si>
  <si>
    <t>ORD10125</t>
  </si>
  <si>
    <t>21/05/2025</t>
  </si>
  <si>
    <t>18/09/1991</t>
  </si>
  <si>
    <t>9135963930</t>
  </si>
  <si>
    <t>ORD10126</t>
  </si>
  <si>
    <t>02/01/2026</t>
  </si>
  <si>
    <t>06/01/2026</t>
  </si>
  <si>
    <t>04/01/1981</t>
  </si>
  <si>
    <t>9429405275</t>
  </si>
  <si>
    <t>ORD10127</t>
  </si>
  <si>
    <t>26/04/2026</t>
  </si>
  <si>
    <t>12/10/2004</t>
  </si>
  <si>
    <t>9521757571</t>
  </si>
  <si>
    <t>ORD10128</t>
  </si>
  <si>
    <t>04/08/2025</t>
  </si>
  <si>
    <t>25/03/1984</t>
  </si>
  <si>
    <t>9467375455</t>
  </si>
  <si>
    <t>ORD10129</t>
  </si>
  <si>
    <t>18/08/2025</t>
  </si>
  <si>
    <t>09/09/1982</t>
  </si>
  <si>
    <t>9838809695</t>
  </si>
  <si>
    <t>ORD10130</t>
  </si>
  <si>
    <t>15/02/1993</t>
  </si>
  <si>
    <t>9296609782</t>
  </si>
  <si>
    <t>ORD10131</t>
  </si>
  <si>
    <t>27/04/2026</t>
  </si>
  <si>
    <t>30/04/2026</t>
  </si>
  <si>
    <t>08/04/2003</t>
  </si>
  <si>
    <t>9848259992</t>
  </si>
  <si>
    <t>ORD10132</t>
  </si>
  <si>
    <t>17/02/2026</t>
  </si>
  <si>
    <t>20/10/1989</t>
  </si>
  <si>
    <t>9254082295</t>
  </si>
  <si>
    <t>ORD10133</t>
  </si>
  <si>
    <t>04/04/2026</t>
  </si>
  <si>
    <t>15/09/1995</t>
  </si>
  <si>
    <t>9687923860</t>
  </si>
  <si>
    <t>ORD10134</t>
  </si>
  <si>
    <t>07/04/1994</t>
  </si>
  <si>
    <t>9426459149</t>
  </si>
  <si>
    <t>ORD10135</t>
  </si>
  <si>
    <t>02/10/2003</t>
  </si>
  <si>
    <t>9155925975</t>
  </si>
  <si>
    <t>ORD10136</t>
  </si>
  <si>
    <t>08/06/2025</t>
  </si>
  <si>
    <t>10/06/2025</t>
  </si>
  <si>
    <t>14/07/1997</t>
  </si>
  <si>
    <t>9945247701</t>
  </si>
  <si>
    <t>ORD10137</t>
  </si>
  <si>
    <t>25/07/2025</t>
  </si>
  <si>
    <t>01/08/2025</t>
  </si>
  <si>
    <t>09/08/1979</t>
  </si>
  <si>
    <t>9597378398</t>
  </si>
  <si>
    <t>ORD10138</t>
  </si>
  <si>
    <t>16/01/2025</t>
  </si>
  <si>
    <t>21/01/2025</t>
  </si>
  <si>
    <t>20/10/2002</t>
  </si>
  <si>
    <t>9343963736</t>
  </si>
  <si>
    <t>ORD10139</t>
  </si>
  <si>
    <t>04/02/2025</t>
  </si>
  <si>
    <t>05/02/2025</t>
  </si>
  <si>
    <t>24/07/1985</t>
  </si>
  <si>
    <t>9548742147</t>
  </si>
  <si>
    <t>ORD10140</t>
  </si>
  <si>
    <t>22/01/2025</t>
  </si>
  <si>
    <t>30/01/2025</t>
  </si>
  <si>
    <t>23/08/1988</t>
  </si>
  <si>
    <t>9912945471</t>
  </si>
  <si>
    <t>ORD10141</t>
  </si>
  <si>
    <t>11/04/2025</t>
  </si>
  <si>
    <t>09/01/1979</t>
  </si>
  <si>
    <t>9912630684</t>
  </si>
  <si>
    <t>ORD10142</t>
  </si>
  <si>
    <t>14/07/2025</t>
  </si>
  <si>
    <t>25/08/1986</t>
  </si>
  <si>
    <t>9114017237</t>
  </si>
  <si>
    <t>ORD10143</t>
  </si>
  <si>
    <t>29/01/2025</t>
  </si>
  <si>
    <t>01/04/1977</t>
  </si>
  <si>
    <t>9872471236</t>
  </si>
  <si>
    <t>ORD10144</t>
  </si>
  <si>
    <t>17/12/2025</t>
  </si>
  <si>
    <t>18/12/2025</t>
  </si>
  <si>
    <t>04/08/1983</t>
  </si>
  <si>
    <t>9461383824</t>
  </si>
  <si>
    <t>ORD10145</t>
  </si>
  <si>
    <t>10/10/2025</t>
  </si>
  <si>
    <t>21/10/2025</t>
  </si>
  <si>
    <t>07/04/1978</t>
  </si>
  <si>
    <t>9243407457</t>
  </si>
  <si>
    <t>ORD10146</t>
  </si>
  <si>
    <t>07/03/2026</t>
  </si>
  <si>
    <t>10/03/2026</t>
  </si>
  <si>
    <t>04/03/1983</t>
  </si>
  <si>
    <t>9418672379</t>
  </si>
  <si>
    <t>ORD10147</t>
  </si>
  <si>
    <t>27/10/1987</t>
  </si>
  <si>
    <t>9222733065</t>
  </si>
  <si>
    <t>ORD10148</t>
  </si>
  <si>
    <t>19/04/2003</t>
  </si>
  <si>
    <t>9684246902</t>
  </si>
  <si>
    <t>14/02/2002</t>
  </si>
  <si>
    <t>9989580228</t>
  </si>
  <si>
    <t>ORD10150</t>
  </si>
  <si>
    <t>05/07/1975</t>
  </si>
  <si>
    <t>9110269572</t>
  </si>
  <si>
    <t>ORD10151</t>
  </si>
  <si>
    <t>05/03/1992</t>
  </si>
  <si>
    <t>9745972422</t>
  </si>
  <si>
    <t>ORD10152</t>
  </si>
  <si>
    <t>29/11/2025</t>
  </si>
  <si>
    <t>07/12/2025</t>
  </si>
  <si>
    <t>03/06/1998</t>
  </si>
  <si>
    <t>9123712257</t>
  </si>
  <si>
    <t>ORD10153</t>
  </si>
  <si>
    <t>19/07/2025</t>
  </si>
  <si>
    <t>28/09/1996</t>
  </si>
  <si>
    <t>9665525431</t>
  </si>
  <si>
    <t>ORD10154</t>
  </si>
  <si>
    <t>23/03/2025</t>
  </si>
  <si>
    <t>15/12/1995</t>
  </si>
  <si>
    <t>9682415134</t>
  </si>
  <si>
    <t>ORD10155</t>
  </si>
  <si>
    <t>22/07/2025</t>
  </si>
  <si>
    <t>23/07/2025</t>
  </si>
  <si>
    <t>24/07/1976</t>
  </si>
  <si>
    <t>9808223872</t>
  </si>
  <si>
    <t>ORD10156</t>
  </si>
  <si>
    <t>21/07/2025</t>
  </si>
  <si>
    <t>24/07/2025</t>
  </si>
  <si>
    <t>22/06/1984</t>
  </si>
  <si>
    <t>9193549730</t>
  </si>
  <si>
    <t>ORD10157</t>
  </si>
  <si>
    <t>29/07/2025</t>
  </si>
  <si>
    <t>06/08/1998</t>
  </si>
  <si>
    <t>9520617130</t>
  </si>
  <si>
    <t>ORD10158</t>
  </si>
  <si>
    <t>18/06/2001</t>
  </si>
  <si>
    <t>9264578122</t>
  </si>
  <si>
    <t>ORD10159</t>
  </si>
  <si>
    <t>23/05/2026</t>
  </si>
  <si>
    <t>11/09/1999</t>
  </si>
  <si>
    <t>9275071213</t>
  </si>
  <si>
    <t>ORD10160</t>
  </si>
  <si>
    <t>07/12/1995</t>
  </si>
  <si>
    <t>9715222543</t>
  </si>
  <si>
    <t>ORD10161</t>
  </si>
  <si>
    <t>Amit    Sharma</t>
  </si>
  <si>
    <t>22/07/1999</t>
  </si>
  <si>
    <t>9942010833</t>
  </si>
  <si>
    <t>ORD10162</t>
  </si>
  <si>
    <t>14/11/2000</t>
  </si>
  <si>
    <t>9347718932</t>
  </si>
  <si>
    <t>ORD10163</t>
  </si>
  <si>
    <t>17/09/2025</t>
  </si>
  <si>
    <t>24/07/2002</t>
  </si>
  <si>
    <t>9274808844</t>
  </si>
  <si>
    <t>ORD10164</t>
  </si>
  <si>
    <t>04/11/2025</t>
  </si>
  <si>
    <t>13/11/2025</t>
  </si>
  <si>
    <t>25/02/2002</t>
  </si>
  <si>
    <t>9798996063</t>
  </si>
  <si>
    <t>ORD10165</t>
  </si>
  <si>
    <t>16/07/1980</t>
  </si>
  <si>
    <t>9145200936</t>
  </si>
  <si>
    <t>ORD10166</t>
  </si>
  <si>
    <t>19/06/2025</t>
  </si>
  <si>
    <t>25/05/1996</t>
  </si>
  <si>
    <t>9697654418</t>
  </si>
  <si>
    <t>ORD10167</t>
  </si>
  <si>
    <t>26/03/2025</t>
  </si>
  <si>
    <t>06/04/2025</t>
  </si>
  <si>
    <t>11/05/1986</t>
  </si>
  <si>
    <t>9457923119</t>
  </si>
  <si>
    <t>ORD10168</t>
  </si>
  <si>
    <t>06/07/2025</t>
  </si>
  <si>
    <t>25/05/1989</t>
  </si>
  <si>
    <t>9236111271</t>
  </si>
  <si>
    <t>ORD10169</t>
  </si>
  <si>
    <t>25/08/1989</t>
  </si>
  <si>
    <t>9402569141</t>
  </si>
  <si>
    <t>ORD10170</t>
  </si>
  <si>
    <t>20/05/1997</t>
  </si>
  <si>
    <t>9138184056</t>
  </si>
  <si>
    <t>ORD10171</t>
  </si>
  <si>
    <t>01/04/2026</t>
  </si>
  <si>
    <t>07/04/2026</t>
  </si>
  <si>
    <t>03/05/1987</t>
  </si>
  <si>
    <t>9609598700</t>
  </si>
  <si>
    <t>ORD10172</t>
  </si>
  <si>
    <t>29/10/2025</t>
  </si>
  <si>
    <t>02/12/2002</t>
  </si>
  <si>
    <t>9385894399</t>
  </si>
  <si>
    <t>ORD10173</t>
  </si>
  <si>
    <t>06/02/2025</t>
  </si>
  <si>
    <t>17/02/2025</t>
  </si>
  <si>
    <t>25/05/1986</t>
  </si>
  <si>
    <t>9329448011</t>
  </si>
  <si>
    <t>ORD10174</t>
  </si>
  <si>
    <t xml:space="preserve">       Vikas Mehta</t>
  </si>
  <si>
    <t>22/02/1986</t>
  </si>
  <si>
    <t>vikas.mehtacompany.com</t>
  </si>
  <si>
    <t>9889544104</t>
  </si>
  <si>
    <t>ORD10175</t>
  </si>
  <si>
    <t>14/03/2025</t>
  </si>
  <si>
    <t>07/04/1988</t>
  </si>
  <si>
    <t>9101861045</t>
  </si>
  <si>
    <t>ORD10176</t>
  </si>
  <si>
    <t>16/07/2025</t>
  </si>
  <si>
    <t>27/06/1993</t>
  </si>
  <si>
    <t>9364712105</t>
  </si>
  <si>
    <t>ORD10177</t>
  </si>
  <si>
    <t>02/12/2025</t>
  </si>
  <si>
    <t>Sneha      Joshi</t>
  </si>
  <si>
    <t>18/06/2004</t>
  </si>
  <si>
    <t>9950206376</t>
  </si>
  <si>
    <t>ORD10178</t>
  </si>
  <si>
    <t>21/02/2026</t>
  </si>
  <si>
    <t>09/09/1993</t>
  </si>
  <si>
    <t>9235822094</t>
  </si>
  <si>
    <t>ORD10179</t>
  </si>
  <si>
    <t>09/11/2025</t>
  </si>
  <si>
    <t>Priya  Patel</t>
  </si>
  <si>
    <t>13/09/2001</t>
  </si>
  <si>
    <t>9311021344</t>
  </si>
  <si>
    <t>ORD10180</t>
  </si>
  <si>
    <t>07/02/2025</t>
  </si>
  <si>
    <t>15/11/1981</t>
  </si>
  <si>
    <t>9891358505</t>
  </si>
  <si>
    <t>ORD10181</t>
  </si>
  <si>
    <t>26/05/2025</t>
  </si>
  <si>
    <t>12/09/1980</t>
  </si>
  <si>
    <t>9910085332</t>
  </si>
  <si>
    <t>ORD10182</t>
  </si>
  <si>
    <t>04/10/2025</t>
  </si>
  <si>
    <t>06/10/2025</t>
  </si>
  <si>
    <t>9756908023</t>
  </si>
  <si>
    <t>ORD10183</t>
  </si>
  <si>
    <t>15/05/2025</t>
  </si>
  <si>
    <t>19/02/1988</t>
  </si>
  <si>
    <t>9645913247</t>
  </si>
  <si>
    <t>ORD10184</t>
  </si>
  <si>
    <t>14/06/2025</t>
  </si>
  <si>
    <t>23/06/2025</t>
  </si>
  <si>
    <t>03/12/1981</t>
  </si>
  <si>
    <t>9806914795</t>
  </si>
  <si>
    <t>ORD10185</t>
  </si>
  <si>
    <t>22/04/2025</t>
  </si>
  <si>
    <t>11/02/1984</t>
  </si>
  <si>
    <t>9276222829</t>
  </si>
  <si>
    <t>ORD10186</t>
  </si>
  <si>
    <t>24/01/2025</t>
  </si>
  <si>
    <t>07/12/1991</t>
  </si>
  <si>
    <t>9533835528</t>
  </si>
  <si>
    <t>ORD10187</t>
  </si>
  <si>
    <t>26/12/2025</t>
  </si>
  <si>
    <t>21/02/1976</t>
  </si>
  <si>
    <t>9654885820</t>
  </si>
  <si>
    <t>ORD10188</t>
  </si>
  <si>
    <t>28/06/2025</t>
  </si>
  <si>
    <t>28/08/1975</t>
  </si>
  <si>
    <t>9456029544</t>
  </si>
  <si>
    <t>ORD10189</t>
  </si>
  <si>
    <t>12/05/2026</t>
  </si>
  <si>
    <t>22/05/2026</t>
  </si>
  <si>
    <t>05/12/1987</t>
  </si>
  <si>
    <t>9914571493</t>
  </si>
  <si>
    <t>ORD10190</t>
  </si>
  <si>
    <t>26/08/2004</t>
  </si>
  <si>
    <t>9270726986</t>
  </si>
  <si>
    <t>ORD10191</t>
  </si>
  <si>
    <t>16/01/1994</t>
  </si>
  <si>
    <t>9570080664</t>
  </si>
  <si>
    <t>ORD10192</t>
  </si>
  <si>
    <t>20/11/2025</t>
  </si>
  <si>
    <t>28/10/2003</t>
  </si>
  <si>
    <t>9109009524</t>
  </si>
  <si>
    <t>ORD10193</t>
  </si>
  <si>
    <t>16/05/2000</t>
  </si>
  <si>
    <t>9701276770</t>
  </si>
  <si>
    <t>ORD10194</t>
  </si>
  <si>
    <t>16/02/2025</t>
  </si>
  <si>
    <t>18/02/2025</t>
  </si>
  <si>
    <t>04/07/1989</t>
  </si>
  <si>
    <t>9298278507</t>
  </si>
  <si>
    <t>ORD10195</t>
  </si>
  <si>
    <t>09/03/1998</t>
  </si>
  <si>
    <t>9895908093</t>
  </si>
  <si>
    <t>ORD10196</t>
  </si>
  <si>
    <t>21/05/1988</t>
  </si>
  <si>
    <t>9734108795</t>
  </si>
  <si>
    <t>ORD10197</t>
  </si>
  <si>
    <t>14/01/2026</t>
  </si>
  <si>
    <t>18/07/1994</t>
  </si>
  <si>
    <t>9799597413</t>
  </si>
  <si>
    <t>ORD10198</t>
  </si>
  <si>
    <t>15/11/1977</t>
  </si>
  <si>
    <t>9688987266</t>
  </si>
  <si>
    <t>ORD10199</t>
  </si>
  <si>
    <t>15/04/2026</t>
  </si>
  <si>
    <t>22/09/1982</t>
  </si>
  <si>
    <t>Stationary</t>
  </si>
  <si>
    <t>9867169037</t>
  </si>
  <si>
    <t>ORD10200</t>
  </si>
  <si>
    <t>20/02/2025</t>
  </si>
  <si>
    <t>14/09/1994</t>
  </si>
  <si>
    <t>9485547425</t>
  </si>
  <si>
    <t>ORD10201</t>
  </si>
  <si>
    <t>02/12/1995</t>
  </si>
  <si>
    <t>9889733076</t>
  </si>
  <si>
    <t>ORD10202</t>
  </si>
  <si>
    <t>24/05/2025</t>
  </si>
  <si>
    <t>27/05/2025</t>
  </si>
  <si>
    <t>10/07/1985</t>
  </si>
  <si>
    <t>9145434449</t>
  </si>
  <si>
    <t>ORD10203</t>
  </si>
  <si>
    <t>25/03/2001</t>
  </si>
  <si>
    <t>9598942148</t>
  </si>
  <si>
    <t>ORD10204</t>
  </si>
  <si>
    <t>09/03/2026</t>
  </si>
  <si>
    <t>9599252705</t>
  </si>
  <si>
    <t>ORD10205</t>
  </si>
  <si>
    <t>14/01/2003</t>
  </si>
  <si>
    <t>9626843681</t>
  </si>
  <si>
    <t>ORD10206</t>
  </si>
  <si>
    <t>12/03/2025</t>
  </si>
  <si>
    <t>02/10/1980</t>
  </si>
  <si>
    <t>9934933215</t>
  </si>
  <si>
    <t>ORD10207</t>
  </si>
  <si>
    <t>06/04/2026</t>
  </si>
  <si>
    <t>24/10/1990</t>
  </si>
  <si>
    <t>9508025585</t>
  </si>
  <si>
    <t>ORD10208</t>
  </si>
  <si>
    <t>17/01/2026</t>
  </si>
  <si>
    <t>20/01/2026</t>
  </si>
  <si>
    <t>24/09/1977</t>
  </si>
  <si>
    <t>9364681052</t>
  </si>
  <si>
    <t>ORD10209</t>
  </si>
  <si>
    <t>24/11/2025</t>
  </si>
  <si>
    <t>02/10/1996</t>
  </si>
  <si>
    <t>9117102884</t>
  </si>
  <si>
    <t>ORD10210</t>
  </si>
  <si>
    <t>21/09/2025</t>
  </si>
  <si>
    <t>17/05/1976</t>
  </si>
  <si>
    <t>9819453185</t>
  </si>
  <si>
    <t>ORD10211</t>
  </si>
  <si>
    <t>27/12/2025</t>
  </si>
  <si>
    <t>09/12/1987</t>
  </si>
  <si>
    <t>9511806701</t>
  </si>
  <si>
    <t>ORD10212</t>
  </si>
  <si>
    <t>16/07/1990</t>
  </si>
  <si>
    <t>9875249891</t>
  </si>
  <si>
    <t>ORD10213</t>
  </si>
  <si>
    <t>9438232503</t>
  </si>
  <si>
    <t>ORD10214</t>
  </si>
  <si>
    <t>22/04/2026</t>
  </si>
  <si>
    <t>26/12/1977</t>
  </si>
  <si>
    <t>9449953754</t>
  </si>
  <si>
    <t>ORD10215</t>
  </si>
  <si>
    <t>06/03/2026</t>
  </si>
  <si>
    <t>04/06/1995</t>
  </si>
  <si>
    <t>9833801891</t>
  </si>
  <si>
    <t>ORD10216</t>
  </si>
  <si>
    <t>28/02/2025</t>
  </si>
  <si>
    <t>16/11/1983</t>
  </si>
  <si>
    <t>9183949273</t>
  </si>
  <si>
    <t>ORD10217</t>
  </si>
  <si>
    <t>07/11/2025</t>
  </si>
  <si>
    <t>10/10/1985</t>
  </si>
  <si>
    <t>9168257367</t>
  </si>
  <si>
    <t>ORD10218</t>
  </si>
  <si>
    <t>30/01/2026</t>
  </si>
  <si>
    <t>07/01/2002</t>
  </si>
  <si>
    <t>9580903210</t>
  </si>
  <si>
    <t>ORD10219</t>
  </si>
  <si>
    <t>29/04/2026</t>
  </si>
  <si>
    <t>18/07/1999</t>
  </si>
  <si>
    <t>9602152945</t>
  </si>
  <si>
    <t>ORD10220</t>
  </si>
  <si>
    <t>18/05/2025</t>
  </si>
  <si>
    <t>20/05/2025</t>
  </si>
  <si>
    <t>02/09/1990</t>
  </si>
  <si>
    <t>9646917552</t>
  </si>
  <si>
    <t>ORD10221</t>
  </si>
  <si>
    <t>28/03/2026</t>
  </si>
  <si>
    <t>02/08/1992</t>
  </si>
  <si>
    <t>9127548552</t>
  </si>
  <si>
    <t>ORD10222</t>
  </si>
  <si>
    <t>19/01/2026</t>
  </si>
  <si>
    <t>09/02/1980</t>
  </si>
  <si>
    <t>9712805603</t>
  </si>
  <si>
    <t>ORD10223</t>
  </si>
  <si>
    <t>02/05/2026</t>
  </si>
  <si>
    <t>18/02/1989</t>
  </si>
  <si>
    <t>9798313682</t>
  </si>
  <si>
    <t>ORD10224</t>
  </si>
  <si>
    <t>02/11/2025</t>
  </si>
  <si>
    <t>10/09/1993</t>
  </si>
  <si>
    <t>9642822397</t>
  </si>
  <si>
    <t>ORD10225</t>
  </si>
  <si>
    <t>20/07/2025</t>
  </si>
  <si>
    <t>17/11/1981</t>
  </si>
  <si>
    <t>9490067655</t>
  </si>
  <si>
    <t>ORD10226</t>
  </si>
  <si>
    <t>24/02/2025</t>
  </si>
  <si>
    <t>24/08/2003</t>
  </si>
  <si>
    <t>9389792144</t>
  </si>
  <si>
    <t>ORD10227</t>
  </si>
  <si>
    <t>20/04/2025</t>
  </si>
  <si>
    <t>01/05/2025</t>
  </si>
  <si>
    <t>19/07/1985</t>
  </si>
  <si>
    <t>9736113863</t>
  </si>
  <si>
    <t>ORD10228</t>
  </si>
  <si>
    <t>05/06/2025</t>
  </si>
  <si>
    <t>13/06/2025</t>
  </si>
  <si>
    <t>10/05/1994</t>
  </si>
  <si>
    <t>9324634732</t>
  </si>
  <si>
    <t>ORD10229</t>
  </si>
  <si>
    <t>23/05/2025</t>
  </si>
  <si>
    <t>23/03/1993</t>
  </si>
  <si>
    <t>9529968110</t>
  </si>
  <si>
    <t>ORD10230</t>
  </si>
  <si>
    <t>24/01/2026</t>
  </si>
  <si>
    <t>13/06/1979</t>
  </si>
  <si>
    <t>9102417647</t>
  </si>
  <si>
    <t>ORD10231</t>
  </si>
  <si>
    <t>24/01/1991</t>
  </si>
  <si>
    <t>9630302865</t>
  </si>
  <si>
    <t>ORD10232</t>
  </si>
  <si>
    <t>22/02/2004</t>
  </si>
  <si>
    <t>9465353780</t>
  </si>
  <si>
    <t>ORD10233</t>
  </si>
  <si>
    <t>25/04/1977</t>
  </si>
  <si>
    <t>9837426414</t>
  </si>
  <si>
    <t>ORD10234</t>
  </si>
  <si>
    <t>20/02/2026</t>
  </si>
  <si>
    <t>04/03/2026</t>
  </si>
  <si>
    <t>22/07/1994</t>
  </si>
  <si>
    <t>9249918272</t>
  </si>
  <si>
    <t>ORD10235</t>
  </si>
  <si>
    <t>11/11/1979</t>
  </si>
  <si>
    <t>9265580582</t>
  </si>
  <si>
    <t>ORD10236</t>
  </si>
  <si>
    <t>09/07/2025</t>
  </si>
  <si>
    <t>27/05/1995</t>
  </si>
  <si>
    <t>9751049833</t>
  </si>
  <si>
    <t>ORD10237</t>
  </si>
  <si>
    <t>08/02/2025</t>
  </si>
  <si>
    <t>18/06/1998</t>
  </si>
  <si>
    <t>9741671507</t>
  </si>
  <si>
    <t>ORD10238</t>
  </si>
  <si>
    <t>04/03/2025</t>
  </si>
  <si>
    <t>21/01/1983</t>
  </si>
  <si>
    <t>9367541035</t>
  </si>
  <si>
    <t>ORD10239</t>
  </si>
  <si>
    <t>06/02/2026</t>
  </si>
  <si>
    <t>03/03/1978</t>
  </si>
  <si>
    <t>9323696971</t>
  </si>
  <si>
    <t>ORD10240</t>
  </si>
  <si>
    <t>08/01/2026</t>
  </si>
  <si>
    <t>24/06/1997</t>
  </si>
  <si>
    <t>9786384529</t>
  </si>
  <si>
    <t>ORD10241</t>
  </si>
  <si>
    <t>25/08/1976</t>
  </si>
  <si>
    <t>9444900541</t>
  </si>
  <si>
    <t>ORD10242</t>
  </si>
  <si>
    <t>12/09/2025</t>
  </si>
  <si>
    <t>04/04/1996</t>
  </si>
  <si>
    <t>9108024911</t>
  </si>
  <si>
    <t>ORD10243</t>
  </si>
  <si>
    <t>13/01/2026</t>
  </si>
  <si>
    <t>09/10/2001</t>
  </si>
  <si>
    <t>9897181325</t>
  </si>
  <si>
    <t>ORD10244</t>
  </si>
  <si>
    <t>16/05/2026</t>
  </si>
  <si>
    <t>19/05/2026</t>
  </si>
  <si>
    <t>11/04/1995</t>
  </si>
  <si>
    <t>9554719621</t>
  </si>
  <si>
    <t>ORD10245</t>
  </si>
  <si>
    <t>04/05/2000</t>
  </si>
  <si>
    <t>9815899217</t>
  </si>
  <si>
    <t>ORD10246</t>
  </si>
  <si>
    <t>01/06/2025</t>
  </si>
  <si>
    <t>01/03/2002</t>
  </si>
  <si>
    <t>9308497039</t>
  </si>
  <si>
    <t>ORD10247</t>
  </si>
  <si>
    <t>27/05/1975</t>
  </si>
  <si>
    <t>9882054354</t>
  </si>
  <si>
    <t>ORD10248</t>
  </si>
  <si>
    <t>02/12/1988</t>
  </si>
  <si>
    <t>9193016830</t>
  </si>
  <si>
    <t>ORD10249</t>
  </si>
  <si>
    <t>28/12/2025</t>
  </si>
  <si>
    <t>05/01/2026</t>
  </si>
  <si>
    <t>06/12/1984</t>
  </si>
  <si>
    <t>Crypto</t>
  </si>
  <si>
    <t>9921470418</t>
  </si>
  <si>
    <t>ORD10250</t>
  </si>
  <si>
    <t>17/05/2025</t>
  </si>
  <si>
    <t>01/05/1990</t>
  </si>
  <si>
    <t>9686979026</t>
  </si>
  <si>
    <t>ORD10251</t>
  </si>
  <si>
    <t>09/02/1988</t>
  </si>
  <si>
    <t>9569007422</t>
  </si>
  <si>
    <t>ORD10252</t>
  </si>
  <si>
    <t>28/03/1982</t>
  </si>
  <si>
    <t>9180820441</t>
  </si>
  <si>
    <t>ORD10253</t>
  </si>
  <si>
    <t>15/12/2025</t>
  </si>
  <si>
    <t>28/12/1976</t>
  </si>
  <si>
    <t>9769075826</t>
  </si>
  <si>
    <t>ORD10254</t>
  </si>
  <si>
    <t>03/08/2003</t>
  </si>
  <si>
    <t>9467916296</t>
  </si>
  <si>
    <t>ORD10255</t>
  </si>
  <si>
    <t>01/10/2025</t>
  </si>
  <si>
    <t>06/05/1986</t>
  </si>
  <si>
    <t>9477052923</t>
  </si>
  <si>
    <t>ORD10256</t>
  </si>
  <si>
    <t>03/11/2025</t>
  </si>
  <si>
    <t>04/02/1989</t>
  </si>
  <si>
    <t>9184311420</t>
  </si>
  <si>
    <t>ORD10257</t>
  </si>
  <si>
    <t>08/02/1980</t>
  </si>
  <si>
    <t>9630913127</t>
  </si>
  <si>
    <t>ORD10258</t>
  </si>
  <si>
    <t>13/01/1985</t>
  </si>
  <si>
    <t>9997515828</t>
  </si>
  <si>
    <t>ORD10259</t>
  </si>
  <si>
    <t>24/07/1979</t>
  </si>
  <si>
    <t>9394291182</t>
  </si>
  <si>
    <t>ORD10260</t>
  </si>
  <si>
    <t>09/05/2026</t>
  </si>
  <si>
    <t>03/08/1993</t>
  </si>
  <si>
    <t>9616853220</t>
  </si>
  <si>
    <t>ORD10261</t>
  </si>
  <si>
    <t>30/07/2025</t>
  </si>
  <si>
    <t>23/08/1975</t>
  </si>
  <si>
    <t>9147552626</t>
  </si>
  <si>
    <t>ORD10262</t>
  </si>
  <si>
    <t>23/04/1978</t>
  </si>
  <si>
    <t>9724197033</t>
  </si>
  <si>
    <t>ORD10263</t>
  </si>
  <si>
    <t>08/07/2025</t>
  </si>
  <si>
    <t>25/09/2003</t>
  </si>
  <si>
    <t>9130666128</t>
  </si>
  <si>
    <t>ORD10264</t>
  </si>
  <si>
    <t>12/12/2025</t>
  </si>
  <si>
    <t>09/04/2002</t>
  </si>
  <si>
    <t>9866567601</t>
  </si>
  <si>
    <t>ORD10265</t>
  </si>
  <si>
    <t>24/09/1985</t>
  </si>
  <si>
    <t>9477282450</t>
  </si>
  <si>
    <t>ORD10266</t>
  </si>
  <si>
    <t>12/12/1984</t>
  </si>
  <si>
    <t>9857621478</t>
  </si>
  <si>
    <t>ORD10267</t>
  </si>
  <si>
    <t>03/05/2025</t>
  </si>
  <si>
    <t>20/07/1984</t>
  </si>
  <si>
    <t>9753869055</t>
  </si>
  <si>
    <t>ORD10268</t>
  </si>
  <si>
    <t>09/01/2025</t>
  </si>
  <si>
    <t>12/01/2025</t>
  </si>
  <si>
    <t>15/03/1988</t>
  </si>
  <si>
    <t>9663266204</t>
  </si>
  <si>
    <t>ORD10269</t>
  </si>
  <si>
    <t>27/05/1987</t>
  </si>
  <si>
    <t>9675208616</t>
  </si>
  <si>
    <t>ORD10270</t>
  </si>
  <si>
    <t>25/10/1988</t>
  </si>
  <si>
    <t>9618393586</t>
  </si>
  <si>
    <t>ORD10271</t>
  </si>
  <si>
    <t>17/04/2025</t>
  </si>
  <si>
    <t>12/12/1990</t>
  </si>
  <si>
    <t>9137027840</t>
  </si>
  <si>
    <t>ORD10272</t>
  </si>
  <si>
    <t>09/08/2025</t>
  </si>
  <si>
    <t>23/02/1981</t>
  </si>
  <si>
    <t>9362758134</t>
  </si>
  <si>
    <t>ORD10273</t>
  </si>
  <si>
    <t>16/04/2026</t>
  </si>
  <si>
    <t>03/04/1985</t>
  </si>
  <si>
    <t>9648541985</t>
  </si>
  <si>
    <t>ORD10274</t>
  </si>
  <si>
    <t>22/06/2025</t>
  </si>
  <si>
    <t>06/08/1976</t>
  </si>
  <si>
    <t>9175002781</t>
  </si>
  <si>
    <t>ORD10275</t>
  </si>
  <si>
    <t>19/05/2025</t>
  </si>
  <si>
    <t>13/05/1978</t>
  </si>
  <si>
    <t>9786241263</t>
  </si>
  <si>
    <t>ORD10276</t>
  </si>
  <si>
    <t>29/03/2025</t>
  </si>
  <si>
    <t>19/08/1998</t>
  </si>
  <si>
    <t>9691078176</t>
  </si>
  <si>
    <t>ORD10277</t>
  </si>
  <si>
    <t>18/02/2026</t>
  </si>
  <si>
    <t>20/10/1975</t>
  </si>
  <si>
    <t>9336679085</t>
  </si>
  <si>
    <t>ORD10278</t>
  </si>
  <si>
    <t>21/01/2026</t>
  </si>
  <si>
    <t>29/01/2026</t>
  </si>
  <si>
    <t>28/09/1975</t>
  </si>
  <si>
    <t>9497351043</t>
  </si>
  <si>
    <t>ORD10279</t>
  </si>
  <si>
    <t>29/09/2025</t>
  </si>
  <si>
    <t>23/09/2002</t>
  </si>
  <si>
    <t>9357038998</t>
  </si>
  <si>
    <t>ORD10280</t>
  </si>
  <si>
    <t>30/06/2025</t>
  </si>
  <si>
    <t>17/06/1988</t>
  </si>
  <si>
    <t>9986371291</t>
  </si>
  <si>
    <t>ORD10281</t>
  </si>
  <si>
    <t>12/05/2025</t>
  </si>
  <si>
    <t>16/05/2025</t>
  </si>
  <si>
    <t>02/02/1991</t>
  </si>
  <si>
    <t>9397839191</t>
  </si>
  <si>
    <t>ORD10282</t>
  </si>
  <si>
    <t>06/09/2025</t>
  </si>
  <si>
    <t>09/08/1978</t>
  </si>
  <si>
    <t>9162975843</t>
  </si>
  <si>
    <t>ORD10283</t>
  </si>
  <si>
    <t>23/04/2025</t>
  </si>
  <si>
    <t>02/02/1994</t>
  </si>
  <si>
    <t>9237616558</t>
  </si>
  <si>
    <t>ORD10284</t>
  </si>
  <si>
    <t>27/02/2026</t>
  </si>
  <si>
    <t>28/03/1995</t>
  </si>
  <si>
    <t>9935063989</t>
  </si>
  <si>
    <t>ORD10285</t>
  </si>
  <si>
    <t>12/03/1992</t>
  </si>
  <si>
    <t>9167376169</t>
  </si>
  <si>
    <t>ORD10286</t>
  </si>
  <si>
    <t>30/09/2025</t>
  </si>
  <si>
    <t>23/01/1981</t>
  </si>
  <si>
    <t>9231845497</t>
  </si>
  <si>
    <t>ORD10287</t>
  </si>
  <si>
    <t>08/05/2026</t>
  </si>
  <si>
    <t>11/05/2026</t>
  </si>
  <si>
    <t>28/09/1984</t>
  </si>
  <si>
    <t>9409415805</t>
  </si>
  <si>
    <t>ORD10288</t>
  </si>
  <si>
    <t>06/11/1975</t>
  </si>
  <si>
    <t>priya.patecompany.com</t>
  </si>
  <si>
    <t>9240800508</t>
  </si>
  <si>
    <t>ORD10289</t>
  </si>
  <si>
    <t>26/06/1995</t>
  </si>
  <si>
    <t>9764609936</t>
  </si>
  <si>
    <t>ORD10290</t>
  </si>
  <si>
    <t>21/11/1979</t>
  </si>
  <si>
    <t>9362733217</t>
  </si>
  <si>
    <t>ORD10291</t>
  </si>
  <si>
    <t>9270466205</t>
  </si>
  <si>
    <t>ORD10292</t>
  </si>
  <si>
    <t>01/04/2025</t>
  </si>
  <si>
    <t>08/02/2001</t>
  </si>
  <si>
    <t>9571436865</t>
  </si>
  <si>
    <t>ORD10293</t>
  </si>
  <si>
    <t>14/12/1989</t>
  </si>
  <si>
    <t>Pooja.shah@company.com</t>
  </si>
  <si>
    <t>9307011171</t>
  </si>
  <si>
    <t>ORD10294</t>
  </si>
  <si>
    <t>13/02/2026</t>
  </si>
  <si>
    <t>24/02/2026</t>
  </si>
  <si>
    <t>15/12/1988</t>
  </si>
  <si>
    <t>9922380435</t>
  </si>
  <si>
    <t>ORD10295</t>
  </si>
  <si>
    <t>11/02/2025</t>
  </si>
  <si>
    <t>14/02/2025</t>
  </si>
  <si>
    <t>20/10/1990</t>
  </si>
  <si>
    <t>9463618792</t>
  </si>
  <si>
    <t>ORD10296</t>
  </si>
  <si>
    <t>17/01/2025</t>
  </si>
  <si>
    <t>27/01/2025</t>
  </si>
  <si>
    <t>08/09/1978</t>
  </si>
  <si>
    <t>9954973200</t>
  </si>
  <si>
    <t>ORD10297</t>
  </si>
  <si>
    <t>09/02/1978</t>
  </si>
  <si>
    <t>9383199236</t>
  </si>
  <si>
    <t>ORD10298</t>
  </si>
  <si>
    <t>03/01/2004</t>
  </si>
  <si>
    <t>9482699727</t>
  </si>
  <si>
    <t>ORD10299</t>
  </si>
  <si>
    <t>17/10/2025</t>
  </si>
  <si>
    <t>02/05/1992</t>
  </si>
  <si>
    <t>9332473934</t>
  </si>
  <si>
    <t>ORD10300</t>
  </si>
  <si>
    <t>26/01/2003</t>
  </si>
  <si>
    <t>9647657382</t>
  </si>
  <si>
    <t>ORD10301</t>
  </si>
  <si>
    <t>20/05/1987</t>
  </si>
  <si>
    <t>9736797776</t>
  </si>
  <si>
    <t>ORD10302</t>
  </si>
  <si>
    <t>07/09/1975</t>
  </si>
  <si>
    <t>9745773533</t>
  </si>
  <si>
    <t>ORD10303</t>
  </si>
  <si>
    <t>10/08/1980</t>
  </si>
  <si>
    <t>9246715757</t>
  </si>
  <si>
    <t>ORD10304</t>
  </si>
  <si>
    <t>23/04/2026</t>
  </si>
  <si>
    <t>07/04/1989</t>
  </si>
  <si>
    <t>9904065774</t>
  </si>
  <si>
    <t>ORD10305</t>
  </si>
  <si>
    <t>02/03/2025</t>
  </si>
  <si>
    <t>20/08/1998</t>
  </si>
  <si>
    <t>9652985385</t>
  </si>
  <si>
    <t>ORD10306</t>
  </si>
  <si>
    <t>03/04/2001</t>
  </si>
  <si>
    <t>9427001508</t>
  </si>
  <si>
    <t>ORD10307</t>
  </si>
  <si>
    <t>9666803655</t>
  </si>
  <si>
    <t>ORD10308</t>
  </si>
  <si>
    <t>9134878547</t>
  </si>
  <si>
    <t>ORD10309</t>
  </si>
  <si>
    <t>04/09/1986</t>
  </si>
  <si>
    <t>9253593557</t>
  </si>
  <si>
    <t>ORD10310</t>
  </si>
  <si>
    <t>14/08/1989</t>
  </si>
  <si>
    <t>9183094051</t>
  </si>
  <si>
    <t>ORD10311</t>
  </si>
  <si>
    <t>16/10/2025</t>
  </si>
  <si>
    <t>02/03/1991</t>
  </si>
  <si>
    <t>9293147620</t>
  </si>
  <si>
    <t>ORD10312</t>
  </si>
  <si>
    <t>28/04/2026</t>
  </si>
  <si>
    <t>13/08/1989</t>
  </si>
  <si>
    <t>9755583734</t>
  </si>
  <si>
    <t>ORD10313</t>
  </si>
  <si>
    <t>02/02/2003</t>
  </si>
  <si>
    <t>9186592813</t>
  </si>
  <si>
    <t>ORD10314</t>
  </si>
  <si>
    <t>08/05/2025</t>
  </si>
  <si>
    <t>16/11/1995</t>
  </si>
  <si>
    <t>9203482008</t>
  </si>
  <si>
    <t>ORD10315</t>
  </si>
  <si>
    <t>24/11/1989</t>
  </si>
  <si>
    <t>9829888777</t>
  </si>
  <si>
    <t>ORD10316</t>
  </si>
  <si>
    <t>30/12/2025</t>
  </si>
  <si>
    <t>20/04/1988</t>
  </si>
  <si>
    <t>9566101317</t>
  </si>
  <si>
    <t>ORD10317</t>
  </si>
  <si>
    <t>02/11/1978</t>
  </si>
  <si>
    <t>9706240823</t>
  </si>
  <si>
    <t>ORD10318</t>
  </si>
  <si>
    <t>08/11/2025</t>
  </si>
  <si>
    <t>13/12/1989</t>
  </si>
  <si>
    <t>9259943760</t>
  </si>
  <si>
    <t>ORD10319</t>
  </si>
  <si>
    <t>08/01/1995</t>
  </si>
  <si>
    <t>9527326977</t>
  </si>
  <si>
    <t>ORD10320</t>
  </si>
  <si>
    <t>23/10/1994</t>
  </si>
  <si>
    <t>9886970990</t>
  </si>
  <si>
    <t>ORD10321</t>
  </si>
  <si>
    <t>10/03/2025</t>
  </si>
  <si>
    <t>21/05/1996</t>
  </si>
  <si>
    <t>9106930369</t>
  </si>
  <si>
    <t>ORD10322</t>
  </si>
  <si>
    <t>03/06/2025</t>
  </si>
  <si>
    <t>26/05/1982</t>
  </si>
  <si>
    <t>9342009114</t>
  </si>
  <si>
    <t>ORD10323</t>
  </si>
  <si>
    <t>22/11/2001</t>
  </si>
  <si>
    <t>9992739960</t>
  </si>
  <si>
    <t>ORD10324</t>
  </si>
  <si>
    <t>26/02/1989</t>
  </si>
  <si>
    <t>9241987748</t>
  </si>
  <si>
    <t>ORD10325</t>
  </si>
  <si>
    <t>10/12/2025</t>
  </si>
  <si>
    <t>21/12/2025</t>
  </si>
  <si>
    <t>18/08/1985</t>
  </si>
  <si>
    <t>9571990711</t>
  </si>
  <si>
    <t>ORD10326</t>
  </si>
  <si>
    <t>12/03/2026</t>
  </si>
  <si>
    <t>03/01/1980</t>
  </si>
  <si>
    <t>9219231183</t>
  </si>
  <si>
    <t>ORD10327</t>
  </si>
  <si>
    <t>25/11/2025</t>
  </si>
  <si>
    <t>28/11/2025</t>
  </si>
  <si>
    <t>08/01/1978</t>
  </si>
  <si>
    <t>9847386174</t>
  </si>
  <si>
    <t>ORD10328</t>
  </si>
  <si>
    <t>05/08/1992</t>
  </si>
  <si>
    <t>9941274924</t>
  </si>
  <si>
    <t>ORD10329</t>
  </si>
  <si>
    <t>28/12/2004</t>
  </si>
  <si>
    <t>9950650508</t>
  </si>
  <si>
    <t>ORD10330</t>
  </si>
  <si>
    <t>07/01/2003</t>
  </si>
  <si>
    <t>9464035549</t>
  </si>
  <si>
    <t>ORD10331</t>
  </si>
  <si>
    <t>09/03/1993</t>
  </si>
  <si>
    <t>9142334315</t>
  </si>
  <si>
    <t>ORD10332</t>
  </si>
  <si>
    <t>26/08/2025</t>
  </si>
  <si>
    <t>07/09/2025</t>
  </si>
  <si>
    <t>03/06/1993</t>
  </si>
  <si>
    <t>9123961962</t>
  </si>
  <si>
    <t>ORD10333</t>
  </si>
  <si>
    <t>05/04/2025</t>
  </si>
  <si>
    <t>08/04/2025</t>
  </si>
  <si>
    <t>10/12/1999</t>
  </si>
  <si>
    <t>9741953402</t>
  </si>
  <si>
    <t>ORD10334</t>
  </si>
  <si>
    <t>06/06/1976</t>
  </si>
  <si>
    <t>9404733633</t>
  </si>
  <si>
    <t>ORD10335</t>
  </si>
  <si>
    <t>27/10/1984</t>
  </si>
  <si>
    <t>9297492337</t>
  </si>
  <si>
    <t>ORD10336</t>
  </si>
  <si>
    <t>28/02/1975</t>
  </si>
  <si>
    <t>9350338928</t>
  </si>
  <si>
    <t>ORD10337</t>
  </si>
  <si>
    <t>19/10/1993</t>
  </si>
  <si>
    <t>9933894798</t>
  </si>
  <si>
    <t>ORD10338</t>
  </si>
  <si>
    <t>25/10/1983</t>
  </si>
  <si>
    <t>9705218824</t>
  </si>
  <si>
    <t>ORD10339</t>
  </si>
  <si>
    <t>10/02/2025</t>
  </si>
  <si>
    <t>08/01/1983</t>
  </si>
  <si>
    <t>9229164453</t>
  </si>
  <si>
    <t>ORD10340</t>
  </si>
  <si>
    <t>28/07/2025</t>
  </si>
  <si>
    <t>14/12/1983</t>
  </si>
  <si>
    <t>9219806176</t>
  </si>
  <si>
    <t>ORD10341</t>
  </si>
  <si>
    <t>26/09/1983</t>
  </si>
  <si>
    <t>9630210250</t>
  </si>
  <si>
    <t>ORD10342</t>
  </si>
  <si>
    <t>06/12/2025</t>
  </si>
  <si>
    <t>23/05/1975</t>
  </si>
  <si>
    <t>9583354052</t>
  </si>
  <si>
    <t>ORD10343</t>
  </si>
  <si>
    <t>09/11/1994</t>
  </si>
  <si>
    <t>9242534507</t>
  </si>
  <si>
    <t>ORD10344</t>
  </si>
  <si>
    <t>02/08/2025</t>
  </si>
  <si>
    <t>17/12/1987</t>
  </si>
  <si>
    <t>9291239150</t>
  </si>
  <si>
    <t>ORD10345</t>
  </si>
  <si>
    <t>17/08/2025</t>
  </si>
  <si>
    <t>19/06/1975</t>
  </si>
  <si>
    <t>9550820904</t>
  </si>
  <si>
    <t>ORD10346</t>
  </si>
  <si>
    <t>09/01/1977</t>
  </si>
  <si>
    <t>9294486423</t>
  </si>
  <si>
    <t>ORD10347</t>
  </si>
  <si>
    <t>20/09/1993</t>
  </si>
  <si>
    <t>9260258621</t>
  </si>
  <si>
    <t>ORD10348</t>
  </si>
  <si>
    <t>05/03/1997</t>
  </si>
  <si>
    <t>9697433584</t>
  </si>
  <si>
    <t>ORD10349</t>
  </si>
  <si>
    <t>P999</t>
  </si>
  <si>
    <t>10/07/2002</t>
  </si>
  <si>
    <t>9837969758</t>
  </si>
  <si>
    <t>ORD10350</t>
  </si>
  <si>
    <t>05/12/2025</t>
  </si>
  <si>
    <t>18/04/1984</t>
  </si>
  <si>
    <t>9209736419</t>
  </si>
  <si>
    <t>ORD10351</t>
  </si>
  <si>
    <t>01/07/2003</t>
  </si>
  <si>
    <t>9645907237</t>
  </si>
  <si>
    <t>ORD10352</t>
  </si>
  <si>
    <t>18/07/2025</t>
  </si>
  <si>
    <t>25/10/1992</t>
  </si>
  <si>
    <t>9566149945</t>
  </si>
  <si>
    <t>ORD10353</t>
  </si>
  <si>
    <t>05/08/1988</t>
  </si>
  <si>
    <t>9935018068</t>
  </si>
  <si>
    <t>ORD10354</t>
  </si>
  <si>
    <t>24/06/1987</t>
  </si>
  <si>
    <t>9171794652</t>
  </si>
  <si>
    <t>ORD10355</t>
  </si>
  <si>
    <t>25/09/2025</t>
  </si>
  <si>
    <t>19/10/1989</t>
  </si>
  <si>
    <t>9671497416</t>
  </si>
  <si>
    <t>ORD10356</t>
  </si>
  <si>
    <t>22/05/1992</t>
  </si>
  <si>
    <t>9810433484</t>
  </si>
  <si>
    <t>ORD10357</t>
  </si>
  <si>
    <t>\</t>
  </si>
  <si>
    <t>10/11/1989</t>
  </si>
  <si>
    <t>9990243436</t>
  </si>
  <si>
    <t>ORD10358</t>
  </si>
  <si>
    <t>03/09/1980</t>
  </si>
  <si>
    <t>9396678031</t>
  </si>
  <si>
    <t>ORD10359</t>
  </si>
  <si>
    <t>06/03/1979</t>
  </si>
  <si>
    <t>9818591245</t>
  </si>
  <si>
    <t>ORD10360</t>
  </si>
  <si>
    <t>04/09/1996</t>
  </si>
  <si>
    <t>9505550047</t>
  </si>
  <si>
    <t>ORD10361</t>
  </si>
  <si>
    <t>18/05/2026</t>
  </si>
  <si>
    <t>14/03/1999</t>
  </si>
  <si>
    <t>9469828772</t>
  </si>
  <si>
    <t>ORD10362</t>
  </si>
  <si>
    <t>03/10/1984</t>
  </si>
  <si>
    <t>9885092680</t>
  </si>
  <si>
    <t>ORD10363</t>
  </si>
  <si>
    <t>23/01/2026</t>
  </si>
  <si>
    <t>09/07/1984</t>
  </si>
  <si>
    <t>9362319457</t>
  </si>
  <si>
    <t>ORD10364</t>
  </si>
  <si>
    <t>10/03/1989</t>
  </si>
  <si>
    <t>9223945130</t>
  </si>
  <si>
    <t>ORD10365</t>
  </si>
  <si>
    <t>07/05/2025</t>
  </si>
  <si>
    <t>19/04/1985</t>
  </si>
  <si>
    <t>9910804926</t>
  </si>
  <si>
    <t>ORD10366</t>
  </si>
  <si>
    <t>03/02/2025</t>
  </si>
  <si>
    <t>13/08/2003</t>
  </si>
  <si>
    <t>9274269744</t>
  </si>
  <si>
    <t>ORD10367</t>
  </si>
  <si>
    <t>11/09/1983</t>
  </si>
  <si>
    <t>9223196101</t>
  </si>
  <si>
    <t>ORD10368</t>
  </si>
  <si>
    <t>11/06/1976</t>
  </si>
  <si>
    <t>9888477457</t>
  </si>
  <si>
    <t>ORD10369</t>
  </si>
  <si>
    <t>05/04/2026</t>
  </si>
  <si>
    <t>04/01/1987</t>
  </si>
  <si>
    <t>9435947486</t>
  </si>
  <si>
    <t>ORD10370</t>
  </si>
  <si>
    <t>02/02/2025</t>
  </si>
  <si>
    <t>14/05/1992</t>
  </si>
  <si>
    <t>9411668831</t>
  </si>
  <si>
    <t>ORD10371</t>
  </si>
  <si>
    <t>08/10/2025</t>
  </si>
  <si>
    <t>03/05/1989</t>
  </si>
  <si>
    <t>9523682403</t>
  </si>
  <si>
    <t>ORD10372</t>
  </si>
  <si>
    <t>12/06/2025</t>
  </si>
  <si>
    <t>17/06/2025</t>
  </si>
  <si>
    <t>19/12/1990</t>
  </si>
  <si>
    <t>9652936744</t>
  </si>
  <si>
    <t>ORD10373</t>
  </si>
  <si>
    <t>09/07/1995</t>
  </si>
  <si>
    <t>9726464733</t>
  </si>
  <si>
    <t>ORD10374</t>
  </si>
  <si>
    <t>01/11/2025</t>
  </si>
  <si>
    <t>23/12/1998</t>
  </si>
  <si>
    <t>9273520544</t>
  </si>
  <si>
    <t>ORD10375</t>
  </si>
  <si>
    <t>31/01/2025</t>
  </si>
  <si>
    <t>23/12/1979</t>
  </si>
  <si>
    <t>9374259988</t>
  </si>
  <si>
    <t>ORD10376</t>
  </si>
  <si>
    <t>15/12/1975</t>
  </si>
  <si>
    <t>9538129419</t>
  </si>
  <si>
    <t>ORD10377</t>
  </si>
  <si>
    <t>17/05/1993</t>
  </si>
  <si>
    <t>9382815686</t>
  </si>
  <si>
    <t>ORD10378</t>
  </si>
  <si>
    <t>17/09/1976</t>
  </si>
  <si>
    <t>9450746157</t>
  </si>
  <si>
    <t>ORD10379</t>
  </si>
  <si>
    <t>03/10/2025</t>
  </si>
  <si>
    <t>22/12/1996</t>
  </si>
  <si>
    <t>9349012570</t>
  </si>
  <si>
    <t>ORD10380</t>
  </si>
  <si>
    <t>25/12/1995</t>
  </si>
  <si>
    <t>9442163790</t>
  </si>
  <si>
    <t>ORD10381</t>
  </si>
  <si>
    <t>23/06/1985</t>
  </si>
  <si>
    <t>9953329223</t>
  </si>
  <si>
    <t>ORD10382</t>
  </si>
  <si>
    <t>14/05/2025</t>
  </si>
  <si>
    <t>10/02/1984</t>
  </si>
  <si>
    <t>9202321359</t>
  </si>
  <si>
    <t>ORD10383</t>
  </si>
  <si>
    <t>Rohit      Singh</t>
  </si>
  <si>
    <t>02/04/2002</t>
  </si>
  <si>
    <t>9812564160</t>
  </si>
  <si>
    <t>ORD10384</t>
  </si>
  <si>
    <t>17/07/2003</t>
  </si>
  <si>
    <t>9688458222</t>
  </si>
  <si>
    <t>ORD10385</t>
  </si>
  <si>
    <t>19/02/2026</t>
  </si>
  <si>
    <t>23/02/2026</t>
  </si>
  <si>
    <t>06/10/1991</t>
  </si>
  <si>
    <t>9634473337</t>
  </si>
  <si>
    <t>ORD10386</t>
  </si>
  <si>
    <t>05/01/1984</t>
  </si>
  <si>
    <t>9608737026</t>
  </si>
  <si>
    <t>ORD10387</t>
  </si>
  <si>
    <t>24/10/2025</t>
  </si>
  <si>
    <t>12/03/1975</t>
  </si>
  <si>
    <t>9804498139</t>
  </si>
  <si>
    <t>ORD10388</t>
  </si>
  <si>
    <t>25/01/2026</t>
  </si>
  <si>
    <t>15/03/1983</t>
  </si>
  <si>
    <t>9798643580</t>
  </si>
  <si>
    <t>ORD10389</t>
  </si>
  <si>
    <t>25/01/2025</t>
  </si>
  <si>
    <t>28/01/2025</t>
  </si>
  <si>
    <t>20/04/1976</t>
  </si>
  <si>
    <t>9809823278</t>
  </si>
  <si>
    <t>ORD10390</t>
  </si>
  <si>
    <t>11/02/1986</t>
  </si>
  <si>
    <t>9177767854</t>
  </si>
  <si>
    <t>ORD10391</t>
  </si>
  <si>
    <t>20/06/2025</t>
  </si>
  <si>
    <t>21/06/2025</t>
  </si>
  <si>
    <t>21/03/1978</t>
  </si>
  <si>
    <t>9643440006</t>
  </si>
  <si>
    <t>ORD10392</t>
  </si>
  <si>
    <t>28/05/2025</t>
  </si>
  <si>
    <t>06/06/2025</t>
  </si>
  <si>
    <t>12/07/1996</t>
  </si>
  <si>
    <t>9673698825</t>
  </si>
  <si>
    <t>ORD10393</t>
  </si>
  <si>
    <t>02/12/1992</t>
  </si>
  <si>
    <t>9706238784</t>
  </si>
  <si>
    <t>ORD10394</t>
  </si>
  <si>
    <t>23/03/1996</t>
  </si>
  <si>
    <t>9132959877</t>
  </si>
  <si>
    <t>ORD10395</t>
  </si>
  <si>
    <t>26/02/2026</t>
  </si>
  <si>
    <t>23/06/1994</t>
  </si>
  <si>
    <t>9295011645</t>
  </si>
  <si>
    <t>ORD10396</t>
  </si>
  <si>
    <t>03/08/2025</t>
  </si>
  <si>
    <t>15/08/2025</t>
  </si>
  <si>
    <t>02/02/1980</t>
  </si>
  <si>
    <t>9677606427</t>
  </si>
  <si>
    <t>ORD10397</t>
  </si>
  <si>
    <t>18/01/2025</t>
  </si>
  <si>
    <t>24/08/1990</t>
  </si>
  <si>
    <t>9161631566</t>
  </si>
  <si>
    <t>ORD10398</t>
  </si>
  <si>
    <t>10/12/1978</t>
  </si>
  <si>
    <t>9136906750</t>
  </si>
  <si>
    <t>ORD10399</t>
  </si>
  <si>
    <t>01/09/1979</t>
  </si>
  <si>
    <t>9485286324</t>
  </si>
  <si>
    <t>ORD10400</t>
  </si>
  <si>
    <t>13/05/2025</t>
  </si>
  <si>
    <t>08/04/2001</t>
  </si>
  <si>
    <t>9414633966</t>
  </si>
  <si>
    <t>ORD10401</t>
  </si>
  <si>
    <t>01/01/1983</t>
  </si>
  <si>
    <t>9833735234</t>
  </si>
  <si>
    <t>ORD10402</t>
  </si>
  <si>
    <t>09/08/1989</t>
  </si>
  <si>
    <t>9523689108</t>
  </si>
  <si>
    <t>ORD10403</t>
  </si>
  <si>
    <t>22/10/1993</t>
  </si>
  <si>
    <t>9812909831</t>
  </si>
  <si>
    <t>ORD10404</t>
  </si>
  <si>
    <t>12/10/2025</t>
  </si>
  <si>
    <t>05/05/2000</t>
  </si>
  <si>
    <t>9106290987</t>
  </si>
  <si>
    <t>ORD10405</t>
  </si>
  <si>
    <t>01/02/2026</t>
  </si>
  <si>
    <t>18/02/1984</t>
  </si>
  <si>
    <t>9767727724</t>
  </si>
  <si>
    <t>ORD10406</t>
  </si>
  <si>
    <t>13/06/1991</t>
  </si>
  <si>
    <t>9865401727</t>
  </si>
  <si>
    <t>ORD10407</t>
  </si>
  <si>
    <t>19/05/1996</t>
  </si>
  <si>
    <t>9603848571</t>
  </si>
  <si>
    <t>ORD10408</t>
  </si>
  <si>
    <t>23/05/1992</t>
  </si>
  <si>
    <t>9101231789</t>
  </si>
  <si>
    <t>ORD10409</t>
  </si>
  <si>
    <t>15/06/1988</t>
  </si>
  <si>
    <t>9485017802</t>
  </si>
  <si>
    <t>ORD10410</t>
  </si>
  <si>
    <t>22/07/1993</t>
  </si>
  <si>
    <t>9815464650</t>
  </si>
  <si>
    <t>ORD10411</t>
  </si>
  <si>
    <t>17/05/2026</t>
  </si>
  <si>
    <t>03/02/2004</t>
  </si>
  <si>
    <t>9860715839</t>
  </si>
  <si>
    <t>ORD10412</t>
  </si>
  <si>
    <t>11/02/2026</t>
  </si>
  <si>
    <t>23/12/1978</t>
  </si>
  <si>
    <t>9207561051</t>
  </si>
  <si>
    <t>ORD10413</t>
  </si>
  <si>
    <t>15/10/1993</t>
  </si>
  <si>
    <t>9159894508</t>
  </si>
  <si>
    <t>ORD10414</t>
  </si>
  <si>
    <t>12/12/1979</t>
  </si>
  <si>
    <t>9531465024</t>
  </si>
  <si>
    <t>ORD10415</t>
  </si>
  <si>
    <t>24/05/2002</t>
  </si>
  <si>
    <t>9158813608</t>
  </si>
  <si>
    <t>ORD10416</t>
  </si>
  <si>
    <t>27/03/2026</t>
  </si>
  <si>
    <t>09/03/1976</t>
  </si>
  <si>
    <t>9308461700</t>
  </si>
  <si>
    <t>ORD10417</t>
  </si>
  <si>
    <t>20/09/1980</t>
  </si>
  <si>
    <t>9882279049</t>
  </si>
  <si>
    <t>ORD10418</t>
  </si>
  <si>
    <t>17/04/2026</t>
  </si>
  <si>
    <t>24/06/1988</t>
  </si>
  <si>
    <t>9961801338</t>
  </si>
  <si>
    <t>ORD10419</t>
  </si>
  <si>
    <t>11/06/2003</t>
  </si>
  <si>
    <t>9853525026</t>
  </si>
  <si>
    <t>ORD10420</t>
  </si>
  <si>
    <t>10/12/1981</t>
  </si>
  <si>
    <t>9209649485</t>
  </si>
  <si>
    <t>ORD10421</t>
  </si>
  <si>
    <t>26/09/2025</t>
  </si>
  <si>
    <t>24/02/1975</t>
  </si>
  <si>
    <t>9712905525</t>
  </si>
  <si>
    <t>ORD10422</t>
  </si>
  <si>
    <t>27/09/1977</t>
  </si>
  <si>
    <t>9812472447</t>
  </si>
  <si>
    <t>ORD10423</t>
  </si>
  <si>
    <t>29/12/2025</t>
  </si>
  <si>
    <t>25/12/1987</t>
  </si>
  <si>
    <t>9281127052</t>
  </si>
  <si>
    <t>ORD10424</t>
  </si>
  <si>
    <t>23/03/2001</t>
  </si>
  <si>
    <t>9346312555</t>
  </si>
  <si>
    <t>ORD10425</t>
  </si>
  <si>
    <t>22/01/2026</t>
  </si>
  <si>
    <t>9443786067</t>
  </si>
  <si>
    <t>ORD10426</t>
  </si>
  <si>
    <t>15/03/2026</t>
  </si>
  <si>
    <t>15/09/1986</t>
  </si>
  <si>
    <t>9452540528</t>
  </si>
  <si>
    <t>ORD10427</t>
  </si>
  <si>
    <t>30/11/2025</t>
  </si>
  <si>
    <t>12/12/2002</t>
  </si>
  <si>
    <t>9750918728</t>
  </si>
  <si>
    <t>ORD10428</t>
  </si>
  <si>
    <t>15/02/2025</t>
  </si>
  <si>
    <t>15/09/1998</t>
  </si>
  <si>
    <t>9375975834</t>
  </si>
  <si>
    <t>ORD10429</t>
  </si>
  <si>
    <t>17/10/1985</t>
  </si>
  <si>
    <t>9497321112</t>
  </si>
  <si>
    <t>ORD10430</t>
  </si>
  <si>
    <t>27/08/2025</t>
  </si>
  <si>
    <t>29/08/2025</t>
  </si>
  <si>
    <t>15/08/1995</t>
  </si>
  <si>
    <t>9828749888</t>
  </si>
  <si>
    <t>ORD10431</t>
  </si>
  <si>
    <t>27/08/1985</t>
  </si>
  <si>
    <t>9814267382</t>
  </si>
  <si>
    <t>ORD10432</t>
  </si>
  <si>
    <t>05/06/1975</t>
  </si>
  <si>
    <t>9937007439</t>
  </si>
  <si>
    <t>ORD10433</t>
  </si>
  <si>
    <t>25/03/1997</t>
  </si>
  <si>
    <t>9657513435</t>
  </si>
  <si>
    <t>ORD10434</t>
  </si>
  <si>
    <t>01/02/2025</t>
  </si>
  <si>
    <t>18/04/1997</t>
  </si>
  <si>
    <t>9999406260</t>
  </si>
  <si>
    <t>ORD10435</t>
  </si>
  <si>
    <t>22/02/2025</t>
  </si>
  <si>
    <t>28/05/1999</t>
  </si>
  <si>
    <t>9233727886</t>
  </si>
  <si>
    <t>ORD10436</t>
  </si>
  <si>
    <t>25/06/1983</t>
  </si>
  <si>
    <t>9831688801</t>
  </si>
  <si>
    <t>ORD10437</t>
  </si>
  <si>
    <t>26/01/1993</t>
  </si>
  <si>
    <t>9982849508</t>
  </si>
  <si>
    <t>ORD10438</t>
  </si>
  <si>
    <t>03/03/1979</t>
  </si>
  <si>
    <t>9288309246</t>
  </si>
  <si>
    <t>ORD10439</t>
  </si>
  <si>
    <t>22/10/2025</t>
  </si>
  <si>
    <t>25/10/2025</t>
  </si>
  <si>
    <t>13/09/1976</t>
  </si>
  <si>
    <t>9808476235</t>
  </si>
  <si>
    <t>ORD10440</t>
  </si>
  <si>
    <t>31/12/2025</t>
  </si>
  <si>
    <t>27/07/1991</t>
  </si>
  <si>
    <t>9869056117</t>
  </si>
  <si>
    <t>ORD10441</t>
  </si>
  <si>
    <t>25/10/1987</t>
  </si>
  <si>
    <t>9734229772</t>
  </si>
  <si>
    <t>ORD10442</t>
  </si>
  <si>
    <t>09/11/1983</t>
  </si>
  <si>
    <t>9791617906</t>
  </si>
  <si>
    <t>ORD10443</t>
  </si>
  <si>
    <t>28/12/1983</t>
  </si>
  <si>
    <t>9286316823</t>
  </si>
  <si>
    <t>ORD10444</t>
  </si>
  <si>
    <t>02/05/2025</t>
  </si>
  <si>
    <t>15/09/1992</t>
  </si>
  <si>
    <t>9810569252</t>
  </si>
  <si>
    <t>ORD10445</t>
  </si>
  <si>
    <t>09/08/1999</t>
  </si>
  <si>
    <t>9771745925</t>
  </si>
  <si>
    <t>ORD10446</t>
  </si>
  <si>
    <t>29/06/2025</t>
  </si>
  <si>
    <t>27/02/1990</t>
  </si>
  <si>
    <t>9820683063</t>
  </si>
  <si>
    <t>ORD10447</t>
  </si>
  <si>
    <t>27/03/1994</t>
  </si>
  <si>
    <t>9292891941</t>
  </si>
  <si>
    <t>ORD10448</t>
  </si>
  <si>
    <t>03/03/2025</t>
  </si>
  <si>
    <t>11/06/1980</t>
  </si>
  <si>
    <t>9413789556</t>
  </si>
  <si>
    <t>ORD10449</t>
  </si>
  <si>
    <t>24/04/2026</t>
  </si>
  <si>
    <t>10/06/2000</t>
  </si>
  <si>
    <t>amit.SHarma@company.com</t>
  </si>
  <si>
    <t>98765</t>
  </si>
  <si>
    <t>ORD10450</t>
  </si>
  <si>
    <t>21/04/1998</t>
  </si>
  <si>
    <t>9211936331</t>
  </si>
  <si>
    <t>ORD10451</t>
  </si>
  <si>
    <t>07/06/2025</t>
  </si>
  <si>
    <t>10/05/1984</t>
  </si>
  <si>
    <t>9167291747</t>
  </si>
  <si>
    <t>ORD10452</t>
  </si>
  <si>
    <t>07/10/1986</t>
  </si>
  <si>
    <t>9637283597</t>
  </si>
  <si>
    <t>ORD10453</t>
  </si>
  <si>
    <t>22/03/2026</t>
  </si>
  <si>
    <t>29/03/2026</t>
  </si>
  <si>
    <t>01/11/2003</t>
  </si>
  <si>
    <t>9514269002</t>
  </si>
  <si>
    <t>ORD10454</t>
  </si>
  <si>
    <t>13/04/2026</t>
  </si>
  <si>
    <t>10/06/2003</t>
  </si>
  <si>
    <t>9778908233</t>
  </si>
  <si>
    <t>ORD10455</t>
  </si>
  <si>
    <t>27/03/1990</t>
  </si>
  <si>
    <t>9981118755</t>
  </si>
  <si>
    <t>ORD10456</t>
  </si>
  <si>
    <t>28/05/2003</t>
  </si>
  <si>
    <t>9887896743</t>
  </si>
  <si>
    <t>ORD10457</t>
  </si>
  <si>
    <t>06/02/1993</t>
  </si>
  <si>
    <t>9585330043</t>
  </si>
  <si>
    <t>ORD10458</t>
  </si>
  <si>
    <t>02/09/1975</t>
  </si>
  <si>
    <t>9423719975</t>
  </si>
  <si>
    <t>ORD10459</t>
  </si>
  <si>
    <t>09/09/1994</t>
  </si>
  <si>
    <t>9270746961</t>
  </si>
  <si>
    <t>ORD10460</t>
  </si>
  <si>
    <t>07/10/1992</t>
  </si>
  <si>
    <t>9333162025</t>
  </si>
  <si>
    <t>ORD10461</t>
  </si>
  <si>
    <t>29/05/2025</t>
  </si>
  <si>
    <t>17/07/2002</t>
  </si>
  <si>
    <t>9247023285</t>
  </si>
  <si>
    <t>ORD10462</t>
  </si>
  <si>
    <t>03/02/2001</t>
  </si>
  <si>
    <t>rohit.sinGh@company.com</t>
  </si>
  <si>
    <t>9448658297</t>
  </si>
  <si>
    <t>ORD10463</t>
  </si>
  <si>
    <t>23/06/1990</t>
  </si>
  <si>
    <t>9906748486</t>
  </si>
  <si>
    <t>ORD10464</t>
  </si>
  <si>
    <t>9365182725</t>
  </si>
  <si>
    <t>ORD10465</t>
  </si>
  <si>
    <t>22/07/2000</t>
  </si>
  <si>
    <t>9937119494</t>
  </si>
  <si>
    <t>ORD10466</t>
  </si>
  <si>
    <t>20/03/1985</t>
  </si>
  <si>
    <t>9828015293</t>
  </si>
  <si>
    <t>ORD10467</t>
  </si>
  <si>
    <t>08/02/1988</t>
  </si>
  <si>
    <t>9864206250</t>
  </si>
  <si>
    <t>ORD10468</t>
  </si>
  <si>
    <t>26/04/1997</t>
  </si>
  <si>
    <t>9519293104</t>
  </si>
  <si>
    <t>ORD10469</t>
  </si>
  <si>
    <t>22/05/2001</t>
  </si>
  <si>
    <t>9296075245</t>
  </si>
  <si>
    <t>ORD10470</t>
  </si>
  <si>
    <t>19/06/1982</t>
  </si>
  <si>
    <t>9316770206</t>
  </si>
  <si>
    <t>ORD10471</t>
  </si>
  <si>
    <t>18/10/2025</t>
  </si>
  <si>
    <t>23/06/1999</t>
  </si>
  <si>
    <t>9706553861</t>
  </si>
  <si>
    <t>ORD10472</t>
  </si>
  <si>
    <t>02/02/2001</t>
  </si>
  <si>
    <t>9524904662</t>
  </si>
  <si>
    <t>ORD10473</t>
  </si>
  <si>
    <t>09/02/1999</t>
  </si>
  <si>
    <t>9577624596</t>
  </si>
  <si>
    <t>ORD10474</t>
  </si>
  <si>
    <t>06/05/1988</t>
  </si>
  <si>
    <t>9898452436</t>
  </si>
  <si>
    <t>ORD10475</t>
  </si>
  <si>
    <t>12/02/1975</t>
  </si>
  <si>
    <t>9960757012</t>
  </si>
  <si>
    <t>ORD10476</t>
  </si>
  <si>
    <t>01/01/2004</t>
  </si>
  <si>
    <t>9331268182</t>
  </si>
  <si>
    <t>ORD10477</t>
  </si>
  <si>
    <t>23/08/2001</t>
  </si>
  <si>
    <t>9135996862</t>
  </si>
  <si>
    <t>ORD10478</t>
  </si>
  <si>
    <t>23/01/1998</t>
  </si>
  <si>
    <t>kavya.Nair@company.com</t>
  </si>
  <si>
    <t>9540813143</t>
  </si>
  <si>
    <t>ORD10479</t>
  </si>
  <si>
    <t>Anita     Gupta</t>
  </si>
  <si>
    <t>28/05/2004</t>
  </si>
  <si>
    <t>9910913552</t>
  </si>
  <si>
    <t>ORD10480</t>
  </si>
  <si>
    <t>06/03/1985</t>
  </si>
  <si>
    <t>9282751683</t>
  </si>
  <si>
    <t>ORD10481</t>
  </si>
  <si>
    <t>26/01/2025</t>
  </si>
  <si>
    <t>06/09/1986</t>
  </si>
  <si>
    <t>9939332058</t>
  </si>
  <si>
    <t>ORD10482</t>
  </si>
  <si>
    <t>21/08/1981</t>
  </si>
  <si>
    <t>9780626473</t>
  </si>
  <si>
    <t>ORD10483</t>
  </si>
  <si>
    <t>Mohit verma</t>
  </si>
  <si>
    <t>23/04/1992</t>
  </si>
  <si>
    <t>9347298020</t>
  </si>
  <si>
    <t>ORD10484</t>
  </si>
  <si>
    <t>03/07/1991</t>
  </si>
  <si>
    <t>9345328522</t>
  </si>
  <si>
    <t>ORD10485</t>
  </si>
  <si>
    <t xml:space="preserve">         Amit Sharma</t>
  </si>
  <si>
    <t>05/02/1978</t>
  </si>
  <si>
    <t>9160310438</t>
  </si>
  <si>
    <t>ORD10486</t>
  </si>
  <si>
    <t>23/03/2026</t>
  </si>
  <si>
    <t>9343776153</t>
  </si>
  <si>
    <t>ORD10487</t>
  </si>
  <si>
    <t>03/04/1988</t>
  </si>
  <si>
    <t>9458599727</t>
  </si>
  <si>
    <t>ORD10488</t>
  </si>
  <si>
    <t>05/05/2026</t>
  </si>
  <si>
    <t>11/11/1978</t>
  </si>
  <si>
    <t>pOOja.shah@company.com</t>
  </si>
  <si>
    <t>9218660140</t>
  </si>
  <si>
    <t>ORD10489</t>
  </si>
  <si>
    <t>23/02/2025</t>
  </si>
  <si>
    <t>02/04/1994</t>
  </si>
  <si>
    <t>9341979199</t>
  </si>
  <si>
    <t>ORD10490</t>
  </si>
  <si>
    <t>09/05/1993</t>
  </si>
  <si>
    <t>9823080381</t>
  </si>
  <si>
    <t>ORD10491</t>
  </si>
  <si>
    <t xml:space="preserve">Priya Patel      </t>
  </si>
  <si>
    <t>11/07/1994</t>
  </si>
  <si>
    <t>9981183477</t>
  </si>
  <si>
    <t>ORD10492</t>
  </si>
  <si>
    <t>19/12/1982</t>
  </si>
  <si>
    <t>9281596011</t>
  </si>
  <si>
    <t>ORD10493</t>
  </si>
  <si>
    <t xml:space="preserve">     Rohit Singh</t>
  </si>
  <si>
    <t>02/11/2001</t>
  </si>
  <si>
    <t>9211734022</t>
  </si>
  <si>
    <t>ORD10494</t>
  </si>
  <si>
    <t>18/10/2001</t>
  </si>
  <si>
    <t>9447151666</t>
  </si>
  <si>
    <t>ORD10495</t>
  </si>
  <si>
    <t>21/12/2000</t>
  </si>
  <si>
    <t>9345342793</t>
  </si>
  <si>
    <t>ORD10496</t>
  </si>
  <si>
    <t>Anita      Gupta</t>
  </si>
  <si>
    <t>20/02/1983</t>
  </si>
  <si>
    <t>9329668173</t>
  </si>
  <si>
    <t>ORD10497</t>
  </si>
  <si>
    <t>13/06/1988</t>
  </si>
  <si>
    <t>9294740227</t>
  </si>
  <si>
    <t>ORD10498</t>
  </si>
  <si>
    <t>22/07/1992</t>
  </si>
  <si>
    <t>9549426303</t>
  </si>
  <si>
    <t>ORD10499</t>
  </si>
  <si>
    <t>05/07/2025</t>
  </si>
  <si>
    <t>12/08/1979</t>
  </si>
  <si>
    <t>Laptop,Mouse</t>
  </si>
  <si>
    <t>9374249303</t>
  </si>
  <si>
    <t>ORD10500</t>
  </si>
  <si>
    <t>16/09/2025</t>
  </si>
  <si>
    <t>24/11/1976</t>
  </si>
  <si>
    <t>9810334941</t>
  </si>
  <si>
    <t>Supplier</t>
  </si>
  <si>
    <t>Cost_Price</t>
  </si>
  <si>
    <t>Warranty_Months</t>
  </si>
  <si>
    <t>TechHub</t>
  </si>
  <si>
    <t>Global Trade</t>
  </si>
  <si>
    <t>ABC Corp</t>
  </si>
  <si>
    <t>Prime Supplies</t>
  </si>
  <si>
    <t>Membership</t>
  </si>
  <si>
    <t>State</t>
  </si>
  <si>
    <t>Silver</t>
  </si>
  <si>
    <t>RJ</t>
  </si>
  <si>
    <t>Platinum</t>
  </si>
  <si>
    <t>WB</t>
  </si>
  <si>
    <t>Gold</t>
  </si>
  <si>
    <t>DL</t>
  </si>
  <si>
    <t>KA</t>
  </si>
  <si>
    <t>Customer_Classification</t>
  </si>
  <si>
    <t xml:space="preserve">Customer Classification </t>
  </si>
  <si>
    <t>Standardized Customer Name</t>
  </si>
  <si>
    <t>Customer Code</t>
  </si>
  <si>
    <t>Standardized Email</t>
  </si>
  <si>
    <t>Customer Age</t>
  </si>
  <si>
    <t>Delivery Time (Days)</t>
  </si>
  <si>
    <t>Delivery Status</t>
  </si>
  <si>
    <t>Product Lookup Report</t>
  </si>
  <si>
    <t>Product ID</t>
  </si>
  <si>
    <t xml:space="preserve">Product Name </t>
  </si>
  <si>
    <t>Cost Price</t>
  </si>
  <si>
    <t>Warranty Months</t>
  </si>
  <si>
    <r>
      <rPr>
        <sz val="18"/>
        <color theme="1"/>
        <rFont val="Calibri"/>
        <family val="2"/>
        <scheme val="minor"/>
      </rPr>
      <t>Answer</t>
    </r>
    <r>
      <rPr>
        <sz val="11"/>
        <color theme="1"/>
        <rFont val="Calibri"/>
        <family val="2"/>
        <scheme val="minor"/>
      </rPr>
      <t>:</t>
    </r>
  </si>
  <si>
    <t>Total Sales Amount Generated by Electronics:</t>
  </si>
  <si>
    <t>Total Sales Amount generated by Salesperson "Neha" in the North region:</t>
  </si>
  <si>
    <t>The Number of orders where the Discount Percentage is greater than or equal to  15%  and the Payment Mode is UPI:</t>
  </si>
  <si>
    <t>The Number of customers who have given a Rating of 5 and whose Order Status is Completed:</t>
  </si>
  <si>
    <t>The Average Sales Amount for orders placed in the West region where the Quantity is greater than 5:</t>
  </si>
  <si>
    <t xml:space="preserve">ANSWER: </t>
  </si>
  <si>
    <t>Identify the Highest and Lowest Sales Amount :</t>
  </si>
  <si>
    <t>AND</t>
  </si>
  <si>
    <t xml:space="preserve">    AND</t>
  </si>
  <si>
    <t xml:space="preserve">  Average Sales Amount : </t>
  </si>
  <si>
    <t xml:space="preserve"> Median Sales Amount:</t>
  </si>
  <si>
    <t>Standard Deviation :</t>
  </si>
  <si>
    <t>90th Percentile of the Sales Amount:</t>
  </si>
  <si>
    <t xml:space="preserve">Product Performance Report: </t>
  </si>
  <si>
    <t>Calculated Total Revenue :</t>
  </si>
  <si>
    <t>Weighted Average Unit Price:</t>
  </si>
  <si>
    <t>Total Discounted Amount:</t>
  </si>
  <si>
    <t>Revenue Verification and Difference Amount  :</t>
  </si>
  <si>
    <t>Financial Analysis Report</t>
  </si>
  <si>
    <t xml:space="preserve">Monthly Investment </t>
  </si>
  <si>
    <t>Investment Period (Years)</t>
  </si>
  <si>
    <t>Annual Interest Rate</t>
  </si>
  <si>
    <t>Future Value of Investment</t>
  </si>
  <si>
    <t>Target Future Value</t>
  </si>
  <si>
    <t>Required Monthly Investment</t>
  </si>
  <si>
    <t>Loan Amount</t>
  </si>
  <si>
    <t>Annual Loan Interest Rate</t>
  </si>
  <si>
    <t>Loan Period(Years)</t>
  </si>
  <si>
    <t>Monthly EMI</t>
  </si>
  <si>
    <t xml:space="preserve">Note:Here, I directly take in percentage </t>
  </si>
  <si>
    <t xml:space="preserve">Note: Here, I took 10 not 10 %, In formula convert this in percentage </t>
  </si>
  <si>
    <t>Not Assigned</t>
  </si>
  <si>
    <t>Note:</t>
  </si>
  <si>
    <t>3, Ten, ya Crypto these are incorrect values in dataset but question 9 doesnot say correct them otherwise according to question I do all task and clean dataset</t>
  </si>
  <si>
    <t>Sum of Sales</t>
  </si>
  <si>
    <t>Row Labels</t>
  </si>
  <si>
    <t>Grand Total</t>
  </si>
  <si>
    <t>AVERAGE SALES/ORDER</t>
  </si>
  <si>
    <t>TOTAL ORDERS</t>
  </si>
  <si>
    <t xml:space="preserve">              TOTAL SALES</t>
  </si>
  <si>
    <t>Note: -  These all are pivot table and use to create a chart for dashboared</t>
  </si>
  <si>
    <t xml:space="preserve">Note :- In Dashboared the data may be changes different due to i take a reference as a Question 9(Cleaned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</si>
</sst>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 #,##0.00;[Red]&quot;₹&quot;\ \-#,##0.00"/>
    <numFmt numFmtId="164" formatCode="&quot;₹&quot;\ #,##0.00"/>
  </numFmts>
  <fonts count="11">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6"/>
      <color theme="1"/>
      <name val="Calibri"/>
      <family val="2"/>
      <scheme val="minor"/>
    </font>
    <font>
      <sz val="18"/>
      <color theme="1"/>
      <name val="Calibri"/>
      <family val="2"/>
      <scheme val="minor"/>
    </font>
    <font>
      <sz val="20"/>
      <color theme="1"/>
      <name val="Calibri"/>
      <family val="2"/>
      <scheme val="minor"/>
    </font>
    <font>
      <sz val="14"/>
      <color theme="1"/>
      <name val="Calibri"/>
      <family val="2"/>
      <scheme val="minor"/>
    </font>
    <font>
      <sz val="10"/>
      <color theme="1"/>
      <name val="Arial Unicode MS"/>
    </font>
  </fonts>
  <fills count="21">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theme="4"/>
      </patternFill>
    </fill>
    <fill>
      <patternFill patternType="solid">
        <fgColor theme="9" tint="0.59999389629810485"/>
        <bgColor indexed="64"/>
      </patternFill>
    </fill>
    <fill>
      <patternFill patternType="solid">
        <fgColor theme="4"/>
        <bgColor indexed="64"/>
      </patternFill>
    </fill>
    <fill>
      <patternFill patternType="solid">
        <fgColor theme="9"/>
        <bgColor theme="4"/>
      </patternFill>
    </fill>
    <fill>
      <patternFill patternType="solid">
        <fgColor theme="9"/>
        <bgColor indexed="64"/>
      </patternFill>
    </fill>
    <fill>
      <patternFill patternType="solid">
        <fgColor theme="8" tint="0.59999389629810485"/>
        <bgColor theme="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7" tint="-0.499984740745262"/>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bgColor indexed="64"/>
      </patternFill>
    </fill>
    <fill>
      <patternFill patternType="solid">
        <fgColor rgb="FFC00000"/>
        <bgColor indexed="64"/>
      </patternFill>
    </fill>
    <fill>
      <patternFill patternType="solid">
        <fgColor theme="4" tint="0.79998168889431442"/>
        <bgColor indexed="64"/>
      </patternFill>
    </fill>
  </fills>
  <borders count="10">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0" fontId="5" fillId="0" borderId="0" applyNumberFormat="0" applyFill="0" applyBorder="0" applyAlignment="0" applyProtection="0"/>
  </cellStyleXfs>
  <cellXfs count="63">
    <xf numFmtId="0" fontId="0" fillId="0" borderId="0" xfId="0"/>
    <xf numFmtId="0" fontId="1" fillId="2" borderId="1" xfId="0" applyFont="1" applyFill="1" applyBorder="1"/>
    <xf numFmtId="0" fontId="1" fillId="2" borderId="2" xfId="0" applyFont="1" applyFill="1" applyBorder="1"/>
    <xf numFmtId="0" fontId="0" fillId="3" borderId="3" xfId="0" applyFill="1" applyBorder="1"/>
    <xf numFmtId="0" fontId="0" fillId="3" borderId="4" xfId="0" applyFill="1" applyBorder="1"/>
    <xf numFmtId="0" fontId="5" fillId="3" borderId="4" xfId="1" applyFill="1" applyBorder="1"/>
    <xf numFmtId="2" fontId="0" fillId="3" borderId="4" xfId="0" applyNumberFormat="1" applyFill="1" applyBorder="1"/>
    <xf numFmtId="0" fontId="0" fillId="4" borderId="3" xfId="0" applyFill="1" applyBorder="1"/>
    <xf numFmtId="0" fontId="0" fillId="4" borderId="4" xfId="0" applyFill="1" applyBorder="1"/>
    <xf numFmtId="2" fontId="0" fillId="4" borderId="4" xfId="0" applyNumberFormat="1" applyFill="1" applyBorder="1"/>
    <xf numFmtId="0" fontId="5" fillId="4" borderId="4" xfId="1" applyFill="1" applyBorder="1"/>
    <xf numFmtId="0" fontId="0" fillId="4" borderId="5" xfId="0" applyFill="1" applyBorder="1"/>
    <xf numFmtId="0" fontId="0" fillId="4" borderId="6" xfId="0" applyFill="1" applyBorder="1"/>
    <xf numFmtId="2" fontId="0" fillId="4" borderId="6" xfId="0" applyNumberFormat="1" applyFill="1" applyBorder="1"/>
    <xf numFmtId="0" fontId="1" fillId="2" borderId="7" xfId="0" applyFont="1" applyFill="1" applyBorder="1"/>
    <xf numFmtId="0" fontId="0" fillId="3" borderId="7" xfId="0" applyFill="1" applyBorder="1"/>
    <xf numFmtId="0" fontId="5" fillId="3" borderId="7" xfId="1" applyFill="1" applyBorder="1"/>
    <xf numFmtId="2" fontId="0" fillId="3" borderId="7" xfId="0" applyNumberFormat="1" applyFill="1" applyBorder="1"/>
    <xf numFmtId="0" fontId="0" fillId="4" borderId="7" xfId="0" applyFill="1" applyBorder="1"/>
    <xf numFmtId="2" fontId="0" fillId="4" borderId="7" xfId="0" applyNumberFormat="1" applyFill="1" applyBorder="1"/>
    <xf numFmtId="0" fontId="5" fillId="4" borderId="7" xfId="1" applyFill="1" applyBorder="1"/>
    <xf numFmtId="0" fontId="1" fillId="2" borderId="8" xfId="0" applyFont="1" applyFill="1" applyBorder="1"/>
    <xf numFmtId="0" fontId="1" fillId="2" borderId="9" xfId="0" applyFont="1" applyFill="1" applyBorder="1"/>
    <xf numFmtId="0" fontId="1" fillId="5" borderId="8" xfId="0" applyFont="1" applyFill="1" applyBorder="1"/>
    <xf numFmtId="0" fontId="0" fillId="6" borderId="0" xfId="0" applyFill="1"/>
    <xf numFmtId="0" fontId="1" fillId="7" borderId="8" xfId="0" applyFont="1" applyFill="1" applyBorder="1"/>
    <xf numFmtId="0" fontId="1" fillId="8" borderId="8" xfId="0" applyFont="1" applyFill="1" applyBorder="1"/>
    <xf numFmtId="0" fontId="0" fillId="9" borderId="0" xfId="0" applyFill="1"/>
    <xf numFmtId="0" fontId="1" fillId="10" borderId="8" xfId="0" applyFont="1" applyFill="1" applyBorder="1"/>
    <xf numFmtId="0" fontId="0" fillId="11" borderId="0" xfId="0" applyFill="1"/>
    <xf numFmtId="0" fontId="2" fillId="12" borderId="0" xfId="0" applyFont="1" applyFill="1"/>
    <xf numFmtId="0" fontId="4" fillId="7" borderId="0" xfId="0" applyFont="1" applyFill="1"/>
    <xf numFmtId="0" fontId="0" fillId="13" borderId="0" xfId="0" applyFill="1"/>
    <xf numFmtId="0" fontId="0" fillId="14" borderId="0" xfId="0" applyFill="1"/>
    <xf numFmtId="0" fontId="0" fillId="15" borderId="0" xfId="0" applyFill="1"/>
    <xf numFmtId="0" fontId="0" fillId="0" borderId="7" xfId="0" applyBorder="1"/>
    <xf numFmtId="0" fontId="3" fillId="0" borderId="0" xfId="0" applyFont="1"/>
    <xf numFmtId="0" fontId="0" fillId="16" borderId="0" xfId="0" applyFill="1"/>
    <xf numFmtId="164" fontId="0" fillId="0" borderId="0" xfId="0" applyNumberFormat="1"/>
    <xf numFmtId="0" fontId="3" fillId="7" borderId="0" xfId="0" applyFont="1" applyFill="1"/>
    <xf numFmtId="0" fontId="3" fillId="7" borderId="7" xfId="0" applyFont="1" applyFill="1" applyBorder="1"/>
    <xf numFmtId="0" fontId="8" fillId="0" borderId="0" xfId="0" applyFont="1"/>
    <xf numFmtId="0" fontId="6" fillId="0" borderId="0" xfId="0" applyFont="1"/>
    <xf numFmtId="0" fontId="8" fillId="17" borderId="0" xfId="0" applyFont="1" applyFill="1"/>
    <xf numFmtId="0" fontId="0" fillId="17" borderId="0" xfId="0" applyFill="1"/>
    <xf numFmtId="0" fontId="0" fillId="18" borderId="0" xfId="0" applyFill="1"/>
    <xf numFmtId="8" fontId="0" fillId="0" borderId="7" xfId="0" applyNumberFormat="1" applyBorder="1"/>
    <xf numFmtId="9" fontId="0" fillId="0" borderId="7" xfId="0" applyNumberFormat="1" applyBorder="1"/>
    <xf numFmtId="0" fontId="10" fillId="0" borderId="0" xfId="0" applyFont="1"/>
    <xf numFmtId="0" fontId="10" fillId="19" borderId="0" xfId="0" applyFont="1" applyFill="1"/>
    <xf numFmtId="0" fontId="10" fillId="18" borderId="0" xfId="0" applyFont="1" applyFill="1"/>
    <xf numFmtId="0" fontId="0" fillId="0" borderId="0" xfId="0" pivotButton="1"/>
    <xf numFmtId="0" fontId="0" fillId="0" borderId="0" xfId="0" applyAlignment="1">
      <alignment horizontal="left"/>
    </xf>
    <xf numFmtId="0" fontId="0" fillId="7" borderId="0" xfId="0" applyFill="1"/>
    <xf numFmtId="0" fontId="0" fillId="7" borderId="0" xfId="0" applyFill="1" applyAlignment="1">
      <alignment horizontal="center"/>
    </xf>
    <xf numFmtId="0" fontId="0" fillId="0" borderId="0" xfId="0" applyAlignment="1">
      <alignment horizontal="left" vertical="center"/>
    </xf>
    <xf numFmtId="0" fontId="0" fillId="16" borderId="0" xfId="0" applyFill="1" applyAlignment="1">
      <alignment horizontal="center"/>
    </xf>
    <xf numFmtId="0" fontId="6" fillId="17" borderId="0" xfId="0" applyFont="1" applyFill="1" applyAlignment="1">
      <alignment horizontal="center"/>
    </xf>
    <xf numFmtId="0" fontId="8" fillId="17" borderId="0" xfId="0" applyFont="1" applyFill="1" applyAlignment="1">
      <alignment horizontal="center"/>
    </xf>
    <xf numFmtId="0" fontId="0" fillId="0" borderId="0" xfId="0" applyAlignment="1">
      <alignment horizontal="center"/>
    </xf>
    <xf numFmtId="0" fontId="0" fillId="19" borderId="0" xfId="0" applyFill="1" applyAlignment="1">
      <alignment horizontal="center"/>
    </xf>
    <xf numFmtId="0" fontId="6" fillId="20" borderId="0" xfId="0" applyFont="1" applyFill="1" applyAlignment="1">
      <alignment horizontal="center" vertical="center"/>
    </xf>
    <xf numFmtId="0" fontId="9" fillId="20" borderId="0" xfId="0" applyFont="1" applyFill="1" applyAlignment="1">
      <alignment horizontal="center" vertical="center"/>
    </xf>
  </cellXfs>
  <cellStyles count="2">
    <cellStyle name="Hyperlink" xfId="1" builtinId="8"/>
    <cellStyle name="Normal" xfId="0" builtinId="0"/>
  </cellStyles>
  <dxfs count="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[Assignment_03 (Excel last).xlsx]Data for Dashboared!PivotTable11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for Dashboared'!$C$2</c:f>
              <c:strCache>
                <c:ptCount val="1"/>
                <c:pt idx="0">
                  <c:v>Total</c:v>
                </c:pt>
              </c:strCache>
            </c:strRef>
          </c:tx>
          <c:spPr>
            <a:solidFill>
              <a:schemeClr val="accent1"/>
            </a:solidFill>
            <a:ln>
              <a:noFill/>
            </a:ln>
            <a:effectLst/>
          </c:spPr>
          <c:invertIfNegative val="0"/>
          <c:cat>
            <c:strRef>
              <c:f>'Data for Dashboared'!$B$3:$B$7</c:f>
              <c:strCache>
                <c:ptCount val="4"/>
                <c:pt idx="0">
                  <c:v>East</c:v>
                </c:pt>
                <c:pt idx="1">
                  <c:v>North</c:v>
                </c:pt>
                <c:pt idx="2">
                  <c:v>South</c:v>
                </c:pt>
                <c:pt idx="3">
                  <c:v>West</c:v>
                </c:pt>
              </c:strCache>
            </c:strRef>
          </c:cat>
          <c:val>
            <c:numRef>
              <c:f>'Data for Dashboared'!$C$3:$C$7</c:f>
              <c:numCache>
                <c:formatCode>General</c:formatCode>
                <c:ptCount val="4"/>
                <c:pt idx="0">
                  <c:v>4041922</c:v>
                </c:pt>
                <c:pt idx="1">
                  <c:v>10013332.5</c:v>
                </c:pt>
                <c:pt idx="2">
                  <c:v>7487181.5</c:v>
                </c:pt>
                <c:pt idx="3">
                  <c:v>13203531.5</c:v>
                </c:pt>
              </c:numCache>
            </c:numRef>
          </c:val>
          <c:extLst>
            <c:ext xmlns:c16="http://schemas.microsoft.com/office/drawing/2014/chart" uri="{C3380CC4-5D6E-409C-BE32-E72D297353CC}">
              <c16:uniqueId val="{00000000-E43B-43E5-B06E-B1516A761B75}"/>
            </c:ext>
          </c:extLst>
        </c:ser>
        <c:dLbls>
          <c:showLegendKey val="0"/>
          <c:showVal val="0"/>
          <c:showCatName val="0"/>
          <c:showSerName val="0"/>
          <c:showPercent val="0"/>
          <c:showBubbleSize val="0"/>
        </c:dLbls>
        <c:gapWidth val="219"/>
        <c:overlap val="-27"/>
        <c:axId val="811583296"/>
        <c:axId val="811587616"/>
      </c:barChart>
      <c:catAx>
        <c:axId val="81158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587616"/>
        <c:crosses val="autoZero"/>
        <c:auto val="1"/>
        <c:lblAlgn val="ctr"/>
        <c:lblOffset val="100"/>
        <c:noMultiLvlLbl val="0"/>
      </c:catAx>
      <c:valAx>
        <c:axId val="81158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58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[Assignment_03 (Excel last).xlsx]Data for Dashboared!PivotTable12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'Data for Dashboared'!$C$22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0D-463A-AC32-833E4CF8E9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0D-463A-AC32-833E4CF8E9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0D-463A-AC32-833E4CF8E9E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D0D-463A-AC32-833E4CF8E9EE}"/>
              </c:ext>
            </c:extLst>
          </c:dPt>
          <c:cat>
            <c:strRef>
              <c:f>'Data for Dashboared'!$B$23:$B$27</c:f>
              <c:strCache>
                <c:ptCount val="4"/>
                <c:pt idx="0">
                  <c:v>Electronics</c:v>
                </c:pt>
                <c:pt idx="1">
                  <c:v>Home Appliances</c:v>
                </c:pt>
                <c:pt idx="2">
                  <c:v>Stationary</c:v>
                </c:pt>
                <c:pt idx="3">
                  <c:v>Stationery</c:v>
                </c:pt>
              </c:strCache>
            </c:strRef>
          </c:cat>
          <c:val>
            <c:numRef>
              <c:f>'Data for Dashboared'!$C$23:$C$27</c:f>
              <c:numCache>
                <c:formatCode>General</c:formatCode>
                <c:ptCount val="4"/>
                <c:pt idx="0">
                  <c:v>27823939</c:v>
                </c:pt>
                <c:pt idx="1">
                  <c:v>6806525</c:v>
                </c:pt>
                <c:pt idx="2">
                  <c:v>59850</c:v>
                </c:pt>
                <c:pt idx="3">
                  <c:v>55653.5</c:v>
                </c:pt>
              </c:numCache>
            </c:numRef>
          </c:val>
          <c:extLst>
            <c:ext xmlns:c16="http://schemas.microsoft.com/office/drawing/2014/chart" uri="{C3380CC4-5D6E-409C-BE32-E72D297353CC}">
              <c16:uniqueId val="{00000000-0B93-4ACE-8834-C550C317AD0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[Assignment_03 (Excel last).xlsx]Data for Dashboared!PivotTable13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for Dashboared'!$C$40</c:f>
              <c:strCache>
                <c:ptCount val="1"/>
                <c:pt idx="0">
                  <c:v>Total</c:v>
                </c:pt>
              </c:strCache>
            </c:strRef>
          </c:tx>
          <c:spPr>
            <a:solidFill>
              <a:schemeClr val="accent1"/>
            </a:solidFill>
            <a:ln>
              <a:noFill/>
            </a:ln>
            <a:effectLst/>
          </c:spPr>
          <c:invertIfNegative val="0"/>
          <c:cat>
            <c:strRef>
              <c:f>'Data for Dashboared'!$B$41:$B$368</c:f>
              <c:strCache>
                <c:ptCount val="327"/>
                <c:pt idx="0">
                  <c:v>\</c:v>
                </c:pt>
                <c:pt idx="1">
                  <c:v>01/01/2025</c:v>
                </c:pt>
                <c:pt idx="2">
                  <c:v>01/02/2025</c:v>
                </c:pt>
                <c:pt idx="3">
                  <c:v>01/03/2025</c:v>
                </c:pt>
                <c:pt idx="4">
                  <c:v>01/04/2025</c:v>
                </c:pt>
                <c:pt idx="5">
                  <c:v>01/04/2026</c:v>
                </c:pt>
                <c:pt idx="6">
                  <c:v>01/07/2025</c:v>
                </c:pt>
                <c:pt idx="7">
                  <c:v>01/08/2025</c:v>
                </c:pt>
                <c:pt idx="8">
                  <c:v>01/09/2025</c:v>
                </c:pt>
                <c:pt idx="9">
                  <c:v>01/10/2025</c:v>
                </c:pt>
                <c:pt idx="10">
                  <c:v>01/11/2025</c:v>
                </c:pt>
                <c:pt idx="11">
                  <c:v>01/12/2025</c:v>
                </c:pt>
                <c:pt idx="12">
                  <c:v>02/01/2026</c:v>
                </c:pt>
                <c:pt idx="13">
                  <c:v>02/03/2025</c:v>
                </c:pt>
                <c:pt idx="14">
                  <c:v>02/04/2026</c:v>
                </c:pt>
                <c:pt idx="15">
                  <c:v>02/05/2025</c:v>
                </c:pt>
                <c:pt idx="16">
                  <c:v>02/05/2026</c:v>
                </c:pt>
                <c:pt idx="17">
                  <c:v>02/06/2025</c:v>
                </c:pt>
                <c:pt idx="18">
                  <c:v>02/07/2025</c:v>
                </c:pt>
                <c:pt idx="19">
                  <c:v>02/11/2025</c:v>
                </c:pt>
                <c:pt idx="20">
                  <c:v>02/12/2025</c:v>
                </c:pt>
                <c:pt idx="21">
                  <c:v>03/01/2025</c:v>
                </c:pt>
                <c:pt idx="22">
                  <c:v>03/01/2026</c:v>
                </c:pt>
                <c:pt idx="23">
                  <c:v>03/02/2025</c:v>
                </c:pt>
                <c:pt idx="24">
                  <c:v>03/03/2025</c:v>
                </c:pt>
                <c:pt idx="25">
                  <c:v>03/04/2025</c:v>
                </c:pt>
                <c:pt idx="26">
                  <c:v>03/04/2026</c:v>
                </c:pt>
                <c:pt idx="27">
                  <c:v>03/05/2025</c:v>
                </c:pt>
                <c:pt idx="28">
                  <c:v>03/05/2026</c:v>
                </c:pt>
                <c:pt idx="29">
                  <c:v>03/06/2025</c:v>
                </c:pt>
                <c:pt idx="30">
                  <c:v>03/08/2025</c:v>
                </c:pt>
                <c:pt idx="31">
                  <c:v>03/09/2025</c:v>
                </c:pt>
                <c:pt idx="32">
                  <c:v>03/11/2025</c:v>
                </c:pt>
                <c:pt idx="33">
                  <c:v>04/01/2026</c:v>
                </c:pt>
                <c:pt idx="34">
                  <c:v>04/02/2025</c:v>
                </c:pt>
                <c:pt idx="35">
                  <c:v>04/02/2026</c:v>
                </c:pt>
                <c:pt idx="36">
                  <c:v>04/03/2026</c:v>
                </c:pt>
                <c:pt idx="37">
                  <c:v>04/04/2026</c:v>
                </c:pt>
                <c:pt idx="38">
                  <c:v>04/05/2025</c:v>
                </c:pt>
                <c:pt idx="39">
                  <c:v>04/05/2026</c:v>
                </c:pt>
                <c:pt idx="40">
                  <c:v>04/06/2025</c:v>
                </c:pt>
                <c:pt idx="41">
                  <c:v>04/07/2025</c:v>
                </c:pt>
                <c:pt idx="42">
                  <c:v>04/08/2025</c:v>
                </c:pt>
                <c:pt idx="43">
                  <c:v>04/09/2025</c:v>
                </c:pt>
                <c:pt idx="44">
                  <c:v>04/10/2025</c:v>
                </c:pt>
                <c:pt idx="45">
                  <c:v>04/11/2025</c:v>
                </c:pt>
                <c:pt idx="46">
                  <c:v>04/12/2025</c:v>
                </c:pt>
                <c:pt idx="47">
                  <c:v>05/01/2026</c:v>
                </c:pt>
                <c:pt idx="48">
                  <c:v>05/03/2025</c:v>
                </c:pt>
                <c:pt idx="49">
                  <c:v>05/03/2026</c:v>
                </c:pt>
                <c:pt idx="50">
                  <c:v>05/04/2025</c:v>
                </c:pt>
                <c:pt idx="51">
                  <c:v>05/05/2026</c:v>
                </c:pt>
                <c:pt idx="52">
                  <c:v>05/06/2025</c:v>
                </c:pt>
                <c:pt idx="53">
                  <c:v>05/08/2025</c:v>
                </c:pt>
                <c:pt idx="54">
                  <c:v>05/10/2025</c:v>
                </c:pt>
                <c:pt idx="55">
                  <c:v>05/11/2025</c:v>
                </c:pt>
                <c:pt idx="56">
                  <c:v>05/12/2025</c:v>
                </c:pt>
                <c:pt idx="57">
                  <c:v>06/01/2026</c:v>
                </c:pt>
                <c:pt idx="58">
                  <c:v>06/02/2025</c:v>
                </c:pt>
                <c:pt idx="59">
                  <c:v>06/03/2025</c:v>
                </c:pt>
                <c:pt idx="60">
                  <c:v>06/03/2026</c:v>
                </c:pt>
                <c:pt idx="61">
                  <c:v>06/04/2026</c:v>
                </c:pt>
                <c:pt idx="62">
                  <c:v>06/07/2025</c:v>
                </c:pt>
                <c:pt idx="63">
                  <c:v>06/09/2025</c:v>
                </c:pt>
                <c:pt idx="64">
                  <c:v>06/10/2025</c:v>
                </c:pt>
                <c:pt idx="65">
                  <c:v>06/11/2025</c:v>
                </c:pt>
                <c:pt idx="66">
                  <c:v>06/12/2025</c:v>
                </c:pt>
                <c:pt idx="67">
                  <c:v>07/02/2025</c:v>
                </c:pt>
                <c:pt idx="68">
                  <c:v>07/03/2025</c:v>
                </c:pt>
                <c:pt idx="69">
                  <c:v>07/03/2026</c:v>
                </c:pt>
                <c:pt idx="70">
                  <c:v>07/04/2025</c:v>
                </c:pt>
                <c:pt idx="71">
                  <c:v>07/04/2026</c:v>
                </c:pt>
                <c:pt idx="72">
                  <c:v>07/05/2026</c:v>
                </c:pt>
                <c:pt idx="73">
                  <c:v>07/07/2025</c:v>
                </c:pt>
                <c:pt idx="74">
                  <c:v>08/01/2026</c:v>
                </c:pt>
                <c:pt idx="75">
                  <c:v>08/02/2025</c:v>
                </c:pt>
                <c:pt idx="76">
                  <c:v>08/02/2026</c:v>
                </c:pt>
                <c:pt idx="77">
                  <c:v>08/03/2025</c:v>
                </c:pt>
                <c:pt idx="78">
                  <c:v>08/03/2026</c:v>
                </c:pt>
                <c:pt idx="79">
                  <c:v>08/04/2025</c:v>
                </c:pt>
                <c:pt idx="80">
                  <c:v>08/04/2026</c:v>
                </c:pt>
                <c:pt idx="81">
                  <c:v>08/05/2025</c:v>
                </c:pt>
                <c:pt idx="82">
                  <c:v>08/05/2026</c:v>
                </c:pt>
                <c:pt idx="83">
                  <c:v>08/06/2025</c:v>
                </c:pt>
                <c:pt idx="84">
                  <c:v>08/07/2025</c:v>
                </c:pt>
                <c:pt idx="85">
                  <c:v>08/09/2025</c:v>
                </c:pt>
                <c:pt idx="86">
                  <c:v>09/01/2025</c:v>
                </c:pt>
                <c:pt idx="87">
                  <c:v>09/01/2026</c:v>
                </c:pt>
                <c:pt idx="88">
                  <c:v>09/02/2025</c:v>
                </c:pt>
                <c:pt idx="89">
                  <c:v>09/02/2026</c:v>
                </c:pt>
                <c:pt idx="90">
                  <c:v>09/03/2025</c:v>
                </c:pt>
                <c:pt idx="91">
                  <c:v>09/04/2025</c:v>
                </c:pt>
                <c:pt idx="92">
                  <c:v>09/04/2026</c:v>
                </c:pt>
                <c:pt idx="93">
                  <c:v>09/05/2025</c:v>
                </c:pt>
                <c:pt idx="94">
                  <c:v>09/05/2026</c:v>
                </c:pt>
                <c:pt idx="95">
                  <c:v>09/06/2025</c:v>
                </c:pt>
                <c:pt idx="96">
                  <c:v>09/07/2025</c:v>
                </c:pt>
                <c:pt idx="97">
                  <c:v>09/08/2025</c:v>
                </c:pt>
                <c:pt idx="98">
                  <c:v>09/10/2025</c:v>
                </c:pt>
                <c:pt idx="99">
                  <c:v>09/11/2025</c:v>
                </c:pt>
                <c:pt idx="100">
                  <c:v>10/01/2025</c:v>
                </c:pt>
                <c:pt idx="101">
                  <c:v>10/02/2026</c:v>
                </c:pt>
                <c:pt idx="102">
                  <c:v>10/04/2025</c:v>
                </c:pt>
                <c:pt idx="103">
                  <c:v>10/05/2026</c:v>
                </c:pt>
                <c:pt idx="104">
                  <c:v>10/07/2025</c:v>
                </c:pt>
                <c:pt idx="105">
                  <c:v>10/08/2025</c:v>
                </c:pt>
                <c:pt idx="106">
                  <c:v>10/10/2025</c:v>
                </c:pt>
                <c:pt idx="107">
                  <c:v>10/12/2025</c:v>
                </c:pt>
                <c:pt idx="108">
                  <c:v>11/01/2026</c:v>
                </c:pt>
                <c:pt idx="109">
                  <c:v>11/02/2025</c:v>
                </c:pt>
                <c:pt idx="110">
                  <c:v>11/02/2026</c:v>
                </c:pt>
                <c:pt idx="111">
                  <c:v>11/03/2026</c:v>
                </c:pt>
                <c:pt idx="112">
                  <c:v>11/04/2025</c:v>
                </c:pt>
                <c:pt idx="113">
                  <c:v>11/04/2026</c:v>
                </c:pt>
                <c:pt idx="114">
                  <c:v>11/05/2025</c:v>
                </c:pt>
                <c:pt idx="115">
                  <c:v>11/05/2026</c:v>
                </c:pt>
                <c:pt idx="116">
                  <c:v>11/06/2025</c:v>
                </c:pt>
                <c:pt idx="117">
                  <c:v>11/10/2025</c:v>
                </c:pt>
                <c:pt idx="118">
                  <c:v>11/12/2025</c:v>
                </c:pt>
                <c:pt idx="119">
                  <c:v>12/01/2025</c:v>
                </c:pt>
                <c:pt idx="120">
                  <c:v>12/01/2026</c:v>
                </c:pt>
                <c:pt idx="121">
                  <c:v>12/02/2026</c:v>
                </c:pt>
                <c:pt idx="122">
                  <c:v>12/03/2025</c:v>
                </c:pt>
                <c:pt idx="123">
                  <c:v>12/04/2025</c:v>
                </c:pt>
                <c:pt idx="124">
                  <c:v>12/05/2025</c:v>
                </c:pt>
                <c:pt idx="125">
                  <c:v>12/05/2026</c:v>
                </c:pt>
                <c:pt idx="126">
                  <c:v>12/06/2025</c:v>
                </c:pt>
                <c:pt idx="127">
                  <c:v>12/09/2025</c:v>
                </c:pt>
                <c:pt idx="128">
                  <c:v>12/10/2025</c:v>
                </c:pt>
                <c:pt idx="129">
                  <c:v>12/12/2025</c:v>
                </c:pt>
                <c:pt idx="130">
                  <c:v>13/01/2025</c:v>
                </c:pt>
                <c:pt idx="131">
                  <c:v>13/01/2026</c:v>
                </c:pt>
                <c:pt idx="132">
                  <c:v>13/02/2025</c:v>
                </c:pt>
                <c:pt idx="133">
                  <c:v>13/02/2026</c:v>
                </c:pt>
                <c:pt idx="134">
                  <c:v>13/03/2025</c:v>
                </c:pt>
                <c:pt idx="135">
                  <c:v>13/03/2026</c:v>
                </c:pt>
                <c:pt idx="136">
                  <c:v>13/04/2025</c:v>
                </c:pt>
                <c:pt idx="137">
                  <c:v>13/05/2025</c:v>
                </c:pt>
                <c:pt idx="138">
                  <c:v>13/05/2026</c:v>
                </c:pt>
                <c:pt idx="139">
                  <c:v>13/08/2025</c:v>
                </c:pt>
                <c:pt idx="140">
                  <c:v>13/10/2025</c:v>
                </c:pt>
                <c:pt idx="141">
                  <c:v>13/12/2025</c:v>
                </c:pt>
                <c:pt idx="142">
                  <c:v>14/01/2026</c:v>
                </c:pt>
                <c:pt idx="143">
                  <c:v>14/02/2026</c:v>
                </c:pt>
                <c:pt idx="144">
                  <c:v>14/03/2025</c:v>
                </c:pt>
                <c:pt idx="145">
                  <c:v>14/03/2026</c:v>
                </c:pt>
                <c:pt idx="146">
                  <c:v>14/05/2025</c:v>
                </c:pt>
                <c:pt idx="147">
                  <c:v>14/06/2025</c:v>
                </c:pt>
                <c:pt idx="148">
                  <c:v>14/07/2025</c:v>
                </c:pt>
                <c:pt idx="149">
                  <c:v>14/12/2025</c:v>
                </c:pt>
                <c:pt idx="150">
                  <c:v>15/01/2025</c:v>
                </c:pt>
                <c:pt idx="151">
                  <c:v>15/03/2026</c:v>
                </c:pt>
                <c:pt idx="152">
                  <c:v>15/04/2026</c:v>
                </c:pt>
                <c:pt idx="153">
                  <c:v>15/05/2025</c:v>
                </c:pt>
                <c:pt idx="154">
                  <c:v>15/06/2025</c:v>
                </c:pt>
                <c:pt idx="155">
                  <c:v>15/09/2025</c:v>
                </c:pt>
                <c:pt idx="156">
                  <c:v>15/10/2025</c:v>
                </c:pt>
                <c:pt idx="157">
                  <c:v>15/11/2025</c:v>
                </c:pt>
                <c:pt idx="158">
                  <c:v>15/12/2025</c:v>
                </c:pt>
                <c:pt idx="159">
                  <c:v>16/01/2025</c:v>
                </c:pt>
                <c:pt idx="160">
                  <c:v>16/01/2026</c:v>
                </c:pt>
                <c:pt idx="161">
                  <c:v>16/02/2025</c:v>
                </c:pt>
                <c:pt idx="162">
                  <c:v>16/03/2025</c:v>
                </c:pt>
                <c:pt idx="163">
                  <c:v>16/03/2026</c:v>
                </c:pt>
                <c:pt idx="164">
                  <c:v>16/04/2026</c:v>
                </c:pt>
                <c:pt idx="165">
                  <c:v>16/05/2025</c:v>
                </c:pt>
                <c:pt idx="166">
                  <c:v>16/05/2026</c:v>
                </c:pt>
                <c:pt idx="167">
                  <c:v>16/06/2025</c:v>
                </c:pt>
                <c:pt idx="168">
                  <c:v>16/08/2025</c:v>
                </c:pt>
                <c:pt idx="169">
                  <c:v>16/09/2025</c:v>
                </c:pt>
                <c:pt idx="170">
                  <c:v>16/11/2025</c:v>
                </c:pt>
                <c:pt idx="171">
                  <c:v>16/12/2025</c:v>
                </c:pt>
                <c:pt idx="172">
                  <c:v>17/01/2025</c:v>
                </c:pt>
                <c:pt idx="173">
                  <c:v>17/01/2026</c:v>
                </c:pt>
                <c:pt idx="174">
                  <c:v>17/02/2025</c:v>
                </c:pt>
                <c:pt idx="175">
                  <c:v>17/02/2026</c:v>
                </c:pt>
                <c:pt idx="176">
                  <c:v>17/03/2025</c:v>
                </c:pt>
                <c:pt idx="177">
                  <c:v>17/03/2026</c:v>
                </c:pt>
                <c:pt idx="178">
                  <c:v>17/04/2025</c:v>
                </c:pt>
                <c:pt idx="179">
                  <c:v>17/04/2026</c:v>
                </c:pt>
                <c:pt idx="180">
                  <c:v>17/09/2025</c:v>
                </c:pt>
                <c:pt idx="181">
                  <c:v>17/12/2025</c:v>
                </c:pt>
                <c:pt idx="182">
                  <c:v>18/01/2026</c:v>
                </c:pt>
                <c:pt idx="183">
                  <c:v>18/02/2025</c:v>
                </c:pt>
                <c:pt idx="184">
                  <c:v>18/02/2026</c:v>
                </c:pt>
                <c:pt idx="185">
                  <c:v>18/03/2025</c:v>
                </c:pt>
                <c:pt idx="186">
                  <c:v>18/04/2025</c:v>
                </c:pt>
                <c:pt idx="187">
                  <c:v>18/05/2025</c:v>
                </c:pt>
                <c:pt idx="188">
                  <c:v>18/07/2025</c:v>
                </c:pt>
                <c:pt idx="189">
                  <c:v>18/09/2025</c:v>
                </c:pt>
                <c:pt idx="190">
                  <c:v>18/10/2025</c:v>
                </c:pt>
                <c:pt idx="191">
                  <c:v>18/11/2025</c:v>
                </c:pt>
                <c:pt idx="192">
                  <c:v>18/12/2025</c:v>
                </c:pt>
                <c:pt idx="193">
                  <c:v>19/01/2026</c:v>
                </c:pt>
                <c:pt idx="194">
                  <c:v>19/02/2025</c:v>
                </c:pt>
                <c:pt idx="195">
                  <c:v>19/02/2026</c:v>
                </c:pt>
                <c:pt idx="196">
                  <c:v>19/04/2025</c:v>
                </c:pt>
                <c:pt idx="197">
                  <c:v>19/04/2026</c:v>
                </c:pt>
                <c:pt idx="198">
                  <c:v>19/05/2025</c:v>
                </c:pt>
                <c:pt idx="199">
                  <c:v>19/06/2025</c:v>
                </c:pt>
                <c:pt idx="200">
                  <c:v>19/07/2025</c:v>
                </c:pt>
                <c:pt idx="201">
                  <c:v>19/08/2025</c:v>
                </c:pt>
                <c:pt idx="202">
                  <c:v>19/09/2025</c:v>
                </c:pt>
                <c:pt idx="203">
                  <c:v>19/10/2025</c:v>
                </c:pt>
                <c:pt idx="204">
                  <c:v>19/11/2025</c:v>
                </c:pt>
                <c:pt idx="205">
                  <c:v>20/02/2025</c:v>
                </c:pt>
                <c:pt idx="206">
                  <c:v>20/02/2026</c:v>
                </c:pt>
                <c:pt idx="207">
                  <c:v>20/03/2025</c:v>
                </c:pt>
                <c:pt idx="208">
                  <c:v>20/04/2025</c:v>
                </c:pt>
                <c:pt idx="209">
                  <c:v>20/04/2026</c:v>
                </c:pt>
                <c:pt idx="210">
                  <c:v>20/05/2025</c:v>
                </c:pt>
                <c:pt idx="211">
                  <c:v>20/06/2025</c:v>
                </c:pt>
                <c:pt idx="212">
                  <c:v>20/07/2025</c:v>
                </c:pt>
                <c:pt idx="213">
                  <c:v>20/08/2025</c:v>
                </c:pt>
                <c:pt idx="214">
                  <c:v>20/10/2025</c:v>
                </c:pt>
                <c:pt idx="215">
                  <c:v>21/01/2025</c:v>
                </c:pt>
                <c:pt idx="216">
                  <c:v>21/01/2026</c:v>
                </c:pt>
                <c:pt idx="217">
                  <c:v>21/02/2025</c:v>
                </c:pt>
                <c:pt idx="218">
                  <c:v>21/02/2026</c:v>
                </c:pt>
                <c:pt idx="219">
                  <c:v>21/03/2026</c:v>
                </c:pt>
                <c:pt idx="220">
                  <c:v>21/04/2025</c:v>
                </c:pt>
                <c:pt idx="221">
                  <c:v>21/06/2025</c:v>
                </c:pt>
                <c:pt idx="222">
                  <c:v>21/07/2025</c:v>
                </c:pt>
                <c:pt idx="223">
                  <c:v>21/09/2025</c:v>
                </c:pt>
                <c:pt idx="224">
                  <c:v>21/10/2025</c:v>
                </c:pt>
                <c:pt idx="225">
                  <c:v>22/01/2025</c:v>
                </c:pt>
                <c:pt idx="226">
                  <c:v>22/02/2025</c:v>
                </c:pt>
                <c:pt idx="227">
                  <c:v>22/02/2026</c:v>
                </c:pt>
                <c:pt idx="228">
                  <c:v>22/03/2026</c:v>
                </c:pt>
                <c:pt idx="229">
                  <c:v>22/04/2025</c:v>
                </c:pt>
                <c:pt idx="230">
                  <c:v>22/04/2026</c:v>
                </c:pt>
                <c:pt idx="231">
                  <c:v>22/05/2025</c:v>
                </c:pt>
                <c:pt idx="232">
                  <c:v>22/06/2025</c:v>
                </c:pt>
                <c:pt idx="233">
                  <c:v>22/07/2025</c:v>
                </c:pt>
                <c:pt idx="234">
                  <c:v>22/09/2025</c:v>
                </c:pt>
                <c:pt idx="235">
                  <c:v>22/10/2025</c:v>
                </c:pt>
                <c:pt idx="236">
                  <c:v>22/12/2025</c:v>
                </c:pt>
                <c:pt idx="237">
                  <c:v>23/01/2026</c:v>
                </c:pt>
                <c:pt idx="238">
                  <c:v>23/02/2025</c:v>
                </c:pt>
                <c:pt idx="239">
                  <c:v>23/03/2025</c:v>
                </c:pt>
                <c:pt idx="240">
                  <c:v>23/03/2026</c:v>
                </c:pt>
                <c:pt idx="241">
                  <c:v>23/04/2025</c:v>
                </c:pt>
                <c:pt idx="242">
                  <c:v>23/04/2026</c:v>
                </c:pt>
                <c:pt idx="243">
                  <c:v>23/07/2025</c:v>
                </c:pt>
                <c:pt idx="244">
                  <c:v>23/08/2025</c:v>
                </c:pt>
                <c:pt idx="245">
                  <c:v>23/10/2025</c:v>
                </c:pt>
                <c:pt idx="246">
                  <c:v>23/12/2025</c:v>
                </c:pt>
                <c:pt idx="247">
                  <c:v>24/01/2025</c:v>
                </c:pt>
                <c:pt idx="248">
                  <c:v>24/01/2026</c:v>
                </c:pt>
                <c:pt idx="249">
                  <c:v>24/02/2026</c:v>
                </c:pt>
                <c:pt idx="250">
                  <c:v>24/03/2026</c:v>
                </c:pt>
                <c:pt idx="251">
                  <c:v>24/04/2026</c:v>
                </c:pt>
                <c:pt idx="252">
                  <c:v>24/05/2025</c:v>
                </c:pt>
                <c:pt idx="253">
                  <c:v>24/06/2025</c:v>
                </c:pt>
                <c:pt idx="254">
                  <c:v>24/08/2025</c:v>
                </c:pt>
                <c:pt idx="255">
                  <c:v>24/12/2025</c:v>
                </c:pt>
                <c:pt idx="256">
                  <c:v>25/01/2025</c:v>
                </c:pt>
                <c:pt idx="257">
                  <c:v>25/02/2025</c:v>
                </c:pt>
                <c:pt idx="258">
                  <c:v>25/02/2026</c:v>
                </c:pt>
                <c:pt idx="259">
                  <c:v>25/03/2025</c:v>
                </c:pt>
                <c:pt idx="260">
                  <c:v>25/04/2025</c:v>
                </c:pt>
                <c:pt idx="261">
                  <c:v>25/04/2026</c:v>
                </c:pt>
                <c:pt idx="262">
                  <c:v>25/05/2025</c:v>
                </c:pt>
                <c:pt idx="263">
                  <c:v>25/06/2025</c:v>
                </c:pt>
                <c:pt idx="264">
                  <c:v>25/07/2025</c:v>
                </c:pt>
                <c:pt idx="265">
                  <c:v>25/08/2025</c:v>
                </c:pt>
                <c:pt idx="266">
                  <c:v>25/11/2025</c:v>
                </c:pt>
                <c:pt idx="267">
                  <c:v>26/01/2025</c:v>
                </c:pt>
                <c:pt idx="268">
                  <c:v>26/01/2026</c:v>
                </c:pt>
                <c:pt idx="269">
                  <c:v>26/02/2025</c:v>
                </c:pt>
                <c:pt idx="270">
                  <c:v>26/03/2025</c:v>
                </c:pt>
                <c:pt idx="271">
                  <c:v>26/03/2026</c:v>
                </c:pt>
                <c:pt idx="272">
                  <c:v>26/04/2025</c:v>
                </c:pt>
                <c:pt idx="273">
                  <c:v>26/04/2026</c:v>
                </c:pt>
                <c:pt idx="274">
                  <c:v>26/05/2025</c:v>
                </c:pt>
                <c:pt idx="275">
                  <c:v>26/06/2025</c:v>
                </c:pt>
                <c:pt idx="276">
                  <c:v>26/07/2025</c:v>
                </c:pt>
                <c:pt idx="277">
                  <c:v>26/08/2025</c:v>
                </c:pt>
                <c:pt idx="278">
                  <c:v>26/12/2025</c:v>
                </c:pt>
                <c:pt idx="279">
                  <c:v>27/01/2025</c:v>
                </c:pt>
                <c:pt idx="280">
                  <c:v>27/01/2026</c:v>
                </c:pt>
                <c:pt idx="281">
                  <c:v>27/02/2025</c:v>
                </c:pt>
                <c:pt idx="282">
                  <c:v>27/03/2025</c:v>
                </c:pt>
                <c:pt idx="283">
                  <c:v>27/03/2026</c:v>
                </c:pt>
                <c:pt idx="284">
                  <c:v>27/04/2025</c:v>
                </c:pt>
                <c:pt idx="285">
                  <c:v>27/04/2026</c:v>
                </c:pt>
                <c:pt idx="286">
                  <c:v>27/06/2025</c:v>
                </c:pt>
                <c:pt idx="287">
                  <c:v>27/07/2025</c:v>
                </c:pt>
                <c:pt idx="288">
                  <c:v>27/08/2025</c:v>
                </c:pt>
                <c:pt idx="289">
                  <c:v>27/09/2025</c:v>
                </c:pt>
                <c:pt idx="290">
                  <c:v>27/11/2025</c:v>
                </c:pt>
                <c:pt idx="291">
                  <c:v>27/12/2025</c:v>
                </c:pt>
                <c:pt idx="292">
                  <c:v>28/01/2025</c:v>
                </c:pt>
                <c:pt idx="293">
                  <c:v>28/01/2026</c:v>
                </c:pt>
                <c:pt idx="294">
                  <c:v>28/02/2025</c:v>
                </c:pt>
                <c:pt idx="295">
                  <c:v>28/02/2026</c:v>
                </c:pt>
                <c:pt idx="296">
                  <c:v>28/03/2025</c:v>
                </c:pt>
                <c:pt idx="297">
                  <c:v>28/04/2025</c:v>
                </c:pt>
                <c:pt idx="298">
                  <c:v>28/05/2025</c:v>
                </c:pt>
                <c:pt idx="299">
                  <c:v>28/07/2025</c:v>
                </c:pt>
                <c:pt idx="300">
                  <c:v>28/08/2025</c:v>
                </c:pt>
                <c:pt idx="301">
                  <c:v>28/10/2025</c:v>
                </c:pt>
                <c:pt idx="302">
                  <c:v>28/12/2025</c:v>
                </c:pt>
                <c:pt idx="303">
                  <c:v>29/03/2025</c:v>
                </c:pt>
                <c:pt idx="304">
                  <c:v>29/03/2026</c:v>
                </c:pt>
                <c:pt idx="305">
                  <c:v>29/04/2026</c:v>
                </c:pt>
                <c:pt idx="306">
                  <c:v>29/05/2025</c:v>
                </c:pt>
                <c:pt idx="307">
                  <c:v>29/06/2025</c:v>
                </c:pt>
                <c:pt idx="308">
                  <c:v>29/07/2025</c:v>
                </c:pt>
                <c:pt idx="309">
                  <c:v>29/09/2025</c:v>
                </c:pt>
                <c:pt idx="310">
                  <c:v>29/10/2025</c:v>
                </c:pt>
                <c:pt idx="311">
                  <c:v>29/11/2025</c:v>
                </c:pt>
                <c:pt idx="312">
                  <c:v>29/12/2025</c:v>
                </c:pt>
                <c:pt idx="313">
                  <c:v>30/01/2026</c:v>
                </c:pt>
                <c:pt idx="314">
                  <c:v>30/03/2025</c:v>
                </c:pt>
                <c:pt idx="315">
                  <c:v>30/04/2025</c:v>
                </c:pt>
                <c:pt idx="316">
                  <c:v>30/05/2025</c:v>
                </c:pt>
                <c:pt idx="317">
                  <c:v>30/07/2025</c:v>
                </c:pt>
                <c:pt idx="318">
                  <c:v>30/08/2025</c:v>
                </c:pt>
                <c:pt idx="319">
                  <c:v>30/10/2025</c:v>
                </c:pt>
                <c:pt idx="320">
                  <c:v>31/01/2025</c:v>
                </c:pt>
                <c:pt idx="321">
                  <c:v>31/01/2026</c:v>
                </c:pt>
                <c:pt idx="322">
                  <c:v>31/02/2025</c:v>
                </c:pt>
                <c:pt idx="323">
                  <c:v>31/05/2025</c:v>
                </c:pt>
                <c:pt idx="324">
                  <c:v>31/10/2025</c:v>
                </c:pt>
                <c:pt idx="325">
                  <c:v>31/12/2025</c:v>
                </c:pt>
                <c:pt idx="326">
                  <c:v>Pending</c:v>
                </c:pt>
              </c:strCache>
            </c:strRef>
          </c:cat>
          <c:val>
            <c:numRef>
              <c:f>'Data for Dashboared'!$C$41:$C$368</c:f>
              <c:numCache>
                <c:formatCode>General</c:formatCode>
                <c:ptCount val="327"/>
                <c:pt idx="0">
                  <c:v>1785</c:v>
                </c:pt>
                <c:pt idx="1">
                  <c:v>15012.5</c:v>
                </c:pt>
                <c:pt idx="2">
                  <c:v>53200</c:v>
                </c:pt>
                <c:pt idx="3">
                  <c:v>10410</c:v>
                </c:pt>
                <c:pt idx="4">
                  <c:v>17050</c:v>
                </c:pt>
                <c:pt idx="5">
                  <c:v>990969</c:v>
                </c:pt>
                <c:pt idx="6">
                  <c:v>132000</c:v>
                </c:pt>
                <c:pt idx="7">
                  <c:v>110000</c:v>
                </c:pt>
                <c:pt idx="8">
                  <c:v>441009.5</c:v>
                </c:pt>
                <c:pt idx="9">
                  <c:v>61251</c:v>
                </c:pt>
                <c:pt idx="10">
                  <c:v>3150</c:v>
                </c:pt>
                <c:pt idx="11">
                  <c:v>149985</c:v>
                </c:pt>
                <c:pt idx="12">
                  <c:v>441920</c:v>
                </c:pt>
                <c:pt idx="13">
                  <c:v>17340</c:v>
                </c:pt>
                <c:pt idx="14">
                  <c:v>3600</c:v>
                </c:pt>
                <c:pt idx="15">
                  <c:v>4800</c:v>
                </c:pt>
                <c:pt idx="16">
                  <c:v>173526.75</c:v>
                </c:pt>
                <c:pt idx="17">
                  <c:v>4143</c:v>
                </c:pt>
                <c:pt idx="18">
                  <c:v>137700</c:v>
                </c:pt>
                <c:pt idx="19">
                  <c:v>990000</c:v>
                </c:pt>
                <c:pt idx="20">
                  <c:v>220</c:v>
                </c:pt>
                <c:pt idx="21">
                  <c:v>47085</c:v>
                </c:pt>
                <c:pt idx="22">
                  <c:v>9065</c:v>
                </c:pt>
                <c:pt idx="23">
                  <c:v>522600</c:v>
                </c:pt>
                <c:pt idx="24">
                  <c:v>440000</c:v>
                </c:pt>
                <c:pt idx="25">
                  <c:v>2100</c:v>
                </c:pt>
                <c:pt idx="26">
                  <c:v>513</c:v>
                </c:pt>
                <c:pt idx="27">
                  <c:v>2322</c:v>
                </c:pt>
                <c:pt idx="28">
                  <c:v>170100</c:v>
                </c:pt>
                <c:pt idx="29">
                  <c:v>3420</c:v>
                </c:pt>
                <c:pt idx="30">
                  <c:v>182400</c:v>
                </c:pt>
                <c:pt idx="31">
                  <c:v>261250</c:v>
                </c:pt>
                <c:pt idx="32">
                  <c:v>40800</c:v>
                </c:pt>
                <c:pt idx="33">
                  <c:v>54700</c:v>
                </c:pt>
                <c:pt idx="34">
                  <c:v>680476.25</c:v>
                </c:pt>
                <c:pt idx="35">
                  <c:v>1870</c:v>
                </c:pt>
                <c:pt idx="36">
                  <c:v>56000</c:v>
                </c:pt>
                <c:pt idx="37">
                  <c:v>64851</c:v>
                </c:pt>
                <c:pt idx="38">
                  <c:v>378</c:v>
                </c:pt>
                <c:pt idx="39">
                  <c:v>137275</c:v>
                </c:pt>
                <c:pt idx="40">
                  <c:v>109725</c:v>
                </c:pt>
                <c:pt idx="41">
                  <c:v>301761</c:v>
                </c:pt>
                <c:pt idx="42">
                  <c:v>47250</c:v>
                </c:pt>
                <c:pt idx="43">
                  <c:v>35640</c:v>
                </c:pt>
                <c:pt idx="44">
                  <c:v>912</c:v>
                </c:pt>
                <c:pt idx="45">
                  <c:v>420</c:v>
                </c:pt>
                <c:pt idx="46">
                  <c:v>548</c:v>
                </c:pt>
                <c:pt idx="47">
                  <c:v>150900</c:v>
                </c:pt>
                <c:pt idx="48">
                  <c:v>89040</c:v>
                </c:pt>
                <c:pt idx="49">
                  <c:v>15600</c:v>
                </c:pt>
                <c:pt idx="50">
                  <c:v>432</c:v>
                </c:pt>
                <c:pt idx="51">
                  <c:v>324</c:v>
                </c:pt>
                <c:pt idx="52">
                  <c:v>8925</c:v>
                </c:pt>
                <c:pt idx="53">
                  <c:v>56000</c:v>
                </c:pt>
                <c:pt idx="54">
                  <c:v>212544.5</c:v>
                </c:pt>
                <c:pt idx="55">
                  <c:v>573237</c:v>
                </c:pt>
                <c:pt idx="56">
                  <c:v>4400</c:v>
                </c:pt>
                <c:pt idx="57">
                  <c:v>170000</c:v>
                </c:pt>
                <c:pt idx="58">
                  <c:v>81834.25</c:v>
                </c:pt>
                <c:pt idx="59">
                  <c:v>33660</c:v>
                </c:pt>
                <c:pt idx="60">
                  <c:v>114000</c:v>
                </c:pt>
                <c:pt idx="61">
                  <c:v>10710</c:v>
                </c:pt>
                <c:pt idx="62">
                  <c:v>627000</c:v>
                </c:pt>
                <c:pt idx="63">
                  <c:v>12000</c:v>
                </c:pt>
                <c:pt idx="64">
                  <c:v>9920.25</c:v>
                </c:pt>
                <c:pt idx="65">
                  <c:v>273</c:v>
                </c:pt>
                <c:pt idx="66">
                  <c:v>663</c:v>
                </c:pt>
                <c:pt idx="67">
                  <c:v>71330</c:v>
                </c:pt>
                <c:pt idx="68">
                  <c:v>41800</c:v>
                </c:pt>
                <c:pt idx="69">
                  <c:v>8778</c:v>
                </c:pt>
                <c:pt idx="70">
                  <c:v>792285</c:v>
                </c:pt>
                <c:pt idx="71">
                  <c:v>65025</c:v>
                </c:pt>
                <c:pt idx="72">
                  <c:v>56384.75</c:v>
                </c:pt>
                <c:pt idx="73">
                  <c:v>12960</c:v>
                </c:pt>
                <c:pt idx="74">
                  <c:v>612</c:v>
                </c:pt>
                <c:pt idx="75">
                  <c:v>251200</c:v>
                </c:pt>
                <c:pt idx="76">
                  <c:v>8500</c:v>
                </c:pt>
                <c:pt idx="77">
                  <c:v>39850</c:v>
                </c:pt>
                <c:pt idx="78">
                  <c:v>88570</c:v>
                </c:pt>
                <c:pt idx="79">
                  <c:v>420.75</c:v>
                </c:pt>
                <c:pt idx="80">
                  <c:v>26220</c:v>
                </c:pt>
                <c:pt idx="81">
                  <c:v>679250</c:v>
                </c:pt>
                <c:pt idx="82">
                  <c:v>8330</c:v>
                </c:pt>
                <c:pt idx="83">
                  <c:v>34000</c:v>
                </c:pt>
                <c:pt idx="84">
                  <c:v>21660</c:v>
                </c:pt>
                <c:pt idx="85">
                  <c:v>51000</c:v>
                </c:pt>
                <c:pt idx="86">
                  <c:v>161500</c:v>
                </c:pt>
                <c:pt idx="87">
                  <c:v>13888</c:v>
                </c:pt>
                <c:pt idx="88">
                  <c:v>114.75</c:v>
                </c:pt>
                <c:pt idx="89">
                  <c:v>37698</c:v>
                </c:pt>
                <c:pt idx="90">
                  <c:v>35530</c:v>
                </c:pt>
                <c:pt idx="91">
                  <c:v>104540</c:v>
                </c:pt>
                <c:pt idx="92">
                  <c:v>138</c:v>
                </c:pt>
                <c:pt idx="93">
                  <c:v>999999</c:v>
                </c:pt>
                <c:pt idx="94">
                  <c:v>11970</c:v>
                </c:pt>
                <c:pt idx="95">
                  <c:v>7140</c:v>
                </c:pt>
                <c:pt idx="96">
                  <c:v>76800</c:v>
                </c:pt>
                <c:pt idx="97">
                  <c:v>247</c:v>
                </c:pt>
                <c:pt idx="98">
                  <c:v>648</c:v>
                </c:pt>
                <c:pt idx="99">
                  <c:v>535.5</c:v>
                </c:pt>
                <c:pt idx="100">
                  <c:v>29700</c:v>
                </c:pt>
                <c:pt idx="101">
                  <c:v>408</c:v>
                </c:pt>
                <c:pt idx="102">
                  <c:v>56108</c:v>
                </c:pt>
                <c:pt idx="103">
                  <c:v>304</c:v>
                </c:pt>
                <c:pt idx="104">
                  <c:v>17340</c:v>
                </c:pt>
                <c:pt idx="105">
                  <c:v>432</c:v>
                </c:pt>
                <c:pt idx="106">
                  <c:v>35640</c:v>
                </c:pt>
                <c:pt idx="107">
                  <c:v>15840</c:v>
                </c:pt>
                <c:pt idx="108">
                  <c:v>129314</c:v>
                </c:pt>
                <c:pt idx="109">
                  <c:v>478</c:v>
                </c:pt>
                <c:pt idx="110">
                  <c:v>47600</c:v>
                </c:pt>
                <c:pt idx="111">
                  <c:v>157980</c:v>
                </c:pt>
                <c:pt idx="112">
                  <c:v>56000</c:v>
                </c:pt>
                <c:pt idx="113">
                  <c:v>28900</c:v>
                </c:pt>
                <c:pt idx="114">
                  <c:v>85.5</c:v>
                </c:pt>
                <c:pt idx="115">
                  <c:v>224</c:v>
                </c:pt>
                <c:pt idx="116">
                  <c:v>50575</c:v>
                </c:pt>
                <c:pt idx="117">
                  <c:v>9138.75</c:v>
                </c:pt>
                <c:pt idx="118">
                  <c:v>25340</c:v>
                </c:pt>
                <c:pt idx="119">
                  <c:v>128</c:v>
                </c:pt>
                <c:pt idx="120">
                  <c:v>36000</c:v>
                </c:pt>
                <c:pt idx="121">
                  <c:v>144</c:v>
                </c:pt>
                <c:pt idx="122">
                  <c:v>9600</c:v>
                </c:pt>
                <c:pt idx="123">
                  <c:v>20825</c:v>
                </c:pt>
                <c:pt idx="124">
                  <c:v>47600</c:v>
                </c:pt>
                <c:pt idx="125">
                  <c:v>68400</c:v>
                </c:pt>
                <c:pt idx="126">
                  <c:v>162</c:v>
                </c:pt>
                <c:pt idx="127">
                  <c:v>54</c:v>
                </c:pt>
                <c:pt idx="128">
                  <c:v>497.25</c:v>
                </c:pt>
                <c:pt idx="129">
                  <c:v>264000</c:v>
                </c:pt>
                <c:pt idx="130">
                  <c:v>574930</c:v>
                </c:pt>
                <c:pt idx="131">
                  <c:v>275000</c:v>
                </c:pt>
                <c:pt idx="132">
                  <c:v>100</c:v>
                </c:pt>
                <c:pt idx="133">
                  <c:v>12080</c:v>
                </c:pt>
                <c:pt idx="134">
                  <c:v>180000</c:v>
                </c:pt>
                <c:pt idx="135">
                  <c:v>305589.5</c:v>
                </c:pt>
                <c:pt idx="136">
                  <c:v>143760</c:v>
                </c:pt>
                <c:pt idx="137">
                  <c:v>15360</c:v>
                </c:pt>
                <c:pt idx="138">
                  <c:v>69325</c:v>
                </c:pt>
                <c:pt idx="139">
                  <c:v>18780</c:v>
                </c:pt>
                <c:pt idx="140">
                  <c:v>142408.25</c:v>
                </c:pt>
                <c:pt idx="141">
                  <c:v>21710</c:v>
                </c:pt>
                <c:pt idx="142">
                  <c:v>79800</c:v>
                </c:pt>
                <c:pt idx="143">
                  <c:v>1062</c:v>
                </c:pt>
                <c:pt idx="144">
                  <c:v>650.25</c:v>
                </c:pt>
                <c:pt idx="145">
                  <c:v>140</c:v>
                </c:pt>
                <c:pt idx="146">
                  <c:v>68</c:v>
                </c:pt>
                <c:pt idx="147">
                  <c:v>12320</c:v>
                </c:pt>
                <c:pt idx="148">
                  <c:v>28160</c:v>
                </c:pt>
                <c:pt idx="149">
                  <c:v>198900</c:v>
                </c:pt>
                <c:pt idx="150">
                  <c:v>20505</c:v>
                </c:pt>
                <c:pt idx="151">
                  <c:v>14820</c:v>
                </c:pt>
                <c:pt idx="152">
                  <c:v>59850</c:v>
                </c:pt>
                <c:pt idx="153">
                  <c:v>43732.5</c:v>
                </c:pt>
                <c:pt idx="154">
                  <c:v>10127</c:v>
                </c:pt>
                <c:pt idx="155">
                  <c:v>69540</c:v>
                </c:pt>
                <c:pt idx="156">
                  <c:v>76.5</c:v>
                </c:pt>
                <c:pt idx="157">
                  <c:v>89400</c:v>
                </c:pt>
                <c:pt idx="158">
                  <c:v>10200</c:v>
                </c:pt>
                <c:pt idx="159">
                  <c:v>360</c:v>
                </c:pt>
                <c:pt idx="160">
                  <c:v>133</c:v>
                </c:pt>
                <c:pt idx="161">
                  <c:v>26580</c:v>
                </c:pt>
                <c:pt idx="162">
                  <c:v>200</c:v>
                </c:pt>
                <c:pt idx="163">
                  <c:v>54720</c:v>
                </c:pt>
                <c:pt idx="164">
                  <c:v>24310</c:v>
                </c:pt>
                <c:pt idx="165">
                  <c:v>585</c:v>
                </c:pt>
                <c:pt idx="166">
                  <c:v>18240</c:v>
                </c:pt>
                <c:pt idx="167">
                  <c:v>177659</c:v>
                </c:pt>
                <c:pt idx="168">
                  <c:v>514570</c:v>
                </c:pt>
                <c:pt idx="169">
                  <c:v>70000</c:v>
                </c:pt>
                <c:pt idx="170">
                  <c:v>34200</c:v>
                </c:pt>
                <c:pt idx="171">
                  <c:v>720</c:v>
                </c:pt>
                <c:pt idx="172">
                  <c:v>20220</c:v>
                </c:pt>
                <c:pt idx="173">
                  <c:v>660000</c:v>
                </c:pt>
                <c:pt idx="174">
                  <c:v>748000</c:v>
                </c:pt>
                <c:pt idx="175">
                  <c:v>18096</c:v>
                </c:pt>
                <c:pt idx="176">
                  <c:v>30087</c:v>
                </c:pt>
                <c:pt idx="177">
                  <c:v>55970</c:v>
                </c:pt>
                <c:pt idx="178">
                  <c:v>64600</c:v>
                </c:pt>
                <c:pt idx="179">
                  <c:v>115200</c:v>
                </c:pt>
                <c:pt idx="180">
                  <c:v>2200</c:v>
                </c:pt>
                <c:pt idx="181">
                  <c:v>180</c:v>
                </c:pt>
                <c:pt idx="182">
                  <c:v>139080</c:v>
                </c:pt>
                <c:pt idx="183">
                  <c:v>20825</c:v>
                </c:pt>
                <c:pt idx="184">
                  <c:v>173060</c:v>
                </c:pt>
                <c:pt idx="185">
                  <c:v>18360</c:v>
                </c:pt>
                <c:pt idx="186">
                  <c:v>48</c:v>
                </c:pt>
                <c:pt idx="187">
                  <c:v>144640</c:v>
                </c:pt>
                <c:pt idx="188">
                  <c:v>9350</c:v>
                </c:pt>
                <c:pt idx="189">
                  <c:v>105120</c:v>
                </c:pt>
                <c:pt idx="190">
                  <c:v>19380</c:v>
                </c:pt>
                <c:pt idx="191">
                  <c:v>127713.75</c:v>
                </c:pt>
                <c:pt idx="192">
                  <c:v>415175</c:v>
                </c:pt>
                <c:pt idx="193">
                  <c:v>12000</c:v>
                </c:pt>
                <c:pt idx="194">
                  <c:v>136</c:v>
                </c:pt>
                <c:pt idx="195">
                  <c:v>37400</c:v>
                </c:pt>
                <c:pt idx="196">
                  <c:v>638593</c:v>
                </c:pt>
                <c:pt idx="197">
                  <c:v>235030</c:v>
                </c:pt>
                <c:pt idx="198">
                  <c:v>304</c:v>
                </c:pt>
                <c:pt idx="199">
                  <c:v>120925</c:v>
                </c:pt>
                <c:pt idx="200">
                  <c:v>3240</c:v>
                </c:pt>
                <c:pt idx="201">
                  <c:v>769800</c:v>
                </c:pt>
                <c:pt idx="202">
                  <c:v>84842</c:v>
                </c:pt>
                <c:pt idx="203">
                  <c:v>81</c:v>
                </c:pt>
                <c:pt idx="204">
                  <c:v>22080</c:v>
                </c:pt>
                <c:pt idx="205">
                  <c:v>880000</c:v>
                </c:pt>
                <c:pt idx="206">
                  <c:v>26400</c:v>
                </c:pt>
                <c:pt idx="207">
                  <c:v>5950</c:v>
                </c:pt>
                <c:pt idx="208">
                  <c:v>103512</c:v>
                </c:pt>
                <c:pt idx="209">
                  <c:v>522595</c:v>
                </c:pt>
                <c:pt idx="210">
                  <c:v>154080</c:v>
                </c:pt>
                <c:pt idx="211">
                  <c:v>20400</c:v>
                </c:pt>
                <c:pt idx="212">
                  <c:v>50456.5</c:v>
                </c:pt>
                <c:pt idx="213">
                  <c:v>5202</c:v>
                </c:pt>
                <c:pt idx="214">
                  <c:v>326940</c:v>
                </c:pt>
                <c:pt idx="215">
                  <c:v>576</c:v>
                </c:pt>
                <c:pt idx="216">
                  <c:v>30004</c:v>
                </c:pt>
                <c:pt idx="217">
                  <c:v>969</c:v>
                </c:pt>
                <c:pt idx="218">
                  <c:v>6600</c:v>
                </c:pt>
                <c:pt idx="219">
                  <c:v>765</c:v>
                </c:pt>
                <c:pt idx="220">
                  <c:v>1026</c:v>
                </c:pt>
                <c:pt idx="221">
                  <c:v>14000</c:v>
                </c:pt>
                <c:pt idx="222">
                  <c:v>10260</c:v>
                </c:pt>
                <c:pt idx="223">
                  <c:v>81600</c:v>
                </c:pt>
                <c:pt idx="224">
                  <c:v>16320</c:v>
                </c:pt>
                <c:pt idx="225">
                  <c:v>1077300</c:v>
                </c:pt>
                <c:pt idx="226">
                  <c:v>91800</c:v>
                </c:pt>
                <c:pt idx="227">
                  <c:v>88400</c:v>
                </c:pt>
                <c:pt idx="228">
                  <c:v>5600</c:v>
                </c:pt>
                <c:pt idx="229">
                  <c:v>136000</c:v>
                </c:pt>
                <c:pt idx="230">
                  <c:v>855</c:v>
                </c:pt>
                <c:pt idx="231">
                  <c:v>46900</c:v>
                </c:pt>
                <c:pt idx="232">
                  <c:v>95</c:v>
                </c:pt>
                <c:pt idx="233">
                  <c:v>25914</c:v>
                </c:pt>
                <c:pt idx="234">
                  <c:v>2400</c:v>
                </c:pt>
                <c:pt idx="235">
                  <c:v>36</c:v>
                </c:pt>
                <c:pt idx="236">
                  <c:v>685740</c:v>
                </c:pt>
                <c:pt idx="237">
                  <c:v>6720</c:v>
                </c:pt>
                <c:pt idx="238">
                  <c:v>241200</c:v>
                </c:pt>
                <c:pt idx="239">
                  <c:v>136650.25</c:v>
                </c:pt>
                <c:pt idx="240">
                  <c:v>990000</c:v>
                </c:pt>
                <c:pt idx="241">
                  <c:v>3360</c:v>
                </c:pt>
                <c:pt idx="242">
                  <c:v>63175</c:v>
                </c:pt>
                <c:pt idx="243">
                  <c:v>176000</c:v>
                </c:pt>
                <c:pt idx="244">
                  <c:v>31790</c:v>
                </c:pt>
                <c:pt idx="245">
                  <c:v>35485</c:v>
                </c:pt>
                <c:pt idx="246">
                  <c:v>40375</c:v>
                </c:pt>
                <c:pt idx="247">
                  <c:v>952</c:v>
                </c:pt>
                <c:pt idx="248">
                  <c:v>46550</c:v>
                </c:pt>
                <c:pt idx="249">
                  <c:v>408</c:v>
                </c:pt>
                <c:pt idx="250">
                  <c:v>4902</c:v>
                </c:pt>
                <c:pt idx="251">
                  <c:v>174320</c:v>
                </c:pt>
                <c:pt idx="252">
                  <c:v>76.5</c:v>
                </c:pt>
                <c:pt idx="253">
                  <c:v>59944</c:v>
                </c:pt>
                <c:pt idx="254">
                  <c:v>1190</c:v>
                </c:pt>
                <c:pt idx="255">
                  <c:v>34020</c:v>
                </c:pt>
                <c:pt idx="256">
                  <c:v>20570</c:v>
                </c:pt>
                <c:pt idx="257">
                  <c:v>11029.5</c:v>
                </c:pt>
                <c:pt idx="258">
                  <c:v>607.5</c:v>
                </c:pt>
                <c:pt idx="259">
                  <c:v>116410</c:v>
                </c:pt>
                <c:pt idx="260">
                  <c:v>33542</c:v>
                </c:pt>
                <c:pt idx="261">
                  <c:v>39900</c:v>
                </c:pt>
                <c:pt idx="262">
                  <c:v>12635</c:v>
                </c:pt>
                <c:pt idx="263">
                  <c:v>352000</c:v>
                </c:pt>
                <c:pt idx="264">
                  <c:v>44132</c:v>
                </c:pt>
                <c:pt idx="265">
                  <c:v>432</c:v>
                </c:pt>
                <c:pt idx="266">
                  <c:v>89520</c:v>
                </c:pt>
                <c:pt idx="267">
                  <c:v>28800</c:v>
                </c:pt>
                <c:pt idx="268">
                  <c:v>3294</c:v>
                </c:pt>
                <c:pt idx="269">
                  <c:v>9450</c:v>
                </c:pt>
                <c:pt idx="270">
                  <c:v>63175</c:v>
                </c:pt>
                <c:pt idx="271">
                  <c:v>33250</c:v>
                </c:pt>
                <c:pt idx="272">
                  <c:v>5600</c:v>
                </c:pt>
                <c:pt idx="273">
                  <c:v>204000</c:v>
                </c:pt>
                <c:pt idx="274">
                  <c:v>137275</c:v>
                </c:pt>
                <c:pt idx="275">
                  <c:v>11900</c:v>
                </c:pt>
                <c:pt idx="276">
                  <c:v>44625</c:v>
                </c:pt>
                <c:pt idx="277">
                  <c:v>54000</c:v>
                </c:pt>
                <c:pt idx="278">
                  <c:v>193800</c:v>
                </c:pt>
                <c:pt idx="279">
                  <c:v>729</c:v>
                </c:pt>
                <c:pt idx="280">
                  <c:v>450</c:v>
                </c:pt>
                <c:pt idx="281">
                  <c:v>8330</c:v>
                </c:pt>
                <c:pt idx="282">
                  <c:v>4800</c:v>
                </c:pt>
                <c:pt idx="283">
                  <c:v>10500</c:v>
                </c:pt>
                <c:pt idx="284">
                  <c:v>808016</c:v>
                </c:pt>
                <c:pt idx="285">
                  <c:v>16800</c:v>
                </c:pt>
                <c:pt idx="286">
                  <c:v>34160</c:v>
                </c:pt>
                <c:pt idx="287">
                  <c:v>2100</c:v>
                </c:pt>
                <c:pt idx="288">
                  <c:v>912</c:v>
                </c:pt>
                <c:pt idx="289">
                  <c:v>9120</c:v>
                </c:pt>
                <c:pt idx="290">
                  <c:v>21350</c:v>
                </c:pt>
                <c:pt idx="291">
                  <c:v>80750</c:v>
                </c:pt>
                <c:pt idx="292">
                  <c:v>48450</c:v>
                </c:pt>
                <c:pt idx="293">
                  <c:v>95</c:v>
                </c:pt>
                <c:pt idx="294">
                  <c:v>168361</c:v>
                </c:pt>
                <c:pt idx="295">
                  <c:v>27200</c:v>
                </c:pt>
                <c:pt idx="296">
                  <c:v>13090</c:v>
                </c:pt>
                <c:pt idx="297">
                  <c:v>33126</c:v>
                </c:pt>
                <c:pt idx="298">
                  <c:v>221</c:v>
                </c:pt>
                <c:pt idx="299">
                  <c:v>864</c:v>
                </c:pt>
                <c:pt idx="300">
                  <c:v>43350</c:v>
                </c:pt>
                <c:pt idx="301">
                  <c:v>8160</c:v>
                </c:pt>
                <c:pt idx="302">
                  <c:v>27229.5</c:v>
                </c:pt>
                <c:pt idx="303">
                  <c:v>726.75</c:v>
                </c:pt>
                <c:pt idx="304">
                  <c:v>420750</c:v>
                </c:pt>
                <c:pt idx="305">
                  <c:v>153</c:v>
                </c:pt>
                <c:pt idx="306">
                  <c:v>836000</c:v>
                </c:pt>
                <c:pt idx="307">
                  <c:v>765</c:v>
                </c:pt>
                <c:pt idx="308">
                  <c:v>9800</c:v>
                </c:pt>
                <c:pt idx="309">
                  <c:v>816</c:v>
                </c:pt>
                <c:pt idx="310">
                  <c:v>9975</c:v>
                </c:pt>
                <c:pt idx="311">
                  <c:v>36</c:v>
                </c:pt>
                <c:pt idx="312">
                  <c:v>15840</c:v>
                </c:pt>
                <c:pt idx="313">
                  <c:v>3920</c:v>
                </c:pt>
                <c:pt idx="314">
                  <c:v>15706</c:v>
                </c:pt>
                <c:pt idx="315">
                  <c:v>21660</c:v>
                </c:pt>
                <c:pt idx="316">
                  <c:v>7797</c:v>
                </c:pt>
                <c:pt idx="317">
                  <c:v>8925</c:v>
                </c:pt>
                <c:pt idx="318">
                  <c:v>171</c:v>
                </c:pt>
                <c:pt idx="319">
                  <c:v>183600</c:v>
                </c:pt>
                <c:pt idx="320">
                  <c:v>228000</c:v>
                </c:pt>
                <c:pt idx="321">
                  <c:v>40935</c:v>
                </c:pt>
                <c:pt idx="322">
                  <c:v>6650</c:v>
                </c:pt>
                <c:pt idx="323">
                  <c:v>720</c:v>
                </c:pt>
                <c:pt idx="324">
                  <c:v>702590</c:v>
                </c:pt>
                <c:pt idx="325">
                  <c:v>224</c:v>
                </c:pt>
                <c:pt idx="326">
                  <c:v>832140</c:v>
                </c:pt>
              </c:numCache>
            </c:numRef>
          </c:val>
          <c:extLst>
            <c:ext xmlns:c16="http://schemas.microsoft.com/office/drawing/2014/chart" uri="{C3380CC4-5D6E-409C-BE32-E72D297353CC}">
              <c16:uniqueId val="{00000000-2BB8-428B-9775-656102616D82}"/>
            </c:ext>
          </c:extLst>
        </c:ser>
        <c:dLbls>
          <c:showLegendKey val="0"/>
          <c:showVal val="0"/>
          <c:showCatName val="0"/>
          <c:showSerName val="0"/>
          <c:showPercent val="0"/>
          <c:showBubbleSize val="0"/>
        </c:dLbls>
        <c:gapWidth val="219"/>
        <c:overlap val="-27"/>
        <c:axId val="968773240"/>
        <c:axId val="968780440"/>
      </c:barChart>
      <c:catAx>
        <c:axId val="968773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780440"/>
        <c:crosses val="autoZero"/>
        <c:auto val="1"/>
        <c:lblAlgn val="ctr"/>
        <c:lblOffset val="100"/>
        <c:noMultiLvlLbl val="0"/>
      </c:catAx>
      <c:valAx>
        <c:axId val="968780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773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[Assignment_03 (Excel last).xlsx]Data for Dashboared!PivotTable11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6920384951881"/>
          <c:y val="0.25402559055118112"/>
          <c:w val="0.72312270341207352"/>
          <c:h val="0.53774387576552929"/>
        </c:manualLayout>
      </c:layout>
      <c:barChart>
        <c:barDir val="col"/>
        <c:grouping val="clustered"/>
        <c:varyColors val="0"/>
        <c:ser>
          <c:idx val="0"/>
          <c:order val="0"/>
          <c:tx>
            <c:strRef>
              <c:f>'Data for Dashboared'!$C$2</c:f>
              <c:strCache>
                <c:ptCount val="1"/>
                <c:pt idx="0">
                  <c:v>Total</c:v>
                </c:pt>
              </c:strCache>
            </c:strRef>
          </c:tx>
          <c:spPr>
            <a:solidFill>
              <a:schemeClr val="accent1"/>
            </a:solidFill>
            <a:ln>
              <a:noFill/>
            </a:ln>
            <a:effectLst/>
          </c:spPr>
          <c:invertIfNegative val="0"/>
          <c:cat>
            <c:strRef>
              <c:f>'Data for Dashboared'!$B$3:$B$7</c:f>
              <c:strCache>
                <c:ptCount val="4"/>
                <c:pt idx="0">
                  <c:v>East</c:v>
                </c:pt>
                <c:pt idx="1">
                  <c:v>North</c:v>
                </c:pt>
                <c:pt idx="2">
                  <c:v>South</c:v>
                </c:pt>
                <c:pt idx="3">
                  <c:v>West</c:v>
                </c:pt>
              </c:strCache>
            </c:strRef>
          </c:cat>
          <c:val>
            <c:numRef>
              <c:f>'Data for Dashboared'!$C$3:$C$7</c:f>
              <c:numCache>
                <c:formatCode>General</c:formatCode>
                <c:ptCount val="4"/>
                <c:pt idx="0">
                  <c:v>4041922</c:v>
                </c:pt>
                <c:pt idx="1">
                  <c:v>10013332.5</c:v>
                </c:pt>
                <c:pt idx="2">
                  <c:v>7487181.5</c:v>
                </c:pt>
                <c:pt idx="3">
                  <c:v>13203531.5</c:v>
                </c:pt>
              </c:numCache>
            </c:numRef>
          </c:val>
          <c:extLst>
            <c:ext xmlns:c16="http://schemas.microsoft.com/office/drawing/2014/chart" uri="{C3380CC4-5D6E-409C-BE32-E72D297353CC}">
              <c16:uniqueId val="{00000000-866C-4F6D-A1F4-E343ADBA0FF6}"/>
            </c:ext>
          </c:extLst>
        </c:ser>
        <c:dLbls>
          <c:showLegendKey val="0"/>
          <c:showVal val="0"/>
          <c:showCatName val="0"/>
          <c:showSerName val="0"/>
          <c:showPercent val="0"/>
          <c:showBubbleSize val="0"/>
        </c:dLbls>
        <c:gapWidth val="219"/>
        <c:overlap val="-27"/>
        <c:axId val="811583296"/>
        <c:axId val="811587616"/>
      </c:barChart>
      <c:catAx>
        <c:axId val="81158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587616"/>
        <c:crosses val="autoZero"/>
        <c:auto val="1"/>
        <c:lblAlgn val="ctr"/>
        <c:lblOffset val="100"/>
        <c:noMultiLvlLbl val="0"/>
      </c:catAx>
      <c:valAx>
        <c:axId val="81158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58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[Assignment_03 (Excel last).xlsx]Data for Dashboared!PivotTable12</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Distribution Category</a:t>
            </a:r>
            <a:endParaRPr lang="en-US"/>
          </a:p>
        </c:rich>
      </c:tx>
      <c:layout>
        <c:manualLayout>
          <c:xMode val="edge"/>
          <c:yMode val="edge"/>
          <c:x val="0.2095485564304462"/>
          <c:y val="0.11934966462525518"/>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'Data for Dashboared'!$C$22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E7-44EC-BD2F-F6804770E5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E7-44EC-BD2F-F6804770E5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5E7-44EC-BD2F-F6804770E58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5E7-44EC-BD2F-F6804770E582}"/>
              </c:ext>
            </c:extLst>
          </c:dPt>
          <c:cat>
            <c:strRef>
              <c:f>'Data for Dashboared'!$B$23:$B$27</c:f>
              <c:strCache>
                <c:ptCount val="4"/>
                <c:pt idx="0">
                  <c:v>Electronics</c:v>
                </c:pt>
                <c:pt idx="1">
                  <c:v>Home Appliances</c:v>
                </c:pt>
                <c:pt idx="2">
                  <c:v>Stationary</c:v>
                </c:pt>
                <c:pt idx="3">
                  <c:v>Stationery</c:v>
                </c:pt>
              </c:strCache>
            </c:strRef>
          </c:cat>
          <c:val>
            <c:numRef>
              <c:f>'Data for Dashboared'!$C$23:$C$27</c:f>
              <c:numCache>
                <c:formatCode>General</c:formatCode>
                <c:ptCount val="4"/>
                <c:pt idx="0">
                  <c:v>27823939</c:v>
                </c:pt>
                <c:pt idx="1">
                  <c:v>6806525</c:v>
                </c:pt>
                <c:pt idx="2">
                  <c:v>59850</c:v>
                </c:pt>
                <c:pt idx="3">
                  <c:v>55653.5</c:v>
                </c:pt>
              </c:numCache>
            </c:numRef>
          </c:val>
          <c:extLst>
            <c:ext xmlns:c16="http://schemas.microsoft.com/office/drawing/2014/chart" uri="{C3380CC4-5D6E-409C-BE32-E72D297353CC}">
              <c16:uniqueId val="{00000008-25E7-44EC-BD2F-F6804770E58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[Assignment_03 (Excel last).xlsx]Data for Dashboared!PivotTable13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for Dashboared'!$C$40</c:f>
              <c:strCache>
                <c:ptCount val="1"/>
                <c:pt idx="0">
                  <c:v>Total</c:v>
                </c:pt>
              </c:strCache>
            </c:strRef>
          </c:tx>
          <c:spPr>
            <a:solidFill>
              <a:schemeClr val="accent1"/>
            </a:solidFill>
            <a:ln>
              <a:noFill/>
            </a:ln>
            <a:effectLst/>
          </c:spPr>
          <c:invertIfNegative val="0"/>
          <c:cat>
            <c:strRef>
              <c:f>'Data for Dashboared'!$B$41:$B$368</c:f>
              <c:strCache>
                <c:ptCount val="327"/>
                <c:pt idx="0">
                  <c:v>\</c:v>
                </c:pt>
                <c:pt idx="1">
                  <c:v>01/01/2025</c:v>
                </c:pt>
                <c:pt idx="2">
                  <c:v>01/02/2025</c:v>
                </c:pt>
                <c:pt idx="3">
                  <c:v>01/03/2025</c:v>
                </c:pt>
                <c:pt idx="4">
                  <c:v>01/04/2025</c:v>
                </c:pt>
                <c:pt idx="5">
                  <c:v>01/04/2026</c:v>
                </c:pt>
                <c:pt idx="6">
                  <c:v>01/07/2025</c:v>
                </c:pt>
                <c:pt idx="7">
                  <c:v>01/08/2025</c:v>
                </c:pt>
                <c:pt idx="8">
                  <c:v>01/09/2025</c:v>
                </c:pt>
                <c:pt idx="9">
                  <c:v>01/10/2025</c:v>
                </c:pt>
                <c:pt idx="10">
                  <c:v>01/11/2025</c:v>
                </c:pt>
                <c:pt idx="11">
                  <c:v>01/12/2025</c:v>
                </c:pt>
                <c:pt idx="12">
                  <c:v>02/01/2026</c:v>
                </c:pt>
                <c:pt idx="13">
                  <c:v>02/03/2025</c:v>
                </c:pt>
                <c:pt idx="14">
                  <c:v>02/04/2026</c:v>
                </c:pt>
                <c:pt idx="15">
                  <c:v>02/05/2025</c:v>
                </c:pt>
                <c:pt idx="16">
                  <c:v>02/05/2026</c:v>
                </c:pt>
                <c:pt idx="17">
                  <c:v>02/06/2025</c:v>
                </c:pt>
                <c:pt idx="18">
                  <c:v>02/07/2025</c:v>
                </c:pt>
                <c:pt idx="19">
                  <c:v>02/11/2025</c:v>
                </c:pt>
                <c:pt idx="20">
                  <c:v>02/12/2025</c:v>
                </c:pt>
                <c:pt idx="21">
                  <c:v>03/01/2025</c:v>
                </c:pt>
                <c:pt idx="22">
                  <c:v>03/01/2026</c:v>
                </c:pt>
                <c:pt idx="23">
                  <c:v>03/02/2025</c:v>
                </c:pt>
                <c:pt idx="24">
                  <c:v>03/03/2025</c:v>
                </c:pt>
                <c:pt idx="25">
                  <c:v>03/04/2025</c:v>
                </c:pt>
                <c:pt idx="26">
                  <c:v>03/04/2026</c:v>
                </c:pt>
                <c:pt idx="27">
                  <c:v>03/05/2025</c:v>
                </c:pt>
                <c:pt idx="28">
                  <c:v>03/05/2026</c:v>
                </c:pt>
                <c:pt idx="29">
                  <c:v>03/06/2025</c:v>
                </c:pt>
                <c:pt idx="30">
                  <c:v>03/08/2025</c:v>
                </c:pt>
                <c:pt idx="31">
                  <c:v>03/09/2025</c:v>
                </c:pt>
                <c:pt idx="32">
                  <c:v>03/11/2025</c:v>
                </c:pt>
                <c:pt idx="33">
                  <c:v>04/01/2026</c:v>
                </c:pt>
                <c:pt idx="34">
                  <c:v>04/02/2025</c:v>
                </c:pt>
                <c:pt idx="35">
                  <c:v>04/02/2026</c:v>
                </c:pt>
                <c:pt idx="36">
                  <c:v>04/03/2026</c:v>
                </c:pt>
                <c:pt idx="37">
                  <c:v>04/04/2026</c:v>
                </c:pt>
                <c:pt idx="38">
                  <c:v>04/05/2025</c:v>
                </c:pt>
                <c:pt idx="39">
                  <c:v>04/05/2026</c:v>
                </c:pt>
                <c:pt idx="40">
                  <c:v>04/06/2025</c:v>
                </c:pt>
                <c:pt idx="41">
                  <c:v>04/07/2025</c:v>
                </c:pt>
                <c:pt idx="42">
                  <c:v>04/08/2025</c:v>
                </c:pt>
                <c:pt idx="43">
                  <c:v>04/09/2025</c:v>
                </c:pt>
                <c:pt idx="44">
                  <c:v>04/10/2025</c:v>
                </c:pt>
                <c:pt idx="45">
                  <c:v>04/11/2025</c:v>
                </c:pt>
                <c:pt idx="46">
                  <c:v>04/12/2025</c:v>
                </c:pt>
                <c:pt idx="47">
                  <c:v>05/01/2026</c:v>
                </c:pt>
                <c:pt idx="48">
                  <c:v>05/03/2025</c:v>
                </c:pt>
                <c:pt idx="49">
                  <c:v>05/03/2026</c:v>
                </c:pt>
                <c:pt idx="50">
                  <c:v>05/04/2025</c:v>
                </c:pt>
                <c:pt idx="51">
                  <c:v>05/05/2026</c:v>
                </c:pt>
                <c:pt idx="52">
                  <c:v>05/06/2025</c:v>
                </c:pt>
                <c:pt idx="53">
                  <c:v>05/08/2025</c:v>
                </c:pt>
                <c:pt idx="54">
                  <c:v>05/10/2025</c:v>
                </c:pt>
                <c:pt idx="55">
                  <c:v>05/11/2025</c:v>
                </c:pt>
                <c:pt idx="56">
                  <c:v>05/12/2025</c:v>
                </c:pt>
                <c:pt idx="57">
                  <c:v>06/01/2026</c:v>
                </c:pt>
                <c:pt idx="58">
                  <c:v>06/02/2025</c:v>
                </c:pt>
                <c:pt idx="59">
                  <c:v>06/03/2025</c:v>
                </c:pt>
                <c:pt idx="60">
                  <c:v>06/03/2026</c:v>
                </c:pt>
                <c:pt idx="61">
                  <c:v>06/04/2026</c:v>
                </c:pt>
                <c:pt idx="62">
                  <c:v>06/07/2025</c:v>
                </c:pt>
                <c:pt idx="63">
                  <c:v>06/09/2025</c:v>
                </c:pt>
                <c:pt idx="64">
                  <c:v>06/10/2025</c:v>
                </c:pt>
                <c:pt idx="65">
                  <c:v>06/11/2025</c:v>
                </c:pt>
                <c:pt idx="66">
                  <c:v>06/12/2025</c:v>
                </c:pt>
                <c:pt idx="67">
                  <c:v>07/02/2025</c:v>
                </c:pt>
                <c:pt idx="68">
                  <c:v>07/03/2025</c:v>
                </c:pt>
                <c:pt idx="69">
                  <c:v>07/03/2026</c:v>
                </c:pt>
                <c:pt idx="70">
                  <c:v>07/04/2025</c:v>
                </c:pt>
                <c:pt idx="71">
                  <c:v>07/04/2026</c:v>
                </c:pt>
                <c:pt idx="72">
                  <c:v>07/05/2026</c:v>
                </c:pt>
                <c:pt idx="73">
                  <c:v>07/07/2025</c:v>
                </c:pt>
                <c:pt idx="74">
                  <c:v>08/01/2026</c:v>
                </c:pt>
                <c:pt idx="75">
                  <c:v>08/02/2025</c:v>
                </c:pt>
                <c:pt idx="76">
                  <c:v>08/02/2026</c:v>
                </c:pt>
                <c:pt idx="77">
                  <c:v>08/03/2025</c:v>
                </c:pt>
                <c:pt idx="78">
                  <c:v>08/03/2026</c:v>
                </c:pt>
                <c:pt idx="79">
                  <c:v>08/04/2025</c:v>
                </c:pt>
                <c:pt idx="80">
                  <c:v>08/04/2026</c:v>
                </c:pt>
                <c:pt idx="81">
                  <c:v>08/05/2025</c:v>
                </c:pt>
                <c:pt idx="82">
                  <c:v>08/05/2026</c:v>
                </c:pt>
                <c:pt idx="83">
                  <c:v>08/06/2025</c:v>
                </c:pt>
                <c:pt idx="84">
                  <c:v>08/07/2025</c:v>
                </c:pt>
                <c:pt idx="85">
                  <c:v>08/09/2025</c:v>
                </c:pt>
                <c:pt idx="86">
                  <c:v>09/01/2025</c:v>
                </c:pt>
                <c:pt idx="87">
                  <c:v>09/01/2026</c:v>
                </c:pt>
                <c:pt idx="88">
                  <c:v>09/02/2025</c:v>
                </c:pt>
                <c:pt idx="89">
                  <c:v>09/02/2026</c:v>
                </c:pt>
                <c:pt idx="90">
                  <c:v>09/03/2025</c:v>
                </c:pt>
                <c:pt idx="91">
                  <c:v>09/04/2025</c:v>
                </c:pt>
                <c:pt idx="92">
                  <c:v>09/04/2026</c:v>
                </c:pt>
                <c:pt idx="93">
                  <c:v>09/05/2025</c:v>
                </c:pt>
                <c:pt idx="94">
                  <c:v>09/05/2026</c:v>
                </c:pt>
                <c:pt idx="95">
                  <c:v>09/06/2025</c:v>
                </c:pt>
                <c:pt idx="96">
                  <c:v>09/07/2025</c:v>
                </c:pt>
                <c:pt idx="97">
                  <c:v>09/08/2025</c:v>
                </c:pt>
                <c:pt idx="98">
                  <c:v>09/10/2025</c:v>
                </c:pt>
                <c:pt idx="99">
                  <c:v>09/11/2025</c:v>
                </c:pt>
                <c:pt idx="100">
                  <c:v>10/01/2025</c:v>
                </c:pt>
                <c:pt idx="101">
                  <c:v>10/02/2026</c:v>
                </c:pt>
                <c:pt idx="102">
                  <c:v>10/04/2025</c:v>
                </c:pt>
                <c:pt idx="103">
                  <c:v>10/05/2026</c:v>
                </c:pt>
                <c:pt idx="104">
                  <c:v>10/07/2025</c:v>
                </c:pt>
                <c:pt idx="105">
                  <c:v>10/08/2025</c:v>
                </c:pt>
                <c:pt idx="106">
                  <c:v>10/10/2025</c:v>
                </c:pt>
                <c:pt idx="107">
                  <c:v>10/12/2025</c:v>
                </c:pt>
                <c:pt idx="108">
                  <c:v>11/01/2026</c:v>
                </c:pt>
                <c:pt idx="109">
                  <c:v>11/02/2025</c:v>
                </c:pt>
                <c:pt idx="110">
                  <c:v>11/02/2026</c:v>
                </c:pt>
                <c:pt idx="111">
                  <c:v>11/03/2026</c:v>
                </c:pt>
                <c:pt idx="112">
                  <c:v>11/04/2025</c:v>
                </c:pt>
                <c:pt idx="113">
                  <c:v>11/04/2026</c:v>
                </c:pt>
                <c:pt idx="114">
                  <c:v>11/05/2025</c:v>
                </c:pt>
                <c:pt idx="115">
                  <c:v>11/05/2026</c:v>
                </c:pt>
                <c:pt idx="116">
                  <c:v>11/06/2025</c:v>
                </c:pt>
                <c:pt idx="117">
                  <c:v>11/10/2025</c:v>
                </c:pt>
                <c:pt idx="118">
                  <c:v>11/12/2025</c:v>
                </c:pt>
                <c:pt idx="119">
                  <c:v>12/01/2025</c:v>
                </c:pt>
                <c:pt idx="120">
                  <c:v>12/01/2026</c:v>
                </c:pt>
                <c:pt idx="121">
                  <c:v>12/02/2026</c:v>
                </c:pt>
                <c:pt idx="122">
                  <c:v>12/03/2025</c:v>
                </c:pt>
                <c:pt idx="123">
                  <c:v>12/04/2025</c:v>
                </c:pt>
                <c:pt idx="124">
                  <c:v>12/05/2025</c:v>
                </c:pt>
                <c:pt idx="125">
                  <c:v>12/05/2026</c:v>
                </c:pt>
                <c:pt idx="126">
                  <c:v>12/06/2025</c:v>
                </c:pt>
                <c:pt idx="127">
                  <c:v>12/09/2025</c:v>
                </c:pt>
                <c:pt idx="128">
                  <c:v>12/10/2025</c:v>
                </c:pt>
                <c:pt idx="129">
                  <c:v>12/12/2025</c:v>
                </c:pt>
                <c:pt idx="130">
                  <c:v>13/01/2025</c:v>
                </c:pt>
                <c:pt idx="131">
                  <c:v>13/01/2026</c:v>
                </c:pt>
                <c:pt idx="132">
                  <c:v>13/02/2025</c:v>
                </c:pt>
                <c:pt idx="133">
                  <c:v>13/02/2026</c:v>
                </c:pt>
                <c:pt idx="134">
                  <c:v>13/03/2025</c:v>
                </c:pt>
                <c:pt idx="135">
                  <c:v>13/03/2026</c:v>
                </c:pt>
                <c:pt idx="136">
                  <c:v>13/04/2025</c:v>
                </c:pt>
                <c:pt idx="137">
                  <c:v>13/05/2025</c:v>
                </c:pt>
                <c:pt idx="138">
                  <c:v>13/05/2026</c:v>
                </c:pt>
                <c:pt idx="139">
                  <c:v>13/08/2025</c:v>
                </c:pt>
                <c:pt idx="140">
                  <c:v>13/10/2025</c:v>
                </c:pt>
                <c:pt idx="141">
                  <c:v>13/12/2025</c:v>
                </c:pt>
                <c:pt idx="142">
                  <c:v>14/01/2026</c:v>
                </c:pt>
                <c:pt idx="143">
                  <c:v>14/02/2026</c:v>
                </c:pt>
                <c:pt idx="144">
                  <c:v>14/03/2025</c:v>
                </c:pt>
                <c:pt idx="145">
                  <c:v>14/03/2026</c:v>
                </c:pt>
                <c:pt idx="146">
                  <c:v>14/05/2025</c:v>
                </c:pt>
                <c:pt idx="147">
                  <c:v>14/06/2025</c:v>
                </c:pt>
                <c:pt idx="148">
                  <c:v>14/07/2025</c:v>
                </c:pt>
                <c:pt idx="149">
                  <c:v>14/12/2025</c:v>
                </c:pt>
                <c:pt idx="150">
                  <c:v>15/01/2025</c:v>
                </c:pt>
                <c:pt idx="151">
                  <c:v>15/03/2026</c:v>
                </c:pt>
                <c:pt idx="152">
                  <c:v>15/04/2026</c:v>
                </c:pt>
                <c:pt idx="153">
                  <c:v>15/05/2025</c:v>
                </c:pt>
                <c:pt idx="154">
                  <c:v>15/06/2025</c:v>
                </c:pt>
                <c:pt idx="155">
                  <c:v>15/09/2025</c:v>
                </c:pt>
                <c:pt idx="156">
                  <c:v>15/10/2025</c:v>
                </c:pt>
                <c:pt idx="157">
                  <c:v>15/11/2025</c:v>
                </c:pt>
                <c:pt idx="158">
                  <c:v>15/12/2025</c:v>
                </c:pt>
                <c:pt idx="159">
                  <c:v>16/01/2025</c:v>
                </c:pt>
                <c:pt idx="160">
                  <c:v>16/01/2026</c:v>
                </c:pt>
                <c:pt idx="161">
                  <c:v>16/02/2025</c:v>
                </c:pt>
                <c:pt idx="162">
                  <c:v>16/03/2025</c:v>
                </c:pt>
                <c:pt idx="163">
                  <c:v>16/03/2026</c:v>
                </c:pt>
                <c:pt idx="164">
                  <c:v>16/04/2026</c:v>
                </c:pt>
                <c:pt idx="165">
                  <c:v>16/05/2025</c:v>
                </c:pt>
                <c:pt idx="166">
                  <c:v>16/05/2026</c:v>
                </c:pt>
                <c:pt idx="167">
                  <c:v>16/06/2025</c:v>
                </c:pt>
                <c:pt idx="168">
                  <c:v>16/08/2025</c:v>
                </c:pt>
                <c:pt idx="169">
                  <c:v>16/09/2025</c:v>
                </c:pt>
                <c:pt idx="170">
                  <c:v>16/11/2025</c:v>
                </c:pt>
                <c:pt idx="171">
                  <c:v>16/12/2025</c:v>
                </c:pt>
                <c:pt idx="172">
                  <c:v>17/01/2025</c:v>
                </c:pt>
                <c:pt idx="173">
                  <c:v>17/01/2026</c:v>
                </c:pt>
                <c:pt idx="174">
                  <c:v>17/02/2025</c:v>
                </c:pt>
                <c:pt idx="175">
                  <c:v>17/02/2026</c:v>
                </c:pt>
                <c:pt idx="176">
                  <c:v>17/03/2025</c:v>
                </c:pt>
                <c:pt idx="177">
                  <c:v>17/03/2026</c:v>
                </c:pt>
                <c:pt idx="178">
                  <c:v>17/04/2025</c:v>
                </c:pt>
                <c:pt idx="179">
                  <c:v>17/04/2026</c:v>
                </c:pt>
                <c:pt idx="180">
                  <c:v>17/09/2025</c:v>
                </c:pt>
                <c:pt idx="181">
                  <c:v>17/12/2025</c:v>
                </c:pt>
                <c:pt idx="182">
                  <c:v>18/01/2026</c:v>
                </c:pt>
                <c:pt idx="183">
                  <c:v>18/02/2025</c:v>
                </c:pt>
                <c:pt idx="184">
                  <c:v>18/02/2026</c:v>
                </c:pt>
                <c:pt idx="185">
                  <c:v>18/03/2025</c:v>
                </c:pt>
                <c:pt idx="186">
                  <c:v>18/04/2025</c:v>
                </c:pt>
                <c:pt idx="187">
                  <c:v>18/05/2025</c:v>
                </c:pt>
                <c:pt idx="188">
                  <c:v>18/07/2025</c:v>
                </c:pt>
                <c:pt idx="189">
                  <c:v>18/09/2025</c:v>
                </c:pt>
                <c:pt idx="190">
                  <c:v>18/10/2025</c:v>
                </c:pt>
                <c:pt idx="191">
                  <c:v>18/11/2025</c:v>
                </c:pt>
                <c:pt idx="192">
                  <c:v>18/12/2025</c:v>
                </c:pt>
                <c:pt idx="193">
                  <c:v>19/01/2026</c:v>
                </c:pt>
                <c:pt idx="194">
                  <c:v>19/02/2025</c:v>
                </c:pt>
                <c:pt idx="195">
                  <c:v>19/02/2026</c:v>
                </c:pt>
                <c:pt idx="196">
                  <c:v>19/04/2025</c:v>
                </c:pt>
                <c:pt idx="197">
                  <c:v>19/04/2026</c:v>
                </c:pt>
                <c:pt idx="198">
                  <c:v>19/05/2025</c:v>
                </c:pt>
                <c:pt idx="199">
                  <c:v>19/06/2025</c:v>
                </c:pt>
                <c:pt idx="200">
                  <c:v>19/07/2025</c:v>
                </c:pt>
                <c:pt idx="201">
                  <c:v>19/08/2025</c:v>
                </c:pt>
                <c:pt idx="202">
                  <c:v>19/09/2025</c:v>
                </c:pt>
                <c:pt idx="203">
                  <c:v>19/10/2025</c:v>
                </c:pt>
                <c:pt idx="204">
                  <c:v>19/11/2025</c:v>
                </c:pt>
                <c:pt idx="205">
                  <c:v>20/02/2025</c:v>
                </c:pt>
                <c:pt idx="206">
                  <c:v>20/02/2026</c:v>
                </c:pt>
                <c:pt idx="207">
                  <c:v>20/03/2025</c:v>
                </c:pt>
                <c:pt idx="208">
                  <c:v>20/04/2025</c:v>
                </c:pt>
                <c:pt idx="209">
                  <c:v>20/04/2026</c:v>
                </c:pt>
                <c:pt idx="210">
                  <c:v>20/05/2025</c:v>
                </c:pt>
                <c:pt idx="211">
                  <c:v>20/06/2025</c:v>
                </c:pt>
                <c:pt idx="212">
                  <c:v>20/07/2025</c:v>
                </c:pt>
                <c:pt idx="213">
                  <c:v>20/08/2025</c:v>
                </c:pt>
                <c:pt idx="214">
                  <c:v>20/10/2025</c:v>
                </c:pt>
                <c:pt idx="215">
                  <c:v>21/01/2025</c:v>
                </c:pt>
                <c:pt idx="216">
                  <c:v>21/01/2026</c:v>
                </c:pt>
                <c:pt idx="217">
                  <c:v>21/02/2025</c:v>
                </c:pt>
                <c:pt idx="218">
                  <c:v>21/02/2026</c:v>
                </c:pt>
                <c:pt idx="219">
                  <c:v>21/03/2026</c:v>
                </c:pt>
                <c:pt idx="220">
                  <c:v>21/04/2025</c:v>
                </c:pt>
                <c:pt idx="221">
                  <c:v>21/06/2025</c:v>
                </c:pt>
                <c:pt idx="222">
                  <c:v>21/07/2025</c:v>
                </c:pt>
                <c:pt idx="223">
                  <c:v>21/09/2025</c:v>
                </c:pt>
                <c:pt idx="224">
                  <c:v>21/10/2025</c:v>
                </c:pt>
                <c:pt idx="225">
                  <c:v>22/01/2025</c:v>
                </c:pt>
                <c:pt idx="226">
                  <c:v>22/02/2025</c:v>
                </c:pt>
                <c:pt idx="227">
                  <c:v>22/02/2026</c:v>
                </c:pt>
                <c:pt idx="228">
                  <c:v>22/03/2026</c:v>
                </c:pt>
                <c:pt idx="229">
                  <c:v>22/04/2025</c:v>
                </c:pt>
                <c:pt idx="230">
                  <c:v>22/04/2026</c:v>
                </c:pt>
                <c:pt idx="231">
                  <c:v>22/05/2025</c:v>
                </c:pt>
                <c:pt idx="232">
                  <c:v>22/06/2025</c:v>
                </c:pt>
                <c:pt idx="233">
                  <c:v>22/07/2025</c:v>
                </c:pt>
                <c:pt idx="234">
                  <c:v>22/09/2025</c:v>
                </c:pt>
                <c:pt idx="235">
                  <c:v>22/10/2025</c:v>
                </c:pt>
                <c:pt idx="236">
                  <c:v>22/12/2025</c:v>
                </c:pt>
                <c:pt idx="237">
                  <c:v>23/01/2026</c:v>
                </c:pt>
                <c:pt idx="238">
                  <c:v>23/02/2025</c:v>
                </c:pt>
                <c:pt idx="239">
                  <c:v>23/03/2025</c:v>
                </c:pt>
                <c:pt idx="240">
                  <c:v>23/03/2026</c:v>
                </c:pt>
                <c:pt idx="241">
                  <c:v>23/04/2025</c:v>
                </c:pt>
                <c:pt idx="242">
                  <c:v>23/04/2026</c:v>
                </c:pt>
                <c:pt idx="243">
                  <c:v>23/07/2025</c:v>
                </c:pt>
                <c:pt idx="244">
                  <c:v>23/08/2025</c:v>
                </c:pt>
                <c:pt idx="245">
                  <c:v>23/10/2025</c:v>
                </c:pt>
                <c:pt idx="246">
                  <c:v>23/12/2025</c:v>
                </c:pt>
                <c:pt idx="247">
                  <c:v>24/01/2025</c:v>
                </c:pt>
                <c:pt idx="248">
                  <c:v>24/01/2026</c:v>
                </c:pt>
                <c:pt idx="249">
                  <c:v>24/02/2026</c:v>
                </c:pt>
                <c:pt idx="250">
                  <c:v>24/03/2026</c:v>
                </c:pt>
                <c:pt idx="251">
                  <c:v>24/04/2026</c:v>
                </c:pt>
                <c:pt idx="252">
                  <c:v>24/05/2025</c:v>
                </c:pt>
                <c:pt idx="253">
                  <c:v>24/06/2025</c:v>
                </c:pt>
                <c:pt idx="254">
                  <c:v>24/08/2025</c:v>
                </c:pt>
                <c:pt idx="255">
                  <c:v>24/12/2025</c:v>
                </c:pt>
                <c:pt idx="256">
                  <c:v>25/01/2025</c:v>
                </c:pt>
                <c:pt idx="257">
                  <c:v>25/02/2025</c:v>
                </c:pt>
                <c:pt idx="258">
                  <c:v>25/02/2026</c:v>
                </c:pt>
                <c:pt idx="259">
                  <c:v>25/03/2025</c:v>
                </c:pt>
                <c:pt idx="260">
                  <c:v>25/04/2025</c:v>
                </c:pt>
                <c:pt idx="261">
                  <c:v>25/04/2026</c:v>
                </c:pt>
                <c:pt idx="262">
                  <c:v>25/05/2025</c:v>
                </c:pt>
                <c:pt idx="263">
                  <c:v>25/06/2025</c:v>
                </c:pt>
                <c:pt idx="264">
                  <c:v>25/07/2025</c:v>
                </c:pt>
                <c:pt idx="265">
                  <c:v>25/08/2025</c:v>
                </c:pt>
                <c:pt idx="266">
                  <c:v>25/11/2025</c:v>
                </c:pt>
                <c:pt idx="267">
                  <c:v>26/01/2025</c:v>
                </c:pt>
                <c:pt idx="268">
                  <c:v>26/01/2026</c:v>
                </c:pt>
                <c:pt idx="269">
                  <c:v>26/02/2025</c:v>
                </c:pt>
                <c:pt idx="270">
                  <c:v>26/03/2025</c:v>
                </c:pt>
                <c:pt idx="271">
                  <c:v>26/03/2026</c:v>
                </c:pt>
                <c:pt idx="272">
                  <c:v>26/04/2025</c:v>
                </c:pt>
                <c:pt idx="273">
                  <c:v>26/04/2026</c:v>
                </c:pt>
                <c:pt idx="274">
                  <c:v>26/05/2025</c:v>
                </c:pt>
                <c:pt idx="275">
                  <c:v>26/06/2025</c:v>
                </c:pt>
                <c:pt idx="276">
                  <c:v>26/07/2025</c:v>
                </c:pt>
                <c:pt idx="277">
                  <c:v>26/08/2025</c:v>
                </c:pt>
                <c:pt idx="278">
                  <c:v>26/12/2025</c:v>
                </c:pt>
                <c:pt idx="279">
                  <c:v>27/01/2025</c:v>
                </c:pt>
                <c:pt idx="280">
                  <c:v>27/01/2026</c:v>
                </c:pt>
                <c:pt idx="281">
                  <c:v>27/02/2025</c:v>
                </c:pt>
                <c:pt idx="282">
                  <c:v>27/03/2025</c:v>
                </c:pt>
                <c:pt idx="283">
                  <c:v>27/03/2026</c:v>
                </c:pt>
                <c:pt idx="284">
                  <c:v>27/04/2025</c:v>
                </c:pt>
                <c:pt idx="285">
                  <c:v>27/04/2026</c:v>
                </c:pt>
                <c:pt idx="286">
                  <c:v>27/06/2025</c:v>
                </c:pt>
                <c:pt idx="287">
                  <c:v>27/07/2025</c:v>
                </c:pt>
                <c:pt idx="288">
                  <c:v>27/08/2025</c:v>
                </c:pt>
                <c:pt idx="289">
                  <c:v>27/09/2025</c:v>
                </c:pt>
                <c:pt idx="290">
                  <c:v>27/11/2025</c:v>
                </c:pt>
                <c:pt idx="291">
                  <c:v>27/12/2025</c:v>
                </c:pt>
                <c:pt idx="292">
                  <c:v>28/01/2025</c:v>
                </c:pt>
                <c:pt idx="293">
                  <c:v>28/01/2026</c:v>
                </c:pt>
                <c:pt idx="294">
                  <c:v>28/02/2025</c:v>
                </c:pt>
                <c:pt idx="295">
                  <c:v>28/02/2026</c:v>
                </c:pt>
                <c:pt idx="296">
                  <c:v>28/03/2025</c:v>
                </c:pt>
                <c:pt idx="297">
                  <c:v>28/04/2025</c:v>
                </c:pt>
                <c:pt idx="298">
                  <c:v>28/05/2025</c:v>
                </c:pt>
                <c:pt idx="299">
                  <c:v>28/07/2025</c:v>
                </c:pt>
                <c:pt idx="300">
                  <c:v>28/08/2025</c:v>
                </c:pt>
                <c:pt idx="301">
                  <c:v>28/10/2025</c:v>
                </c:pt>
                <c:pt idx="302">
                  <c:v>28/12/2025</c:v>
                </c:pt>
                <c:pt idx="303">
                  <c:v>29/03/2025</c:v>
                </c:pt>
                <c:pt idx="304">
                  <c:v>29/03/2026</c:v>
                </c:pt>
                <c:pt idx="305">
                  <c:v>29/04/2026</c:v>
                </c:pt>
                <c:pt idx="306">
                  <c:v>29/05/2025</c:v>
                </c:pt>
                <c:pt idx="307">
                  <c:v>29/06/2025</c:v>
                </c:pt>
                <c:pt idx="308">
                  <c:v>29/07/2025</c:v>
                </c:pt>
                <c:pt idx="309">
                  <c:v>29/09/2025</c:v>
                </c:pt>
                <c:pt idx="310">
                  <c:v>29/10/2025</c:v>
                </c:pt>
                <c:pt idx="311">
                  <c:v>29/11/2025</c:v>
                </c:pt>
                <c:pt idx="312">
                  <c:v>29/12/2025</c:v>
                </c:pt>
                <c:pt idx="313">
                  <c:v>30/01/2026</c:v>
                </c:pt>
                <c:pt idx="314">
                  <c:v>30/03/2025</c:v>
                </c:pt>
                <c:pt idx="315">
                  <c:v>30/04/2025</c:v>
                </c:pt>
                <c:pt idx="316">
                  <c:v>30/05/2025</c:v>
                </c:pt>
                <c:pt idx="317">
                  <c:v>30/07/2025</c:v>
                </c:pt>
                <c:pt idx="318">
                  <c:v>30/08/2025</c:v>
                </c:pt>
                <c:pt idx="319">
                  <c:v>30/10/2025</c:v>
                </c:pt>
                <c:pt idx="320">
                  <c:v>31/01/2025</c:v>
                </c:pt>
                <c:pt idx="321">
                  <c:v>31/01/2026</c:v>
                </c:pt>
                <c:pt idx="322">
                  <c:v>31/02/2025</c:v>
                </c:pt>
                <c:pt idx="323">
                  <c:v>31/05/2025</c:v>
                </c:pt>
                <c:pt idx="324">
                  <c:v>31/10/2025</c:v>
                </c:pt>
                <c:pt idx="325">
                  <c:v>31/12/2025</c:v>
                </c:pt>
                <c:pt idx="326">
                  <c:v>Pending</c:v>
                </c:pt>
              </c:strCache>
            </c:strRef>
          </c:cat>
          <c:val>
            <c:numRef>
              <c:f>'Data for Dashboared'!$C$41:$C$368</c:f>
              <c:numCache>
                <c:formatCode>General</c:formatCode>
                <c:ptCount val="327"/>
                <c:pt idx="0">
                  <c:v>1785</c:v>
                </c:pt>
                <c:pt idx="1">
                  <c:v>15012.5</c:v>
                </c:pt>
                <c:pt idx="2">
                  <c:v>53200</c:v>
                </c:pt>
                <c:pt idx="3">
                  <c:v>10410</c:v>
                </c:pt>
                <c:pt idx="4">
                  <c:v>17050</c:v>
                </c:pt>
                <c:pt idx="5">
                  <c:v>990969</c:v>
                </c:pt>
                <c:pt idx="6">
                  <c:v>132000</c:v>
                </c:pt>
                <c:pt idx="7">
                  <c:v>110000</c:v>
                </c:pt>
                <c:pt idx="8">
                  <c:v>441009.5</c:v>
                </c:pt>
                <c:pt idx="9">
                  <c:v>61251</c:v>
                </c:pt>
                <c:pt idx="10">
                  <c:v>3150</c:v>
                </c:pt>
                <c:pt idx="11">
                  <c:v>149985</c:v>
                </c:pt>
                <c:pt idx="12">
                  <c:v>441920</c:v>
                </c:pt>
                <c:pt idx="13">
                  <c:v>17340</c:v>
                </c:pt>
                <c:pt idx="14">
                  <c:v>3600</c:v>
                </c:pt>
                <c:pt idx="15">
                  <c:v>4800</c:v>
                </c:pt>
                <c:pt idx="16">
                  <c:v>173526.75</c:v>
                </c:pt>
                <c:pt idx="17">
                  <c:v>4143</c:v>
                </c:pt>
                <c:pt idx="18">
                  <c:v>137700</c:v>
                </c:pt>
                <c:pt idx="19">
                  <c:v>990000</c:v>
                </c:pt>
                <c:pt idx="20">
                  <c:v>220</c:v>
                </c:pt>
                <c:pt idx="21">
                  <c:v>47085</c:v>
                </c:pt>
                <c:pt idx="22">
                  <c:v>9065</c:v>
                </c:pt>
                <c:pt idx="23">
                  <c:v>522600</c:v>
                </c:pt>
                <c:pt idx="24">
                  <c:v>440000</c:v>
                </c:pt>
                <c:pt idx="25">
                  <c:v>2100</c:v>
                </c:pt>
                <c:pt idx="26">
                  <c:v>513</c:v>
                </c:pt>
                <c:pt idx="27">
                  <c:v>2322</c:v>
                </c:pt>
                <c:pt idx="28">
                  <c:v>170100</c:v>
                </c:pt>
                <c:pt idx="29">
                  <c:v>3420</c:v>
                </c:pt>
                <c:pt idx="30">
                  <c:v>182400</c:v>
                </c:pt>
                <c:pt idx="31">
                  <c:v>261250</c:v>
                </c:pt>
                <c:pt idx="32">
                  <c:v>40800</c:v>
                </c:pt>
                <c:pt idx="33">
                  <c:v>54700</c:v>
                </c:pt>
                <c:pt idx="34">
                  <c:v>680476.25</c:v>
                </c:pt>
                <c:pt idx="35">
                  <c:v>1870</c:v>
                </c:pt>
                <c:pt idx="36">
                  <c:v>56000</c:v>
                </c:pt>
                <c:pt idx="37">
                  <c:v>64851</c:v>
                </c:pt>
                <c:pt idx="38">
                  <c:v>378</c:v>
                </c:pt>
                <c:pt idx="39">
                  <c:v>137275</c:v>
                </c:pt>
                <c:pt idx="40">
                  <c:v>109725</c:v>
                </c:pt>
                <c:pt idx="41">
                  <c:v>301761</c:v>
                </c:pt>
                <c:pt idx="42">
                  <c:v>47250</c:v>
                </c:pt>
                <c:pt idx="43">
                  <c:v>35640</c:v>
                </c:pt>
                <c:pt idx="44">
                  <c:v>912</c:v>
                </c:pt>
                <c:pt idx="45">
                  <c:v>420</c:v>
                </c:pt>
                <c:pt idx="46">
                  <c:v>548</c:v>
                </c:pt>
                <c:pt idx="47">
                  <c:v>150900</c:v>
                </c:pt>
                <c:pt idx="48">
                  <c:v>89040</c:v>
                </c:pt>
                <c:pt idx="49">
                  <c:v>15600</c:v>
                </c:pt>
                <c:pt idx="50">
                  <c:v>432</c:v>
                </c:pt>
                <c:pt idx="51">
                  <c:v>324</c:v>
                </c:pt>
                <c:pt idx="52">
                  <c:v>8925</c:v>
                </c:pt>
                <c:pt idx="53">
                  <c:v>56000</c:v>
                </c:pt>
                <c:pt idx="54">
                  <c:v>212544.5</c:v>
                </c:pt>
                <c:pt idx="55">
                  <c:v>573237</c:v>
                </c:pt>
                <c:pt idx="56">
                  <c:v>4400</c:v>
                </c:pt>
                <c:pt idx="57">
                  <c:v>170000</c:v>
                </c:pt>
                <c:pt idx="58">
                  <c:v>81834.25</c:v>
                </c:pt>
                <c:pt idx="59">
                  <c:v>33660</c:v>
                </c:pt>
                <c:pt idx="60">
                  <c:v>114000</c:v>
                </c:pt>
                <c:pt idx="61">
                  <c:v>10710</c:v>
                </c:pt>
                <c:pt idx="62">
                  <c:v>627000</c:v>
                </c:pt>
                <c:pt idx="63">
                  <c:v>12000</c:v>
                </c:pt>
                <c:pt idx="64">
                  <c:v>9920.25</c:v>
                </c:pt>
                <c:pt idx="65">
                  <c:v>273</c:v>
                </c:pt>
                <c:pt idx="66">
                  <c:v>663</c:v>
                </c:pt>
                <c:pt idx="67">
                  <c:v>71330</c:v>
                </c:pt>
                <c:pt idx="68">
                  <c:v>41800</c:v>
                </c:pt>
                <c:pt idx="69">
                  <c:v>8778</c:v>
                </c:pt>
                <c:pt idx="70">
                  <c:v>792285</c:v>
                </c:pt>
                <c:pt idx="71">
                  <c:v>65025</c:v>
                </c:pt>
                <c:pt idx="72">
                  <c:v>56384.75</c:v>
                </c:pt>
                <c:pt idx="73">
                  <c:v>12960</c:v>
                </c:pt>
                <c:pt idx="74">
                  <c:v>612</c:v>
                </c:pt>
                <c:pt idx="75">
                  <c:v>251200</c:v>
                </c:pt>
                <c:pt idx="76">
                  <c:v>8500</c:v>
                </c:pt>
                <c:pt idx="77">
                  <c:v>39850</c:v>
                </c:pt>
                <c:pt idx="78">
                  <c:v>88570</c:v>
                </c:pt>
                <c:pt idx="79">
                  <c:v>420.75</c:v>
                </c:pt>
                <c:pt idx="80">
                  <c:v>26220</c:v>
                </c:pt>
                <c:pt idx="81">
                  <c:v>679250</c:v>
                </c:pt>
                <c:pt idx="82">
                  <c:v>8330</c:v>
                </c:pt>
                <c:pt idx="83">
                  <c:v>34000</c:v>
                </c:pt>
                <c:pt idx="84">
                  <c:v>21660</c:v>
                </c:pt>
                <c:pt idx="85">
                  <c:v>51000</c:v>
                </c:pt>
                <c:pt idx="86">
                  <c:v>161500</c:v>
                </c:pt>
                <c:pt idx="87">
                  <c:v>13888</c:v>
                </c:pt>
                <c:pt idx="88">
                  <c:v>114.75</c:v>
                </c:pt>
                <c:pt idx="89">
                  <c:v>37698</c:v>
                </c:pt>
                <c:pt idx="90">
                  <c:v>35530</c:v>
                </c:pt>
                <c:pt idx="91">
                  <c:v>104540</c:v>
                </c:pt>
                <c:pt idx="92">
                  <c:v>138</c:v>
                </c:pt>
                <c:pt idx="93">
                  <c:v>999999</c:v>
                </c:pt>
                <c:pt idx="94">
                  <c:v>11970</c:v>
                </c:pt>
                <c:pt idx="95">
                  <c:v>7140</c:v>
                </c:pt>
                <c:pt idx="96">
                  <c:v>76800</c:v>
                </c:pt>
                <c:pt idx="97">
                  <c:v>247</c:v>
                </c:pt>
                <c:pt idx="98">
                  <c:v>648</c:v>
                </c:pt>
                <c:pt idx="99">
                  <c:v>535.5</c:v>
                </c:pt>
                <c:pt idx="100">
                  <c:v>29700</c:v>
                </c:pt>
                <c:pt idx="101">
                  <c:v>408</c:v>
                </c:pt>
                <c:pt idx="102">
                  <c:v>56108</c:v>
                </c:pt>
                <c:pt idx="103">
                  <c:v>304</c:v>
                </c:pt>
                <c:pt idx="104">
                  <c:v>17340</c:v>
                </c:pt>
                <c:pt idx="105">
                  <c:v>432</c:v>
                </c:pt>
                <c:pt idx="106">
                  <c:v>35640</c:v>
                </c:pt>
                <c:pt idx="107">
                  <c:v>15840</c:v>
                </c:pt>
                <c:pt idx="108">
                  <c:v>129314</c:v>
                </c:pt>
                <c:pt idx="109">
                  <c:v>478</c:v>
                </c:pt>
                <c:pt idx="110">
                  <c:v>47600</c:v>
                </c:pt>
                <c:pt idx="111">
                  <c:v>157980</c:v>
                </c:pt>
                <c:pt idx="112">
                  <c:v>56000</c:v>
                </c:pt>
                <c:pt idx="113">
                  <c:v>28900</c:v>
                </c:pt>
                <c:pt idx="114">
                  <c:v>85.5</c:v>
                </c:pt>
                <c:pt idx="115">
                  <c:v>224</c:v>
                </c:pt>
                <c:pt idx="116">
                  <c:v>50575</c:v>
                </c:pt>
                <c:pt idx="117">
                  <c:v>9138.75</c:v>
                </c:pt>
                <c:pt idx="118">
                  <c:v>25340</c:v>
                </c:pt>
                <c:pt idx="119">
                  <c:v>128</c:v>
                </c:pt>
                <c:pt idx="120">
                  <c:v>36000</c:v>
                </c:pt>
                <c:pt idx="121">
                  <c:v>144</c:v>
                </c:pt>
                <c:pt idx="122">
                  <c:v>9600</c:v>
                </c:pt>
                <c:pt idx="123">
                  <c:v>20825</c:v>
                </c:pt>
                <c:pt idx="124">
                  <c:v>47600</c:v>
                </c:pt>
                <c:pt idx="125">
                  <c:v>68400</c:v>
                </c:pt>
                <c:pt idx="126">
                  <c:v>162</c:v>
                </c:pt>
                <c:pt idx="127">
                  <c:v>54</c:v>
                </c:pt>
                <c:pt idx="128">
                  <c:v>497.25</c:v>
                </c:pt>
                <c:pt idx="129">
                  <c:v>264000</c:v>
                </c:pt>
                <c:pt idx="130">
                  <c:v>574930</c:v>
                </c:pt>
                <c:pt idx="131">
                  <c:v>275000</c:v>
                </c:pt>
                <c:pt idx="132">
                  <c:v>100</c:v>
                </c:pt>
                <c:pt idx="133">
                  <c:v>12080</c:v>
                </c:pt>
                <c:pt idx="134">
                  <c:v>180000</c:v>
                </c:pt>
                <c:pt idx="135">
                  <c:v>305589.5</c:v>
                </c:pt>
                <c:pt idx="136">
                  <c:v>143760</c:v>
                </c:pt>
                <c:pt idx="137">
                  <c:v>15360</c:v>
                </c:pt>
                <c:pt idx="138">
                  <c:v>69325</c:v>
                </c:pt>
                <c:pt idx="139">
                  <c:v>18780</c:v>
                </c:pt>
                <c:pt idx="140">
                  <c:v>142408.25</c:v>
                </c:pt>
                <c:pt idx="141">
                  <c:v>21710</c:v>
                </c:pt>
                <c:pt idx="142">
                  <c:v>79800</c:v>
                </c:pt>
                <c:pt idx="143">
                  <c:v>1062</c:v>
                </c:pt>
                <c:pt idx="144">
                  <c:v>650.25</c:v>
                </c:pt>
                <c:pt idx="145">
                  <c:v>140</c:v>
                </c:pt>
                <c:pt idx="146">
                  <c:v>68</c:v>
                </c:pt>
                <c:pt idx="147">
                  <c:v>12320</c:v>
                </c:pt>
                <c:pt idx="148">
                  <c:v>28160</c:v>
                </c:pt>
                <c:pt idx="149">
                  <c:v>198900</c:v>
                </c:pt>
                <c:pt idx="150">
                  <c:v>20505</c:v>
                </c:pt>
                <c:pt idx="151">
                  <c:v>14820</c:v>
                </c:pt>
                <c:pt idx="152">
                  <c:v>59850</c:v>
                </c:pt>
                <c:pt idx="153">
                  <c:v>43732.5</c:v>
                </c:pt>
                <c:pt idx="154">
                  <c:v>10127</c:v>
                </c:pt>
                <c:pt idx="155">
                  <c:v>69540</c:v>
                </c:pt>
                <c:pt idx="156">
                  <c:v>76.5</c:v>
                </c:pt>
                <c:pt idx="157">
                  <c:v>89400</c:v>
                </c:pt>
                <c:pt idx="158">
                  <c:v>10200</c:v>
                </c:pt>
                <c:pt idx="159">
                  <c:v>360</c:v>
                </c:pt>
                <c:pt idx="160">
                  <c:v>133</c:v>
                </c:pt>
                <c:pt idx="161">
                  <c:v>26580</c:v>
                </c:pt>
                <c:pt idx="162">
                  <c:v>200</c:v>
                </c:pt>
                <c:pt idx="163">
                  <c:v>54720</c:v>
                </c:pt>
                <c:pt idx="164">
                  <c:v>24310</c:v>
                </c:pt>
                <c:pt idx="165">
                  <c:v>585</c:v>
                </c:pt>
                <c:pt idx="166">
                  <c:v>18240</c:v>
                </c:pt>
                <c:pt idx="167">
                  <c:v>177659</c:v>
                </c:pt>
                <c:pt idx="168">
                  <c:v>514570</c:v>
                </c:pt>
                <c:pt idx="169">
                  <c:v>70000</c:v>
                </c:pt>
                <c:pt idx="170">
                  <c:v>34200</c:v>
                </c:pt>
                <c:pt idx="171">
                  <c:v>720</c:v>
                </c:pt>
                <c:pt idx="172">
                  <c:v>20220</c:v>
                </c:pt>
                <c:pt idx="173">
                  <c:v>660000</c:v>
                </c:pt>
                <c:pt idx="174">
                  <c:v>748000</c:v>
                </c:pt>
                <c:pt idx="175">
                  <c:v>18096</c:v>
                </c:pt>
                <c:pt idx="176">
                  <c:v>30087</c:v>
                </c:pt>
                <c:pt idx="177">
                  <c:v>55970</c:v>
                </c:pt>
                <c:pt idx="178">
                  <c:v>64600</c:v>
                </c:pt>
                <c:pt idx="179">
                  <c:v>115200</c:v>
                </c:pt>
                <c:pt idx="180">
                  <c:v>2200</c:v>
                </c:pt>
                <c:pt idx="181">
                  <c:v>180</c:v>
                </c:pt>
                <c:pt idx="182">
                  <c:v>139080</c:v>
                </c:pt>
                <c:pt idx="183">
                  <c:v>20825</c:v>
                </c:pt>
                <c:pt idx="184">
                  <c:v>173060</c:v>
                </c:pt>
                <c:pt idx="185">
                  <c:v>18360</c:v>
                </c:pt>
                <c:pt idx="186">
                  <c:v>48</c:v>
                </c:pt>
                <c:pt idx="187">
                  <c:v>144640</c:v>
                </c:pt>
                <c:pt idx="188">
                  <c:v>9350</c:v>
                </c:pt>
                <c:pt idx="189">
                  <c:v>105120</c:v>
                </c:pt>
                <c:pt idx="190">
                  <c:v>19380</c:v>
                </c:pt>
                <c:pt idx="191">
                  <c:v>127713.75</c:v>
                </c:pt>
                <c:pt idx="192">
                  <c:v>415175</c:v>
                </c:pt>
                <c:pt idx="193">
                  <c:v>12000</c:v>
                </c:pt>
                <c:pt idx="194">
                  <c:v>136</c:v>
                </c:pt>
                <c:pt idx="195">
                  <c:v>37400</c:v>
                </c:pt>
                <c:pt idx="196">
                  <c:v>638593</c:v>
                </c:pt>
                <c:pt idx="197">
                  <c:v>235030</c:v>
                </c:pt>
                <c:pt idx="198">
                  <c:v>304</c:v>
                </c:pt>
                <c:pt idx="199">
                  <c:v>120925</c:v>
                </c:pt>
                <c:pt idx="200">
                  <c:v>3240</c:v>
                </c:pt>
                <c:pt idx="201">
                  <c:v>769800</c:v>
                </c:pt>
                <c:pt idx="202">
                  <c:v>84842</c:v>
                </c:pt>
                <c:pt idx="203">
                  <c:v>81</c:v>
                </c:pt>
                <c:pt idx="204">
                  <c:v>22080</c:v>
                </c:pt>
                <c:pt idx="205">
                  <c:v>880000</c:v>
                </c:pt>
                <c:pt idx="206">
                  <c:v>26400</c:v>
                </c:pt>
                <c:pt idx="207">
                  <c:v>5950</c:v>
                </c:pt>
                <c:pt idx="208">
                  <c:v>103512</c:v>
                </c:pt>
                <c:pt idx="209">
                  <c:v>522595</c:v>
                </c:pt>
                <c:pt idx="210">
                  <c:v>154080</c:v>
                </c:pt>
                <c:pt idx="211">
                  <c:v>20400</c:v>
                </c:pt>
                <c:pt idx="212">
                  <c:v>50456.5</c:v>
                </c:pt>
                <c:pt idx="213">
                  <c:v>5202</c:v>
                </c:pt>
                <c:pt idx="214">
                  <c:v>326940</c:v>
                </c:pt>
                <c:pt idx="215">
                  <c:v>576</c:v>
                </c:pt>
                <c:pt idx="216">
                  <c:v>30004</c:v>
                </c:pt>
                <c:pt idx="217">
                  <c:v>969</c:v>
                </c:pt>
                <c:pt idx="218">
                  <c:v>6600</c:v>
                </c:pt>
                <c:pt idx="219">
                  <c:v>765</c:v>
                </c:pt>
                <c:pt idx="220">
                  <c:v>1026</c:v>
                </c:pt>
                <c:pt idx="221">
                  <c:v>14000</c:v>
                </c:pt>
                <c:pt idx="222">
                  <c:v>10260</c:v>
                </c:pt>
                <c:pt idx="223">
                  <c:v>81600</c:v>
                </c:pt>
                <c:pt idx="224">
                  <c:v>16320</c:v>
                </c:pt>
                <c:pt idx="225">
                  <c:v>1077300</c:v>
                </c:pt>
                <c:pt idx="226">
                  <c:v>91800</c:v>
                </c:pt>
                <c:pt idx="227">
                  <c:v>88400</c:v>
                </c:pt>
                <c:pt idx="228">
                  <c:v>5600</c:v>
                </c:pt>
                <c:pt idx="229">
                  <c:v>136000</c:v>
                </c:pt>
                <c:pt idx="230">
                  <c:v>855</c:v>
                </c:pt>
                <c:pt idx="231">
                  <c:v>46900</c:v>
                </c:pt>
                <c:pt idx="232">
                  <c:v>95</c:v>
                </c:pt>
                <c:pt idx="233">
                  <c:v>25914</c:v>
                </c:pt>
                <c:pt idx="234">
                  <c:v>2400</c:v>
                </c:pt>
                <c:pt idx="235">
                  <c:v>36</c:v>
                </c:pt>
                <c:pt idx="236">
                  <c:v>685740</c:v>
                </c:pt>
                <c:pt idx="237">
                  <c:v>6720</c:v>
                </c:pt>
                <c:pt idx="238">
                  <c:v>241200</c:v>
                </c:pt>
                <c:pt idx="239">
                  <c:v>136650.25</c:v>
                </c:pt>
                <c:pt idx="240">
                  <c:v>990000</c:v>
                </c:pt>
                <c:pt idx="241">
                  <c:v>3360</c:v>
                </c:pt>
                <c:pt idx="242">
                  <c:v>63175</c:v>
                </c:pt>
                <c:pt idx="243">
                  <c:v>176000</c:v>
                </c:pt>
                <c:pt idx="244">
                  <c:v>31790</c:v>
                </c:pt>
                <c:pt idx="245">
                  <c:v>35485</c:v>
                </c:pt>
                <c:pt idx="246">
                  <c:v>40375</c:v>
                </c:pt>
                <c:pt idx="247">
                  <c:v>952</c:v>
                </c:pt>
                <c:pt idx="248">
                  <c:v>46550</c:v>
                </c:pt>
                <c:pt idx="249">
                  <c:v>408</c:v>
                </c:pt>
                <c:pt idx="250">
                  <c:v>4902</c:v>
                </c:pt>
                <c:pt idx="251">
                  <c:v>174320</c:v>
                </c:pt>
                <c:pt idx="252">
                  <c:v>76.5</c:v>
                </c:pt>
                <c:pt idx="253">
                  <c:v>59944</c:v>
                </c:pt>
                <c:pt idx="254">
                  <c:v>1190</c:v>
                </c:pt>
                <c:pt idx="255">
                  <c:v>34020</c:v>
                </c:pt>
                <c:pt idx="256">
                  <c:v>20570</c:v>
                </c:pt>
                <c:pt idx="257">
                  <c:v>11029.5</c:v>
                </c:pt>
                <c:pt idx="258">
                  <c:v>607.5</c:v>
                </c:pt>
                <c:pt idx="259">
                  <c:v>116410</c:v>
                </c:pt>
                <c:pt idx="260">
                  <c:v>33542</c:v>
                </c:pt>
                <c:pt idx="261">
                  <c:v>39900</c:v>
                </c:pt>
                <c:pt idx="262">
                  <c:v>12635</c:v>
                </c:pt>
                <c:pt idx="263">
                  <c:v>352000</c:v>
                </c:pt>
                <c:pt idx="264">
                  <c:v>44132</c:v>
                </c:pt>
                <c:pt idx="265">
                  <c:v>432</c:v>
                </c:pt>
                <c:pt idx="266">
                  <c:v>89520</c:v>
                </c:pt>
                <c:pt idx="267">
                  <c:v>28800</c:v>
                </c:pt>
                <c:pt idx="268">
                  <c:v>3294</c:v>
                </c:pt>
                <c:pt idx="269">
                  <c:v>9450</c:v>
                </c:pt>
                <c:pt idx="270">
                  <c:v>63175</c:v>
                </c:pt>
                <c:pt idx="271">
                  <c:v>33250</c:v>
                </c:pt>
                <c:pt idx="272">
                  <c:v>5600</c:v>
                </c:pt>
                <c:pt idx="273">
                  <c:v>204000</c:v>
                </c:pt>
                <c:pt idx="274">
                  <c:v>137275</c:v>
                </c:pt>
                <c:pt idx="275">
                  <c:v>11900</c:v>
                </c:pt>
                <c:pt idx="276">
                  <c:v>44625</c:v>
                </c:pt>
                <c:pt idx="277">
                  <c:v>54000</c:v>
                </c:pt>
                <c:pt idx="278">
                  <c:v>193800</c:v>
                </c:pt>
                <c:pt idx="279">
                  <c:v>729</c:v>
                </c:pt>
                <c:pt idx="280">
                  <c:v>450</c:v>
                </c:pt>
                <c:pt idx="281">
                  <c:v>8330</c:v>
                </c:pt>
                <c:pt idx="282">
                  <c:v>4800</c:v>
                </c:pt>
                <c:pt idx="283">
                  <c:v>10500</c:v>
                </c:pt>
                <c:pt idx="284">
                  <c:v>808016</c:v>
                </c:pt>
                <c:pt idx="285">
                  <c:v>16800</c:v>
                </c:pt>
                <c:pt idx="286">
                  <c:v>34160</c:v>
                </c:pt>
                <c:pt idx="287">
                  <c:v>2100</c:v>
                </c:pt>
                <c:pt idx="288">
                  <c:v>912</c:v>
                </c:pt>
                <c:pt idx="289">
                  <c:v>9120</c:v>
                </c:pt>
                <c:pt idx="290">
                  <c:v>21350</c:v>
                </c:pt>
                <c:pt idx="291">
                  <c:v>80750</c:v>
                </c:pt>
                <c:pt idx="292">
                  <c:v>48450</c:v>
                </c:pt>
                <c:pt idx="293">
                  <c:v>95</c:v>
                </c:pt>
                <c:pt idx="294">
                  <c:v>168361</c:v>
                </c:pt>
                <c:pt idx="295">
                  <c:v>27200</c:v>
                </c:pt>
                <c:pt idx="296">
                  <c:v>13090</c:v>
                </c:pt>
                <c:pt idx="297">
                  <c:v>33126</c:v>
                </c:pt>
                <c:pt idx="298">
                  <c:v>221</c:v>
                </c:pt>
                <c:pt idx="299">
                  <c:v>864</c:v>
                </c:pt>
                <c:pt idx="300">
                  <c:v>43350</c:v>
                </c:pt>
                <c:pt idx="301">
                  <c:v>8160</c:v>
                </c:pt>
                <c:pt idx="302">
                  <c:v>27229.5</c:v>
                </c:pt>
                <c:pt idx="303">
                  <c:v>726.75</c:v>
                </c:pt>
                <c:pt idx="304">
                  <c:v>420750</c:v>
                </c:pt>
                <c:pt idx="305">
                  <c:v>153</c:v>
                </c:pt>
                <c:pt idx="306">
                  <c:v>836000</c:v>
                </c:pt>
                <c:pt idx="307">
                  <c:v>765</c:v>
                </c:pt>
                <c:pt idx="308">
                  <c:v>9800</c:v>
                </c:pt>
                <c:pt idx="309">
                  <c:v>816</c:v>
                </c:pt>
                <c:pt idx="310">
                  <c:v>9975</c:v>
                </c:pt>
                <c:pt idx="311">
                  <c:v>36</c:v>
                </c:pt>
                <c:pt idx="312">
                  <c:v>15840</c:v>
                </c:pt>
                <c:pt idx="313">
                  <c:v>3920</c:v>
                </c:pt>
                <c:pt idx="314">
                  <c:v>15706</c:v>
                </c:pt>
                <c:pt idx="315">
                  <c:v>21660</c:v>
                </c:pt>
                <c:pt idx="316">
                  <c:v>7797</c:v>
                </c:pt>
                <c:pt idx="317">
                  <c:v>8925</c:v>
                </c:pt>
                <c:pt idx="318">
                  <c:v>171</c:v>
                </c:pt>
                <c:pt idx="319">
                  <c:v>183600</c:v>
                </c:pt>
                <c:pt idx="320">
                  <c:v>228000</c:v>
                </c:pt>
                <c:pt idx="321">
                  <c:v>40935</c:v>
                </c:pt>
                <c:pt idx="322">
                  <c:v>6650</c:v>
                </c:pt>
                <c:pt idx="323">
                  <c:v>720</c:v>
                </c:pt>
                <c:pt idx="324">
                  <c:v>702590</c:v>
                </c:pt>
                <c:pt idx="325">
                  <c:v>224</c:v>
                </c:pt>
                <c:pt idx="326">
                  <c:v>832140</c:v>
                </c:pt>
              </c:numCache>
            </c:numRef>
          </c:val>
          <c:extLst>
            <c:ext xmlns:c16="http://schemas.microsoft.com/office/drawing/2014/chart" uri="{C3380CC4-5D6E-409C-BE32-E72D297353CC}">
              <c16:uniqueId val="{00000000-CCE4-4A4B-9DDB-1FFE9A6A5216}"/>
            </c:ext>
          </c:extLst>
        </c:ser>
        <c:dLbls>
          <c:showLegendKey val="0"/>
          <c:showVal val="0"/>
          <c:showCatName val="0"/>
          <c:showSerName val="0"/>
          <c:showPercent val="0"/>
          <c:showBubbleSize val="0"/>
        </c:dLbls>
        <c:gapWidth val="219"/>
        <c:overlap val="-27"/>
        <c:axId val="968773240"/>
        <c:axId val="968780440"/>
      </c:barChart>
      <c:catAx>
        <c:axId val="968773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780440"/>
        <c:crosses val="autoZero"/>
        <c:auto val="1"/>
        <c:lblAlgn val="ctr"/>
        <c:lblOffset val="100"/>
        <c:noMultiLvlLbl val="0"/>
      </c:catAx>
      <c:valAx>
        <c:axId val="968780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773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7620</xdr:colOff>
      <xdr:row>1</xdr:row>
      <xdr:rowOff>15240</xdr:rowOff>
    </xdr:from>
    <xdr:to>
      <xdr:col>11</xdr:col>
      <xdr:colOff>312420</xdr:colOff>
      <xdr:row>16</xdr:row>
      <xdr:rowOff>15240</xdr:rowOff>
    </xdr:to>
    <xdr:graphicFrame macro="">
      <xdr:nvGraphicFramePr>
        <xdr:cNvPr id="2" name="Chart 1">
          <a:extLst>
            <a:ext uri="{FF2B5EF4-FFF2-40B4-BE49-F238E27FC236}">
              <a16:creationId xmlns:a16="http://schemas.microsoft.com/office/drawing/2014/main" id="{D483F80E-B39B-0264-9C77-3C5136D392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586740</xdr:colOff>
      <xdr:row>20</xdr:row>
      <xdr:rowOff>163830</xdr:rowOff>
    </xdr:from>
    <xdr:to>
      <xdr:col>11</xdr:col>
      <xdr:colOff>281940</xdr:colOff>
      <xdr:row>35</xdr:row>
      <xdr:rowOff>163830</xdr:rowOff>
    </xdr:to>
    <xdr:graphicFrame macro="">
      <xdr:nvGraphicFramePr>
        <xdr:cNvPr id="3" name="Chart 2">
          <a:extLst>
            <a:ext uri="{FF2B5EF4-FFF2-40B4-BE49-F238E27FC236}">
              <a16:creationId xmlns:a16="http://schemas.microsoft.com/office/drawing/2014/main" id="{4A3DC194-57B8-C4E4-A461-867391EAB8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91440</xdr:colOff>
      <xdr:row>37</xdr:row>
      <xdr:rowOff>83820</xdr:rowOff>
    </xdr:from>
    <xdr:to>
      <xdr:col>14</xdr:col>
      <xdr:colOff>396240</xdr:colOff>
      <xdr:row>52</xdr:row>
      <xdr:rowOff>83820</xdr:rowOff>
    </xdr:to>
    <xdr:graphicFrame macro="">
      <xdr:nvGraphicFramePr>
        <xdr:cNvPr id="5" name="Chart 4">
          <a:extLst>
            <a:ext uri="{FF2B5EF4-FFF2-40B4-BE49-F238E27FC236}">
              <a16:creationId xmlns:a16="http://schemas.microsoft.com/office/drawing/2014/main" id="{AF6A4459-9487-D011-86BD-451A1D3C8F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0</xdr:row>
      <xdr:rowOff>15240</xdr:rowOff>
    </xdr:from>
    <xdr:to>
      <xdr:col>20</xdr:col>
      <xdr:colOff>502920</xdr:colOff>
      <xdr:row>1</xdr:row>
      <xdr:rowOff>152400</xdr:rowOff>
    </xdr:to>
    <xdr:sp macro="" textlink="">
      <xdr:nvSpPr>
        <xdr:cNvPr id="8" name="Rectangle 7">
          <a:extLst>
            <a:ext uri="{FF2B5EF4-FFF2-40B4-BE49-F238E27FC236}">
              <a16:creationId xmlns:a16="http://schemas.microsoft.com/office/drawing/2014/main" id="{A6A36962-EA69-6701-23EB-6661755771D1}"/>
            </a:ext>
          </a:extLst>
        </xdr:cNvPr>
        <xdr:cNvSpPr/>
      </xdr:nvSpPr>
      <xdr:spPr>
        <a:xfrm>
          <a:off x="22860" y="15240"/>
          <a:ext cx="14150340" cy="3200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SALES  DASHBOARD</a:t>
          </a:r>
        </a:p>
      </xdr:txBody>
    </xdr:sp>
    <xdr:clientData/>
  </xdr:twoCellAnchor>
  <xdr:twoCellAnchor>
    <xdr:from>
      <xdr:col>1</xdr:col>
      <xdr:colOff>7620</xdr:colOff>
      <xdr:row>16</xdr:row>
      <xdr:rowOff>60960</xdr:rowOff>
    </xdr:from>
    <xdr:to>
      <xdr:col>6</xdr:col>
      <xdr:colOff>0</xdr:colOff>
      <xdr:row>27</xdr:row>
      <xdr:rowOff>160020</xdr:rowOff>
    </xdr:to>
    <xdr:graphicFrame macro="">
      <xdr:nvGraphicFramePr>
        <xdr:cNvPr id="9" name="Chart 8">
          <a:extLst>
            <a:ext uri="{FF2B5EF4-FFF2-40B4-BE49-F238E27FC236}">
              <a16:creationId xmlns:a16="http://schemas.microsoft.com/office/drawing/2014/main" id="{8E126F29-E7D8-4E74-869B-94B82330DF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4</xdr:row>
      <xdr:rowOff>45720</xdr:rowOff>
    </xdr:from>
    <xdr:to>
      <xdr:col>6</xdr:col>
      <xdr:colOff>0</xdr:colOff>
      <xdr:row>16</xdr:row>
      <xdr:rowOff>0</xdr:rowOff>
    </xdr:to>
    <xdr:graphicFrame macro="">
      <xdr:nvGraphicFramePr>
        <xdr:cNvPr id="10" name="Chart 9">
          <a:extLst>
            <a:ext uri="{FF2B5EF4-FFF2-40B4-BE49-F238E27FC236}">
              <a16:creationId xmlns:a16="http://schemas.microsoft.com/office/drawing/2014/main" id="{C5B9B9FB-603F-4906-A98E-6D8509869F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556260</xdr:colOff>
      <xdr:row>2</xdr:row>
      <xdr:rowOff>1</xdr:rowOff>
    </xdr:from>
    <xdr:to>
      <xdr:col>20</xdr:col>
      <xdr:colOff>487680</xdr:colOff>
      <xdr:row>10</xdr:row>
      <xdr:rowOff>45720</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BEE3C480-B876-D0FD-1152-09ABAEBD81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178540" y="365761"/>
              <a:ext cx="2979420" cy="1508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45720</xdr:colOff>
      <xdr:row>1</xdr:row>
      <xdr:rowOff>175260</xdr:rowOff>
    </xdr:from>
    <xdr:to>
      <xdr:col>10</xdr:col>
      <xdr:colOff>739140</xdr:colOff>
      <xdr:row>10</xdr:row>
      <xdr:rowOff>45720</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A5012988-0BEF-41E7-701C-0018D9114AA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655820" y="358140"/>
              <a:ext cx="321564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769620</xdr:colOff>
      <xdr:row>2</xdr:row>
      <xdr:rowOff>1</xdr:rowOff>
    </xdr:from>
    <xdr:to>
      <xdr:col>15</xdr:col>
      <xdr:colOff>533400</xdr:colOff>
      <xdr:row>10</xdr:row>
      <xdr:rowOff>53340</xdr:rowOff>
    </xdr:to>
    <mc:AlternateContent xmlns:mc="http://schemas.openxmlformats.org/markup-compatibility/2006" xmlns:a14="http://schemas.microsoft.com/office/drawing/2010/main">
      <mc:Choice Requires="a14">
        <xdr:graphicFrame macro="">
          <xdr:nvGraphicFramePr>
            <xdr:cNvPr id="14" name="Order_Date">
              <a:extLst>
                <a:ext uri="{FF2B5EF4-FFF2-40B4-BE49-F238E27FC236}">
                  <a16:creationId xmlns:a16="http://schemas.microsoft.com/office/drawing/2014/main" id="{D7526F31-C358-2BF6-3C7B-6E66613F11E6}"/>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7901940" y="365761"/>
              <a:ext cx="3253740" cy="1516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45720</xdr:colOff>
      <xdr:row>10</xdr:row>
      <xdr:rowOff>68580</xdr:rowOff>
    </xdr:from>
    <xdr:to>
      <xdr:col>20</xdr:col>
      <xdr:colOff>487680</xdr:colOff>
      <xdr:row>27</xdr:row>
      <xdr:rowOff>160020</xdr:rowOff>
    </xdr:to>
    <xdr:graphicFrame macro="">
      <xdr:nvGraphicFramePr>
        <xdr:cNvPr id="15" name="Chart 14">
          <a:extLst>
            <a:ext uri="{FF2B5EF4-FFF2-40B4-BE49-F238E27FC236}">
              <a16:creationId xmlns:a16="http://schemas.microsoft.com/office/drawing/2014/main" id="{181CA3D2-003A-4323-AFBC-9BFF2BCF9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99.292827199075" createdVersion="8" refreshedVersion="8" minRefreshableVersion="3" recordCount="498" xr:uid="{DBC40BB7-74D4-4B66-9336-495B220BE6F5}">
  <cacheSource type="worksheet">
    <worksheetSource ref="A1:V499" sheet="Clean data(copy for dashboard)"/>
  </cacheSource>
  <cacheFields count="22">
    <cacheField name="Order_ID" numFmtId="0">
      <sharedItems/>
    </cacheField>
    <cacheField name="Customer_ID" numFmtId="0">
      <sharedItems/>
    </cacheField>
    <cacheField name="Product_ID" numFmtId="0">
      <sharedItems/>
    </cacheField>
    <cacheField name="Order_Date" numFmtId="0">
      <sharedItems count="327">
        <s v="18/09/2025"/>
        <s v="27/04/2025"/>
        <s v="03/09/2025"/>
        <s v="27/09/2025"/>
        <s v="04/01/2026"/>
        <s v="31/02/2025"/>
        <s v="13/04/2025"/>
        <s v="31/01/2026"/>
        <s v="25/03/2025"/>
        <s v="19/09/2025"/>
        <s v="08/03/2025"/>
        <s v="10/01/2025"/>
        <s v="09/03/2025"/>
        <s v="26/07/2025"/>
        <s v="08/04/2026"/>
        <s v="22/02/2026"/>
        <s v="28/02/2026"/>
        <s v="01/12/2025"/>
        <s v="25/06/2025"/>
        <s v="26/04/2025"/>
        <s v="03/01/2025"/>
        <s v="19/04/2025"/>
        <s v="22/12/2025"/>
        <s v="09/04/2026"/>
        <s v="24/06/2025"/>
        <s v="22/05/2025"/>
        <s v="13/03/2026"/>
        <s v="08/09/2025"/>
        <s v="11/01/2026"/>
        <s v="16/06/2025"/>
        <s v="01/07/2025"/>
        <s v="07/03/2025"/>
        <s v="09/10/2025"/>
        <s v="19/11/2025"/>
        <s v="05/11/2025"/>
        <s v="08/03/2026"/>
        <s v="13/02/2025"/>
        <s v="05/10/2025"/>
        <s v="10/02/2026"/>
        <s v="04/06/2025"/>
        <s v="08/02/2026"/>
        <s v="30/03/2025"/>
        <s v="25/04/2025"/>
        <s v="13/10/2025"/>
        <s v="11/10/2025"/>
        <s v="27/11/2025"/>
        <s v="19/04/2026"/>
        <s v="28/03/2025"/>
        <s v="25/08/2025"/>
        <s v="19/08/2025"/>
        <s v="27/07/2025"/>
        <s v="21/02/2025"/>
        <s v="10/08/2025"/>
        <s v="24/03/2026"/>
        <s v="15/06/2025"/>
        <s v="05/03/2025"/>
        <s v="16/08/2025"/>
        <s v="13/05/2026"/>
        <s v="01/03/2025"/>
        <s v="09/02/2025"/>
        <s v="09/01/2026"/>
        <s v="01/09/2025"/>
        <s v="09/02/2026"/>
        <s v="14/12/2025"/>
        <s v="07/04/2025"/>
        <s v="24/12/2025"/>
        <s v="30/08/2025"/>
        <s v="13/12/2025"/>
        <s v="04/02/2026"/>
        <s v="26/01/2026"/>
        <s v="27/06/2025"/>
        <s v="17/03/2026"/>
        <s v="09/06/2025"/>
        <s v="15/11/2025"/>
        <s v="06/11/2025"/>
        <s v="01/01/2025"/>
        <s v="25/04/2026"/>
        <s v="18/03/2025"/>
        <s v="30/10/2025"/>
        <s v="31/10/2025"/>
        <s v="10/04/2025"/>
        <s v="16/03/2026"/>
        <s v="15/09/2025"/>
        <s v="11/03/2026"/>
        <s v="20/08/2025"/>
        <s v="13/08/2025"/>
        <s v="16/03/2025"/>
        <s v="04/09/2025"/>
        <s v="12/04/2025"/>
        <s v="04/05/2026"/>
        <s v="18/01/2026"/>
        <s v="14/03/2026"/>
        <s v="09/05/2025"/>
        <s v="07/05/2026"/>
        <s v="21/04/2025"/>
        <s v="11/12/2025"/>
        <s v="13/01/2025"/>
        <s v="17/03/2025"/>
        <s v="25/02/2025"/>
        <s v="26/02/2025"/>
        <s v="10/07/2025"/>
        <s v="18/11/2025"/>
        <s v="09/04/2025"/>
        <s v="03/04/2026"/>
        <s v="23/10/2025"/>
        <s v="03/04/2025"/>
        <s v="24/08/2025"/>
        <s v="31/05/2025"/>
        <s v="30/05/2025"/>
        <s v="03/01/2026"/>
        <s v="20/10/2025"/>
        <s v="11/05/2025"/>
        <s v="02/01/2026"/>
        <s v="20/04/2026"/>
        <s v="04/08/2025"/>
        <s v="27/04/2026"/>
        <s v="17/02/2026"/>
        <s v="04/04/2026"/>
        <s v="08/06/2025"/>
        <s v="25/07/2025"/>
        <s v="16/01/2025"/>
        <s v="04/02/2025"/>
        <s v="22/01/2025"/>
        <s v="11/04/2025"/>
        <s v="04/07/2025"/>
        <s v="17/12/2025"/>
        <s v="10/10/2025"/>
        <s v="07/03/2026"/>
        <s v="23/12/2025"/>
        <s v="07/07/2025"/>
        <s v="03/05/2026"/>
        <s v="29/11/2025"/>
        <s v="14/07/2025"/>
        <s v="13/03/2025"/>
        <s v="22/07/2025"/>
        <s v="21/07/2025"/>
        <s v="19/07/2025"/>
        <s v="04/11/2025"/>
        <s v="19/06/2025"/>
        <s v="26/03/2025"/>
        <s v="06/07/2025"/>
        <s v="01/04/2026"/>
        <s v="28/10/2025"/>
        <s v="06/02/2025"/>
        <s v="14/03/2025"/>
        <s v="02/12/2025"/>
        <s v="14/02/2026"/>
        <s v="09/11/2025"/>
        <s v="07/02/2025"/>
        <s v="26/05/2025"/>
        <s v="04/10/2025"/>
        <s v="15/05/2025"/>
        <s v="14/06/2025"/>
        <s v="22/04/2025"/>
        <s v="16/12/2025"/>
        <s v="12/05/2026"/>
        <s v="16/11/2025"/>
        <s v="16/02/2025"/>
        <s v="28/04/2025"/>
        <s v="15/04/2026"/>
        <s v="20/02/2025"/>
        <s v="24/05/2025"/>
        <s v="06/01/2026"/>
        <s v="06/03/2025"/>
        <s v="06/04/2026"/>
        <s v="17/01/2026"/>
        <s v="21/09/2025"/>
        <s v="18/12/2025"/>
        <s v="02/06/2025"/>
        <s v="22/04/2026"/>
        <s v="06/03/2026"/>
        <s v="28/02/2025"/>
        <s v="30/01/2026"/>
        <s v="29/04/2026"/>
        <s v="18/05/2025"/>
        <s v="26/03/2026"/>
        <s v="19/01/2026"/>
        <s v="02/05/2026"/>
        <s v="20/07/2025"/>
        <s v="19/02/2025"/>
        <s v="20/04/2025"/>
        <s v="05/06/2025"/>
        <s v="20/05/2025"/>
        <s v="24/01/2026"/>
        <s v="11/06/2025"/>
        <s v="16/01/2026"/>
        <s v="20/02/2026"/>
        <s v="09/07/2025"/>
        <s v="08/02/2025"/>
        <s v="27/01/2026"/>
        <s v="08/01/2026"/>
        <s v="16/05/2026"/>
        <s v="25/05/2025"/>
        <s v="28/12/2025"/>
        <s v="23/03/2025"/>
        <s v="15/12/2025"/>
        <s v="03/11/2025"/>
        <s v="09/05/2026"/>
        <s v="08/07/2025"/>
        <s v="12/12/2025"/>
        <s v="03/05/2025"/>
        <s v="09/01/2025"/>
        <s v="17/04/2025"/>
        <s v="09/08/2025"/>
        <s v="22/06/2025"/>
        <s v="19/05/2025"/>
        <s v="29/03/2025"/>
        <s v="18/02/2026"/>
        <s v="21/01/2026"/>
        <s v="17/09/2025"/>
        <s v="12/05/2025"/>
        <s v="06/09/2025"/>
        <s v="23/04/2025"/>
        <s v="21/02/2026"/>
        <s v="22/09/2025"/>
        <s v="08/05/2026"/>
        <s v="27/03/2025"/>
        <s v="12/03/2025"/>
        <s v="13/02/2026"/>
        <s v="11/02/2025"/>
        <s v="17/01/2025"/>
        <s v="01/04/2025"/>
        <s v="25/02/2026"/>
        <s v="16/05/2025"/>
        <s v="23/07/2025"/>
        <s v="23/04/2026"/>
        <s v="02/03/2025"/>
        <s v="28/08/2025"/>
        <s v="06/10/2025"/>
        <s v="26/04/2026"/>
        <s v="08/05/2025"/>
        <s v="26/12/2025"/>
        <s v="24/02/2026"/>
        <s v="27/02/2025"/>
        <s v="03/06/2025"/>
        <s v="10/12/2025"/>
        <s v="25/11/2025"/>
        <s v="29/10/2025"/>
        <s v="05/03/2026"/>
        <s v="26/08/2025"/>
        <s v="05/04/2025"/>
        <s v="04/12/2025"/>
        <s v="05/01/2026"/>
        <s v="28/07/2025"/>
        <s v="15/10/2025"/>
        <s v="06/12/2025"/>
        <s v="05/08/2025"/>
        <s v="21/03/2026"/>
        <s v="16/04/2026"/>
        <s v="05/12/2025"/>
        <s v="30/07/2025"/>
        <s v="18/07/2025"/>
        <s v="\"/>
        <s v="11/04/2026"/>
        <s v="10/05/2026"/>
        <s v="23/01/2026"/>
        <s v="30/04/2025"/>
        <s v="03/02/2025"/>
        <s v="Pending"/>
        <s v="12/06/2025"/>
        <s v="01/11/2025"/>
        <s v="24/01/2025"/>
        <s v="01/10/2025"/>
        <s v="29/09/2025"/>
        <s v="14/05/2025"/>
        <s v="19/02/2026"/>
        <s v="25/01/2025"/>
        <s v="20/06/2025"/>
        <s v="28/05/2025"/>
        <s v="28/01/2025"/>
        <s v="03/08/2025"/>
        <s v="15/01/2025"/>
        <s v="31/01/2025"/>
        <s v="13/05/2025"/>
        <s v="27/12/2025"/>
        <s v="02/07/2025"/>
        <s v="27/01/2025"/>
        <s v="11/05/2026"/>
        <s v="11/02/2026"/>
        <s v="27/03/2026"/>
        <s v="17/04/2026"/>
        <s v="29/12/2025"/>
        <s v="12/01/2025"/>
        <s v="13/01/2026"/>
        <s v="15/03/2026"/>
        <s v="27/08/2025"/>
        <s v="12/10/2025"/>
        <s v="14/01/2026"/>
        <s v="01/02/2025"/>
        <s v="22/02/2025"/>
        <s v="18/04/2025"/>
        <s v="20/03/2025"/>
        <s v="22/10/2025"/>
        <s v="31/12/2025"/>
        <s v="21/06/2025"/>
        <s v="02/05/2025"/>
        <s v="29/06/2025"/>
        <s v="12/02/2026"/>
        <s v="03/03/2025"/>
        <s v="24/04/2026"/>
        <s v="17/02/2025"/>
        <s v="22/03/2026"/>
        <s v="02/04/2026"/>
        <s v="18/02/2025"/>
        <s v="29/03/2026"/>
        <s v="04/05/2025"/>
        <s v="23/08/2025"/>
        <s v="29/05/2025"/>
        <s v="12/09/2025"/>
        <s v="04/03/2026"/>
        <s v="01/08/2025"/>
        <s v="08/04/2025"/>
        <s v="02/11/2025"/>
        <s v="18/10/2025"/>
        <s v="28/01/2026"/>
        <s v="21/01/2025"/>
        <s v="19/10/2025"/>
        <s v="12/01/2026"/>
        <s v="26/01/2025"/>
        <s v="07/04/2026"/>
        <s v="26/06/2025"/>
        <s v="23/03/2026"/>
        <s v="05/05/2026"/>
        <s v="23/02/2025"/>
        <s v="29/07/2025"/>
        <s v="21/10/2025"/>
        <s v="16/09/2025"/>
      </sharedItems>
    </cacheField>
    <cacheField name="Delivery_Date" numFmtId="0">
      <sharedItems/>
    </cacheField>
    <cacheField name="Customer_Name" numFmtId="0">
      <sharedItems/>
    </cacheField>
    <cacheField name="Gender" numFmtId="0">
      <sharedItems/>
    </cacheField>
    <cacheField name="DOB" numFmtId="0">
      <sharedItems/>
    </cacheField>
    <cacheField name="City" numFmtId="0">
      <sharedItems containsBlank="1"/>
    </cacheField>
    <cacheField name="Region" numFmtId="0">
      <sharedItems count="4">
        <s v="South"/>
        <s v="North"/>
        <s v="West"/>
        <s v="East"/>
      </sharedItems>
    </cacheField>
    <cacheField name="Category" numFmtId="0">
      <sharedItems count="4">
        <s v="Home Appliances"/>
        <s v="Electronics"/>
        <s v="Stationery"/>
        <s v="Stationary"/>
      </sharedItems>
    </cacheField>
    <cacheField name="Product_Name" numFmtId="0">
      <sharedItems/>
    </cacheField>
    <cacheField name="Quantity" numFmtId="0">
      <sharedItems containsMixedTypes="1" containsNumber="1" containsInteger="1" minValue="-3" maxValue="20"/>
    </cacheField>
    <cacheField name="Unit_Price" numFmtId="0">
      <sharedItems containsMixedTypes="1" containsNumber="1" containsInteger="1" minValue="20" maxValue="55000"/>
    </cacheField>
    <cacheField name="Discount_%" numFmtId="0">
      <sharedItems containsSemiMixedTypes="0" containsString="0" containsNumber="1" containsInteger="1" minValue="0" maxValue="65"/>
    </cacheField>
    <cacheField name="Sales" numFmtId="0">
      <sharedItems containsSemiMixedTypes="0" containsString="0" containsNumber="1" minValue="19" maxValue="1045000"/>
    </cacheField>
    <cacheField name="Rating" numFmtId="0">
      <sharedItems containsSemiMixedTypes="0" containsString="0" containsNumber="1" containsInteger="1" minValue="1" maxValue="5"/>
    </cacheField>
    <cacheField name="Payment_Mode" numFmtId="0">
      <sharedItems/>
    </cacheField>
    <cacheField name="Salesperson" numFmtId="0">
      <sharedItems/>
    </cacheField>
    <cacheField name="Email" numFmtId="0">
      <sharedItems/>
    </cacheField>
    <cacheField name="Phone" numFmtId="2">
      <sharedItems/>
    </cacheField>
    <cacheField name="Order_Status" numFmtId="0">
      <sharedItems/>
    </cacheField>
  </cacheFields>
  <extLst>
    <ext xmlns:x14="http://schemas.microsoft.com/office/spreadsheetml/2009/9/main" uri="{725AE2AE-9491-48be-B2B4-4EB974FC3084}">
      <x14:pivotCacheDefinition pivotCacheId="6288373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8">
  <r>
    <s v="ORD10001"/>
    <s v="C008"/>
    <s v="P202"/>
    <x v="0"/>
    <s v="22/09/2025"/>
    <s v="Kavya Nair"/>
    <s v="Female"/>
    <s v="01/08/1976"/>
    <s v="Hyderabad"/>
    <x v="0"/>
    <x v="0"/>
    <s v="Iron"/>
    <n v="4"/>
    <n v="2200"/>
    <n v="10"/>
    <n v="7920"/>
    <n v="4"/>
    <s v="Cash"/>
    <s v="Ritika"/>
    <s v="KAvya.nair@company.com"/>
    <s v="9431429797"/>
    <s v="Completed"/>
  </r>
  <r>
    <s v="ORD10002"/>
    <s v="C008"/>
    <s v="P104"/>
    <x v="1"/>
    <s v="04/05/2025"/>
    <s v="Kavya Nair"/>
    <s v="Female"/>
    <s v="16/10/2000"/>
    <s v="Delhi"/>
    <x v="1"/>
    <x v="1"/>
    <s v="Monitor"/>
    <n v="17"/>
    <n v="12000"/>
    <n v="10"/>
    <n v="183600"/>
    <n v="1"/>
    <s v="NetBanking"/>
    <s v="Rahul"/>
    <s v="KAvya.nair@company.com"/>
    <s v="9129865339"/>
    <s v="Completed"/>
  </r>
  <r>
    <s v="ORD10003"/>
    <s v="C010"/>
    <s v="P101"/>
    <x v="2"/>
    <s v="14/09/2025"/>
    <s v="Pooja Shah"/>
    <s v="Female"/>
    <s v="16/09/1994"/>
    <s v="Bengaluru"/>
    <x v="0"/>
    <x v="1"/>
    <s v="Laptop"/>
    <n v="5"/>
    <n v="55000"/>
    <n v="5"/>
    <n v="261250"/>
    <n v="3"/>
    <s v="NetBanking"/>
    <s v="Aisha"/>
    <s v="pooja.shah@company.com"/>
    <s v="9380975626"/>
    <s v="Pending"/>
  </r>
  <r>
    <s v="ORD10005"/>
    <s v="C009"/>
    <s v="P103"/>
    <x v="3"/>
    <s v="07/10/2025"/>
    <s v="Mohit Verma"/>
    <s v="Male"/>
    <s v="13/04/1976"/>
    <s v="Delhi"/>
    <x v="1"/>
    <x v="1"/>
    <s v="Keyboard"/>
    <n v="8"/>
    <n v="1200"/>
    <n v="5"/>
    <n v="9120"/>
    <n v="2"/>
    <s v="Card"/>
    <s v="Aisha"/>
    <s v="mohit.verma@company.com"/>
    <s v="9724635978"/>
    <s v="Pending"/>
  </r>
  <r>
    <s v="ORD10006"/>
    <s v="C007"/>
    <s v="P202"/>
    <x v="4"/>
    <s v="12/01/2026"/>
    <s v="Arjun Rao"/>
    <s v="Male"/>
    <s v="07/02/1988"/>
    <s v="Hyderabad"/>
    <x v="0"/>
    <x v="0"/>
    <s v="Iron"/>
    <n v="4"/>
    <n v="2200"/>
    <n v="0"/>
    <n v="8800"/>
    <n v="1"/>
    <s v="UPI"/>
    <s v="Ritika"/>
    <s v="arjun.rao@company.com"/>
    <s v="9780584905"/>
    <s v="Completed"/>
  </r>
  <r>
    <s v="ORD10007"/>
    <s v="C008"/>
    <s v="P201"/>
    <x v="5"/>
    <s v="25/02/2026"/>
    <s v="Kavya Nair"/>
    <s v="Female"/>
    <s v="20/03/2003"/>
    <s v="Hyderabad"/>
    <x v="0"/>
    <x v="0"/>
    <s v="Mixer"/>
    <n v="2"/>
    <n v="3500"/>
    <n v="5"/>
    <n v="6650"/>
    <n v="1"/>
    <s v="UPI"/>
    <s v="Ritika"/>
    <s v="KAvya.nair@company.com"/>
    <s v="9958252176"/>
    <s v="Completed"/>
  </r>
  <r>
    <s v="ORD10008"/>
    <s v="C002"/>
    <s v="P104"/>
    <x v="6"/>
    <s v="19/04/2025"/>
    <s v="Priya Patel"/>
    <s v="Female"/>
    <s v="07/03/1995"/>
    <s v="Mumbai"/>
    <x v="2"/>
    <x v="1"/>
    <s v="Monitor"/>
    <n v="14"/>
    <n v="12000"/>
    <n v="15"/>
    <n v="142800"/>
    <n v="4"/>
    <s v="NetBanking"/>
    <s v="Ritika"/>
    <s v="priYa.patel@company.com"/>
    <s v="9705521654"/>
    <s v="Completed"/>
  </r>
  <r>
    <s v="ORD10009"/>
    <s v="C008"/>
    <s v="P104"/>
    <x v="7"/>
    <s v="02/02/2026"/>
    <s v="Kavya Nair"/>
    <s v="Female"/>
    <s v="06/04/1997"/>
    <s v="Pune"/>
    <x v="2"/>
    <x v="1"/>
    <s v="Monitor"/>
    <n v="4"/>
    <n v="12000"/>
    <n v="15"/>
    <n v="40800"/>
    <n v="4"/>
    <s v="UPI"/>
    <s v="Neha"/>
    <s v="KAvya.nair@company.com"/>
    <s v="9588041011"/>
    <s v="Completed"/>
  </r>
  <r>
    <s v="ORD10010"/>
    <s v="C002"/>
    <s v="P301"/>
    <x v="8"/>
    <s v="27/03/2025"/>
    <s v="Priya Patel"/>
    <s v="Female"/>
    <s v="07/01/1990"/>
    <s v="Mumbai"/>
    <x v="2"/>
    <x v="2"/>
    <s v="Notebook"/>
    <n v="6"/>
    <n v="60"/>
    <n v="0"/>
    <n v="360"/>
    <n v="4"/>
    <s v="Card"/>
    <s v="Neha"/>
    <s v="priYa.patel@company.com"/>
    <s v="9340540608"/>
    <s v="Completed"/>
  </r>
  <r>
    <s v="ORD10011"/>
    <s v="C003"/>
    <s v="P202"/>
    <x v="9"/>
    <s v="23/09/2025"/>
    <s v="Rohit Singh"/>
    <s v="Male"/>
    <s v="10/05/1982"/>
    <s v="Delhi"/>
    <x v="1"/>
    <x v="0"/>
    <s v="Iron"/>
    <n v="-3"/>
    <n v="2200"/>
    <n v="0"/>
    <n v="35200"/>
    <n v="2"/>
    <s v="Card"/>
    <s v="Rahul"/>
    <s v="rohit.singh@company.com"/>
    <s v="9521710321"/>
    <s v="Pending"/>
  </r>
  <r>
    <s v="ORD10012"/>
    <s v="C008"/>
    <s v="P201"/>
    <x v="10"/>
    <s v="15/03/2025"/>
    <s v="Kavya Nair"/>
    <s v="Female"/>
    <s v="23/01/1982"/>
    <s v="Ahmedabad"/>
    <x v="2"/>
    <x v="0"/>
    <s v="Mixer"/>
    <n v="10"/>
    <n v="3500"/>
    <n v="5"/>
    <n v="33250"/>
    <n v="5"/>
    <s v="Card"/>
    <s v="Aisha"/>
    <s v="KAvya.nair@company.com"/>
    <s v="9123535241"/>
    <s v="Cancelled"/>
  </r>
  <r>
    <s v="ORD10013"/>
    <s v="C002"/>
    <s v="P202"/>
    <x v="11"/>
    <s v="15/01/2025"/>
    <s v="Priya Patel"/>
    <s v="Female"/>
    <s v="06/07/1992"/>
    <s v="Pune"/>
    <x v="2"/>
    <x v="0"/>
    <s v="Iron"/>
    <n v="15"/>
    <n v="2200"/>
    <n v="10"/>
    <n v="29700"/>
    <n v="1"/>
    <s v="UPI"/>
    <s v="Neha"/>
    <s v="priYa.patel@company.com"/>
    <s v="9367316892"/>
    <s v="Pending"/>
  </r>
  <r>
    <s v="ORD10014"/>
    <s v="C003"/>
    <s v="P202"/>
    <x v="12"/>
    <s v="13/03/2025"/>
    <s v="Rohit Singh"/>
    <s v="Male"/>
    <s v="19/03/2002"/>
    <s v="Mumbai"/>
    <x v="2"/>
    <x v="0"/>
    <s v="Iron"/>
    <n v="17"/>
    <n v="2200"/>
    <n v="5"/>
    <n v="35530"/>
    <n v="1"/>
    <s v="Cash"/>
    <s v="Karan"/>
    <s v="rohit.singh@company.com"/>
    <s v="9778489803"/>
    <s v="Completed"/>
  </r>
  <r>
    <s v="ORD10015"/>
    <s v="C008"/>
    <s v="P201"/>
    <x v="13"/>
    <s v="07/08/2025"/>
    <s v="Kavya Nair"/>
    <s v="Female"/>
    <s v="17/01/2001"/>
    <s v="Mumbai"/>
    <x v="2"/>
    <x v="0"/>
    <s v="Mixer"/>
    <n v="15"/>
    <n v="3500"/>
    <n v="15"/>
    <n v="44625"/>
    <n v="2"/>
    <s v="Cash"/>
    <s v="Neha"/>
    <s v="KAvya.nair@company.com"/>
    <s v="9582960180"/>
    <s v="Cancelled"/>
  </r>
  <r>
    <s v="ORD10016"/>
    <s v="C010"/>
    <s v="P103"/>
    <x v="14"/>
    <s v="11/04/2026"/>
    <s v="Pooja Shah"/>
    <s v="Female"/>
    <s v="11/04/2002"/>
    <s v="Hyderabad"/>
    <x v="0"/>
    <x v="1"/>
    <s v="Keyboard"/>
    <n v="3"/>
    <n v="1200"/>
    <n v="5"/>
    <n v="3420"/>
    <n v="5"/>
    <s v="UPI"/>
    <s v="Ritika"/>
    <s v="pooja.shahcompany.com"/>
    <s v="9611394005"/>
    <s v="Completed"/>
  </r>
  <r>
    <s v="ORD10017"/>
    <s v="C004"/>
    <s v="P203"/>
    <x v="15"/>
    <s v="03/03/2026"/>
    <s v="Amit Sharma"/>
    <s v="Female"/>
    <s v="16/01/2002"/>
    <s v="Pune"/>
    <x v="2"/>
    <x v="0"/>
    <s v="Microwave"/>
    <n v="13"/>
    <n v="8500"/>
    <n v="20"/>
    <n v="88400"/>
    <n v="4"/>
    <s v="Card"/>
    <s v="Rahul"/>
    <s v="anita.gupta@company.com"/>
    <s v="9692599404"/>
    <s v="Pending"/>
  </r>
  <r>
    <s v="ORD10018"/>
    <s v="C007"/>
    <s v="P203"/>
    <x v="16"/>
    <s v="05/03/2026"/>
    <s v="Arjun Rao"/>
    <s v="Male"/>
    <s v="09/10/1989"/>
    <s v="Ahmedabad"/>
    <x v="2"/>
    <x v="0"/>
    <s v="Microwave"/>
    <n v="4"/>
    <n v="8500"/>
    <n v="20"/>
    <n v="27200"/>
    <n v="5"/>
    <s v="Card"/>
    <s v="Aisha"/>
    <s v="arjun.rao@company.com"/>
    <s v="9426119622"/>
    <s v="Pending"/>
  </r>
  <r>
    <s v="ORD10019"/>
    <s v="C007"/>
    <s v="P102"/>
    <x v="17"/>
    <s v="04/12/2025"/>
    <s v="Arjun Rao"/>
    <s v="Male"/>
    <s v="28/10/1991"/>
    <s v="Mumbai"/>
    <x v="2"/>
    <x v="1"/>
    <s v="Mouse"/>
    <n v="9"/>
    <n v="700"/>
    <n v="5"/>
    <n v="5985"/>
    <n v="3"/>
    <s v="UPI"/>
    <s v="Ritika"/>
    <s v="arjun.rao@company.com"/>
    <s v="9184436009"/>
    <s v="Pending"/>
  </r>
  <r>
    <s v="ORD10020"/>
    <s v="C008"/>
    <s v="P101"/>
    <x v="18"/>
    <s v="03/07/2025"/>
    <s v="Kavya Nair"/>
    <s v="Female"/>
    <s v="01/03/1990"/>
    <s v="Ahmedabad"/>
    <x v="2"/>
    <x v="1"/>
    <s v="Laptop"/>
    <n v="8"/>
    <n v="55000"/>
    <n v="20"/>
    <n v="352000"/>
    <n v="1"/>
    <s v="Cash"/>
    <s v="Karan"/>
    <s v="KAvya.nair@company.com"/>
    <s v="9263774934"/>
    <s v="Completed"/>
  </r>
  <r>
    <s v="ORD10021"/>
    <s v="C003"/>
    <s v="P102"/>
    <x v="19"/>
    <s v="05/05/2025"/>
    <s v="Rohit Singh"/>
    <s v="Male"/>
    <s v="18/07/2002"/>
    <s v="Delhi"/>
    <x v="1"/>
    <x v="1"/>
    <s v="Mouse"/>
    <n v="10"/>
    <n v="700"/>
    <n v="20"/>
    <n v="5600"/>
    <n v="4"/>
    <s v="Card"/>
    <s v="Aisha"/>
    <s v="rohit.singh@company.com"/>
    <s v="9473159572"/>
    <s v="Cancelled"/>
  </r>
  <r>
    <s v="ORD10022"/>
    <s v="C008"/>
    <s v="P201"/>
    <x v="20"/>
    <s v="08/01/2025"/>
    <s v="Kavya Nair"/>
    <s v="Female"/>
    <s v="15/12/2004"/>
    <s v="Bengaluru"/>
    <x v="0"/>
    <x v="0"/>
    <s v="Mixer"/>
    <n v="1"/>
    <n v="3500"/>
    <n v="5"/>
    <n v="3325"/>
    <n v="3"/>
    <s v="UPI"/>
    <s v="Neha"/>
    <s v="KAvya.nair@company.com"/>
    <s v="9660493688"/>
    <s v="Cancelled"/>
  </r>
  <r>
    <s v="ORD10023"/>
    <s v="C002"/>
    <s v="P102"/>
    <x v="21"/>
    <s v="30/04/2025"/>
    <s v="Priya Patel"/>
    <s v="Female"/>
    <s v="04/07/1984"/>
    <s v="Jaipur"/>
    <x v="1"/>
    <x v="1"/>
    <s v="Mouse"/>
    <n v="19"/>
    <n v="700"/>
    <n v="15"/>
    <n v="11305"/>
    <n v="3"/>
    <s v="NetBanking"/>
    <s v="Karan"/>
    <s v="priYa.patel@company.com"/>
    <s v="9513325819"/>
    <s v="Pending"/>
  </r>
  <r>
    <s v="ORD10024"/>
    <s v="C009"/>
    <s v="P101"/>
    <x v="22"/>
    <s v="01/01/2026"/>
    <s v="Mohit Verma"/>
    <s v="Male"/>
    <s v="25/02/1978"/>
    <s v="Bengaluru"/>
    <x v="0"/>
    <x v="1"/>
    <s v="Laptop"/>
    <n v="12"/>
    <n v="55000"/>
    <n v="0"/>
    <n v="660000"/>
    <n v="1"/>
    <s v="Card"/>
    <s v="Rahul"/>
    <s v="mohit.verma@company.com"/>
    <s v="9641063242"/>
    <s v="Pending"/>
  </r>
  <r>
    <s v="ORD10025"/>
    <s v="C005"/>
    <s v="P302"/>
    <x v="23"/>
    <s v="20/04/2026"/>
    <s v="Vikas Mehta"/>
    <s v="Male"/>
    <s v="03/08/1991"/>
    <s v="Mumbai"/>
    <x v="2"/>
    <x v="2"/>
    <s v="Pen"/>
    <n v="1"/>
    <n v="20"/>
    <n v="5"/>
    <n v="19"/>
    <n v="5"/>
    <s v="Card"/>
    <s v="Ritika"/>
    <s v="vikas.mehta@company.com"/>
    <s v="9277372518"/>
    <s v="Cancelled"/>
  </r>
  <r>
    <s v="ORD10026"/>
    <s v="C007"/>
    <s v="P302"/>
    <x v="24"/>
    <s v="02/07/2025"/>
    <s v="Arjun Rao"/>
    <s v="Male"/>
    <s v="11/12/1977"/>
    <s v="Mumbai"/>
    <x v="2"/>
    <x v="2"/>
    <s v="Pen"/>
    <n v="2"/>
    <n v="20"/>
    <n v="15"/>
    <n v="34"/>
    <n v="1"/>
    <s v="UPI"/>
    <s v="Ritika"/>
    <s v="arjun.rao@company.com"/>
    <s v="9193154372"/>
    <s v="Pending"/>
  </r>
  <r>
    <s v="ORD10027"/>
    <s v="C009"/>
    <s v="P201"/>
    <x v="25"/>
    <s v="25/05/2025"/>
    <s v="Mohit Verma"/>
    <s v="Male"/>
    <s v="08/02/1992"/>
    <s v="Ahmedabad"/>
    <x v="2"/>
    <x v="0"/>
    <s v="Mixer"/>
    <n v="12"/>
    <n v="3500"/>
    <n v="15"/>
    <n v="35700"/>
    <n v="4"/>
    <s v="Cash"/>
    <s v="Rahul"/>
    <s v="mohit.verma@company.com"/>
    <s v="9400073244"/>
    <s v="Cancelled"/>
  </r>
  <r>
    <s v="ORD10028"/>
    <s v="C008"/>
    <s v="P103"/>
    <x v="26"/>
    <s v="20/03/2026"/>
    <s v="Kavya Nair"/>
    <s v="Female"/>
    <s v="05/06/2004"/>
    <s v="Ahmedabad"/>
    <x v="2"/>
    <x v="1"/>
    <s v="Keyboard"/>
    <n v="11"/>
    <n v="1200"/>
    <n v="0"/>
    <n v="13200"/>
    <n v="2"/>
    <s v="UPI"/>
    <s v="Karan"/>
    <s v="KAvya.nair@company.com"/>
    <s v="9771556720"/>
    <s v="Completed"/>
  </r>
  <r>
    <s v="ORD10029"/>
    <s v="C003"/>
    <s v="P203"/>
    <x v="27"/>
    <s v="20/09/2025"/>
    <s v="Rohit Singh"/>
    <s v="Male"/>
    <s v="11/08/2001"/>
    <s v="Pune"/>
    <x v="2"/>
    <x v="0"/>
    <s v="Microwave"/>
    <n v="6"/>
    <n v="8500"/>
    <n v="65"/>
    <n v="51000"/>
    <n v="1"/>
    <s v="Card"/>
    <s v="Aisha"/>
    <s v="rohit.singh@company.com"/>
    <s v="9127480734"/>
    <s v="Completed"/>
  </r>
  <r>
    <s v="ORD10030"/>
    <s v="C006"/>
    <s v="P301"/>
    <x v="28"/>
    <s v="16/01/2026"/>
    <s v="Sneha Joshi"/>
    <s v="Female"/>
    <s v="04/04/1981"/>
    <s v="Pune"/>
    <x v="2"/>
    <x v="2"/>
    <s v="Notebook"/>
    <n v="2"/>
    <n v="60"/>
    <n v="5"/>
    <n v="114"/>
    <n v="3"/>
    <s v="Cash"/>
    <s v="Karan"/>
    <s v="sneha.joshi@company.com"/>
    <s v="9512997042"/>
    <s v="Cancelled"/>
  </r>
  <r>
    <s v="ORD10031"/>
    <s v="C008"/>
    <s v="P303"/>
    <x v="29"/>
    <s v="26/06/2025"/>
    <s v="Kavya Nair"/>
    <s v="Female"/>
    <s v="02/07/1996"/>
    <s v="Bengaluru"/>
    <x v="0"/>
    <x v="2"/>
    <s v="Marker"/>
    <n v="19"/>
    <n v="45"/>
    <n v="20"/>
    <n v="684"/>
    <n v="4"/>
    <s v="NetBanking"/>
    <s v="Aisha"/>
    <s v="KAvya.nair@company.com"/>
    <s v="9372748661"/>
    <s v="Cancelled"/>
  </r>
  <r>
    <s v="ORD10032"/>
    <s v="C002"/>
    <s v="P104"/>
    <x v="30"/>
    <s v="13/07/2025"/>
    <s v="Priya Patel"/>
    <s v="Female"/>
    <s v="15/11/1976"/>
    <s v="Ahmedabad"/>
    <x v="2"/>
    <x v="1"/>
    <s v="Monitor"/>
    <n v="11"/>
    <n v="12000"/>
    <n v="0"/>
    <n v="132000"/>
    <n v="3"/>
    <s v="UPI"/>
    <s v="Ritika"/>
    <s v="priYa.patel@company.com"/>
    <s v="9570437805"/>
    <s v="Pending"/>
  </r>
  <r>
    <s v="ORD10033"/>
    <s v="C006"/>
    <s v="P202"/>
    <x v="31"/>
    <s v="15/03/2025"/>
    <s v="Sneha Joshi"/>
    <s v="Female"/>
    <s v="28/10/1988"/>
    <s v="Bengaluru"/>
    <x v="0"/>
    <x v="0"/>
    <s v="Iron"/>
    <n v="20"/>
    <n v="2200"/>
    <n v="5"/>
    <n v="41800"/>
    <n v="1"/>
    <s v="Cash"/>
    <s v="Rahul"/>
    <s v="sneha.joshi@company.com"/>
    <s v="9310669113"/>
    <s v="Pending"/>
  </r>
  <r>
    <s v="ORD10034"/>
    <s v="C007"/>
    <s v="P302"/>
    <x v="24"/>
    <s v="04/07/2025"/>
    <s v="Arjun Rao"/>
    <s v="Male"/>
    <s v="23/06/2004"/>
    <s v="Ahmedabad"/>
    <x v="2"/>
    <x v="2"/>
    <s v="Pen"/>
    <n v="3"/>
    <n v="20"/>
    <n v="0"/>
    <n v="60"/>
    <n v="2"/>
    <s v="Card"/>
    <s v="Ritika"/>
    <s v="wrongmail"/>
    <s v="9437132894"/>
    <s v="Cancelled"/>
  </r>
  <r>
    <s v="ORD10035"/>
    <s v="C003"/>
    <s v="P303"/>
    <x v="32"/>
    <s v="19/10/2025"/>
    <s v="Rohit Singh"/>
    <s v="Male"/>
    <s v="22/04/1996"/>
    <s v="Pune"/>
    <x v="2"/>
    <x v="2"/>
    <s v="Marker"/>
    <n v="18"/>
    <n v="45"/>
    <n v="20"/>
    <n v="648"/>
    <n v="4"/>
    <s v="NetBanking"/>
    <s v="Ritika"/>
    <s v="rohit.singh@company.com"/>
    <s v="9762437243"/>
    <s v="Cancelled"/>
  </r>
  <r>
    <s v="ORD10036"/>
    <s v="C003"/>
    <s v="P103"/>
    <x v="33"/>
    <s v="26/11/2025"/>
    <s v="Rohit Singh"/>
    <s v="Male"/>
    <s v="07/07/1979"/>
    <s v="Bengaluru"/>
    <x v="0"/>
    <x v="1"/>
    <s v="Keyboard"/>
    <n v="4"/>
    <n v="1200"/>
    <n v="20"/>
    <n v="3840"/>
    <n v="3"/>
    <s v="NetBanking"/>
    <s v="Aisha"/>
    <s v="rohit.singh@company.com"/>
    <s v="9149046970"/>
    <s v="Completed"/>
  </r>
  <r>
    <s v="ORD10037"/>
    <s v="C009"/>
    <s v="P101"/>
    <x v="34"/>
    <s v="14/11/2025"/>
    <s v="Mohit Verma"/>
    <s v="Male"/>
    <s v="27/09/1980"/>
    <s v="Kolkata"/>
    <x v="3"/>
    <x v="1"/>
    <s v="Laptop"/>
    <n v="10"/>
    <n v="55000"/>
    <n v="0"/>
    <n v="550000"/>
    <n v="1"/>
    <s v="UPI"/>
    <s v="Rahul"/>
    <s v="mohit.verma@company.com"/>
    <s v="9869182901"/>
    <s v="Cancelled"/>
  </r>
  <r>
    <s v="ORD10038"/>
    <s v="C006"/>
    <s v="P201"/>
    <x v="35"/>
    <s v="20/03/2026"/>
    <s v="Sneha Joshi"/>
    <s v="Female"/>
    <s v="21/06/1980"/>
    <s v="Delhi"/>
    <x v="1"/>
    <x v="0"/>
    <s v="Mixer"/>
    <n v="20"/>
    <n v="3500"/>
    <n v="10"/>
    <n v="63000"/>
    <n v="3"/>
    <s v="Card"/>
    <s v="Rahul"/>
    <s v="sneha.joshi@company.com"/>
    <s v="9283578533"/>
    <s v="Cancelled"/>
  </r>
  <r>
    <s v="ORD10039"/>
    <s v="C008"/>
    <s v="P302"/>
    <x v="36"/>
    <s v="19/02/2025"/>
    <s v="Kavya Nair"/>
    <s v="Female"/>
    <s v="17/06/1979"/>
    <s v="Pune"/>
    <x v="2"/>
    <x v="2"/>
    <s v="Pen"/>
    <n v="5"/>
    <s v="1200 "/>
    <n v="0"/>
    <n v="100"/>
    <n v="1"/>
    <s v="Cash"/>
    <s v="Rahul"/>
    <s v="KAvya.nair@company.com"/>
    <s v="9963005771"/>
    <s v="Cancelled"/>
  </r>
  <r>
    <s v="ORD10040"/>
    <s v="C010"/>
    <s v="P203"/>
    <x v="37"/>
    <s v="15/10/2025"/>
    <s v="Pooja Shah"/>
    <s v="Female"/>
    <s v="18/06/1992"/>
    <s v="Mumbai"/>
    <x v="2"/>
    <x v="0"/>
    <s v="Microwave"/>
    <n v="20"/>
    <n v="8500"/>
    <n v="0"/>
    <n v="170000"/>
    <n v="1"/>
    <s v="UPI"/>
    <s v="Neha"/>
    <s v="pooja.shah@company.com"/>
    <s v="9484632635"/>
    <s v="Cancelled"/>
  </r>
  <r>
    <s v="ORD10041"/>
    <s v="C007"/>
    <s v="P301"/>
    <x v="38"/>
    <s v="12/02/2026"/>
    <s v="Arjun Rao"/>
    <s v="Male"/>
    <s v="06/06/1994"/>
    <s v="Bengaluru"/>
    <x v="0"/>
    <x v="2"/>
    <s v="Notebook"/>
    <n v="8"/>
    <n v="60"/>
    <n v="15"/>
    <n v="408"/>
    <n v="5"/>
    <s v="UPI"/>
    <s v="Rahul"/>
    <s v="arjun.rao@company.com"/>
    <s v="9276319484"/>
    <s v="Pending"/>
  </r>
  <r>
    <s v="ORD10042"/>
    <s v="C010"/>
    <s v="P201"/>
    <x v="39"/>
    <s v="16/06/2025"/>
    <s v="Pooja Shah"/>
    <s v="Female"/>
    <s v="22/09/1988"/>
    <s v="Pune"/>
    <x v="2"/>
    <x v="0"/>
    <s v="Mixer"/>
    <n v="8"/>
    <n v="3500"/>
    <n v="5"/>
    <n v="26600"/>
    <n v="1"/>
    <s v="Card"/>
    <s v="Neha"/>
    <s v="pooja.shah@company.com"/>
    <s v="9619034852"/>
    <s v="Pending"/>
  </r>
  <r>
    <s v="ORD10043"/>
    <s v="C009"/>
    <s v="P203"/>
    <x v="40"/>
    <s v="14/02/2026"/>
    <s v="Mohit Verma"/>
    <s v="Male"/>
    <s v="14/07/2001"/>
    <s v="Jaipur"/>
    <x v="1"/>
    <x v="0"/>
    <s v="Microwave"/>
    <n v="1"/>
    <n v="8500"/>
    <n v="0"/>
    <n v="8500"/>
    <n v="2"/>
    <s v="Card"/>
    <s v="Neha"/>
    <s v="mohit.verma@company.com"/>
    <s v="9636416962"/>
    <s v="Pending"/>
  </r>
  <r>
    <s v="ORD10044"/>
    <s v="C001"/>
    <s v="P303"/>
    <x v="41"/>
    <s v="31/03/2025"/>
    <s v="Amit Sharma"/>
    <s v="Male"/>
    <s v="09/08/1991"/>
    <s v="Pune"/>
    <x v="2"/>
    <x v="2"/>
    <s v="Marker"/>
    <n v="8"/>
    <n v="45"/>
    <n v="15"/>
    <n v="306"/>
    <n v="2"/>
    <s v="Card"/>
    <s v="Aisha"/>
    <s v="amit.sharma@company.com"/>
    <s v="9357133880"/>
    <s v="Completed"/>
  </r>
  <r>
    <s v="ORD10045"/>
    <s v="C006"/>
    <s v="P202"/>
    <x v="42"/>
    <s v="28/04/2025"/>
    <s v="Sneha Joshi"/>
    <s v="Female"/>
    <s v="21/10/1988"/>
    <s v="Pune"/>
    <x v="2"/>
    <x v="0"/>
    <s v="Iron"/>
    <n v="16"/>
    <n v="2200"/>
    <n v="5"/>
    <n v="33440"/>
    <n v="5"/>
    <s v="Card"/>
    <s v="Aisha"/>
    <s v="sneha.joshi@company.com"/>
    <s v="9575210324"/>
    <s v="Cancelled"/>
  </r>
  <r>
    <s v="ORD10046"/>
    <s v="C009"/>
    <s v="P201"/>
    <x v="43"/>
    <s v="23/10/2025"/>
    <s v="Mohit Verma"/>
    <s v="Male"/>
    <s v="19/11/2002"/>
    <s v="Bengaluru"/>
    <x v="0"/>
    <x v="0"/>
    <s v="Mixer"/>
    <n v="19"/>
    <n v="3500"/>
    <n v="20"/>
    <n v="53200"/>
    <n v="3"/>
    <s v="Cash"/>
    <s v="Karan"/>
    <s v="mohit.verma@company.com"/>
    <s v="9276080204"/>
    <s v="Cancelled"/>
  </r>
  <r>
    <s v="ORD10047"/>
    <s v="C006"/>
    <s v="P102"/>
    <x v="44"/>
    <s v="14/10/2025"/>
    <s v="Sneha Joshi"/>
    <s v="Female"/>
    <s v="06/07/2000"/>
    <s v="Pune"/>
    <x v="2"/>
    <x v="1"/>
    <s v="Mouse"/>
    <n v="15"/>
    <n v="700"/>
    <n v="15"/>
    <n v="8925"/>
    <n v="4"/>
    <s v="UPI"/>
    <s v="Neha"/>
    <s v="sneha.joshicompany.com"/>
    <s v="9856624471"/>
    <s v="Completed"/>
  </r>
  <r>
    <s v="ORD10048"/>
    <s v="C006"/>
    <s v="P102"/>
    <x v="45"/>
    <s v="03/12/2025"/>
    <s v="Sneha Joshi"/>
    <s v="Female"/>
    <s v="26/11/1998"/>
    <s v="Jaipur"/>
    <x v="1"/>
    <x v="1"/>
    <s v="Mouse"/>
    <n v="19"/>
    <n v="700"/>
    <n v="20"/>
    <n v="10640"/>
    <n v="1"/>
    <s v="Cash"/>
    <s v="Neha"/>
    <s v="sneha.joshi@company.com"/>
    <s v="9238141322"/>
    <s v="Completed"/>
  </r>
  <r>
    <s v="ORD10049"/>
    <s v="C009"/>
    <s v="P104"/>
    <x v="46"/>
    <s v="Pending"/>
    <s v="Mohit Verma"/>
    <s v="Male"/>
    <s v="03/06/1996"/>
    <s v="Delhi"/>
    <x v="1"/>
    <x v="1"/>
    <s v="Monitor"/>
    <n v="19"/>
    <n v="12000"/>
    <n v="0"/>
    <n v="228000"/>
    <n v="1"/>
    <s v="NetBanking"/>
    <s v="Aisha"/>
    <s v="mohit.verma@company.com"/>
    <s v="9890380030"/>
    <s v="Completed"/>
  </r>
  <r>
    <s v="ORD10050"/>
    <s v="C004"/>
    <s v="P103"/>
    <x v="46"/>
    <s v="21/04/2026"/>
    <s v="Anita Gupta"/>
    <s v="Female"/>
    <s v="15/03/1987"/>
    <s v="Pune"/>
    <x v="2"/>
    <x v="1"/>
    <s v="Keyboard"/>
    <n v="6"/>
    <n v="1200"/>
    <n v="5"/>
    <n v="6840"/>
    <n v="2"/>
    <s v="Cash"/>
    <s v="Ritika"/>
    <s v="anita.gupta@company.com"/>
    <s v="9495893170"/>
    <s v="Pending"/>
  </r>
  <r>
    <s v="ORD10051"/>
    <s v="C010"/>
    <s v="P202"/>
    <x v="47"/>
    <s v="07/04/2025"/>
    <s v="Pooja Shah"/>
    <s v="Female"/>
    <s v="20/02/1979"/>
    <s v="Bengaluru"/>
    <x v="0"/>
    <x v="0"/>
    <s v="Iron"/>
    <n v="7"/>
    <n v="2200"/>
    <n v="15"/>
    <n v="13090"/>
    <n v="1"/>
    <s v="UPI"/>
    <s v="Aisha"/>
    <s v="pooja.shah@company.com"/>
    <s v="9485166307"/>
    <s v="Completed"/>
  </r>
  <r>
    <s v="ORD10052"/>
    <s v="C002"/>
    <s v="P301"/>
    <x v="48"/>
    <s v="28/08/2025"/>
    <s v="Priya Patel"/>
    <s v="Female"/>
    <s v="09/08/2000"/>
    <s v="Jaipur"/>
    <x v="1"/>
    <x v="2"/>
    <s v="Notebook"/>
    <n v="8"/>
    <n v="60"/>
    <n v="10"/>
    <n v="432"/>
    <n v="5"/>
    <s v="Card"/>
    <s v="Aisha"/>
    <s v="priYa.patel@company.com"/>
    <s v="9924709648"/>
    <s v="Cancelled"/>
  </r>
  <r>
    <s v="ORD10053"/>
    <s v="C005"/>
    <s v="P101"/>
    <x v="49"/>
    <s v="23/08/2025"/>
    <s v="Vikas Mehta"/>
    <s v="Male"/>
    <s v="17/01/1976"/>
    <s v="Kolkata"/>
    <x v="3"/>
    <x v="1"/>
    <s v="Laptop"/>
    <n v="12"/>
    <n v="55000"/>
    <n v="5"/>
    <n v="627000"/>
    <n v="2"/>
    <s v="UPI"/>
    <s v="Rahul"/>
    <s v="vikas.mehta@company.com"/>
    <s v="9350554626"/>
    <s v="Pending"/>
  </r>
  <r>
    <s v="ORD10054"/>
    <s v="C008"/>
    <s v="P102"/>
    <x v="50"/>
    <s v="05/08/2025"/>
    <s v="Kavya Nair"/>
    <s v="Female"/>
    <s v="04/04/1975"/>
    <s v="Jaipur"/>
    <x v="1"/>
    <x v="1"/>
    <s v="Mouse"/>
    <n v="3"/>
    <n v="700"/>
    <n v="0"/>
    <n v="2100"/>
    <n v="3"/>
    <s v="Card"/>
    <s v="Karan"/>
    <s v="KAvya.nair@company.com"/>
    <s v="9743295580"/>
    <s v="Cancelled"/>
  </r>
  <r>
    <s v="ORD10055"/>
    <s v="C003"/>
    <s v="P301"/>
    <x v="51"/>
    <s v="26/02/2025"/>
    <s v="Rohit Singh"/>
    <s v="Male"/>
    <s v="11/12/1976"/>
    <s v="Ahmedabad"/>
    <x v="2"/>
    <x v="2"/>
    <s v="Notebook"/>
    <n v="19"/>
    <n v="60"/>
    <n v="15"/>
    <n v="969"/>
    <n v="4"/>
    <s v="Card"/>
    <s v="Rahul"/>
    <s v="rohit.singh@company.com"/>
    <s v="9822926495"/>
    <s v="Cancelled"/>
  </r>
  <r>
    <s v="ORD10056"/>
    <s v="C001"/>
    <s v="P301"/>
    <x v="52"/>
    <s v="11/08/2025"/>
    <s v="Amit Sharma"/>
    <s v="Male"/>
    <s v="03/12/1979"/>
    <s v="Jaipur"/>
    <x v="1"/>
    <x v="2"/>
    <s v="Notebook"/>
    <n v="9"/>
    <n v="60"/>
    <n v="20"/>
    <n v="432"/>
    <n v="1"/>
    <s v="NetBanking"/>
    <s v="Neha"/>
    <s v="amit.sharma@company.com"/>
    <s v="9518298190"/>
    <s v="Pending"/>
  </r>
  <r>
    <s v="ORD10057"/>
    <s v="C001"/>
    <s v="P102"/>
    <x v="53"/>
    <s v="30/03/2026"/>
    <s v="Amit Sharma"/>
    <s v="Male"/>
    <s v="27/12/1978"/>
    <s v="Bengaluru"/>
    <x v="0"/>
    <x v="1"/>
    <s v="Mouse"/>
    <n v="6"/>
    <n v="700"/>
    <n v="0"/>
    <n v="4200"/>
    <n v="4"/>
    <s v="UPI"/>
    <s v="Rahul"/>
    <s v="amit.sharmcompany.com"/>
    <s v="9366223547"/>
    <s v="Cancelled"/>
  </r>
  <r>
    <s v="ORD10058"/>
    <s v="C003"/>
    <s v="P303"/>
    <x v="26"/>
    <s v="19/03/2026"/>
    <s v="Rohit Singh"/>
    <s v="Male"/>
    <s v="15/04/1975"/>
    <s v="Delhi"/>
    <x v="1"/>
    <x v="2"/>
    <s v="Marker"/>
    <n v="18"/>
    <n v="45"/>
    <n v="5"/>
    <n v="769.5"/>
    <n v="1"/>
    <s v="Card"/>
    <s v="Aisha"/>
    <s v="rohit.singh@company.com"/>
    <s v="9701988524"/>
    <s v="Pending"/>
  </r>
  <r>
    <s v="ORD10059"/>
    <s v="C007"/>
    <s v="P302"/>
    <x v="54"/>
    <s v="26/06/2025"/>
    <s v="Arjun Rao"/>
    <s v="Male"/>
    <s v="19/12/1988"/>
    <s v="Jaipur"/>
    <x v="1"/>
    <x v="2"/>
    <s v="Pen"/>
    <n v="8"/>
    <n v="20"/>
    <n v="5"/>
    <n v="152"/>
    <n v="1"/>
    <s v="Card"/>
    <s v="Ritika"/>
    <s v="arjun.rao@company.com"/>
    <s v="9836327649"/>
    <s v="Completed"/>
  </r>
  <r>
    <s v="ORD10060"/>
    <s v="C005"/>
    <s v="P102"/>
    <x v="55"/>
    <s v="06/03/2025"/>
    <s v="Vikas Mehta"/>
    <s v="Male"/>
    <s v="07/03/1979"/>
    <s v="Jaipur"/>
    <x v="1"/>
    <x v="1"/>
    <s v="Mouse"/>
    <n v="8"/>
    <n v="700"/>
    <n v="10"/>
    <n v="5040"/>
    <n v="1"/>
    <s v="NetBanking"/>
    <s v="Aisha"/>
    <s v="vikas.mehta@company.com"/>
    <s v="9261800516"/>
    <s v="Cancelled"/>
  </r>
  <r>
    <s v="ORD10061"/>
    <s v="C008"/>
    <s v="P302"/>
    <x v="23"/>
    <s v="19/04/2026"/>
    <s v="Kavya Nair"/>
    <s v="Female"/>
    <s v="17/12/2003"/>
    <s v="Delhi"/>
    <x v="1"/>
    <x v="2"/>
    <s v="Pen"/>
    <n v="7"/>
    <n v="20"/>
    <n v="15"/>
    <n v="119"/>
    <n v="5"/>
    <s v="Card"/>
    <s v="Rahul"/>
    <s v="KAvya.nair@company.com"/>
    <s v="9950802015"/>
    <s v="Completed"/>
  </r>
  <r>
    <s v="ORD10062"/>
    <s v="C002"/>
    <s v="P302"/>
    <x v="56"/>
    <s v="25/08/2025"/>
    <s v="Priya Patel"/>
    <s v="Female"/>
    <s v="05/04/1984"/>
    <s v="Pune"/>
    <x v="2"/>
    <x v="2"/>
    <s v="Pen"/>
    <n v="16"/>
    <n v="20"/>
    <n v="0"/>
    <n v="320"/>
    <n v="5"/>
    <s v="NetBanking"/>
    <s v="Aisha"/>
    <s v="priYa.patel@company.com"/>
    <s v="9595183767"/>
    <s v="Pending"/>
  </r>
  <r>
    <s v="ORD10063"/>
    <s v="C010"/>
    <s v="P303"/>
    <x v="57"/>
    <s v="20/05/2026"/>
    <s v="Pooja Shah"/>
    <s v="Female"/>
    <s v="13/04/1996"/>
    <s v="Mumbai"/>
    <x v="2"/>
    <x v="2"/>
    <s v="Marker"/>
    <n v="15"/>
    <n v="45"/>
    <n v="0"/>
    <n v="675"/>
    <n v="4"/>
    <s v="Cash"/>
    <s v="Aisha"/>
    <s v="pooja.shah@company.com"/>
    <s v="9560201307"/>
    <s v="Cancelled"/>
  </r>
  <r>
    <s v="ORD10064"/>
    <s v="C006"/>
    <s v="P102"/>
    <x v="58"/>
    <s v="05/03/2025"/>
    <s v="Sneha Joshi"/>
    <s v="Female"/>
    <s v="08/09/2003"/>
    <s v="Ahmedabad"/>
    <x v="2"/>
    <x v="1"/>
    <s v="Mouse"/>
    <n v="15"/>
    <n v="700"/>
    <n v="10"/>
    <n v="9450"/>
    <n v="3"/>
    <s v="NetBanking"/>
    <s v="Karan"/>
    <s v="sneha.joshi@company.com"/>
    <s v="9826484650"/>
    <s v="Completed"/>
  </r>
  <r>
    <s v="ORD10065"/>
    <s v="C010"/>
    <s v="P303"/>
    <x v="59"/>
    <s v="12/02/2025"/>
    <s v="Pooja Shah"/>
    <s v="Female"/>
    <s v="24/09/1992"/>
    <s v="Kolkata"/>
    <x v="3"/>
    <x v="2"/>
    <s v="Marker"/>
    <n v="3"/>
    <n v="45"/>
    <n v="15"/>
    <n v="114.75"/>
    <n v="2"/>
    <s v="UPI"/>
    <s v="Neha"/>
    <s v="pooja.shah@company.com"/>
    <s v="9219978007"/>
    <s v="Pending"/>
  </r>
  <r>
    <s v="ORD10066"/>
    <s v="C002"/>
    <s v="P202"/>
    <x v="60"/>
    <s v="10/01/2026"/>
    <s v="Priya Patel"/>
    <s v="Female"/>
    <s v="19/09/1986"/>
    <s v="Kolkata"/>
    <x v="3"/>
    <x v="0"/>
    <s v="Iron"/>
    <n v="7"/>
    <n v="2200"/>
    <n v="15"/>
    <n v="13090"/>
    <n v="5"/>
    <s v="UPI"/>
    <s v="Neha"/>
    <s v="priYa.patel@company.com"/>
    <s v="9662063276"/>
    <s v="Completed"/>
  </r>
  <r>
    <s v="ORD10067"/>
    <s v="C008"/>
    <s v="P303"/>
    <x v="61"/>
    <s v="05/09/2025"/>
    <s v="Kavya Nair"/>
    <s v="Female"/>
    <s v="28/05/1985"/>
    <s v="Delhi"/>
    <x v="1"/>
    <x v="2"/>
    <s v="Marker"/>
    <n v="19"/>
    <n v="45"/>
    <n v="10"/>
    <n v="769.5"/>
    <n v="5"/>
    <s v="Card"/>
    <s v="Neha"/>
    <s v="KAvya.nair@company.com"/>
    <s v="9190393639"/>
    <s v="Cancelled"/>
  </r>
  <r>
    <s v="ORD10068"/>
    <s v="C006"/>
    <s v="P201"/>
    <x v="62"/>
    <s v="14/02/2026"/>
    <s v="Sneha Joshi"/>
    <s v="Female"/>
    <s v="27/08/1979"/>
    <s v="Hyderabad"/>
    <x v="0"/>
    <x v="0"/>
    <s v="Mixer"/>
    <n v="7"/>
    <n v="3500"/>
    <n v="15"/>
    <n v="20825"/>
    <n v="1"/>
    <s v="Cash"/>
    <s v="Karan"/>
    <s v="sneha.joshi@company.com"/>
    <s v="9106328582"/>
    <s v="Pending"/>
  </r>
  <r>
    <s v="ORD10069"/>
    <s v="C010"/>
    <s v="P203"/>
    <x v="63"/>
    <s v="19/12/2025"/>
    <s v="Pooja Shah"/>
    <s v="Female"/>
    <s v="22/12/1976"/>
    <s v="Jaipur"/>
    <x v="1"/>
    <x v="0"/>
    <s v="Microwave"/>
    <n v="7"/>
    <n v="8500"/>
    <n v="20"/>
    <n v="47600"/>
    <n v="4"/>
    <s v="NetBanking"/>
    <s v="Neha"/>
    <s v="pooja.shah@company.com"/>
    <s v="9264401015"/>
    <s v="Completed"/>
  </r>
  <r>
    <s v="ORD10070"/>
    <s v="C008"/>
    <s v="P101"/>
    <x v="64"/>
    <s v="10/04/2025"/>
    <s v="Kavya Nair"/>
    <s v="Female"/>
    <s v="05/02/2000"/>
    <s v="Bengaluru"/>
    <x v="0"/>
    <x v="1"/>
    <s v="Laptop"/>
    <n v="16"/>
    <n v="55000"/>
    <n v="10"/>
    <n v="792000"/>
    <n v="1"/>
    <s v="Card"/>
    <s v="Aisha"/>
    <s v="KAvya.nair@company.com"/>
    <s v="9959237375"/>
    <s v="Completed"/>
  </r>
  <r>
    <s v="ORD10071"/>
    <s v="C004"/>
    <s v="P104"/>
    <x v="65"/>
    <s v="03/01/2026"/>
    <s v="Anita Gupta"/>
    <s v="Female"/>
    <s v="24/02/1987"/>
    <s v="Mumbai"/>
    <x v="2"/>
    <x v="1"/>
    <s v="Monitor"/>
    <n v="2"/>
    <n v="12000"/>
    <n v="20"/>
    <n v="19200"/>
    <n v="1"/>
    <s v="Cash"/>
    <s v="Karan"/>
    <s v="anita.gupta@company.com"/>
    <s v="9561836580"/>
    <s v="Pending"/>
  </r>
  <r>
    <s v="ORD10072"/>
    <s v="C003"/>
    <s v="P303"/>
    <x v="66"/>
    <s v="05/09/2025"/>
    <s v="Rohit Singh"/>
    <s v="Male"/>
    <s v="24/07/1984"/>
    <s v="Bengaluru"/>
    <x v="0"/>
    <x v="2"/>
    <s v="Marker"/>
    <n v="4"/>
    <n v="45"/>
    <n v="5"/>
    <n v="171"/>
    <n v="1"/>
    <s v="Card"/>
    <s v="Rahul"/>
    <s v="rohit.singh@company.com"/>
    <s v="9512666401"/>
    <s v="Pending"/>
  </r>
  <r>
    <s v="ORD10073"/>
    <s v="C008"/>
    <s v="P103"/>
    <x v="67"/>
    <s v="23/12/2025"/>
    <s v="Kavya Nair"/>
    <s v="Female"/>
    <s v="22/09/1981"/>
    <s v="Jaipur"/>
    <x v="1"/>
    <x v="1"/>
    <s v="Keyboard"/>
    <n v="1"/>
    <n v="1200"/>
    <n v="5"/>
    <n v="1140"/>
    <n v="3"/>
    <s v="UPI"/>
    <s v="Aisha"/>
    <s v="KAvya.nair@company.com"/>
    <s v="9808988530"/>
    <s v="Cancelled"/>
  </r>
  <r>
    <s v="ORD10074"/>
    <s v="C010"/>
    <s v="P202"/>
    <x v="68"/>
    <s v="16/02/2026"/>
    <s v="Pooja Shah"/>
    <s v="Female"/>
    <s v="20/06/1980"/>
    <m/>
    <x v="0"/>
    <x v="0"/>
    <s v="Iron"/>
    <n v="1"/>
    <n v="2200"/>
    <n v="15"/>
    <n v="1870"/>
    <n v="4"/>
    <s v="Card"/>
    <s v="Aisha"/>
    <s v="pooja.shah@company.com"/>
    <s v="9286410494"/>
    <s v="Completed"/>
  </r>
  <r>
    <s v="ORD10075"/>
    <s v="C003"/>
    <s v="P103"/>
    <x v="69"/>
    <s v="28/01/2026"/>
    <s v="Rohit Singh"/>
    <s v="Male"/>
    <s v="02/11/1982"/>
    <s v="Pune"/>
    <x v="2"/>
    <x v="1"/>
    <s v="Keyboard"/>
    <n v="3"/>
    <n v="1200"/>
    <n v="10"/>
    <n v="3240"/>
    <n v="5"/>
    <s v="Cash"/>
    <s v="Rahul"/>
    <s v="rohit.singh@company.com"/>
    <s v="9311555196"/>
    <s v="Completed"/>
  </r>
  <r>
    <s v="ORD10076"/>
    <s v="C008"/>
    <s v="P201"/>
    <x v="70"/>
    <s v="07/07/2025"/>
    <s v="Kavya Nair"/>
    <s v="Female"/>
    <s v="10/01/1980"/>
    <s v="Bengaluru"/>
    <x v="0"/>
    <x v="0"/>
    <s v="Mixer"/>
    <n v="10"/>
    <n v="3500"/>
    <n v="20"/>
    <n v="28000"/>
    <n v="5"/>
    <s v="Card"/>
    <s v="Ritika"/>
    <s v="KAvya.nair@company.com"/>
    <s v="9101810266"/>
    <s v="Completed"/>
  </r>
  <r>
    <s v="ORD10077"/>
    <s v="C007"/>
    <s v="P102"/>
    <x v="71"/>
    <s v="19/03/2026"/>
    <s v="Arjun Rao"/>
    <s v="Male"/>
    <s v="27/04/1981"/>
    <s v="Delhi"/>
    <x v="1"/>
    <x v="1"/>
    <s v="Mouse"/>
    <n v="18"/>
    <n v="700"/>
    <n v="5"/>
    <n v="11970"/>
    <n v="3"/>
    <s v="Card"/>
    <s v="Neha"/>
    <s v="arjun.rao@company.com"/>
    <s v="9464556593"/>
    <s v="Cancelled"/>
  </r>
  <r>
    <s v="ORD10078"/>
    <s v="C005"/>
    <s v="P102"/>
    <x v="72"/>
    <s v="18/06/2025"/>
    <s v="Vikas Mehta"/>
    <s v="Male"/>
    <s v="12/03/1985"/>
    <s v="Bengaluru"/>
    <x v="0"/>
    <x v="1"/>
    <s v="Mouse"/>
    <n v="12"/>
    <n v="700"/>
    <n v="15"/>
    <n v="7140"/>
    <n v="2"/>
    <s v="UPI"/>
    <s v="Rahul"/>
    <s v="vikas.mehta@company.com"/>
    <s v="9338278358"/>
    <s v="Completed"/>
  </r>
  <r>
    <s v="ORD10079"/>
    <s v="C009"/>
    <s v="P103"/>
    <x v="73"/>
    <s v="16/11/2025"/>
    <s v="Mohit Verma"/>
    <s v="Male"/>
    <s v="15/03/1999"/>
    <s v="Mumbai"/>
    <x v="2"/>
    <x v="1"/>
    <s v="Keyboard"/>
    <n v="8"/>
    <n v="1200"/>
    <n v="0"/>
    <n v="9600"/>
    <n v="4"/>
    <s v="Card"/>
    <s v="Rahul"/>
    <s v="mohit.verma@company.com"/>
    <s v="9621410770"/>
    <s v="Pending"/>
  </r>
  <r>
    <s v="ORD10080"/>
    <s v="C003"/>
    <s v="P301"/>
    <x v="74"/>
    <s v="10/11/2025"/>
    <s v="Rohit Singh"/>
    <s v="Male"/>
    <s v="07/07/1983"/>
    <s v="Pune"/>
    <x v="2"/>
    <x v="2"/>
    <s v="Notebook"/>
    <n v="2"/>
    <n v="60"/>
    <n v="0"/>
    <n v="120"/>
    <n v="2"/>
    <s v="UPI"/>
    <s v="Rahul"/>
    <s v="rohit.singh@company.com"/>
    <s v="9981333189"/>
    <s v="Completed"/>
  </r>
  <r>
    <s v="ORD10081"/>
    <s v="C001"/>
    <s v="P303"/>
    <x v="75"/>
    <s v="07/01/2025"/>
    <s v="Amit Sharma"/>
    <s v="Male"/>
    <s v="06/03/1989"/>
    <s v="Pune"/>
    <x v="2"/>
    <x v="2"/>
    <s v="Marker"/>
    <n v="10"/>
    <n v="45"/>
    <n v="15"/>
    <n v="382.5"/>
    <n v="3"/>
    <s v="NetBanking"/>
    <s v="Ritika"/>
    <s v="amit.sharma@company.com"/>
    <s v="9723450355"/>
    <s v="Cancelled"/>
  </r>
  <r>
    <s v="ORD10082"/>
    <s v="C005"/>
    <s v="P201"/>
    <x v="76"/>
    <s v="03/05/2026"/>
    <s v="Vikas Mehta"/>
    <s v="Male"/>
    <s v="20/06/1982"/>
    <s v="Kolkata"/>
    <x v="3"/>
    <x v="0"/>
    <s v="Mixer"/>
    <n v="12"/>
    <n v="3500"/>
    <n v="5"/>
    <n v="39900"/>
    <n v="3"/>
    <s v="NetBanking"/>
    <s v="Aisha"/>
    <s v="vikas.mehta@company.com"/>
    <s v="9886243907"/>
    <s v="Pending"/>
  </r>
  <r>
    <s v="ORD10083"/>
    <s v="C003"/>
    <s v="P301"/>
    <x v="9"/>
    <s v="27/09/2025"/>
    <s v="Rohit Singh"/>
    <s v="Male"/>
    <s v="23/06/2001"/>
    <s v="Mumbai"/>
    <x v="2"/>
    <x v="2"/>
    <s v="Notebook"/>
    <n v="2"/>
    <n v="60"/>
    <n v="15"/>
    <n v="102"/>
    <n v="1"/>
    <s v="UPI"/>
    <s v="Neha"/>
    <s v="rohit.singh@company.com"/>
    <s v="9473931904"/>
    <s v="Completed"/>
  </r>
  <r>
    <s v="ORD10084"/>
    <s v="C003"/>
    <s v="P103"/>
    <x v="77"/>
    <s v="21/03/2025"/>
    <s v="Rohit Singh"/>
    <s v="Male"/>
    <s v="19/07/1983"/>
    <s v="Hyderabad"/>
    <x v="0"/>
    <x v="1"/>
    <s v="Keyboard"/>
    <n v="18"/>
    <n v="1200"/>
    <n v="15"/>
    <n v="18360"/>
    <n v="3"/>
    <s v="Card"/>
    <s v="Neha"/>
    <s v="rohit.singh@company.com"/>
    <s v="9287159610"/>
    <s v="Pending"/>
  </r>
  <r>
    <s v="ORD10085"/>
    <s v="C008"/>
    <s v="P104"/>
    <x v="78"/>
    <s v="31/10/2025"/>
    <s v="Kavya Nair"/>
    <s v="Female"/>
    <s v="24/03/1993"/>
    <s v="Mumbai"/>
    <x v="2"/>
    <x v="1"/>
    <s v="Monitor"/>
    <n v="18"/>
    <n v="12000"/>
    <n v="15"/>
    <n v="183600"/>
    <n v="2"/>
    <s v="Cash"/>
    <s v="Rahul"/>
    <s v="KAvya.nair@company.com"/>
    <s v="9876513858"/>
    <s v="Completed"/>
  </r>
  <r>
    <s v="ORD10086"/>
    <s v="C007"/>
    <s v="P302"/>
    <x v="79"/>
    <s v="11/11/2025"/>
    <s v="Arjun Rao"/>
    <s v="Male"/>
    <s v="10/05/1995"/>
    <s v="Ahmedabad"/>
    <x v="2"/>
    <x v="2"/>
    <s v="Pen"/>
    <n v="7"/>
    <n v="20"/>
    <n v="0"/>
    <n v="140"/>
    <n v="2"/>
    <s v="Card"/>
    <s v="Ritika"/>
    <s v="arjun.rao@company.com"/>
    <s v="9237400853"/>
    <s v="Cancelled"/>
  </r>
  <r>
    <s v="ORD10087"/>
    <s v="C006"/>
    <s v="P201"/>
    <x v="80"/>
    <s v="18/04/2025"/>
    <s v="Sneha Joshi"/>
    <s v="Female"/>
    <s v="15/02/2001"/>
    <s v="Pune"/>
    <x v="2"/>
    <x v="0"/>
    <s v="Mixer"/>
    <n v="20"/>
    <n v="3500"/>
    <n v="20"/>
    <n v="56000"/>
    <n v="4"/>
    <s v="Card"/>
    <s v="Neha"/>
    <s v="sneha.joshi@company.com"/>
    <s v="9599597595"/>
    <s v="Pending"/>
  </r>
  <r>
    <s v="ORD10088"/>
    <s v="C002"/>
    <s v="P203"/>
    <x v="81"/>
    <s v="26/03/2026"/>
    <s v="Priya Patel"/>
    <s v="Female"/>
    <s v="14/08/1999"/>
    <s v="Ahmedabad"/>
    <x v="2"/>
    <x v="0"/>
    <s v="Microwave"/>
    <n v="8"/>
    <n v="8500"/>
    <n v="20"/>
    <n v="54400"/>
    <n v="3"/>
    <s v="Card"/>
    <s v="Neha"/>
    <s v="priYa.patel@company.com"/>
    <s v="9230007509"/>
    <s v="Pending"/>
  </r>
  <r>
    <s v="ORD10089"/>
    <s v="C001"/>
    <s v="P104"/>
    <x v="82"/>
    <s v="24/09/2025"/>
    <s v="Amit Sharma"/>
    <s v="Male"/>
    <s v="20/03/2002"/>
    <s v="Ahmedabad"/>
    <x v="1"/>
    <x v="1"/>
    <s v="Monitor"/>
    <n v="6"/>
    <n v="12000"/>
    <n v="5"/>
    <n v="68400"/>
    <n v="4"/>
    <s v="NetBanking"/>
    <s v="Ritika"/>
    <s v="amit.sharma@company.com"/>
    <s v="9823428025"/>
    <s v="Completed"/>
  </r>
  <r>
    <s v="ORD10090"/>
    <s v="C008"/>
    <s v="P203"/>
    <x v="83"/>
    <s v="19/03/2026"/>
    <s v="Kavya Nair"/>
    <s v="Female"/>
    <s v="13/06/1992"/>
    <s v="Pune"/>
    <x v="2"/>
    <x v="0"/>
    <s v="Microwave"/>
    <n v="15"/>
    <n v="8500"/>
    <n v="0"/>
    <n v="127500"/>
    <n v="4"/>
    <s v="NetBanking"/>
    <s v="Ritika"/>
    <s v="KAvya.nair@company.com"/>
    <s v="9505048912"/>
    <s v="Cancelled"/>
  </r>
  <r>
    <s v="ORD10091"/>
    <s v="C010"/>
    <s v="P103"/>
    <x v="84"/>
    <s v="23/08/2025"/>
    <s v="Pooja Shah"/>
    <s v="Female"/>
    <s v="18/06/1996"/>
    <s v="Jaipur"/>
    <x v="1"/>
    <x v="1"/>
    <s v="Keyboard"/>
    <n v="5"/>
    <n v="1200"/>
    <n v="15"/>
    <n v="5100"/>
    <n v="1"/>
    <s v="NetBanking"/>
    <s v="Ritika"/>
    <s v="pooja.shah@company.com"/>
    <s v="9508068393"/>
    <s v="Cancelled"/>
  </r>
  <r>
    <s v="ORD10092"/>
    <s v="C010"/>
    <s v="P302"/>
    <x v="85"/>
    <s v="14/08/2025"/>
    <s v="Pooja Shah"/>
    <s v="Female"/>
    <s v="08/11/1982"/>
    <s v="Hyderabad"/>
    <x v="0"/>
    <x v="2"/>
    <s v="Pen"/>
    <n v="4"/>
    <n v="20"/>
    <n v="0"/>
    <n v="80"/>
    <n v="4"/>
    <s v="NetBanking"/>
    <s v="Rahul"/>
    <s v="pooja.shah@company.com"/>
    <s v="9785807771"/>
    <s v="Completed"/>
  </r>
  <r>
    <s v="ORD10093"/>
    <s v="C008"/>
    <s v="P302"/>
    <x v="86"/>
    <s v="20/03/2025"/>
    <s v="Kavya Nair"/>
    <s v="Female"/>
    <s v="25/06/1984"/>
    <s v="Bengaluru"/>
    <x v="0"/>
    <x v="2"/>
    <s v="Pen"/>
    <n v="10"/>
    <n v="20"/>
    <n v="0"/>
    <n v="200"/>
    <n v="3"/>
    <s v="Cash"/>
    <s v="Karan"/>
    <s v="KAvya.nair@company.com"/>
    <s v="9215250979"/>
    <s v="Pending"/>
  </r>
  <r>
    <s v="ORD10094"/>
    <s v="C004"/>
    <s v="P202"/>
    <x v="87"/>
    <s v="10/09/2025"/>
    <s v="Anita Gupta"/>
    <s v="Female"/>
    <s v="21/06/1994"/>
    <s v="Delhi"/>
    <x v="1"/>
    <x v="0"/>
    <s v="Iron"/>
    <n v="18"/>
    <n v="2200"/>
    <n v="10"/>
    <n v="35640"/>
    <n v="3"/>
    <s v="Cash"/>
    <s v="Ritika"/>
    <s v="anita.gupta@company.com"/>
    <s v="9845884906"/>
    <s v="Cancelled"/>
  </r>
  <r>
    <s v="ORD10095"/>
    <s v="C001"/>
    <s v="P201"/>
    <x v="88"/>
    <s v="15/04/2025"/>
    <s v="Amit Sharma"/>
    <s v="Male"/>
    <s v="17/10/1990"/>
    <s v="Delhi"/>
    <x v="1"/>
    <x v="0"/>
    <s v="Mixer"/>
    <n v="7"/>
    <n v="3500"/>
    <n v="15"/>
    <n v="20825"/>
    <n v="3"/>
    <s v="NetBanking"/>
    <s v="Rahul"/>
    <s v="amit.sharma@company.com"/>
    <s v="9393097397"/>
    <s v="Completed"/>
  </r>
  <r>
    <s v="ORD10096"/>
    <s v="C002"/>
    <s v="P203"/>
    <x v="89"/>
    <s v="07/05/2026"/>
    <s v="Priya Patel"/>
    <s v="Female"/>
    <s v="28/01/1987"/>
    <s v="Kolkata"/>
    <x v="3"/>
    <x v="0"/>
    <s v="Microwave"/>
    <n v="19"/>
    <n v="8500"/>
    <n v="15"/>
    <n v="137275"/>
    <n v="4"/>
    <s v="Card"/>
    <s v="Karan"/>
    <s v="priYa.patel@company.com"/>
    <s v="9958032109"/>
    <s v="Pending"/>
  </r>
  <r>
    <s v="ORD10097"/>
    <s v="C006"/>
    <s v="P104"/>
    <x v="90"/>
    <s v="27/01/2026"/>
    <s v="Sneha Joshi"/>
    <s v="Female"/>
    <s v="21/09/1983"/>
    <s v="Ahmedabad"/>
    <x v="2"/>
    <x v="1"/>
    <s v="Monitor"/>
    <n v="13"/>
    <n v="12000"/>
    <n v="15"/>
    <n v="132600"/>
    <n v="4"/>
    <s v="Cash"/>
    <s v="Rahul"/>
    <s v="sneha.joshi@company.com"/>
    <s v="9755082957"/>
    <s v="Completed"/>
  </r>
  <r>
    <s v="ORD10098"/>
    <s v="C001"/>
    <s v="P302"/>
    <x v="91"/>
    <s v="24/03/2026"/>
    <s v="Amit Sharma"/>
    <s v="Male"/>
    <s v="04/04/1989"/>
    <s v="Pune"/>
    <x v="2"/>
    <x v="2"/>
    <s v="Pen"/>
    <n v="7"/>
    <n v="20"/>
    <n v="0"/>
    <n v="140"/>
    <n v="1"/>
    <s v="Card"/>
    <s v="Karan"/>
    <s v="amit.sharma@company.com"/>
    <s v="9872235856"/>
    <s v="Cancelled"/>
  </r>
  <r>
    <s v="ORD10099"/>
    <s v="C004"/>
    <s v="P102"/>
    <x v="92"/>
    <s v="11/05/2025"/>
    <s v="Anita Gupta"/>
    <s v="Female"/>
    <s v="25/09/1987"/>
    <s v="Delhi"/>
    <x v="1"/>
    <x v="1"/>
    <s v="Mouse"/>
    <n v="5"/>
    <n v="700"/>
    <n v="15"/>
    <n v="999999"/>
    <n v="4"/>
    <s v="Card"/>
    <s v="Ritika"/>
    <s v="anita.gupta@company.com"/>
    <s v="9335138816"/>
    <s v="Pending"/>
  </r>
  <r>
    <s v="ORD10100"/>
    <s v="C007"/>
    <s v="P303"/>
    <x v="93"/>
    <s v="10/05/2026"/>
    <s v="Arjun Rao"/>
    <s v="Male"/>
    <s v="07/08/1982"/>
    <s v="Bengaluru"/>
    <x v="0"/>
    <x v="2"/>
    <s v="Marker"/>
    <n v="9"/>
    <n v="45"/>
    <n v="5"/>
    <n v="384.75"/>
    <n v="3"/>
    <s v="Cash"/>
    <s v="Ritika"/>
    <s v="arjun.rao@company.com"/>
    <s v="9750365609"/>
    <s v="Completed"/>
  </r>
  <r>
    <s v="ORD10101"/>
    <s v="C003"/>
    <s v="P301"/>
    <x v="94"/>
    <s v="29/04/2025"/>
    <s v="Rohit Singh"/>
    <s v="Male"/>
    <s v="17/07/1986"/>
    <s v="Kolkata"/>
    <x v="3"/>
    <x v="2"/>
    <s v="Notebook"/>
    <n v="19"/>
    <n v="60"/>
    <n v="10"/>
    <n v="1026"/>
    <n v="5"/>
    <s v="NetBanking"/>
    <s v="Neha"/>
    <s v="rohit.singh@company.com"/>
    <s v="9736812737"/>
    <s v="Completed"/>
  </r>
  <r>
    <s v="ORD10102"/>
    <s v="C001"/>
    <s v="P102"/>
    <x v="95"/>
    <s v="20/12/2025"/>
    <s v="Amit Sharma"/>
    <s v="Male"/>
    <s v="06/04/1987"/>
    <s v="Ahmedabad"/>
    <x v="2"/>
    <x v="1"/>
    <s v="Mouse"/>
    <n v="4"/>
    <n v="700"/>
    <n v="5"/>
    <n v="2660"/>
    <n v="3"/>
    <s v="NetBanking"/>
    <s v="Aisha"/>
    <s v="amit.sharma@company.com"/>
    <s v="9271420931"/>
    <s v="Completed"/>
  </r>
  <r>
    <s v="ORD10103"/>
    <s v="C001"/>
    <s v="P201"/>
    <x v="93"/>
    <s v="15/05/2026"/>
    <s v="Amit Sharma"/>
    <s v="Male"/>
    <s v="25/02/2004"/>
    <s v="Pune"/>
    <x v="2"/>
    <x v="0"/>
    <s v="Mixer"/>
    <n v="16"/>
    <n v="3500"/>
    <n v="0"/>
    <n v="56000"/>
    <n v="2"/>
    <s v="Card"/>
    <s v="Rahul"/>
    <s v="amit.sharma@company.com"/>
    <s v="9781411370"/>
    <s v="Completed"/>
  </r>
  <r>
    <s v="ORD10104"/>
    <s v="C006"/>
    <s v="P303"/>
    <x v="96"/>
    <s v="20/01/2025"/>
    <s v="Sneha Joshi"/>
    <s v="Female"/>
    <s v="24/04/2001"/>
    <s v="Bengaluru"/>
    <x v="0"/>
    <x v="2"/>
    <s v="Marker"/>
    <n v="5"/>
    <n v="45"/>
    <n v="20"/>
    <n v="180"/>
    <n v="3"/>
    <s v="Card"/>
    <s v="Ritika"/>
    <s v="sneha.joshi@company.com"/>
    <s v="9584152818"/>
    <s v="Completed"/>
  </r>
  <r>
    <s v="ORD10105"/>
    <s v="C007"/>
    <s v="P302"/>
    <x v="97"/>
    <s v="18/03/2025"/>
    <s v="Arjun Rao"/>
    <s v="Male"/>
    <s v="01/07/1996"/>
    <s v="Mumbai"/>
    <x v="2"/>
    <x v="2"/>
    <s v="Pen"/>
    <n v="9"/>
    <n v="20"/>
    <n v="10"/>
    <n v="162"/>
    <n v="4"/>
    <s v="Card"/>
    <s v="Ritika"/>
    <s v="arjun.rao@company.com"/>
    <s v="9507986836"/>
    <s v="Pending"/>
  </r>
  <r>
    <s v="ORD10106"/>
    <s v="C010"/>
    <s v="P103"/>
    <x v="98"/>
    <s v="01/03/2025"/>
    <s v="Pooja Shah"/>
    <s v="Female"/>
    <s v="06/02/1979"/>
    <s v="Delhi"/>
    <x v="1"/>
    <x v="1"/>
    <s v="Keyboard"/>
    <n v="9"/>
    <n v="1200"/>
    <n v="5"/>
    <n v="10260"/>
    <n v="3"/>
    <s v="UPI"/>
    <s v="Ritika"/>
    <s v="pooja.shah@company.com"/>
    <s v="9518249687"/>
    <s v="Pending"/>
  </r>
  <r>
    <s v="ORD10107"/>
    <s v="C002"/>
    <s v="P201"/>
    <x v="99"/>
    <s v="27/02/2025"/>
    <s v="Priya Patel"/>
    <s v="Female"/>
    <s v="12/12/1985"/>
    <s v="Delhi"/>
    <x v="1"/>
    <x v="0"/>
    <s v="Mixer"/>
    <n v="3"/>
    <n v="3500"/>
    <n v="10"/>
    <n v="9450"/>
    <n v="2"/>
    <s v="Card"/>
    <s v="Karan"/>
    <s v="priYa.patel@company.com"/>
    <s v="9179328207"/>
    <s v="Cancelled"/>
  </r>
  <r>
    <s v="ORD10108"/>
    <s v="C005"/>
    <s v="P103"/>
    <x v="26"/>
    <s v="18/03/2026"/>
    <s v="Vikas Mehta"/>
    <s v="Male"/>
    <s v="28/01/1992"/>
    <s v="Mumbai"/>
    <x v="2"/>
    <x v="1"/>
    <s v="Keyboard"/>
    <n v="6"/>
    <n v="1200"/>
    <n v="15"/>
    <n v="6120"/>
    <n v="4"/>
    <s v="UPI"/>
    <s v="Ritika"/>
    <s v="vikas.mehta@company.com"/>
    <s v="9778490728"/>
    <s v="Cancelled"/>
  </r>
  <r>
    <s v="ORD10109"/>
    <s v="C007"/>
    <s v="P103"/>
    <x v="100"/>
    <s v="12/07/2025"/>
    <s v="Arjun Rao"/>
    <s v="Male"/>
    <s v="05/07/1993"/>
    <s v="Jaipur"/>
    <x v="1"/>
    <x v="1"/>
    <s v="Keyboard"/>
    <n v="17"/>
    <n v="1200"/>
    <n v="15"/>
    <n v="17340"/>
    <n v="1"/>
    <s v="Cash"/>
    <s v="Aisha"/>
    <s v="arjun.rao@company.com"/>
    <s v="9223058722"/>
    <s v="Completed"/>
  </r>
  <r>
    <s v="ORD10110"/>
    <s v="C005"/>
    <s v="P203"/>
    <x v="101"/>
    <s v="26/11/2025"/>
    <s v="Vikas Mehta"/>
    <s v="Male"/>
    <s v="13/09/1977"/>
    <s v="Bengaluru"/>
    <x v="0"/>
    <x v="0"/>
    <s v="Microwave"/>
    <n v="15"/>
    <n v="8500"/>
    <n v="0"/>
    <n v="127500"/>
    <n v="3"/>
    <s v="Cash"/>
    <s v="Neha"/>
    <s v="vikas.mehta@company.com"/>
    <s v="9999889465"/>
    <s v="Pending"/>
  </r>
  <r>
    <s v="ORD10111"/>
    <s v="C003"/>
    <s v="P103"/>
    <x v="6"/>
    <s v="19/04/2025"/>
    <s v="Rohit Singh"/>
    <s v="Male"/>
    <s v="11/10/1985"/>
    <s v="Hyderabad"/>
    <x v="0"/>
    <x v="1"/>
    <s v="Keyboard"/>
    <n v="1"/>
    <n v="1200"/>
    <n v="20"/>
    <n v="960"/>
    <n v="1"/>
    <s v="UPI"/>
    <s v="Neha"/>
    <s v="rohit.singh@company.com"/>
    <s v="9489687402"/>
    <s v="Pending"/>
  </r>
  <r>
    <s v="ORD10112"/>
    <s v="C003"/>
    <s v="P203"/>
    <x v="102"/>
    <s v="18/04/2025"/>
    <s v="Rohit Singh"/>
    <s v="Male"/>
    <s v="02/10/2001"/>
    <s v="Kolkata"/>
    <x v="3"/>
    <x v="0"/>
    <s v="Microwave"/>
    <n v="5"/>
    <n v="8500"/>
    <n v="10"/>
    <n v="38250"/>
    <n v="1"/>
    <s v="Card"/>
    <s v="Aisha"/>
    <s v="rohit.singh@company.com"/>
    <s v="9236963301"/>
    <s v="Completed"/>
  </r>
  <r>
    <s v="ORD10113"/>
    <s v="C010"/>
    <s v="P303"/>
    <x v="103"/>
    <s v="10/04/2026"/>
    <s v="Pooja Shah"/>
    <s v="Female"/>
    <s v="08/04/1986"/>
    <s v="Hyderabad"/>
    <x v="0"/>
    <x v="2"/>
    <s v="Marker"/>
    <n v="12"/>
    <n v="45"/>
    <n v="5"/>
    <n v="513"/>
    <n v="2"/>
    <s v="NetBanking"/>
    <s v="Ritika"/>
    <s v="pooja.shah@company.com"/>
    <s v="9653594592"/>
    <s v="Cancelled"/>
  </r>
  <r>
    <s v="ORD10114"/>
    <s v="C005"/>
    <s v="P301"/>
    <x v="104"/>
    <s v="28/10/2025"/>
    <s v="Vikas Mehta"/>
    <s v="Male"/>
    <s v="21/07/1990"/>
    <s v="Pune"/>
    <x v="2"/>
    <x v="2"/>
    <s v="Notebook"/>
    <n v="5"/>
    <n v="60"/>
    <n v="5"/>
    <n v="285"/>
    <n v="2"/>
    <s v="Cash"/>
    <s v="Aisha"/>
    <s v="vikas.mehta@company.com"/>
    <s v="9781970426"/>
    <s v="Completed"/>
  </r>
  <r>
    <s v="ORD10115"/>
    <s v="C010"/>
    <s v="P102"/>
    <x v="105"/>
    <s v="14/04/2025"/>
    <s v="Pooja Shah"/>
    <s v="Female"/>
    <s v="11/04/1994"/>
    <s v="Kolkata"/>
    <x v="3"/>
    <x v="1"/>
    <s v="Mouse"/>
    <n v="3"/>
    <n v="700"/>
    <n v="0"/>
    <n v="2100"/>
    <n v="4"/>
    <s v="Card"/>
    <s v="Aisha"/>
    <s v="pooja.shah@company.com"/>
    <s v="9862165194"/>
    <s v="Completed"/>
  </r>
  <r>
    <s v="ORD10116"/>
    <s v="C004"/>
    <s v="P302"/>
    <x v="42"/>
    <s v="29/04/2025"/>
    <s v="Anita Gupta"/>
    <s v="Female"/>
    <s v="04/05/1992"/>
    <s v="Delhi"/>
    <x v="1"/>
    <x v="2"/>
    <s v="Pen"/>
    <n v="6"/>
    <n v="20"/>
    <n v="15"/>
    <n v="102"/>
    <n v="5"/>
    <s v="Card"/>
    <s v="Karan"/>
    <s v="anita.gupta@company.com"/>
    <s v="9661280388"/>
    <s v="Completed"/>
  </r>
  <r>
    <s v="ORD10117"/>
    <s v="C002"/>
    <s v="P102"/>
    <x v="106"/>
    <s v="31/08/2025"/>
    <s v="Priya Patel"/>
    <s v="Female"/>
    <s v="13/05/1980"/>
    <s v="Bengaluru"/>
    <x v="0"/>
    <x v="1"/>
    <s v="Mouse"/>
    <n v="2"/>
    <n v="700"/>
    <n v="15"/>
    <n v="1190"/>
    <n v="4"/>
    <s v="Cash"/>
    <s v="Karan"/>
    <s v="priYa.patel@company.com"/>
    <s v="9896985355"/>
    <s v="Pending"/>
  </r>
  <r>
    <s v="ORD10118"/>
    <s v="C001"/>
    <s v="P303"/>
    <x v="107"/>
    <s v="11/06/2025"/>
    <s v="Amit Sharma"/>
    <s v="Male"/>
    <s v="07/09/1995"/>
    <s v="Pune"/>
    <x v="2"/>
    <x v="2"/>
    <s v="Marker"/>
    <n v="16"/>
    <n v="45"/>
    <n v="0"/>
    <n v="720"/>
    <n v="1"/>
    <s v="NetBanking"/>
    <s v="Aisha"/>
    <s v="amit.sharma@company.com"/>
    <s v="9807154421"/>
    <s v="Completed"/>
  </r>
  <r>
    <s v="ORD10119"/>
    <s v="C009"/>
    <s v="P103"/>
    <x v="108"/>
    <s v="02/06/2025"/>
    <s v="Mohit Verma"/>
    <s v="Male"/>
    <s v="08/03/1988"/>
    <s v="Ahmedabad"/>
    <x v="2"/>
    <x v="1"/>
    <s v="Keyboard"/>
    <s v="Ten"/>
    <n v="1200"/>
    <n v="15"/>
    <n v="7140"/>
    <n v="4"/>
    <s v="UPI"/>
    <s v="Karan"/>
    <s v="mohit.verma@company.com"/>
    <s v="9919834000"/>
    <s v="Pending"/>
  </r>
  <r>
    <s v="ORD10120"/>
    <s v="C002"/>
    <s v="P104"/>
    <x v="49"/>
    <s v="30/08/2025"/>
    <s v="Priya Patel"/>
    <s v="Female"/>
    <s v="07/07/1989"/>
    <s v="Jaipur"/>
    <x v="1"/>
    <x v="1"/>
    <s v="Monitor"/>
    <n v="14"/>
    <n v="12000"/>
    <n v="15"/>
    <n v="142800"/>
    <n v="2"/>
    <s v="NetBanking"/>
    <s v="Aisha"/>
    <s v="priYa.patel@company.com"/>
    <s v="9739798818"/>
    <s v="Pending"/>
  </r>
  <r>
    <s v="ORD10121"/>
    <s v="C003"/>
    <s v="P203"/>
    <x v="63"/>
    <s v="16/12/2025"/>
    <s v="Rohit Singh"/>
    <s v="Male"/>
    <s v="11/11/1993"/>
    <s v="Pune"/>
    <x v="2"/>
    <x v="0"/>
    <s v="Microwave"/>
    <n v="8"/>
    <n v="8500"/>
    <n v="20"/>
    <n v="54400"/>
    <n v="3"/>
    <s v="Card"/>
    <s v="Rahul"/>
    <s v="rohit.singh@company.com"/>
    <s v="9208625306"/>
    <s v="Completed"/>
  </r>
  <r>
    <s v="ORD10122"/>
    <s v="C007"/>
    <s v="P303"/>
    <x v="7"/>
    <s v="10/02/2026"/>
    <s v="Arjun Rao"/>
    <s v="Male"/>
    <s v="01/02/2000"/>
    <s v="Bengaluru"/>
    <x v="0"/>
    <x v="2"/>
    <s v="Marker"/>
    <n v="3"/>
    <n v="45"/>
    <n v="0"/>
    <n v="135"/>
    <n v="4"/>
    <s v="UPI"/>
    <s v="Aisha"/>
    <s v="arjun.rao@company.com"/>
    <s v="9970178536"/>
    <s v="Cancelled"/>
  </r>
  <r>
    <s v="ORD10123"/>
    <s v="C001"/>
    <s v="P102"/>
    <x v="109"/>
    <s v="04/01/2026"/>
    <s v="Amit Sharma"/>
    <s v="Male"/>
    <s v="22/06/1986"/>
    <s v="Jaipur"/>
    <x v="1"/>
    <x v="1"/>
    <s v="Mouse"/>
    <n v="13"/>
    <n v="700"/>
    <n v="5"/>
    <n v="8645"/>
    <n v="3"/>
    <s v="Card"/>
    <s v="Neha"/>
    <s v="amit.sharma@company.com"/>
    <s v="9633745195"/>
    <s v="Pending"/>
  </r>
  <r>
    <s v="ORD10124"/>
    <s v="C004"/>
    <s v="P103"/>
    <x v="110"/>
    <s v="26/10/2025"/>
    <s v="Anita Gupta"/>
    <s v="Female"/>
    <s v="16/02/1986"/>
    <s v="Mumbai"/>
    <x v="2"/>
    <x v="1"/>
    <s v="Keyboard"/>
    <n v="14"/>
    <n v="1200"/>
    <n v="20"/>
    <n v="13440"/>
    <n v="5"/>
    <s v="NetBanking"/>
    <s v="Aisha"/>
    <s v="anita.gupta@company.com"/>
    <s v="9922102053"/>
    <s v="Completed"/>
  </r>
  <r>
    <s v="ORD10125"/>
    <s v="C002"/>
    <s v="P303"/>
    <x v="111"/>
    <s v="21/05/2025"/>
    <s v="Priya Patel"/>
    <s v="Female"/>
    <s v="18/09/1991"/>
    <s v="Delhi"/>
    <x v="1"/>
    <x v="2"/>
    <s v="Marker"/>
    <n v="2"/>
    <n v="45"/>
    <n v="5"/>
    <n v="85.5"/>
    <n v="3"/>
    <s v="UPI"/>
    <s v="Ritika"/>
    <s v="priYa.patel@company.com"/>
    <s v="9135963930"/>
    <s v="Cancelled"/>
  </r>
  <r>
    <s v="ORD10126"/>
    <s v="C004"/>
    <s v="P103"/>
    <x v="112"/>
    <s v="06/01/2026"/>
    <s v="Anita Gupta"/>
    <s v="Female"/>
    <s v="04/01/1981"/>
    <s v="Bengaluru"/>
    <x v="0"/>
    <x v="1"/>
    <s v="Keyboard"/>
    <n v="2"/>
    <n v="1200"/>
    <n v="20"/>
    <n v="1920"/>
    <n v="3"/>
    <s v="Card"/>
    <s v="Neha"/>
    <s v="anita.gupta@company.com"/>
    <s v="9429405275"/>
    <s v="Completed"/>
  </r>
  <r>
    <s v="ORD10127"/>
    <s v="C003"/>
    <s v="P101"/>
    <x v="113"/>
    <s v="26/04/2026"/>
    <s v="Rohit Singh"/>
    <s v="Male"/>
    <s v="12/10/2004"/>
    <s v="Bengaluru"/>
    <x v="0"/>
    <x v="1"/>
    <s v="Laptop"/>
    <n v="10"/>
    <n v="55000"/>
    <n v="5"/>
    <n v="522500"/>
    <n v="5"/>
    <s v="UPI"/>
    <s v="Aisha"/>
    <s v="rohit.singh@company.com"/>
    <s v="9521757571"/>
    <s v="Pending"/>
  </r>
  <r>
    <s v="ORD10128"/>
    <s v="C006"/>
    <s v="P201"/>
    <x v="114"/>
    <s v="05/08/2025"/>
    <s v="Sneha Joshi"/>
    <s v="Female"/>
    <s v="25/03/1984"/>
    <s v="Jaipur"/>
    <x v="1"/>
    <x v="0"/>
    <s v="Mixer"/>
    <n v="15"/>
    <n v="3500"/>
    <n v="10"/>
    <n v="47250"/>
    <n v="3"/>
    <s v="NetBanking"/>
    <s v="Neha"/>
    <s v="sneha.joshi@company.com"/>
    <s v="9467375455"/>
    <s v="Completed"/>
  </r>
  <r>
    <s v="ORD10129"/>
    <s v="C002"/>
    <s v="P202"/>
    <x v="85"/>
    <s v="18/08/2025"/>
    <s v="Priya Patel"/>
    <s v="Female"/>
    <s v="09/09/1982"/>
    <s v="Bengaluru"/>
    <x v="0"/>
    <x v="0"/>
    <s v="Iron"/>
    <n v="10"/>
    <n v="2200"/>
    <n v="15"/>
    <n v="18700"/>
    <n v="4"/>
    <s v="Card"/>
    <s v="Rahul"/>
    <s v="priYa.patel@company.com"/>
    <s v="9838809695"/>
    <s v="Pending"/>
  </r>
  <r>
    <s v="ORD10130"/>
    <s v="C006"/>
    <s v="P201"/>
    <x v="29"/>
    <s v="24/06/2025"/>
    <s v="Sneha Joshi"/>
    <s v="Female"/>
    <s v="15/02/1993"/>
    <s v="Pune"/>
    <x v="2"/>
    <x v="0"/>
    <s v="Mixer"/>
    <n v="11"/>
    <n v="3500"/>
    <n v="5"/>
    <n v="36575"/>
    <n v="5"/>
    <s v="Cash"/>
    <s v="Ritika"/>
    <s v="sneha.joshi@company.com"/>
    <s v="9296609782"/>
    <s v="Cancelled"/>
  </r>
  <r>
    <s v="ORD10131"/>
    <s v="C004"/>
    <s v="P103"/>
    <x v="115"/>
    <s v="30/04/2026"/>
    <s v="Anita Gupta"/>
    <s v="Female"/>
    <s v="08/04/2003"/>
    <s v="Bengaluru"/>
    <x v="0"/>
    <x v="1"/>
    <s v="Keyboard"/>
    <n v="14"/>
    <n v="1200"/>
    <n v="0"/>
    <n v="16800"/>
    <n v="5"/>
    <s v="Cash"/>
    <s v="Rahul"/>
    <s v="anita.gupta@company.com"/>
    <s v="9848259992"/>
    <s v="Cancelled"/>
  </r>
  <r>
    <s v="ORD10132"/>
    <s v="C002"/>
    <s v="P302"/>
    <x v="116"/>
    <s v="22/02/2026"/>
    <s v="Priya Patel"/>
    <s v="Female"/>
    <s v="20/10/1989"/>
    <s v="Delhi"/>
    <x v="1"/>
    <x v="2"/>
    <s v="Pen"/>
    <n v="11"/>
    <n v="20"/>
    <n v="20"/>
    <n v="176"/>
    <n v="4"/>
    <s v="NetBanking"/>
    <s v="Ritika"/>
    <s v="priYa.patel@company.com"/>
    <s v="9254082295"/>
    <s v="Completed"/>
  </r>
  <r>
    <s v="ORD10133"/>
    <s v="C009"/>
    <s v="P104"/>
    <x v="117"/>
    <s v="10/04/2026"/>
    <s v="Mohit Verma"/>
    <s v="Male"/>
    <s v="15/09/1995"/>
    <s v="Pune"/>
    <x v="2"/>
    <x v="1"/>
    <s v="Monitor"/>
    <n v="6"/>
    <n v="12000"/>
    <n v="10"/>
    <n v="64800"/>
    <n v="5"/>
    <s v="UPI"/>
    <s v="Karan"/>
    <s v="mohit.verma@company.com"/>
    <s v="9687923860"/>
    <s v="Completed"/>
  </r>
  <r>
    <s v="ORD10134"/>
    <s v="C009"/>
    <s v="P202"/>
    <x v="102"/>
    <s v="18/04/2025"/>
    <s v="Mohit Verma"/>
    <s v="Male"/>
    <s v="07/04/1994"/>
    <s v="Hyderabad"/>
    <x v="0"/>
    <x v="0"/>
    <s v="Iron"/>
    <n v="6"/>
    <n v="2200"/>
    <n v="5"/>
    <n v="12540"/>
    <n v="4"/>
    <s v="Cash"/>
    <s v="Rahul"/>
    <s v="mohit.verma@company.com"/>
    <s v="9426459149"/>
    <s v="Completed"/>
  </r>
  <r>
    <s v="ORD10135"/>
    <s v="C010"/>
    <s v="P201"/>
    <x v="54"/>
    <s v="27/06/2025"/>
    <s v="Pooja Shah"/>
    <s v="Female"/>
    <s v="02/10/2003"/>
    <s v="Delhi"/>
    <x v="1"/>
    <x v="0"/>
    <s v="Mixer"/>
    <n v="3"/>
    <n v="3500"/>
    <n v="5"/>
    <n v="9975"/>
    <n v="4"/>
    <s v="NetBanking"/>
    <s v="Rahul"/>
    <s v="pooja.shah@company.com"/>
    <s v="9155925975"/>
    <s v="Pending"/>
  </r>
  <r>
    <s v="ORD10136"/>
    <s v="C009"/>
    <s v="P203"/>
    <x v="118"/>
    <s v="10/06/2025"/>
    <s v="Mohit Verma"/>
    <s v="Male"/>
    <s v="14/07/1997"/>
    <s v="Hyderabad"/>
    <x v="0"/>
    <x v="0"/>
    <s v="Microwave"/>
    <n v="5"/>
    <n v="8500"/>
    <n v="20"/>
    <n v="34000"/>
    <n v="5"/>
    <s v="Cash"/>
    <s v="Aisha"/>
    <s v="mohit.verma@company.com"/>
    <s v="9945247701"/>
    <s v="Pending"/>
  </r>
  <r>
    <s v="ORD10137"/>
    <s v="C008"/>
    <s v="P201"/>
    <x v="119"/>
    <s v="01/08/2025"/>
    <s v="Kavya Nair"/>
    <s v="Female"/>
    <s v="09/08/1979"/>
    <s v="Bengaluru"/>
    <x v="0"/>
    <x v="0"/>
    <s v="Mixer"/>
    <n v="14"/>
    <n v="3500"/>
    <n v="10"/>
    <n v="44100"/>
    <n v="4"/>
    <s v="UPI"/>
    <s v="Ritika"/>
    <s v="KAvya.nair@company.com"/>
    <s v="9597378398"/>
    <s v="Cancelled"/>
  </r>
  <r>
    <s v="ORD10138"/>
    <s v="C001"/>
    <s v="P303"/>
    <x v="120"/>
    <s v="21/01/2025"/>
    <s v="Amit Sharma"/>
    <s v="Male"/>
    <s v="20/10/2002"/>
    <s v="Ahmedabad"/>
    <x v="2"/>
    <x v="2"/>
    <s v="Marker"/>
    <n v="8"/>
    <n v="45"/>
    <n v="0"/>
    <n v="360"/>
    <n v="1"/>
    <s v="Card"/>
    <s v="Karan"/>
    <s v="amit.sharma@company.com"/>
    <s v="9343963736"/>
    <s v="Cancelled"/>
  </r>
  <r>
    <s v="ORD10139"/>
    <s v="C005"/>
    <s v="P303"/>
    <x v="121"/>
    <s v="05/02/2025"/>
    <s v="Vikas Mehta"/>
    <s v="Male"/>
    <s v="24/07/1985"/>
    <s v="Delhi"/>
    <x v="1"/>
    <x v="2"/>
    <s v="Marker"/>
    <n v="11"/>
    <n v="45"/>
    <n v="5"/>
    <n v="470.25"/>
    <n v="3"/>
    <s v="Card"/>
    <s v="Rahul"/>
    <s v="vikas.mehta@company.com"/>
    <s v="9548742147"/>
    <s v="Completed"/>
  </r>
  <r>
    <s v="ORD10140"/>
    <s v="C007"/>
    <s v="P101"/>
    <x v="122"/>
    <s v="30/01/2025"/>
    <s v="Arjun Rao"/>
    <s v="Male"/>
    <s v="23/08/1988"/>
    <s v="Ahmedabad"/>
    <x v="2"/>
    <x v="1"/>
    <s v="Laptop"/>
    <n v="19"/>
    <n v="55000"/>
    <n v="0"/>
    <n v="1045000"/>
    <n v="2"/>
    <s v="Card"/>
    <s v="Ritika"/>
    <s v="arjun.rao@company.com"/>
    <s v="9912945471"/>
    <s v="Cancelled"/>
  </r>
  <r>
    <s v="ORD10141"/>
    <s v="C010"/>
    <s v="P201"/>
    <x v="123"/>
    <s v="18/04/2025"/>
    <s v="Pooja Shah"/>
    <s v="Female"/>
    <s v="09/01/1979"/>
    <s v="Pune"/>
    <x v="2"/>
    <x v="0"/>
    <s v="Mixer"/>
    <n v="20"/>
    <n v="3500"/>
    <n v="20"/>
    <n v="56000"/>
    <n v="4"/>
    <s v="NetBanking"/>
    <s v="Rahul"/>
    <s v="pooja.shah@company.com"/>
    <s v="9912630684"/>
    <s v="Completed"/>
  </r>
  <r>
    <s v="ORD10142"/>
    <s v="C007"/>
    <s v="P202"/>
    <x v="124"/>
    <s v="14/07/2025"/>
    <s v="Arjun Rao"/>
    <s v="Male"/>
    <s v="25/08/1986"/>
    <s v="Pune"/>
    <x v="2"/>
    <x v="0"/>
    <s v="Iron"/>
    <n v="17"/>
    <n v="2200"/>
    <n v="0"/>
    <n v="37400"/>
    <n v="5"/>
    <s v="NetBanking"/>
    <s v="Ritika"/>
    <s v="arjun.rao@company.com"/>
    <s v="9114017237"/>
    <s v="Pending"/>
  </r>
  <r>
    <s v="ORD10143"/>
    <s v="C007"/>
    <s v="P103"/>
    <x v="122"/>
    <s v="29/01/2025"/>
    <s v="Arjun Rao"/>
    <s v="Male"/>
    <s v="01/04/1977"/>
    <s v="Pune"/>
    <x v="2"/>
    <x v="1"/>
    <s v="Keyboard"/>
    <n v="10"/>
    <n v="1200"/>
    <n v="5"/>
    <n v="11400"/>
    <n v="2"/>
    <s v="Cash"/>
    <s v="Rahul"/>
    <s v="arjun.rao@company.com"/>
    <s v="9872471236"/>
    <s v="Cancelled"/>
  </r>
  <r>
    <s v="ORD10144"/>
    <s v="C005"/>
    <s v="P301"/>
    <x v="125"/>
    <s v="18/12/2025"/>
    <s v="Vikas Mehta"/>
    <s v="Male"/>
    <s v="04/08/1983"/>
    <s v="Hyderabad"/>
    <x v="0"/>
    <x v="2"/>
    <s v="Notebook"/>
    <n v="3"/>
    <n v="60"/>
    <n v="0"/>
    <n v="180"/>
    <n v="4"/>
    <s v="NetBanking"/>
    <s v="Karan"/>
    <s v="vikas.mehta@company.com"/>
    <s v="9461383824"/>
    <s v="Completed"/>
  </r>
  <r>
    <s v="ORD10145"/>
    <s v="C010"/>
    <s v="P202"/>
    <x v="126"/>
    <s v="21/10/2025"/>
    <s v="Pooja Shah"/>
    <s v="Female"/>
    <s v="07/04/1978"/>
    <s v="Mumbai"/>
    <x v="2"/>
    <x v="0"/>
    <s v="Iron"/>
    <n v="18"/>
    <n v="2200"/>
    <n v="10"/>
    <n v="35640"/>
    <n v="1"/>
    <s v="Card"/>
    <s v="Karan"/>
    <s v="pooja.shah@company.com"/>
    <s v="9243407457"/>
    <s v="Cancelled"/>
  </r>
  <r>
    <s v="ORD10146"/>
    <s v="C009"/>
    <s v="P301"/>
    <x v="127"/>
    <s v="10/03/2026"/>
    <s v="Mohit Verma"/>
    <s v="Male"/>
    <s v="04/03/1983"/>
    <s v="Delhi"/>
    <x v="1"/>
    <x v="2"/>
    <s v="Notebook"/>
    <n v="18"/>
    <n v="60"/>
    <n v="5"/>
    <n v="1026"/>
    <n v="3"/>
    <s v="Card"/>
    <s v="Rahul"/>
    <s v="mohit.verma@company.com"/>
    <s v="9418672379"/>
    <s v="Pending"/>
  </r>
  <r>
    <s v="ORD10147"/>
    <s v="C003"/>
    <s v="P101"/>
    <x v="56"/>
    <s v="23/08/2025"/>
    <s v="Rohit Singh"/>
    <s v="Male"/>
    <s v="27/10/1987"/>
    <s v="Pune"/>
    <x v="2"/>
    <x v="1"/>
    <s v="Laptop"/>
    <n v="11"/>
    <n v="55000"/>
    <n v="15"/>
    <n v="514250"/>
    <n v="4"/>
    <s v="UPI"/>
    <s v="Neha"/>
    <s v="rohit.singh@company.com"/>
    <s v="9222733065"/>
    <s v="Cancelled"/>
  </r>
  <r>
    <s v="ORD10148"/>
    <s v="C006"/>
    <s v="P203"/>
    <x v="128"/>
    <s v="03/01/2026"/>
    <s v="Sneha Joshi"/>
    <s v="Female"/>
    <s v="19/04/2003"/>
    <s v="Kolkata"/>
    <x v="3"/>
    <x v="0"/>
    <s v="Microwave"/>
    <n v="5"/>
    <n v="8500"/>
    <n v="5"/>
    <n v="40375"/>
    <n v="4"/>
    <s v="Cash"/>
    <s v="Karan"/>
    <s v="sneha.joshi@company.com"/>
    <s v="9684246902"/>
    <s v="Completed"/>
  </r>
  <r>
    <s v="ORD10150"/>
    <s v="C003"/>
    <s v="P102"/>
    <x v="129"/>
    <s v="13/07/2025"/>
    <s v="Rohit Singh"/>
    <s v="Male"/>
    <s v="05/07/1975"/>
    <s v="Pune"/>
    <x v="2"/>
    <x v="1"/>
    <s v="Mouse"/>
    <n v="6"/>
    <n v="700"/>
    <n v="10"/>
    <n v="3780"/>
    <n v="4"/>
    <s v="Cash"/>
    <s v="Rahul"/>
    <s v="rohit.singh@company.com"/>
    <s v="9110269572"/>
    <s v="Cancelled"/>
  </r>
  <r>
    <s v="ORD10151"/>
    <s v="C010"/>
    <s v="P201"/>
    <x v="130"/>
    <s v="15/05/2026"/>
    <s v="Pooja Shah"/>
    <s v="Female"/>
    <s v="05/03/1992"/>
    <s v="Delhi"/>
    <x v="1"/>
    <x v="0"/>
    <s v="Mixer"/>
    <n v="20"/>
    <n v="3500"/>
    <n v="10"/>
    <n v="63000"/>
    <n v="4"/>
    <s v="UPI"/>
    <s v="Rahul"/>
    <s v="pooja.shah@company.com"/>
    <s v="9745972422"/>
    <s v="Pending"/>
  </r>
  <r>
    <s v="ORD10152"/>
    <s v="C008"/>
    <s v="P302"/>
    <x v="131"/>
    <s v="07/12/2025"/>
    <s v="Kavya Nair"/>
    <s v="Female"/>
    <s v="03/06/1998"/>
    <s v="Bengaluru"/>
    <x v="0"/>
    <x v="2"/>
    <s v="Pen"/>
    <n v="2"/>
    <n v="20"/>
    <n v="10"/>
    <n v="36"/>
    <n v="1"/>
    <s v="NetBanking"/>
    <s v="Neha"/>
    <s v="KAvya.nair@company.com"/>
    <s v="9123712257"/>
    <s v="Pending"/>
  </r>
  <r>
    <s v="ORD10153"/>
    <s v="C002"/>
    <s v="P202"/>
    <x v="132"/>
    <s v="19/07/2025"/>
    <s v="Priya Patel"/>
    <s v="Female"/>
    <s v="28/09/1996"/>
    <s v="Pune"/>
    <x v="2"/>
    <x v="0"/>
    <s v="Iron"/>
    <n v="16"/>
    <n v="2200"/>
    <n v="20"/>
    <n v="28160"/>
    <n v="2"/>
    <s v="UPI"/>
    <s v="Karan"/>
    <s v="priYa.patel@company.com"/>
    <s v="9665525431"/>
    <s v="Pending"/>
  </r>
  <r>
    <s v="ORD10154"/>
    <s v="C005"/>
    <s v="P104"/>
    <x v="133"/>
    <s v="23/03/2025"/>
    <s v="Vikas Mehta"/>
    <s v="Male"/>
    <s v="15/12/1995"/>
    <s v="Pune"/>
    <x v="2"/>
    <x v="1"/>
    <s v="Monitor"/>
    <n v="15"/>
    <n v="12000"/>
    <n v="0"/>
    <n v="180000"/>
    <n v="1"/>
    <s v="Card"/>
    <s v="Aisha"/>
    <s v="vikas.mehta@company.com"/>
    <s v="9682415134"/>
    <s v="Pending"/>
  </r>
  <r>
    <s v="ORD10155"/>
    <s v="C008"/>
    <s v="P301"/>
    <x v="134"/>
    <s v="23/07/2025"/>
    <s v="Kavya Nair"/>
    <s v="Female"/>
    <s v="24/07/1976"/>
    <s v="Delhi"/>
    <x v="1"/>
    <x v="2"/>
    <s v="Notebook"/>
    <n v="14"/>
    <n v="60"/>
    <n v="15"/>
    <n v="714"/>
    <n v="4"/>
    <s v="UPI"/>
    <s v="Rahul"/>
    <s v="KAvya.nair@company.com"/>
    <s v="9808223872"/>
    <s v="Completed"/>
  </r>
  <r>
    <s v="ORD10156"/>
    <s v="C010"/>
    <s v="P103"/>
    <x v="135"/>
    <s v="24/07/2025"/>
    <s v="Pooja Shah"/>
    <s v="Female"/>
    <s v="22/06/1984"/>
    <s v="Hyderabad"/>
    <x v="0"/>
    <x v="1"/>
    <s v="Keyboard"/>
    <n v="9"/>
    <n v="1200"/>
    <n v="5"/>
    <n v="10260"/>
    <n v="5"/>
    <s v="NetBanking"/>
    <s v="Aisha"/>
    <s v="pooja.shah@company.com"/>
    <s v="9193549730"/>
    <s v="Pending"/>
  </r>
  <r>
    <s v="ORD10157"/>
    <s v="C005"/>
    <s v="P103"/>
    <x v="136"/>
    <s v="29/07/2025"/>
    <s v="Vikas Mehta"/>
    <s v="Male"/>
    <s v="06/08/1998"/>
    <s v="Kolkata"/>
    <x v="3"/>
    <x v="1"/>
    <s v="Keyboard"/>
    <n v="3"/>
    <n v="1200"/>
    <n v="10"/>
    <n v="3240"/>
    <n v="2"/>
    <s v="Card"/>
    <s v="Karan"/>
    <s v="vikas.mehta@company.com"/>
    <s v="9520617130"/>
    <s v="Cancelled"/>
  </r>
  <r>
    <s v="ORD10158"/>
    <s v="C001"/>
    <s v="P301"/>
    <x v="80"/>
    <s v="12/04/2025"/>
    <s v="Amit Sharma"/>
    <s v="Male"/>
    <s v="18/06/2001"/>
    <s v="Hyderabad"/>
    <x v="0"/>
    <x v="2"/>
    <s v="Notebook"/>
    <n v="2"/>
    <n v="60"/>
    <n v="10"/>
    <n v="108"/>
    <n v="2"/>
    <s v="UPI"/>
    <s v="Aisha"/>
    <s v="amit.sharma@company.com"/>
    <s v="9264578122"/>
    <s v="Completed"/>
  </r>
  <r>
    <s v="ORD10159"/>
    <s v="C009"/>
    <s v="P201"/>
    <x v="57"/>
    <s v="23/05/2026"/>
    <s v="Mohit Verma"/>
    <s v="Male"/>
    <s v="11/09/1999"/>
    <s v="Delhi"/>
    <x v="1"/>
    <x v="0"/>
    <s v="Mixer"/>
    <n v="9"/>
    <n v="3500"/>
    <n v="20"/>
    <n v="25200"/>
    <n v="1"/>
    <s v="NetBanking"/>
    <s v="Ritika"/>
    <s v="mohit.verma@company.com"/>
    <s v="9275071213"/>
    <s v="Completed"/>
  </r>
  <r>
    <s v="ORD10160"/>
    <s v="C005"/>
    <s v="P101"/>
    <x v="26"/>
    <s v="16/03/2026"/>
    <s v="Vikas Mehta"/>
    <s v="Male"/>
    <s v="07/12/1995"/>
    <s v="Jaipur"/>
    <x v="1"/>
    <x v="1"/>
    <s v="Laptop"/>
    <n v="4"/>
    <n v="55000"/>
    <n v="5"/>
    <n v="209000"/>
    <n v="2"/>
    <s v="Cash"/>
    <s v="Karan"/>
    <s v="vikas.mehta@company.com"/>
    <s v="9715222543"/>
    <s v="Pending"/>
  </r>
  <r>
    <s v="ORD10161"/>
    <s v="C001"/>
    <s v="P102"/>
    <x v="70"/>
    <s v="01/07/2025"/>
    <s v="Amit Sharma"/>
    <s v="Male"/>
    <s v="22/07/1999"/>
    <s v="Delhi"/>
    <x v="1"/>
    <x v="1"/>
    <s v="Mouse"/>
    <n v="11"/>
    <n v="700"/>
    <n v="20"/>
    <n v="6160"/>
    <n v="4"/>
    <s v="Cash"/>
    <s v="Karan"/>
    <s v="amit.sharma@company.com"/>
    <s v="9942010833"/>
    <s v="Cancelled"/>
  </r>
  <r>
    <s v="ORD10162"/>
    <s v="C004"/>
    <s v="P103"/>
    <x v="33"/>
    <s v="29/11/2025"/>
    <s v="Anita Gupta"/>
    <s v="Female"/>
    <s v="14/11/2000"/>
    <s v="Kolkata"/>
    <x v="3"/>
    <x v="1"/>
    <s v="Keyboard"/>
    <n v="16"/>
    <n v="1200"/>
    <n v="5"/>
    <n v="18240"/>
    <n v="1"/>
    <s v="Card"/>
    <s v="Ritika"/>
    <s v="anita.gupta@company.com"/>
    <s v="9347718932"/>
    <s v="Pending"/>
  </r>
  <r>
    <s v="ORD10163"/>
    <s v="C004"/>
    <s v="P103"/>
    <x v="82"/>
    <s v="17/09/2025"/>
    <s v="Anita Gupta"/>
    <s v="Female"/>
    <s v="24/07/2002"/>
    <s v="Pune"/>
    <x v="2"/>
    <x v="1"/>
    <s v="Keyboard"/>
    <n v="1"/>
    <n v="1200"/>
    <n v="5"/>
    <n v="1140"/>
    <n v="4"/>
    <s v="Card"/>
    <s v="Ritika"/>
    <s v="anita.gupta@company.com"/>
    <s v="9274808844"/>
    <s v="Completed"/>
  </r>
  <r>
    <s v="ORD10164"/>
    <s v="C001"/>
    <s v="P301"/>
    <x v="137"/>
    <s v="13/11/2025"/>
    <s v="Amit Sharma"/>
    <s v="Male"/>
    <s v="25/02/2002"/>
    <s v="Jaipur"/>
    <x v="1"/>
    <x v="2"/>
    <s v="Notebook"/>
    <n v="7"/>
    <n v="60"/>
    <n v="0"/>
    <n v="420"/>
    <n v="2"/>
    <s v="UPI"/>
    <s v="Karan"/>
    <s v="amit.sharma@company.com"/>
    <s v="9798996063"/>
    <s v="Completed"/>
  </r>
  <r>
    <s v="ORD10165"/>
    <s v="C004"/>
    <s v="P202"/>
    <x v="20"/>
    <s v="07/01/2025"/>
    <s v="Anita Gupta"/>
    <s v="Female"/>
    <s v="16/07/1980"/>
    <s v="Pune"/>
    <x v="2"/>
    <x v="0"/>
    <s v="Iron"/>
    <n v="14"/>
    <n v="2200"/>
    <n v="0"/>
    <n v="30800"/>
    <n v="2"/>
    <s v="UPI"/>
    <s v="Ritika"/>
    <s v="anita.gupta@company.com"/>
    <s v="9145200936"/>
    <s v="Cancelled"/>
  </r>
  <r>
    <s v="ORD10166"/>
    <s v="C004"/>
    <s v="P201"/>
    <x v="138"/>
    <s v="27/06/2025"/>
    <s v="Anita Gupta"/>
    <s v="Female"/>
    <s v="25/05/1996"/>
    <s v="Ahmedabad"/>
    <x v="2"/>
    <x v="0"/>
    <s v="Mixer"/>
    <n v="15"/>
    <n v="3500"/>
    <n v="15"/>
    <n v="44625"/>
    <n v="2"/>
    <s v="UPI"/>
    <s v="Aisha"/>
    <s v="anita.gupta@company.com"/>
    <s v="9697654418"/>
    <s v="Pending"/>
  </r>
  <r>
    <s v="ORD10167"/>
    <s v="C003"/>
    <s v="P201"/>
    <x v="139"/>
    <s v="06/04/2025"/>
    <s v="Rohit Singh"/>
    <s v="Male"/>
    <s v="11/05/1986"/>
    <s v="Kolkata"/>
    <x v="3"/>
    <x v="0"/>
    <s v="Mixer"/>
    <n v="19"/>
    <n v="3500"/>
    <n v="5"/>
    <n v="63175"/>
    <n v="2"/>
    <s v="Cash"/>
    <s v="Neha"/>
    <s v="rohit.singh@company.com"/>
    <s v="9457923119"/>
    <s v="Cancelled"/>
  </r>
  <r>
    <s v="ORD10168"/>
    <s v="C001"/>
    <s v="P101"/>
    <x v="140"/>
    <s v="10/07/2025"/>
    <s v="Amit Sharma"/>
    <s v="Male"/>
    <s v="25/05/1989"/>
    <s v="Bengaluru"/>
    <x v="0"/>
    <x v="1"/>
    <s v="Laptop"/>
    <n v="12"/>
    <n v="55000"/>
    <n v="5"/>
    <n v="627000"/>
    <n v="4"/>
    <s v="Card"/>
    <s v="Aisha"/>
    <s v="amit.sharma@company.com"/>
    <s v="9236111271"/>
    <s v="Cancelled"/>
  </r>
  <r>
    <s v="ORD10169"/>
    <s v="C010"/>
    <s v="P103"/>
    <x v="90"/>
    <s v="26/01/2026"/>
    <s v="Pooja Shah"/>
    <s v="Female"/>
    <s v="25/08/1989"/>
    <s v="Mumbai"/>
    <x v="2"/>
    <x v="1"/>
    <s v="Keyboard"/>
    <n v="6"/>
    <n v="1200"/>
    <n v="10"/>
    <n v="6480"/>
    <n v="5"/>
    <s v="NetBanking"/>
    <s v="Neha"/>
    <s v="pooja.shah@company.com"/>
    <s v="9402569141"/>
    <s v="Cancelled"/>
  </r>
  <r>
    <s v="ORD10170"/>
    <s v="C006"/>
    <s v="P203"/>
    <x v="9"/>
    <s v="20/09/2025"/>
    <s v="Sneha Joshi"/>
    <s v="Female"/>
    <s v="20/05/1997"/>
    <s v="Hyderabad"/>
    <x v="0"/>
    <x v="0"/>
    <s v="Microwave"/>
    <n v="1"/>
    <n v="8500"/>
    <n v="0"/>
    <n v="8500"/>
    <n v="1"/>
    <s v="UPI"/>
    <s v="Karan"/>
    <s v="sneha.joshi@company.com"/>
    <s v="9138184056"/>
    <s v="Cancelled"/>
  </r>
  <r>
    <s v="ORD10171"/>
    <s v="C003"/>
    <s v="P101"/>
    <x v="141"/>
    <s v="07/04/2026"/>
    <s v="Rohit Singh"/>
    <s v="Male"/>
    <s v="03/05/1987"/>
    <s v="Ahmedabad"/>
    <x v="2"/>
    <x v="1"/>
    <s v="Laptop"/>
    <n v="20"/>
    <n v="55000"/>
    <n v="10"/>
    <n v="990000"/>
    <n v="5"/>
    <s v="NetBanking"/>
    <s v="Karan"/>
    <s v="rohit.singh@company.com"/>
    <s v="9609598700"/>
    <s v="Completed"/>
  </r>
  <r>
    <s v="ORD10172"/>
    <s v="C005"/>
    <s v="P103"/>
    <x v="142"/>
    <s v="29/10/2025"/>
    <s v="Vikas Mehta"/>
    <s v="Male"/>
    <s v="02/12/2002"/>
    <s v="Ahmedabad"/>
    <x v="2"/>
    <x v="1"/>
    <s v="Keyboard"/>
    <n v="8"/>
    <n v="1200"/>
    <n v="15"/>
    <n v="8160"/>
    <n v="2"/>
    <s v="UPI"/>
    <s v="Neha"/>
    <s v="vikas.mehta@company.com"/>
    <s v="9385894399"/>
    <s v="Cancelled"/>
  </r>
  <r>
    <s v="ORD10173"/>
    <s v="C008"/>
    <s v="P201"/>
    <x v="143"/>
    <s v="17/02/2025"/>
    <s v="Kavya Nair"/>
    <s v="Female"/>
    <s v="25/05/1986"/>
    <s v="Jaipur"/>
    <x v="1"/>
    <x v="0"/>
    <s v="Mixer"/>
    <n v="19"/>
    <n v="3500"/>
    <n v="5"/>
    <n v="63175"/>
    <n v="4"/>
    <s v="UPI"/>
    <s v="Rahul"/>
    <s v="KAvya.nair@company.com"/>
    <s v="9329448011"/>
    <s v="Pending"/>
  </r>
  <r>
    <s v="ORD10174"/>
    <s v="C005"/>
    <s v="P303"/>
    <x v="1"/>
    <s v="29/04/2025"/>
    <s v="Vikas Mehta"/>
    <s v="Male"/>
    <s v="22/02/1986"/>
    <s v="Jaipur"/>
    <x v="1"/>
    <x v="2"/>
    <s v="Marker"/>
    <n v="6"/>
    <n v="45"/>
    <n v="20"/>
    <n v="216"/>
    <n v="1"/>
    <s v="Card"/>
    <s v="Rahul"/>
    <s v="vikas.mehtacompany.com"/>
    <s v="9889544104"/>
    <s v="Pending"/>
  </r>
  <r>
    <s v="ORD10175"/>
    <s v="C006"/>
    <s v="P303"/>
    <x v="144"/>
    <s v="25/03/2025"/>
    <s v="Sneha Joshi"/>
    <s v="Female"/>
    <s v="07/04/1988"/>
    <s v="Pune"/>
    <x v="2"/>
    <x v="2"/>
    <s v="Marker"/>
    <n v="17"/>
    <n v="45"/>
    <n v="15"/>
    <n v="650.25"/>
    <n v="5"/>
    <s v="Cash"/>
    <s v="Neha"/>
    <s v="sneha.joshi@company.com"/>
    <s v="9101861045"/>
    <s v="Pending"/>
  </r>
  <r>
    <s v="ORD10176"/>
    <s v="C008"/>
    <s v="P302"/>
    <x v="124"/>
    <s v="16/07/2025"/>
    <s v="Kavya Nair"/>
    <s v="Female"/>
    <s v="27/06/1993"/>
    <s v="Pune"/>
    <x v="2"/>
    <x v="2"/>
    <s v="Pen"/>
    <n v="19"/>
    <n v="20"/>
    <n v="5"/>
    <n v="361"/>
    <n v="4"/>
    <s v="Cash"/>
    <s v="Ritika"/>
    <s v="KAvya.nair@company.com"/>
    <s v="9364712105"/>
    <s v="Pending"/>
  </r>
  <r>
    <s v="ORD10177"/>
    <s v="C006"/>
    <s v="P302"/>
    <x v="145"/>
    <s v="03/12/2025"/>
    <s v="Sneha Joshi"/>
    <s v="Female"/>
    <s v="18/06/2004"/>
    <s v="Ahmedabad"/>
    <x v="2"/>
    <x v="2"/>
    <s v="Pen"/>
    <n v="11"/>
    <n v="20"/>
    <n v="0"/>
    <n v="220"/>
    <n v="3"/>
    <s v="NetBanking"/>
    <s v="Rahul"/>
    <s v="sneha.joshi@company.com"/>
    <s v="9950206376"/>
    <s v="Completed"/>
  </r>
  <r>
    <s v="ORD10178"/>
    <s v="C004"/>
    <s v="P301"/>
    <x v="146"/>
    <s v="21/02/2026"/>
    <s v="Anita Gupta"/>
    <s v="Female"/>
    <s v="09/09/1993"/>
    <s v="Delhi"/>
    <x v="1"/>
    <x v="2"/>
    <s v="Notebook"/>
    <n v="12"/>
    <n v="60"/>
    <n v="0"/>
    <n v="720"/>
    <n v="2"/>
    <s v="NetBanking"/>
    <s v="Rahul"/>
    <s v="anita.gupta@company.com"/>
    <s v="9235822094"/>
    <s v="Completed"/>
  </r>
  <r>
    <s v="ORD10179"/>
    <s v="C005"/>
    <s v="P303"/>
    <x v="147"/>
    <s v="13/11/2025"/>
    <s v="Priya Patel"/>
    <s v="Male"/>
    <s v="13/09/2001"/>
    <s v="Kolkata"/>
    <x v="3"/>
    <x v="2"/>
    <s v="Marker"/>
    <n v="14"/>
    <n v="45"/>
    <n v="15"/>
    <n v="535.5"/>
    <n v="5"/>
    <s v="UPI"/>
    <s v="Neha"/>
    <s v="vikas.mehta@company.com"/>
    <s v="9311021344"/>
    <s v="Pending"/>
  </r>
  <r>
    <s v="ORD10180"/>
    <s v="C008"/>
    <s v="P102"/>
    <x v="148"/>
    <s v="19/02/2025"/>
    <s v="Kavya Nair"/>
    <s v="Female"/>
    <s v="15/11/1981"/>
    <s v="Hyderabad"/>
    <x v="0"/>
    <x v="1"/>
    <s v="Mouse"/>
    <n v="15"/>
    <n v="700"/>
    <n v="10"/>
    <n v="9450"/>
    <n v="3"/>
    <s v="NetBanking"/>
    <s v="Rahul"/>
    <s v="KAvya.nair@company.com"/>
    <s v="9891358505"/>
    <s v="Pending"/>
  </r>
  <r>
    <s v="ORD10181"/>
    <s v="C002"/>
    <s v="P203"/>
    <x v="149"/>
    <s v="30/05/2025"/>
    <s v="Priya Patel"/>
    <s v="Female"/>
    <s v="12/09/1980"/>
    <s v="Ahmedabad"/>
    <x v="2"/>
    <x v="0"/>
    <s v="Microwave"/>
    <n v="19"/>
    <n v="8500"/>
    <n v="15"/>
    <n v="137275"/>
    <n v="2"/>
    <s v="Cash"/>
    <s v="Ritika"/>
    <s v="priYa.patel@company.com"/>
    <s v="9910085332"/>
    <s v="Cancelled"/>
  </r>
  <r>
    <s v="ORD10182"/>
    <s v="C006"/>
    <s v="P301"/>
    <x v="150"/>
    <s v="06/10/2025"/>
    <s v="Sneha Joshi"/>
    <s v="Female"/>
    <s v="07/04/1988"/>
    <s v="Jaipur"/>
    <x v="1"/>
    <x v="2"/>
    <s v="Notebook"/>
    <n v="19"/>
    <n v="60"/>
    <n v="20"/>
    <n v="912"/>
    <n v="4"/>
    <s v="Card"/>
    <s v="Rahul"/>
    <s v="sneha.joshi@company.com"/>
    <s v="9756908023"/>
    <s v="Pending"/>
  </r>
  <r>
    <s v="ORD10183"/>
    <s v="C002"/>
    <s v="P303"/>
    <x v="151"/>
    <s v="26/05/2025"/>
    <s v="Priya Patel"/>
    <s v="Female"/>
    <s v="19/02/1988"/>
    <s v="Bengaluru"/>
    <x v="0"/>
    <x v="2"/>
    <s v="Marker"/>
    <n v="10"/>
    <n v="45"/>
    <n v="15"/>
    <n v="382.5"/>
    <n v="4"/>
    <s v="Cash"/>
    <s v="Karan"/>
    <s v="priYa.patel@company.com"/>
    <s v="9645913247"/>
    <s v="Completed"/>
  </r>
  <r>
    <s v="ORD10184"/>
    <s v="C009"/>
    <s v="P202"/>
    <x v="152"/>
    <s v="23/06/2025"/>
    <s v="Mohit Verma"/>
    <s v="Male"/>
    <s v="03/12/1981"/>
    <s v="Delhi"/>
    <x v="1"/>
    <x v="0"/>
    <s v="Iron"/>
    <n v="7"/>
    <n v="2200"/>
    <n v="20"/>
    <n v="12320"/>
    <n v="5"/>
    <s v="UPI"/>
    <s v="Rahul"/>
    <s v="mohit.verma@company.com"/>
    <s v="9806914795"/>
    <s v="Pending"/>
  </r>
  <r>
    <s v="ORD10185"/>
    <s v="C002"/>
    <s v="P203"/>
    <x v="153"/>
    <s v="04/05/2025"/>
    <s v="Priya Patel"/>
    <s v="Female"/>
    <s v="11/02/1984"/>
    <s v="Kolkata"/>
    <x v="3"/>
    <x v="0"/>
    <s v="Microwave"/>
    <n v="20"/>
    <n v="8500"/>
    <n v="20"/>
    <n v="136000"/>
    <n v="4"/>
    <s v="NetBanking"/>
    <s v="Ritika"/>
    <s v="priYa.patel@company.com"/>
    <s v="9276222829"/>
    <s v="Completed"/>
  </r>
  <r>
    <s v="ORD10186"/>
    <s v="C006"/>
    <s v="P202"/>
    <x v="122"/>
    <s v="24/01/2025"/>
    <s v="Sneha Joshi"/>
    <s v="Female"/>
    <s v="07/12/1991"/>
    <s v="Hyderabad"/>
    <x v="0"/>
    <x v="0"/>
    <s v="Iron"/>
    <n v="10"/>
    <n v="2200"/>
    <n v="5"/>
    <n v="20900"/>
    <n v="2"/>
    <s v="NetBanking"/>
    <s v="Rahul"/>
    <s v="sneha.joshi@company.com"/>
    <s v="9533835528"/>
    <s v="Completed"/>
  </r>
  <r>
    <s v="ORD10187"/>
    <s v="C003"/>
    <s v="P301"/>
    <x v="154"/>
    <s v="26/12/2025"/>
    <s v="Rohit Singh"/>
    <s v="Male"/>
    <s v="21/02/1976"/>
    <s v="Pune"/>
    <x v="2"/>
    <x v="2"/>
    <s v="Notebook"/>
    <n v="15"/>
    <n v="60"/>
    <n v="20"/>
    <n v="720"/>
    <n v="1"/>
    <s v="Card"/>
    <s v="Ritika"/>
    <s v="rohit.singh@company.com"/>
    <s v="9654885820"/>
    <s v="Completed"/>
  </r>
  <r>
    <s v="ORD10188"/>
    <s v="C005"/>
    <s v="P201"/>
    <x v="24"/>
    <s v="28/06/2025"/>
    <s v="Vikas Mehta"/>
    <s v="Male"/>
    <s v="28/08/1975"/>
    <s v="Hyderabad"/>
    <x v="0"/>
    <x v="0"/>
    <s v="Mixer"/>
    <n v="18"/>
    <n v="3500"/>
    <n v="5"/>
    <n v="59850"/>
    <n v="1"/>
    <s v="Card"/>
    <s v="Rahul"/>
    <s v="vikas.mehta@company.com"/>
    <s v="9456029544"/>
    <s v="Cancelled"/>
  </r>
  <r>
    <s v="ORD10189"/>
    <s v="C001"/>
    <s v="P104"/>
    <x v="155"/>
    <s v="22/05/2026"/>
    <s v="Amit Sharma"/>
    <s v="Male"/>
    <s v="05/12/1987"/>
    <s v="Pune"/>
    <x v="2"/>
    <x v="1"/>
    <s v="Monitor"/>
    <n v="6"/>
    <n v="12000"/>
    <n v="5"/>
    <n v="68400"/>
    <n v="1"/>
    <s v="NetBanking"/>
    <s v="Rahul"/>
    <s v="amit.sharma@company.com"/>
    <s v="9914571493"/>
    <s v="Cancelled"/>
  </r>
  <r>
    <s v="ORD10190"/>
    <s v="C001"/>
    <s v="P302"/>
    <x v="146"/>
    <s v="16/02/2026"/>
    <s v="Amit Sharma"/>
    <s v="Male"/>
    <s v="26/08/2004"/>
    <s v="Bengaluru"/>
    <x v="0"/>
    <x v="2"/>
    <s v="Pen"/>
    <n v="19"/>
    <n v="20"/>
    <n v="10"/>
    <n v="342"/>
    <n v="2"/>
    <s v="NetBanking"/>
    <s v="Ritika"/>
    <s v="amit.sharma@company.com"/>
    <s v="9270726986"/>
    <s v="Pending"/>
  </r>
  <r>
    <s v="ORD10191"/>
    <s v="C005"/>
    <s v="P202"/>
    <x v="57"/>
    <s v="20/05/2026"/>
    <s v="Vikas Mehta"/>
    <s v="Male"/>
    <s v="16/01/1994"/>
    <s v="Pune"/>
    <x v="2"/>
    <x v="0"/>
    <s v="Iron"/>
    <n v="7"/>
    <n v="2200"/>
    <n v="0"/>
    <n v="15400"/>
    <n v="1"/>
    <s v="Card"/>
    <s v="Neha"/>
    <s v="vikas.mehta@company.com"/>
    <s v="9570080664"/>
    <s v="Cancelled"/>
  </r>
  <r>
    <s v="ORD10192"/>
    <s v="C001"/>
    <s v="P104"/>
    <x v="156"/>
    <s v="20/11/2025"/>
    <s v="Amit Sharma"/>
    <s v="Male"/>
    <s v="28/10/2003"/>
    <s v="Jaipur"/>
    <x v="1"/>
    <x v="1"/>
    <s v="Monitor"/>
    <n v="3"/>
    <n v="12000"/>
    <n v="5"/>
    <n v="34200"/>
    <n v="3"/>
    <s v="Card"/>
    <s v="Aisha"/>
    <s v="amit.sharma@company.com"/>
    <s v="9109009524"/>
    <s v="Cancelled"/>
  </r>
  <r>
    <s v="ORD10193"/>
    <s v="C004"/>
    <s v="P202"/>
    <x v="104"/>
    <s v="04/11/2025"/>
    <s v="Anita Gupta"/>
    <s v="Female"/>
    <s v="16/05/2000"/>
    <s v="Jaipur"/>
    <x v="1"/>
    <x v="0"/>
    <s v="Iron"/>
    <n v="16"/>
    <n v="2200"/>
    <n v="0"/>
    <n v="35200"/>
    <n v="5"/>
    <s v="Card"/>
    <s v="Ritika"/>
    <s v="anita.gupta@company.com"/>
    <s v="9701276770"/>
    <s v="Pending"/>
  </r>
  <r>
    <s v="ORD10194"/>
    <s v="C006"/>
    <s v="P202"/>
    <x v="157"/>
    <s v="18/02/2025"/>
    <s v="Sneha Joshi"/>
    <s v="Female"/>
    <s v="04/07/1989"/>
    <s v="Delhi"/>
    <x v="1"/>
    <x v="0"/>
    <s v="Iron"/>
    <n v="8"/>
    <n v="2200"/>
    <n v="5"/>
    <n v="16720"/>
    <n v="2"/>
    <s v="UPI"/>
    <s v="Karan"/>
    <s v="sneha.joshi@company.com"/>
    <s v="9298278507"/>
    <s v="Completed"/>
  </r>
  <r>
    <s v="ORD10195"/>
    <s v="C006"/>
    <s v="P202"/>
    <x v="95"/>
    <s v="14/12/2025"/>
    <s v="Sneha Joshi"/>
    <s v="Female"/>
    <s v="09/03/1998"/>
    <s v="Ahmedabad"/>
    <x v="2"/>
    <x v="0"/>
    <s v="Iron"/>
    <n v="10"/>
    <n v="2200"/>
    <n v="10"/>
    <n v="19800"/>
    <n v="5"/>
    <s v="NetBanking"/>
    <s v="Neha"/>
    <s v="sneha.joshi@company.com"/>
    <s v="9895908093"/>
    <s v="Pending"/>
  </r>
  <r>
    <s v="ORD10196"/>
    <s v="C007"/>
    <s v="P302"/>
    <x v="158"/>
    <s v="09/05/2025"/>
    <s v="Arjun Rao"/>
    <s v="Male"/>
    <s v="21/05/1988"/>
    <s v="Delhi"/>
    <x v="1"/>
    <x v="2"/>
    <s v="Pen"/>
    <n v="7"/>
    <n v="20"/>
    <n v="10"/>
    <n v="126"/>
    <n v="4"/>
    <s v="Card"/>
    <s v="Aisha"/>
    <s v="arjun.rao@company.com"/>
    <s v="9734108795"/>
    <s v="Completed"/>
  </r>
  <r>
    <s v="ORD10197"/>
    <s v="C005"/>
    <s v="P203"/>
    <x v="28"/>
    <s v="14/01/2026"/>
    <s v="Vikas Mehta"/>
    <s v="Male"/>
    <s v="18/07/1994"/>
    <s v="Hyderabad"/>
    <x v="0"/>
    <x v="0"/>
    <s v="Microwave"/>
    <n v="19"/>
    <n v="8500"/>
    <n v="20"/>
    <n v="129200"/>
    <n v="3"/>
    <s v="NetBanking"/>
    <s v="Aisha"/>
    <s v="vikas.mehta@company.com"/>
    <s v="9799597413"/>
    <s v="Pending"/>
  </r>
  <r>
    <s v="ORD10198"/>
    <s v="C002"/>
    <s v="P301"/>
    <x v="58"/>
    <s v="06/03/2025"/>
    <s v="Priya Patel"/>
    <s v="Female"/>
    <s v="15/11/1977"/>
    <s v="Pune"/>
    <x v="2"/>
    <x v="2"/>
    <s v="Notebook"/>
    <n v="16"/>
    <n v="60"/>
    <n v="0"/>
    <n v="960"/>
    <n v="2"/>
    <s v="NetBanking"/>
    <s v="Neha"/>
    <s v="priYa.patel@company.com"/>
    <s v="9688987266"/>
    <s v="Completed"/>
  </r>
  <r>
    <s v="ORD10199"/>
    <s v="C005"/>
    <s v="P201"/>
    <x v="159"/>
    <s v="27/04/2026"/>
    <s v="Vikas Mehta"/>
    <s v="Male"/>
    <s v="22/09/1982"/>
    <s v="Bengaluru"/>
    <x v="0"/>
    <x v="3"/>
    <s v="Mixer"/>
    <n v="18"/>
    <n v="3500"/>
    <n v="5"/>
    <n v="59850"/>
    <n v="1"/>
    <s v="UPI"/>
    <s v="Neha"/>
    <s v="vikas.mehta@company.com"/>
    <s v="9867169037"/>
    <s v="Pending"/>
  </r>
  <r>
    <s v="ORD10200"/>
    <s v="C002"/>
    <s v="P101"/>
    <x v="160"/>
    <s v="01/03/2025"/>
    <s v="Priya Patel"/>
    <s v="Female"/>
    <s v="14/09/1994"/>
    <s v="Jaipur"/>
    <x v="1"/>
    <x v="1"/>
    <s v="Laptop"/>
    <n v="16"/>
    <n v="55000"/>
    <n v="0"/>
    <n v="880000"/>
    <n v="1"/>
    <s v="Card"/>
    <s v="Aisha"/>
    <s v="priYa.patel@company.com"/>
    <s v="9485547425"/>
    <s v="Cancelled"/>
  </r>
  <r>
    <s v="ORD10201"/>
    <s v="C005"/>
    <s v="P103"/>
    <x v="143"/>
    <s v="09/02/2025"/>
    <s v="Vikas Mehta"/>
    <s v="Male"/>
    <s v="02/12/1995"/>
    <s v="Ahmedabad"/>
    <x v="2"/>
    <x v="1"/>
    <s v="Keyboard"/>
    <n v="18"/>
    <n v="1200"/>
    <n v="15"/>
    <n v="18360"/>
    <n v="2"/>
    <s v="NetBanking"/>
    <s v="Ritika"/>
    <s v="vikas.mehta@company.com"/>
    <s v="9889733076"/>
    <s v="Cancelled"/>
  </r>
  <r>
    <s v="ORD10202"/>
    <s v="C009"/>
    <s v="P303"/>
    <x v="161"/>
    <s v="27/05/2025"/>
    <s v="Mohit Verma"/>
    <s v="Male"/>
    <s v="10/07/1985"/>
    <s v="Hyderabad"/>
    <x v="0"/>
    <x v="2"/>
    <s v="Marker"/>
    <n v="2"/>
    <n v="45"/>
    <n v="15"/>
    <n v="76.5"/>
    <n v="5"/>
    <s v="Cash"/>
    <s v="Aisha"/>
    <s v="mohit.verma@company.com"/>
    <s v="9145434449"/>
    <s v="Cancelled"/>
  </r>
  <r>
    <s v="ORD10203"/>
    <s v="C010"/>
    <s v="P203"/>
    <x v="162"/>
    <s v="12/01/2026"/>
    <s v="Pooja Shah"/>
    <s v="Female"/>
    <s v="25/03/2001"/>
    <s v="Bengaluru"/>
    <x v="0"/>
    <x v="0"/>
    <s v="Microwave"/>
    <n v="20"/>
    <n v="8500"/>
    <n v="0"/>
    <n v="170000"/>
    <n v="4"/>
    <s v="NetBanking"/>
    <s v="Aisha"/>
    <s v="pooja.shah@company.com"/>
    <s v="9598942148"/>
    <s v="Cancelled"/>
  </r>
  <r>
    <s v="ORD10204"/>
    <s v="C003"/>
    <s v="P201"/>
    <x v="35"/>
    <s v="09/03/2026"/>
    <s v="Rohit Singh"/>
    <s v="Male"/>
    <s v="27/04/1981"/>
    <s v="Jaipur"/>
    <x v="1"/>
    <x v="0"/>
    <s v="Mixer"/>
    <n v="6"/>
    <n v="3500"/>
    <n v="5"/>
    <n v="19950"/>
    <n v="1"/>
    <s v="Cash"/>
    <s v="Karan"/>
    <s v="rohit.singh@company.com"/>
    <s v="9599252705"/>
    <s v="Completed"/>
  </r>
  <r>
    <s v="ORD10205"/>
    <s v="C004"/>
    <s v="P303"/>
    <x v="37"/>
    <s v="09/10/2025"/>
    <s v="Anita Gupta"/>
    <s v="Female"/>
    <s v="14/01/2003"/>
    <s v="Pune"/>
    <x v="2"/>
    <x v="2"/>
    <s v="Marker"/>
    <n v="8"/>
    <n v="45"/>
    <n v="5"/>
    <n v="342"/>
    <n v="2"/>
    <s v="Cash"/>
    <s v="Rahul"/>
    <s v="anita.gupta@company.com"/>
    <s v="9626843681"/>
    <s v="Pending"/>
  </r>
  <r>
    <s v="ORD10206"/>
    <s v="C001"/>
    <s v="P202"/>
    <x v="163"/>
    <s v="12/03/2025"/>
    <s v="Amit Sharma"/>
    <s v="Male"/>
    <s v="02/10/1980"/>
    <s v="Mumbai"/>
    <x v="2"/>
    <x v="0"/>
    <s v="Iron"/>
    <n v="18"/>
    <n v="2200"/>
    <n v="15"/>
    <n v="33660"/>
    <n v="4"/>
    <s v="Card"/>
    <s v="Aisha"/>
    <s v="amit.sharma@company.com"/>
    <s v="9934933215"/>
    <s v="Pending"/>
  </r>
  <r>
    <s v="ORD10207"/>
    <s v="C005"/>
    <s v="P102"/>
    <x v="164"/>
    <s v="15/04/2026"/>
    <s v="Vikas Mehta"/>
    <s v="Male"/>
    <s v="24/10/1990"/>
    <s v="Hyderabad"/>
    <x v="0"/>
    <x v="1"/>
    <s v="Mouse"/>
    <n v="18"/>
    <n v="700"/>
    <n v="15"/>
    <n v="10710"/>
    <n v="3"/>
    <s v="Card"/>
    <s v="Karan"/>
    <s v="vikas.mehta@company.com"/>
    <s v="9508025585"/>
    <s v="Cancelled"/>
  </r>
  <r>
    <s v="ORD10208"/>
    <s v="C001"/>
    <s v="P101"/>
    <x v="165"/>
    <s v="20/01/2026"/>
    <s v="Amit Sharma"/>
    <s v="Male"/>
    <s v="24/09/1977"/>
    <s v="Pune"/>
    <x v="2"/>
    <x v="1"/>
    <s v="Laptop"/>
    <n v="12"/>
    <n v="55000"/>
    <n v="0"/>
    <n v="660000"/>
    <n v="2"/>
    <s v="UPI"/>
    <s v="Rahul"/>
    <s v="amit.sharma@company.com"/>
    <s v="9364681052"/>
    <s v="Cancelled"/>
  </r>
  <r>
    <s v="ORD10209"/>
    <s v="C008"/>
    <s v="P104"/>
    <x v="73"/>
    <s v="24/11/2025"/>
    <s v="Kavya Nair"/>
    <s v="Female"/>
    <s v="02/10/1996"/>
    <s v="Mumbai"/>
    <x v="2"/>
    <x v="1"/>
    <s v="Monitor"/>
    <n v="7"/>
    <n v="12000"/>
    <n v="5"/>
    <n v="79800"/>
    <n v="3"/>
    <s v="Card"/>
    <s v="Karan"/>
    <s v="KAvya.nair@company.com"/>
    <s v="9117102884"/>
    <s v="Pending"/>
  </r>
  <r>
    <s v="ORD10210"/>
    <s v="C006"/>
    <s v="P104"/>
    <x v="166"/>
    <s v="23/09/2025"/>
    <s v="Sneha Joshi"/>
    <s v="Female"/>
    <s v="17/05/1976"/>
    <s v="Mumbai"/>
    <x v="2"/>
    <x v="1"/>
    <s v="Monitor"/>
    <n v="8"/>
    <n v="12000"/>
    <n v="15"/>
    <n v="81600"/>
    <n v="4"/>
    <s v="Card"/>
    <s v="Rahul"/>
    <s v="sneha.joshi@company.com"/>
    <s v="9819453185"/>
    <s v="Completed"/>
  </r>
  <r>
    <s v="ORD10211"/>
    <s v="C001"/>
    <s v="P201"/>
    <x v="167"/>
    <s v="27/12/2025"/>
    <s v="Amit Sharma"/>
    <s v="Male"/>
    <s v="09/12/1987"/>
    <s v="Mumbai"/>
    <x v="2"/>
    <x v="0"/>
    <s v="Mixer"/>
    <n v="19"/>
    <n v="3500"/>
    <n v="5"/>
    <n v="63175"/>
    <n v="3"/>
    <s v="Card"/>
    <s v="Aisha"/>
    <s v="amit.sharma@company.com"/>
    <s v="9511806701"/>
    <s v="Pending"/>
  </r>
  <r>
    <s v="ORD10212"/>
    <s v="C006"/>
    <s v="P303"/>
    <x v="143"/>
    <s v="16/02/2025"/>
    <s v="Sneha Joshi"/>
    <s v="Female"/>
    <s v="16/07/1990"/>
    <s v="Ahmedabad"/>
    <x v="2"/>
    <x v="2"/>
    <s v="Marker"/>
    <n v="7"/>
    <n v="45"/>
    <n v="5"/>
    <n v="299.25"/>
    <n v="3"/>
    <s v="Card"/>
    <s v="Ritika"/>
    <s v="sneha.joshi@company.com"/>
    <s v="9875249891"/>
    <s v="Cancelled"/>
  </r>
  <r>
    <s v="ORD10213"/>
    <s v="C008"/>
    <s v="P301"/>
    <x v="168"/>
    <s v="08/06/2025"/>
    <s v="Kavya Nair"/>
    <s v="Female"/>
    <s v="09/08/1991"/>
    <s v="Hyderabad"/>
    <x v="0"/>
    <x v="2"/>
    <s v="Notebook"/>
    <n v="3"/>
    <n v="60"/>
    <n v="15"/>
    <n v="153"/>
    <n v="3"/>
    <s v="NetBanking"/>
    <s v="Rahul"/>
    <s v="KAvya.nair@company.com"/>
    <s v="9438232503"/>
    <s v="Cancelled"/>
  </r>
  <r>
    <s v="ORD10214"/>
    <s v="C010"/>
    <s v="P303"/>
    <x v="169"/>
    <s v="04/05/2026"/>
    <s v="Pooja Shah"/>
    <s v="Female"/>
    <s v="26/12/1977"/>
    <s v="Pune"/>
    <x v="2"/>
    <x v="2"/>
    <s v="Marker"/>
    <n v="19"/>
    <n v="45"/>
    <n v="0"/>
    <n v="855"/>
    <n v="2"/>
    <s v="Cash"/>
    <s v="Aisha"/>
    <s v="pooja.shah@company.com"/>
    <s v="9449953754"/>
    <s v="Completed"/>
  </r>
  <r>
    <s v="ORD10215"/>
    <s v="C002"/>
    <s v="P104"/>
    <x v="170"/>
    <s v="16/03/2026"/>
    <s v="Priya Patel"/>
    <s v="Female"/>
    <s v="04/06/1995"/>
    <s v="Bengaluru"/>
    <x v="0"/>
    <x v="1"/>
    <s v="Monitor"/>
    <n v="10"/>
    <n v="12000"/>
    <n v="5"/>
    <n v="114000"/>
    <n v="1"/>
    <s v="Card"/>
    <s v="Neha"/>
    <s v="priYa.patel@company.com"/>
    <s v="9833801891"/>
    <s v="Cancelled"/>
  </r>
  <r>
    <s v="ORD10216"/>
    <s v="C008"/>
    <s v="P103"/>
    <x v="171"/>
    <s v="12/03/2025"/>
    <s v="Kavya Nair"/>
    <s v="Female"/>
    <s v="16/11/1983"/>
    <s v="Kolkata"/>
    <x v="3"/>
    <x v="1"/>
    <s v="Keyboard"/>
    <n v="4"/>
    <n v="1200"/>
    <n v="0"/>
    <n v="4800"/>
    <n v="4"/>
    <s v="Cash"/>
    <s v="Aisha"/>
    <s v="KAvya.nair@company.com"/>
    <s v="9183949273"/>
    <s v="Completed"/>
  </r>
  <r>
    <s v="ORD10217"/>
    <s v="C005"/>
    <s v="P203"/>
    <x v="79"/>
    <s v="07/11/2025"/>
    <s v="Vikas Mehta"/>
    <s v="Male"/>
    <s v="10/10/1985"/>
    <s v="Bengaluru"/>
    <x v="0"/>
    <x v="0"/>
    <s v="Microwave"/>
    <n v="2"/>
    <n v="8500"/>
    <n v="20"/>
    <n v="13600"/>
    <n v="3"/>
    <s v="Card"/>
    <s v="Karan"/>
    <s v="vikas.mehta@company.com"/>
    <s v="9168257367"/>
    <s v="Completed"/>
  </r>
  <r>
    <s v="ORD10218"/>
    <s v="C007"/>
    <s v="P102"/>
    <x v="172"/>
    <s v="08/02/2026"/>
    <s v="Arjun Rao"/>
    <s v="Male"/>
    <s v="07/01/2002"/>
    <s v="Kolkata"/>
    <x v="3"/>
    <x v="1"/>
    <s v="Mouse"/>
    <n v="7"/>
    <n v="700"/>
    <n v="20"/>
    <n v="3920"/>
    <n v="2"/>
    <s v="Card"/>
    <s v="Karan"/>
    <s v="arjun.rao@company.com"/>
    <s v="9580903210"/>
    <s v="Pending"/>
  </r>
  <r>
    <s v="ORD10219"/>
    <s v="C010"/>
    <s v="P302"/>
    <x v="173"/>
    <s v="03/05/2026"/>
    <s v="Pooja Shah"/>
    <s v="Female"/>
    <s v="18/07/1999"/>
    <s v="Pune"/>
    <x v="2"/>
    <x v="2"/>
    <s v="Pen"/>
    <n v="9"/>
    <n v="20"/>
    <n v="15"/>
    <n v="153"/>
    <n v="3"/>
    <s v="NetBanking"/>
    <s v="Neha"/>
    <s v="pooja.shah@company.com"/>
    <s v="9602152945"/>
    <s v="Completed"/>
  </r>
  <r>
    <s v="ORD10220"/>
    <s v="C002"/>
    <s v="P203"/>
    <x v="174"/>
    <s v="20/05/2025"/>
    <s v="Priya Patel"/>
    <s v="Female"/>
    <s v="02/09/1990"/>
    <s v="Kolkata"/>
    <x v="3"/>
    <x v="0"/>
    <s v="Microwave"/>
    <n v="16"/>
    <n v="8500"/>
    <n v="0"/>
    <n v="136000"/>
    <n v="4"/>
    <s v="NetBanking"/>
    <s v="Ritika"/>
    <s v="priYa.patel@company.com"/>
    <s v="9646917552"/>
    <s v="Completed"/>
  </r>
  <r>
    <s v="ORD10221"/>
    <s v="C006"/>
    <s v="P201"/>
    <x v="175"/>
    <s v="28/03/2026"/>
    <s v="Sneha Joshi"/>
    <s v="Female"/>
    <s v="02/08/1992"/>
    <s v="Delhi"/>
    <x v="1"/>
    <x v="0"/>
    <s v="Mixer"/>
    <n v="10"/>
    <n v="3500"/>
    <n v="5"/>
    <n v="33250"/>
    <n v="3"/>
    <s v="NetBanking"/>
    <s v="Neha"/>
    <s v="sneha.joshi@company.com"/>
    <s v="9127548552"/>
    <s v="Completed"/>
  </r>
  <r>
    <s v="ORD10222"/>
    <s v="C010"/>
    <s v="P104"/>
    <x v="176"/>
    <s v="27/01/2026"/>
    <s v="Pooja Shah"/>
    <s v="Female"/>
    <s v="09/02/1980"/>
    <s v="Kolkata"/>
    <x v="3"/>
    <x v="1"/>
    <s v="Monitor"/>
    <n v="1"/>
    <n v="12000"/>
    <n v="0"/>
    <n v="12000"/>
    <n v="5"/>
    <s v="UPI"/>
    <s v="Neha"/>
    <s v="pooja.shah@company.com"/>
    <s v="9712805603"/>
    <s v="Pending"/>
  </r>
  <r>
    <s v="ORD10223"/>
    <s v="C001"/>
    <s v="P303"/>
    <x v="177"/>
    <s v="10/05/2026"/>
    <s v="Amit Sharma"/>
    <s v="Male"/>
    <s v="18/02/1989"/>
    <s v="Kolkata"/>
    <x v="3"/>
    <x v="2"/>
    <s v="Marker"/>
    <n v="19"/>
    <n v="45"/>
    <n v="15"/>
    <n v="726.75"/>
    <n v="2"/>
    <s v="UPI"/>
    <s v="Karan"/>
    <s v="amit.sharma@company.com"/>
    <s v="9798313682"/>
    <s v="Pending"/>
  </r>
  <r>
    <s v="ORD10224"/>
    <s v="C008"/>
    <s v="P101"/>
    <x v="79"/>
    <s v="02/11/2025"/>
    <s v="Kavya Nair"/>
    <s v="Female"/>
    <s v="10/09/1993"/>
    <s v="Delhi"/>
    <x v="1"/>
    <x v="1"/>
    <s v="Laptop"/>
    <n v="13"/>
    <n v="55000"/>
    <n v="5"/>
    <n v="679250"/>
    <n v="4"/>
    <s v="Card"/>
    <s v="Rahul"/>
    <s v="KAvya.nair@company.com"/>
    <s v="9642822397"/>
    <s v="Cancelled"/>
  </r>
  <r>
    <s v="ORD10225"/>
    <s v="C007"/>
    <s v="P303"/>
    <x v="178"/>
    <s v="26/07/2025"/>
    <s v="Arjun Rao"/>
    <s v="Male"/>
    <s v="17/11/1981"/>
    <s v="Mumbai"/>
    <x v="2"/>
    <x v="2"/>
    <s v="Marker"/>
    <n v="2"/>
    <n v="45"/>
    <n v="15"/>
    <n v="76.5"/>
    <n v="1"/>
    <s v="NetBanking"/>
    <s v="Neha"/>
    <s v="arjun.rao@company.com"/>
    <s v="9490067655"/>
    <s v="Completed"/>
  </r>
  <r>
    <s v="ORD10226"/>
    <s v="C002"/>
    <s v="P302"/>
    <x v="179"/>
    <s v="24/02/2025"/>
    <s v="Priya Patel"/>
    <s v="Female"/>
    <s v="24/08/2003"/>
    <s v="Hyderabad"/>
    <x v="0"/>
    <x v="2"/>
    <s v="Pen"/>
    <n v="8"/>
    <n v="20"/>
    <n v="15"/>
    <n v="136"/>
    <n v="1"/>
    <s v="Card"/>
    <s v="Ritika"/>
    <s v="priYa.patel@company.com"/>
    <s v="9389792144"/>
    <s v="Pending"/>
  </r>
  <r>
    <s v="ORD10227"/>
    <s v="C004"/>
    <s v="P104"/>
    <x v="180"/>
    <s v="01/05/2025"/>
    <s v="Anita Gupta"/>
    <s v="Female"/>
    <s v="19/07/1985"/>
    <s v="Hyderabad"/>
    <x v="0"/>
    <x v="1"/>
    <s v="Monitor"/>
    <n v="9"/>
    <n v="12000"/>
    <n v="5"/>
    <n v="102600"/>
    <n v="2"/>
    <s v="Card"/>
    <s v="Ritika"/>
    <s v="anita.gupta@company.com"/>
    <s v="9736113863"/>
    <s v="Cancelled"/>
  </r>
  <r>
    <s v="ORD10228"/>
    <s v="C009"/>
    <s v="P201"/>
    <x v="181"/>
    <s v="13/06/2025"/>
    <s v="Mohit Verma"/>
    <s v="Male"/>
    <s v="10/05/1994"/>
    <s v="Kolkata"/>
    <x v="3"/>
    <x v="0"/>
    <s v="Mixer"/>
    <n v="3"/>
    <n v="3500"/>
    <n v="15"/>
    <n v="8925"/>
    <n v="1"/>
    <s v="Cash"/>
    <s v="Rahul"/>
    <s v="mohit.verma@company.com"/>
    <s v="9324634732"/>
    <s v="Cancelled"/>
  </r>
  <r>
    <s v="ORD10229"/>
    <s v="C002"/>
    <s v="P102"/>
    <x v="182"/>
    <s v="23/05/2025"/>
    <s v="Priya Patel"/>
    <s v="Female"/>
    <s v="23/03/1993"/>
    <s v="Hyderabad"/>
    <x v="0"/>
    <x v="1"/>
    <s v="Mouse"/>
    <n v="18"/>
    <n v="700"/>
    <n v="20"/>
    <n v="10080"/>
    <n v="1"/>
    <s v="Card"/>
    <s v="Karan"/>
    <s v="priYa.patel@company.com"/>
    <s v="9529968110"/>
    <s v="Completed"/>
  </r>
  <r>
    <s v="ORD10230"/>
    <s v="C009"/>
    <s v="P201"/>
    <x v="183"/>
    <s v="31/01/2026"/>
    <s v="Mohit Verma"/>
    <s v="Male"/>
    <s v="13/06/1979"/>
    <s v="Pune"/>
    <x v="2"/>
    <x v="0"/>
    <s v="Mixer"/>
    <n v="14"/>
    <n v="3500"/>
    <n v="5"/>
    <n v="46550"/>
    <n v="1"/>
    <s v="Cash"/>
    <s v="Aisha"/>
    <s v="mohit.verma@company.com"/>
    <s v="9102417647"/>
    <s v="Completed"/>
  </r>
  <r>
    <s v="ORD10231"/>
    <s v="C002"/>
    <s v="P102"/>
    <x v="168"/>
    <s v="04/06/2025"/>
    <s v="Priya Patel"/>
    <s v="Female"/>
    <s v="24/01/1991"/>
    <s v="Kolkata"/>
    <x v="3"/>
    <x v="1"/>
    <s v="Mouse"/>
    <n v="6"/>
    <n v="700"/>
    <n v="5"/>
    <n v="3990"/>
    <n v="5"/>
    <s v="Cash"/>
    <s v="Ritika"/>
    <s v="priYa.patel@company.com"/>
    <s v="9630302865"/>
    <s v="Completed"/>
  </r>
  <r>
    <s v="ORD10232"/>
    <s v="C002"/>
    <s v="P201"/>
    <x v="184"/>
    <s v="19/06/2025"/>
    <s v="Priya Patel"/>
    <s v="Female"/>
    <s v="22/02/2004"/>
    <s v="Mumbai"/>
    <x v="2"/>
    <x v="0"/>
    <s v="Mixer"/>
    <n v="17"/>
    <n v="3500"/>
    <n v="15"/>
    <n v="50575"/>
    <n v="3"/>
    <s v="NetBanking"/>
    <s v="Rahul"/>
    <s v="priYa.patel@company.com"/>
    <s v="9465353780"/>
    <s v="Pending"/>
  </r>
  <r>
    <s v="ORD10233"/>
    <s v="C006"/>
    <s v="P302"/>
    <x v="185"/>
    <s v="24/01/2026"/>
    <s v="Sneha Joshi"/>
    <s v="Female"/>
    <s v="25/04/1977"/>
    <s v="Kolkata"/>
    <x v="3"/>
    <x v="2"/>
    <s v="Pen"/>
    <n v="7"/>
    <n v="20"/>
    <n v="5"/>
    <n v="133"/>
    <n v="2"/>
    <s v="UPI"/>
    <s v="Karan"/>
    <s v="sneha.joshi@company.com"/>
    <s v="9837426414"/>
    <s v="Completed"/>
  </r>
  <r>
    <s v="ORD10234"/>
    <s v="C008"/>
    <s v="P202"/>
    <x v="186"/>
    <s v="04/03/2026"/>
    <s v="Kavya Nair"/>
    <s v="Female"/>
    <s v="22/07/1994"/>
    <s v="Bengaluru"/>
    <x v="0"/>
    <x v="0"/>
    <s v="Iron"/>
    <n v="15"/>
    <n v="2200"/>
    <n v="20"/>
    <n v="26400"/>
    <n v="2"/>
    <s v="Cash"/>
    <s v="Aisha"/>
    <s v="KAvya.nair@company.com"/>
    <s v="9249918272"/>
    <s v="Completed"/>
  </r>
  <r>
    <s v="ORD10235"/>
    <s v="C009"/>
    <s v="P302"/>
    <x v="116"/>
    <s v="25/02/2026"/>
    <s v="Mohit Verma"/>
    <s v="Male"/>
    <s v="11/11/1979"/>
    <s v="Mumbai"/>
    <x v="2"/>
    <x v="2"/>
    <s v="Pen"/>
    <n v="5"/>
    <n v="20"/>
    <n v="0"/>
    <n v="100"/>
    <n v="3"/>
    <s v="Cash"/>
    <s v="Karan"/>
    <s v="mohit.verma@company.com"/>
    <s v="9265580582"/>
    <s v="Completed"/>
  </r>
  <r>
    <s v="ORD10236"/>
    <s v="C003"/>
    <s v="P104"/>
    <x v="187"/>
    <s v="14/07/2025"/>
    <s v="Rohit Singh"/>
    <s v="Male"/>
    <s v="27/05/1995"/>
    <s v="Delhi"/>
    <x v="1"/>
    <x v="1"/>
    <s v="Monitor"/>
    <n v="8"/>
    <n v="12000"/>
    <n v="20"/>
    <n v="76800"/>
    <n v="3"/>
    <s v="Card"/>
    <s v="Aisha"/>
    <s v="rohit.singh@company.com"/>
    <s v="9751049833"/>
    <s v="Pending"/>
  </r>
  <r>
    <s v="ORD10237"/>
    <s v="C003"/>
    <s v="P201"/>
    <x v="188"/>
    <s v="16/02/2025"/>
    <s v="Rohit Singh"/>
    <s v="Male"/>
    <s v="18/06/1998"/>
    <s v="Mumbai"/>
    <x v="2"/>
    <x v="0"/>
    <s v="Mixer"/>
    <n v="4"/>
    <n v="3500"/>
    <n v="20"/>
    <n v="11200"/>
    <n v="1"/>
    <s v="Card"/>
    <s v="Neha"/>
    <s v="rohit.singh@company.com"/>
    <s v="9741671507"/>
    <s v="Completed"/>
  </r>
  <r>
    <s v="ORD10238"/>
    <s v="C005"/>
    <s v="P303"/>
    <x v="98"/>
    <s v="04/03/2025"/>
    <s v="Vikas Mehta"/>
    <s v="Male"/>
    <s v="21/01/1983"/>
    <s v="Hyderabad"/>
    <x v="0"/>
    <x v="2"/>
    <s v="Marker"/>
    <n v="19"/>
    <n v="45"/>
    <n v="10"/>
    <n v="769.5"/>
    <n v="1"/>
    <s v="Cash"/>
    <s v="Neha"/>
    <s v="vikas.mehta@company.com"/>
    <s v="9367541035"/>
    <s v="Completed"/>
  </r>
  <r>
    <s v="ORD10239"/>
    <s v="C010"/>
    <s v="P303"/>
    <x v="189"/>
    <s v="06/02/2026"/>
    <s v="Pooja Shah"/>
    <s v="Female"/>
    <s v="03/03/1978"/>
    <s v="Pune"/>
    <x v="2"/>
    <x v="2"/>
    <s v="Marker"/>
    <n v="10"/>
    <n v="45"/>
    <n v="0"/>
    <n v="450"/>
    <n v="4"/>
    <s v="UPI"/>
    <s v="Aisha"/>
    <s v="pooja.shah@company.com"/>
    <s v="9323696971"/>
    <s v="Completed"/>
  </r>
  <r>
    <s v="ORD10240"/>
    <s v="C010"/>
    <s v="P303"/>
    <x v="190"/>
    <s v="17/01/2026"/>
    <s v="Pooja Shah"/>
    <s v="Female"/>
    <s v="24/06/1997"/>
    <s v="Hyderabad"/>
    <x v="0"/>
    <x v="2"/>
    <s v="Marker"/>
    <n v="16"/>
    <n v="45"/>
    <n v="15"/>
    <n v="612"/>
    <n v="3"/>
    <s v="Cash"/>
    <s v="Neha"/>
    <s v="pooja.shah@company.com"/>
    <s v="9786384529"/>
    <s v="Cancelled"/>
  </r>
  <r>
    <s v="ORD10241"/>
    <s v="C004"/>
    <s v="P203"/>
    <x v="8"/>
    <s v="27/03/2025"/>
    <s v="Anita Gupta"/>
    <s v="Female"/>
    <s v="25/08/1976"/>
    <s v="Pune"/>
    <x v="2"/>
    <x v="0"/>
    <s v="Microwave"/>
    <n v="16"/>
    <n v="8500"/>
    <n v="15"/>
    <n v="115600"/>
    <n v="4"/>
    <s v="NetBanking"/>
    <s v="Ritika"/>
    <s v="anita.gupta@company.com"/>
    <s v="9444900541"/>
    <s v="Cancelled"/>
  </r>
  <r>
    <s v="ORD10242"/>
    <s v="C004"/>
    <s v="P302"/>
    <x v="61"/>
    <s v="12/09/2025"/>
    <s v="Anita Gupta"/>
    <s v="Female"/>
    <s v="04/04/1996"/>
    <s v="Kolkata"/>
    <x v="3"/>
    <x v="2"/>
    <s v="Pen"/>
    <n v="15"/>
    <n v="20"/>
    <n v="20"/>
    <n v="240"/>
    <n v="3"/>
    <s v="NetBanking"/>
    <s v="Rahul"/>
    <s v="anita.gupta@company.com"/>
    <s v="9108024911"/>
    <s v="Cancelled"/>
  </r>
  <r>
    <s v="ORD10243"/>
    <s v="C007"/>
    <s v="P301"/>
    <x v="60"/>
    <s v="13/01/2026"/>
    <s v="Arjun Rao"/>
    <s v="Male"/>
    <s v="09/10/2001"/>
    <s v="Bengaluru"/>
    <x v="0"/>
    <x v="2"/>
    <s v="Notebook"/>
    <n v="14"/>
    <n v="60"/>
    <n v="5"/>
    <n v="798"/>
    <n v="4"/>
    <s v="Cash"/>
    <s v="Rahul"/>
    <s v="arjun.rao@company.com"/>
    <s v="9897181325"/>
    <s v="Completed"/>
  </r>
  <r>
    <s v="ORD10244"/>
    <s v="C010"/>
    <s v="P103"/>
    <x v="191"/>
    <s v="19/05/2026"/>
    <s v="Pooja Shah"/>
    <s v="Female"/>
    <s v="11/04/1995"/>
    <s v="Mumbai"/>
    <x v="2"/>
    <x v="1"/>
    <s v="Keyboard"/>
    <n v="19"/>
    <n v="1200"/>
    <n v="20"/>
    <n v="18240"/>
    <n v="2"/>
    <s v="Cash"/>
    <s v="Neha"/>
    <s v="pooja.shah@company.com"/>
    <s v="9554719621"/>
    <s v="Cancelled"/>
  </r>
  <r>
    <s v="ORD10245"/>
    <s v="C008"/>
    <s v="P303"/>
    <x v="43"/>
    <s v="14/10/2025"/>
    <s v="Kavya Nair"/>
    <s v="Female"/>
    <s v="04/05/2000"/>
    <s v="Bengaluru"/>
    <x v="0"/>
    <x v="2"/>
    <s v="Marker"/>
    <n v="5"/>
    <n v="45"/>
    <n v="15"/>
    <n v="191.25"/>
    <n v="2"/>
    <s v="Cash"/>
    <s v="Aisha"/>
    <s v="KAvya.nair@company.com"/>
    <s v="9815899217"/>
    <s v="Cancelled"/>
  </r>
  <r>
    <s v="ORD10246"/>
    <s v="C001"/>
    <s v="P102"/>
    <x v="192"/>
    <s v="01/06/2025"/>
    <s v="Amit Sharma"/>
    <s v="Male"/>
    <s v="01/03/2002"/>
    <s v="Hyderabad"/>
    <x v="0"/>
    <x v="1"/>
    <s v="Mouse"/>
    <n v="19"/>
    <n v="700"/>
    <n v="5"/>
    <n v="12635"/>
    <n v="5"/>
    <s v="UPI"/>
    <s v="Karan"/>
    <s v="amit.sharma@company.com"/>
    <s v="9308497039"/>
    <s v="Completed"/>
  </r>
  <r>
    <s v="ORD10247"/>
    <s v="C003"/>
    <s v="P301"/>
    <x v="109"/>
    <s v="04/01/2026"/>
    <s v="Rohit Singh"/>
    <s v="Male"/>
    <s v="27/05/1975"/>
    <s v="Kolkata"/>
    <x v="3"/>
    <x v="2"/>
    <s v="Notebook"/>
    <n v="7"/>
    <n v="60"/>
    <n v="0"/>
    <n v="420"/>
    <n v="4"/>
    <s v="Cash"/>
    <s v="Neha"/>
    <s v="rohit.singh@company.com"/>
    <s v="9882054354"/>
    <s v="Pending"/>
  </r>
  <r>
    <s v="ORD10248"/>
    <s v="C009"/>
    <s v="P202"/>
    <x v="22"/>
    <s v="02/01/2026"/>
    <s v="Mohit Verma"/>
    <s v="Male"/>
    <s v="02/12/1988"/>
    <s v="Mumbai"/>
    <x v="2"/>
    <x v="0"/>
    <s v="Iron"/>
    <n v="13"/>
    <n v="2200"/>
    <n v="10"/>
    <n v="25740"/>
    <n v="1"/>
    <s v="Card"/>
    <s v="Karan"/>
    <s v="mohit.verma@company.com"/>
    <s v="9193016830"/>
    <s v="Completed"/>
  </r>
  <r>
    <s v="ORD10249"/>
    <s v="C009"/>
    <s v="P202"/>
    <x v="193"/>
    <s v="05/01/2026"/>
    <s v="Mohit Verma"/>
    <s v="Male"/>
    <s v="06/12/1984"/>
    <s v="Bengaluru"/>
    <x v="0"/>
    <x v="0"/>
    <s v="Iron"/>
    <n v="9"/>
    <n v="2200"/>
    <n v="10"/>
    <n v="17820"/>
    <n v="2"/>
    <s v="Crypto"/>
    <s v="Aisha"/>
    <s v="mohit.verma@company.com"/>
    <s v="9921470418"/>
    <s v="Cancelled"/>
  </r>
  <r>
    <s v="ORD10250"/>
    <s v="C001"/>
    <s v="P203"/>
    <x v="151"/>
    <s v="17/05/2025"/>
    <s v="Amit Sharma"/>
    <s v="Male"/>
    <s v="01/05/1990"/>
    <s v="Bengaluru"/>
    <x v="0"/>
    <x v="0"/>
    <s v="Microwave"/>
    <n v="6"/>
    <n v="8500"/>
    <n v="15"/>
    <n v="43350"/>
    <n v="2"/>
    <s v="Cash"/>
    <s v="Karan"/>
    <s v="amit.sharma@company.com"/>
    <s v="9686979026"/>
    <s v="Cancelled"/>
  </r>
  <r>
    <s v="ORD10251"/>
    <s v="C005"/>
    <s v="P202"/>
    <x v="116"/>
    <s v="25/02/2026"/>
    <s v="Vikas Mehta"/>
    <s v="Male"/>
    <s v="09/02/1988"/>
    <s v="Delhi"/>
    <x v="1"/>
    <x v="0"/>
    <s v="Iron"/>
    <n v="9"/>
    <n v="2200"/>
    <n v="10"/>
    <n v="17820"/>
    <n v="3"/>
    <s v="Card"/>
    <s v="Ritika"/>
    <s v="vikas.mehta@company.com"/>
    <s v="9569007422"/>
    <s v="Pending"/>
  </r>
  <r>
    <s v="ORD10252"/>
    <s v="C008"/>
    <s v="P203"/>
    <x v="194"/>
    <s v="26/03/2025"/>
    <s v="Kavya Nair"/>
    <s v="Female"/>
    <s v="28/03/1982"/>
    <s v="Kolkata"/>
    <x v="3"/>
    <x v="0"/>
    <s v="Microwave"/>
    <n v="16"/>
    <n v="8500"/>
    <n v="0"/>
    <n v="136000"/>
    <n v="5"/>
    <s v="UPI"/>
    <s v="Neha"/>
    <s v="KAvya.nair@company.com"/>
    <s v="9180820441"/>
    <s v="Cancelled"/>
  </r>
  <r>
    <s v="ORD10253"/>
    <s v="C001"/>
    <s v="P103"/>
    <x v="195"/>
    <s v="16/12/2025"/>
    <s v="Amit Sharma"/>
    <s v="Male"/>
    <s v="28/12/1976"/>
    <s v="Delhi"/>
    <x v="1"/>
    <x v="1"/>
    <s v="Keyboard"/>
    <n v="10"/>
    <n v="1200"/>
    <n v="15"/>
    <n v="10200"/>
    <n v="5"/>
    <s v="Cash"/>
    <s v="Rahul"/>
    <s v="amit.sharma@company.com"/>
    <s v="9769075826"/>
    <s v="Completed"/>
  </r>
  <r>
    <s v="ORD10254"/>
    <s v="C003"/>
    <s v="P104"/>
    <x v="55"/>
    <s v="15/03/2025"/>
    <s v="Rohit Singh"/>
    <s v="Male"/>
    <s v="03/08/2003"/>
    <s v="Kolkata"/>
    <x v="3"/>
    <x v="1"/>
    <s v="Monitor"/>
    <n v="7"/>
    <n v="12000"/>
    <n v="0"/>
    <n v="84000"/>
    <n v="1"/>
    <s v="UPI"/>
    <s v="Karan"/>
    <s v="rohit.singh@company.com"/>
    <s v="9467916296"/>
    <s v="Pending"/>
  </r>
  <r>
    <s v="ORD10255"/>
    <s v="C005"/>
    <s v="P104"/>
    <x v="9"/>
    <s v="01/10/2025"/>
    <s v="Vikas Mehta"/>
    <s v="Male"/>
    <s v="06/05/1986"/>
    <s v="Pune"/>
    <x v="2"/>
    <x v="1"/>
    <s v="Monitor"/>
    <n v="3"/>
    <n v="12000"/>
    <n v="10"/>
    <n v="32400"/>
    <n v="4"/>
    <s v="Card"/>
    <s v="Karan"/>
    <s v="vikas.mehta@company.com"/>
    <s v="9477052923"/>
    <s v="Completed"/>
  </r>
  <r>
    <s v="ORD10256"/>
    <s v="C005"/>
    <s v="P104"/>
    <x v="196"/>
    <s v="09/11/2025"/>
    <s v="Vikas Mehta"/>
    <s v="Male"/>
    <s v="04/02/1989"/>
    <s v="Hyderabad"/>
    <x v="0"/>
    <x v="1"/>
    <s v="Monitor"/>
    <n v="4"/>
    <n v="12000"/>
    <n v="15"/>
    <n v="40800"/>
    <n v="3"/>
    <s v="Card"/>
    <s v="Ritika"/>
    <s v="vikas.mehta@company.com"/>
    <s v="9184311420"/>
    <s v="Pending"/>
  </r>
  <r>
    <s v="ORD10257"/>
    <s v="C003"/>
    <s v="P104"/>
    <x v="29"/>
    <s v="18/06/2025"/>
    <s v="Rohit Singh"/>
    <s v="Male"/>
    <s v="08/02/1980"/>
    <s v="Hyderabad"/>
    <x v="0"/>
    <x v="1"/>
    <s v="Monitor"/>
    <n v="13"/>
    <n v="12000"/>
    <n v="10"/>
    <n v="140400"/>
    <n v="2"/>
    <s v="Cash"/>
    <s v="Karan"/>
    <s v="rohit.singh@company.com"/>
    <s v="9630913127"/>
    <s v="Cancelled"/>
  </r>
  <r>
    <s v="ORD10258"/>
    <s v="C008"/>
    <s v="P201"/>
    <x v="39"/>
    <s v="11/06/2025"/>
    <s v="Kavya Nair"/>
    <s v="Female"/>
    <s v="13/01/1985"/>
    <s v="Bengaluru"/>
    <x v="0"/>
    <x v="0"/>
    <s v="Mixer"/>
    <n v="19"/>
    <n v="3500"/>
    <n v="20"/>
    <n v="53200"/>
    <n v="1"/>
    <s v="Cash"/>
    <s v="Aisha"/>
    <s v="KAvya.nair@company.com"/>
    <s v="9997515828"/>
    <s v="Cancelled"/>
  </r>
  <r>
    <s v="ORD10259"/>
    <s v="C008"/>
    <s v="P202"/>
    <x v="148"/>
    <s v="12/02/2025"/>
    <s v="Kavya Nair"/>
    <s v="Female"/>
    <s v="24/07/1979"/>
    <s v="Mumbai"/>
    <x v="2"/>
    <x v="0"/>
    <s v="Iron"/>
    <n v="7"/>
    <n v="2200"/>
    <n v="5"/>
    <n v="14630"/>
    <n v="3"/>
    <s v="UPI"/>
    <s v="Aisha"/>
    <s v="KAvya.nair@company.com"/>
    <s v="9394291182"/>
    <s v="Cancelled"/>
  </r>
  <r>
    <s v="ORD10260"/>
    <s v="C007"/>
    <s v="P102"/>
    <x v="197"/>
    <s v="13/05/2026"/>
    <s v="Arjun Rao"/>
    <s v="Male"/>
    <s v="03/08/1993"/>
    <s v="Jaipur"/>
    <x v="1"/>
    <x v="1"/>
    <s v="Mouse"/>
    <n v="18"/>
    <n v="700"/>
    <n v="5"/>
    <n v="11970"/>
    <n v="2"/>
    <s v="UPI"/>
    <s v="Aisha"/>
    <s v="arjun.rao@company.com"/>
    <s v="9616853220"/>
    <s v="Cancelled"/>
  </r>
  <r>
    <s v="ORD10261"/>
    <s v="C008"/>
    <s v="P302"/>
    <x v="178"/>
    <s v="30/07/2025"/>
    <s v="Kavya Nair"/>
    <s v="Female"/>
    <s v="23/08/1975"/>
    <s v="Kolkata"/>
    <x v="3"/>
    <x v="2"/>
    <s v="Pen"/>
    <n v="11"/>
    <n v="20"/>
    <n v="0"/>
    <n v="220"/>
    <n v="2"/>
    <s v="NetBanking"/>
    <s v="Neha"/>
    <s v="KAvya.nair@company.com"/>
    <s v="9147552626"/>
    <s v="Cancelled"/>
  </r>
  <r>
    <s v="ORD10262"/>
    <s v="C001"/>
    <s v="P104"/>
    <x v="171"/>
    <s v="07/03/2025"/>
    <s v="Amit Sharma"/>
    <s v="Male"/>
    <s v="23/04/1978"/>
    <s v="Pune"/>
    <x v="2"/>
    <x v="1"/>
    <s v="Monitor"/>
    <n v="17"/>
    <n v="12000"/>
    <n v="20"/>
    <n v="163200"/>
    <n v="4"/>
    <s v="UPI"/>
    <s v="Karan"/>
    <s v="amit.sharma@company.com"/>
    <s v="9724197033"/>
    <s v="Completed"/>
  </r>
  <r>
    <s v="ORD10263"/>
    <s v="C006"/>
    <s v="P202"/>
    <x v="198"/>
    <s v="13/07/2025"/>
    <s v="Sneha Joshi"/>
    <s v="Female"/>
    <s v="25/09/2003"/>
    <s v="Kolkata"/>
    <x v="3"/>
    <x v="0"/>
    <s v="Iron"/>
    <n v="4"/>
    <n v="2200"/>
    <n v="5"/>
    <n v="8360"/>
    <n v="2"/>
    <s v="Cash"/>
    <s v="Ritika"/>
    <s v="sneha.joshi@company.com"/>
    <s v="9130666128"/>
    <s v="Completed"/>
  </r>
  <r>
    <s v="ORD10264"/>
    <s v="C008"/>
    <s v="P101"/>
    <x v="199"/>
    <s v="19/12/2025"/>
    <s v="Kavya Nair"/>
    <s v="Female"/>
    <s v="09/04/2002"/>
    <s v="Ahmedabad"/>
    <x v="2"/>
    <x v="1"/>
    <s v="Laptop"/>
    <n v="6"/>
    <n v="55000"/>
    <n v="20"/>
    <n v="264000"/>
    <n v="2"/>
    <s v="UPI"/>
    <s v="Karan"/>
    <s v="KAvya.nair@company.com"/>
    <s v="9866567601"/>
    <s v="Cancelled"/>
  </r>
  <r>
    <s v="ORD10265"/>
    <s v="C009"/>
    <s v="P203"/>
    <x v="4"/>
    <s v="14/01/2026"/>
    <s v="Mohit Verma"/>
    <s v="Male"/>
    <s v="24/09/1985"/>
    <s v="Delhi"/>
    <x v="1"/>
    <x v="0"/>
    <s v="Microwave"/>
    <n v="6"/>
    <n v="8500"/>
    <n v="10"/>
    <n v="45900"/>
    <n v="5"/>
    <s v="UPI"/>
    <s v="Aisha"/>
    <s v="mohit.verma@company.com"/>
    <s v="9477282450"/>
    <s v="Completed"/>
  </r>
  <r>
    <s v="ORD10266"/>
    <s v="C008"/>
    <s v="P302"/>
    <x v="84"/>
    <s v="25/08/2025"/>
    <s v="Kavya Nair"/>
    <s v="Female"/>
    <s v="12/12/1984"/>
    <s v="Jaipur"/>
    <x v="1"/>
    <x v="2"/>
    <s v="Pen"/>
    <n v="6"/>
    <n v="20"/>
    <n v="15"/>
    <n v="102"/>
    <n v="2"/>
    <s v="UPI"/>
    <s v="Rahul"/>
    <s v="KAvya.nair@company.com"/>
    <s v="9857621478"/>
    <s v="Cancelled"/>
  </r>
  <r>
    <s v="ORD10267"/>
    <s v="C010"/>
    <s v="P301"/>
    <x v="200"/>
    <s v="11/05/2025"/>
    <s v="Pooja Shah"/>
    <s v="Female"/>
    <s v="20/07/1984"/>
    <s v="Mumbai"/>
    <x v="2"/>
    <x v="2"/>
    <s v="Notebook"/>
    <n v="6"/>
    <n v="60"/>
    <n v="5"/>
    <n v="342"/>
    <n v="1"/>
    <s v="NetBanking"/>
    <s v="Aisha"/>
    <s v="pooja.shah@company.com"/>
    <s v="9753869055"/>
    <s v="Completed"/>
  </r>
  <r>
    <s v="ORD10268"/>
    <s v="C003"/>
    <s v="P203"/>
    <x v="201"/>
    <s v="12/01/2025"/>
    <s v="Rohit Singh"/>
    <s v="Male"/>
    <s v="15/03/1988"/>
    <s v="Hyderabad"/>
    <x v="0"/>
    <x v="0"/>
    <s v="Microwave"/>
    <n v="19"/>
    <n v="8500"/>
    <n v="0"/>
    <n v="161500"/>
    <n v="5"/>
    <s v="UPI"/>
    <s v="Karan"/>
    <s v="rohit.singh@company.com"/>
    <s v="9663266204"/>
    <s v="Completed"/>
  </r>
  <r>
    <s v="ORD10269"/>
    <s v="C006"/>
    <s v="P101"/>
    <x v="61"/>
    <s v="10/09/2025"/>
    <s v="Sneha Joshi"/>
    <s v="Female"/>
    <s v="27/05/1987"/>
    <s v="Jaipur"/>
    <x v="1"/>
    <x v="1"/>
    <s v="Laptop"/>
    <n v="8"/>
    <n v="55000"/>
    <n v="0"/>
    <n v="440000"/>
    <n v="3"/>
    <s v="Card"/>
    <s v="Neha"/>
    <s v="sneha.joshi@company.com"/>
    <s v="9675208616"/>
    <s v="Pending"/>
  </r>
  <r>
    <s v="ORD10270"/>
    <s v="C009"/>
    <s v="P104"/>
    <x v="177"/>
    <s v="07/05/2026"/>
    <s v="Mohit Verma"/>
    <s v="Male"/>
    <s v="25/10/1988"/>
    <s v="Kolkata"/>
    <x v="3"/>
    <x v="1"/>
    <s v="Monitor"/>
    <n v="18"/>
    <n v="12000"/>
    <n v="20"/>
    <n v="172800"/>
    <n v="5"/>
    <s v="UPI"/>
    <s v="Aisha"/>
    <s v="mohit.verma@company.com"/>
    <s v="9618393586"/>
    <s v="Cancelled"/>
  </r>
  <r>
    <s v="ORD10271"/>
    <s v="C003"/>
    <s v="P203"/>
    <x v="202"/>
    <s v="26/04/2025"/>
    <s v="Rohit Singh"/>
    <s v="Male"/>
    <s v="12/12/1990"/>
    <s v="Ahmedabad"/>
    <x v="2"/>
    <x v="0"/>
    <s v="Microwave"/>
    <n v="8"/>
    <n v="8500"/>
    <n v="5"/>
    <n v="64600"/>
    <n v="2"/>
    <s v="Card"/>
    <s v="Aisha"/>
    <s v="rohit.singh@company.com"/>
    <s v="9137027840"/>
    <s v="Cancelled"/>
  </r>
  <r>
    <s v="ORD10272"/>
    <s v="C008"/>
    <s v="P302"/>
    <x v="203"/>
    <s v="18/08/2025"/>
    <s v="Kavya Nair"/>
    <s v="Female"/>
    <s v="23/02/1981"/>
    <s v="Mumbai"/>
    <x v="2"/>
    <x v="2"/>
    <s v="Pen"/>
    <n v="13"/>
    <n v="20"/>
    <n v="5"/>
    <n v="247"/>
    <n v="3"/>
    <s v="NetBanking"/>
    <s v="Neha"/>
    <s v="KAvya.nair@company.com"/>
    <s v="9362758134"/>
    <s v="Pending"/>
  </r>
  <r>
    <s v="ORD10273"/>
    <s v="C007"/>
    <s v="P301"/>
    <x v="117"/>
    <s v="16/04/2026"/>
    <s v="Arjun Rao"/>
    <s v="Male"/>
    <s v="03/04/1985"/>
    <s v="Jaipur"/>
    <x v="1"/>
    <x v="2"/>
    <s v="Notebook"/>
    <n v="1"/>
    <n v="60"/>
    <n v="15"/>
    <n v="51"/>
    <n v="2"/>
    <s v="Card"/>
    <s v="Aisha"/>
    <s v="arjun.rao@company.com"/>
    <s v="9648541985"/>
    <s v="Cancelled"/>
  </r>
  <r>
    <s v="ORD10274"/>
    <s v="C010"/>
    <s v="P302"/>
    <x v="204"/>
    <s v="28/06/2025"/>
    <s v="Pooja Shah"/>
    <s v="Female"/>
    <s v="06/08/1976"/>
    <s v="Pune"/>
    <x v="2"/>
    <x v="2"/>
    <s v="Pen"/>
    <n v="5"/>
    <n v="20"/>
    <n v="5"/>
    <n v="95"/>
    <n v="2"/>
    <s v="NetBanking"/>
    <s v="Rahul"/>
    <s v="pooja.shah@company.com"/>
    <s v="9175002781"/>
    <s v="Pending"/>
  </r>
  <r>
    <s v="ORD10275"/>
    <s v="C005"/>
    <s v="P302"/>
    <x v="205"/>
    <s v="24/05/2025"/>
    <s v="Vikas Mehta"/>
    <s v="Male"/>
    <s v="13/05/1978"/>
    <s v="Kolkata"/>
    <x v="3"/>
    <x v="2"/>
    <s v="Pen"/>
    <n v="19"/>
    <n v="20"/>
    <n v="20"/>
    <n v="304"/>
    <n v="3"/>
    <s v="Cash"/>
    <s v="Ritika"/>
    <s v="vikas.mehta@company.com"/>
    <s v="9786241263"/>
    <s v="Cancelled"/>
  </r>
  <r>
    <s v="ORD10276"/>
    <s v="C002"/>
    <s v="P303"/>
    <x v="206"/>
    <s v="07/04/2025"/>
    <s v="Priya Patel"/>
    <s v="Female"/>
    <s v="19/08/1998"/>
    <s v="Ahmedabad"/>
    <x v="2"/>
    <x v="2"/>
    <s v="Marker"/>
    <n v="17"/>
    <n v="45"/>
    <n v="5"/>
    <n v="726.75"/>
    <n v="4"/>
    <s v="Cash"/>
    <s v="Neha"/>
    <s v="priYa.patel@company.com"/>
    <s v="9691078176"/>
    <s v="Pending"/>
  </r>
  <r>
    <s v="ORD10277"/>
    <s v="C007"/>
    <s v="P102"/>
    <x v="207"/>
    <s v="22/02/2026"/>
    <s v="Arjun Rao"/>
    <s v="Male"/>
    <s v="20/10/1975"/>
    <s v="Bengaluru"/>
    <x v="0"/>
    <x v="1"/>
    <s v="Mouse"/>
    <n v="8"/>
    <n v="700"/>
    <n v="15"/>
    <n v="4760"/>
    <n v="4"/>
    <s v="NetBanking"/>
    <s v="Ritika"/>
    <s v="arjun.rao@company.com"/>
    <s v="9336679085"/>
    <s v="Pending"/>
  </r>
  <r>
    <s v="ORD10278"/>
    <s v="C004"/>
    <s v="P202"/>
    <x v="208"/>
    <s v="29/01/2026"/>
    <s v="Anita Gupta"/>
    <s v="Female"/>
    <s v="28/09/1975"/>
    <s v="Mumbai"/>
    <x v="2"/>
    <x v="0"/>
    <s v="Iron"/>
    <n v="15"/>
    <n v="2200"/>
    <n v="10"/>
    <n v="29700"/>
    <n v="5"/>
    <s v="UPI"/>
    <s v="Karan"/>
    <s v="anita.gupta@company.com"/>
    <s v="9497351043"/>
    <s v="Completed"/>
  </r>
  <r>
    <s v="ORD10279"/>
    <s v="C002"/>
    <s v="P202"/>
    <x v="209"/>
    <s v="29/09/2025"/>
    <s v="Priya Patel"/>
    <s v="Female"/>
    <s v="23/09/2002"/>
    <s v="Mumbai"/>
    <x v="2"/>
    <x v="0"/>
    <s v="Iron"/>
    <n v="1"/>
    <n v="2200"/>
    <n v="0"/>
    <n v="2200"/>
    <n v="4"/>
    <s v="Cash"/>
    <s v="Rahul"/>
    <s v="priYa.patel@company.com"/>
    <s v="9357038998"/>
    <s v="Cancelled"/>
  </r>
  <r>
    <s v="ORD10280"/>
    <s v="C006"/>
    <s v="P201"/>
    <x v="138"/>
    <s v="30/06/2025"/>
    <s v="Sneha Joshi"/>
    <s v="Female"/>
    <s v="17/06/1988"/>
    <s v="Ahmedabad"/>
    <x v="2"/>
    <x v="0"/>
    <s v="Mixer"/>
    <n v="10"/>
    <n v="3500"/>
    <n v="10"/>
    <n v="31500"/>
    <n v="4"/>
    <s v="NetBanking"/>
    <s v="Ritika"/>
    <s v="sneha.joshi@company.com"/>
    <s v="9986371291"/>
    <s v="Cancelled"/>
  </r>
  <r>
    <s v="ORD10281"/>
    <s v="C009"/>
    <s v="P201"/>
    <x v="210"/>
    <s v="16/05/2025"/>
    <s v="Mohit Verma"/>
    <s v="Male"/>
    <s v="02/02/1991"/>
    <s v="Jaipur"/>
    <x v="1"/>
    <x v="0"/>
    <s v="Mixer"/>
    <n v="16"/>
    <n v="3500"/>
    <n v="15"/>
    <n v="47600"/>
    <n v="1"/>
    <s v="Card"/>
    <s v="Neha"/>
    <s v="mohit.verma@company.com"/>
    <s v="9397839191"/>
    <s v="Pending"/>
  </r>
  <r>
    <s v="ORD10282"/>
    <s v="C006"/>
    <s v="P104"/>
    <x v="211"/>
    <s v="18/09/2025"/>
    <s v="Sneha Joshi"/>
    <s v="Female"/>
    <s v="09/08/1978"/>
    <s v="Jaipur"/>
    <x v="1"/>
    <x v="1"/>
    <s v="Monitor"/>
    <n v="1"/>
    <n v="12000"/>
    <n v="0"/>
    <n v="12000"/>
    <n v="4"/>
    <s v="NetBanking"/>
    <s v="Neha"/>
    <s v="sneha.joshi@company.com"/>
    <s v="9162975843"/>
    <s v="Cancelled"/>
  </r>
  <r>
    <s v="ORD10283"/>
    <s v="C007"/>
    <s v="P102"/>
    <x v="212"/>
    <s v="29/04/2025"/>
    <s v="Arjun Rao"/>
    <s v="Male"/>
    <s v="02/02/1994"/>
    <s v="Mumbai"/>
    <x v="2"/>
    <x v="1"/>
    <s v="Mouse"/>
    <n v="6"/>
    <n v="700"/>
    <n v="20"/>
    <n v="3360"/>
    <n v="2"/>
    <s v="NetBanking"/>
    <s v="Neha"/>
    <s v="arjun.rao@company.com"/>
    <s v="9237616558"/>
    <s v="Pending"/>
  </r>
  <r>
    <s v="ORD10284"/>
    <s v="C009"/>
    <s v="P202"/>
    <x v="213"/>
    <s v="27/02/2026"/>
    <s v="Mohit Verma"/>
    <s v="Male"/>
    <s v="28/03/1995"/>
    <s v="Ahmedabad"/>
    <x v="2"/>
    <x v="0"/>
    <s v="Iron"/>
    <n v="3"/>
    <n v="2200"/>
    <n v="0"/>
    <n v="6600"/>
    <n v="4"/>
    <s v="Card"/>
    <s v="Ritika"/>
    <s v="mohit.verma@company.com"/>
    <s v="9935063989"/>
    <s v="Completed"/>
  </r>
  <r>
    <s v="ORD10285"/>
    <s v="C006"/>
    <s v="P303"/>
    <x v="193"/>
    <s v="01/01/2026"/>
    <s v="Sneha Joshi"/>
    <s v="Female"/>
    <s v="12/03/1992"/>
    <s v="Hyderabad"/>
    <x v="0"/>
    <x v="2"/>
    <s v="Marker"/>
    <n v="6"/>
    <n v="45"/>
    <n v="15"/>
    <n v="229.5"/>
    <n v="1"/>
    <s v="UPI"/>
    <s v="Rahul"/>
    <s v="sneha.joshi@company.com"/>
    <s v="9167376169"/>
    <s v="Completed"/>
  </r>
  <r>
    <s v="ORD10286"/>
    <s v="C006"/>
    <s v="P103"/>
    <x v="214"/>
    <s v="30/09/2025"/>
    <s v="Sneha Joshi"/>
    <s v="Female"/>
    <s v="23/01/1981"/>
    <s v="Bengaluru"/>
    <x v="0"/>
    <x v="1"/>
    <s v="Keyboard"/>
    <n v="2"/>
    <n v="1200"/>
    <n v="0"/>
    <n v="2400"/>
    <n v="1"/>
    <s v="Cash"/>
    <s v="Karan"/>
    <s v="sneha.joshi@company.com"/>
    <s v="9231845497"/>
    <s v="Cancelled"/>
  </r>
  <r>
    <s v="ORD10287"/>
    <s v="C004"/>
    <s v="P102"/>
    <x v="215"/>
    <s v="11/05/2026"/>
    <s v="Anita Gupta"/>
    <s v="Female"/>
    <s v="28/09/1984"/>
    <s v="Hyderabad"/>
    <x v="0"/>
    <x v="1"/>
    <s v="Mouse"/>
    <n v="14"/>
    <n v="700"/>
    <n v="15"/>
    <n v="8330"/>
    <n v="5"/>
    <s v="Cash"/>
    <s v="Neha"/>
    <s v="anita.gupta@company.com"/>
    <s v="9409415805"/>
    <s v="Pending"/>
  </r>
  <r>
    <s v="ORD10288"/>
    <s v="C002"/>
    <s v="P302"/>
    <x v="34"/>
    <s v="06/11/2025"/>
    <s v="Priya Patel"/>
    <s v="Female"/>
    <s v="06/11/1975"/>
    <s v="Mumbai"/>
    <x v="2"/>
    <x v="2"/>
    <s v="Pen"/>
    <n v="13"/>
    <n v="20"/>
    <n v="5"/>
    <n v="247"/>
    <n v="1"/>
    <s v="Card"/>
    <s v="Ritika"/>
    <s v="priya.patecompany.com"/>
    <s v="9240800508"/>
    <s v="Pending"/>
  </r>
  <r>
    <s v="ORD10289"/>
    <s v="C009"/>
    <s v="P202"/>
    <x v="10"/>
    <s v="15/03/2025"/>
    <s v="Mohit Verma"/>
    <s v="Male"/>
    <s v="26/06/1995"/>
    <s v="Pune"/>
    <x v="2"/>
    <x v="0"/>
    <s v="Iron"/>
    <n v="3"/>
    <n v="2200"/>
    <n v="0"/>
    <n v="6600"/>
    <n v="4"/>
    <s v="NetBanking"/>
    <s v="Aisha"/>
    <s v="mohit.verma@company.com"/>
    <s v="9764609936"/>
    <s v="Cancelled"/>
  </r>
  <r>
    <s v="ORD10290"/>
    <s v="C009"/>
    <s v="P301"/>
    <x v="62"/>
    <s v="21/02/2026"/>
    <s v="Mohit Verma"/>
    <s v="Male"/>
    <s v="21/11/1979"/>
    <s v="Pune"/>
    <x v="2"/>
    <x v="2"/>
    <s v="Notebook"/>
    <n v="3"/>
    <n v="60"/>
    <n v="15"/>
    <n v="153"/>
    <n v="4"/>
    <s v="UPI"/>
    <s v="Neha"/>
    <s v="mohit.verma@company.com"/>
    <s v="9362733217"/>
    <s v="Completed"/>
  </r>
  <r>
    <s v="ORD10291"/>
    <s v="C003"/>
    <s v="P201"/>
    <x v="97"/>
    <s v="23/03/2025"/>
    <s v="Rohit Singh"/>
    <s v="Male"/>
    <s v="28/01/1987"/>
    <s v="Mumbai"/>
    <x v="2"/>
    <x v="0"/>
    <s v="Mixer"/>
    <n v="9"/>
    <n v="3500"/>
    <n v="5"/>
    <n v="29925"/>
    <n v="1"/>
    <s v="Cash"/>
    <s v="Aisha"/>
    <s v="rohit.singh@company.com"/>
    <s v="9270466205"/>
    <s v="Pending"/>
  </r>
  <r>
    <s v="ORD10292"/>
    <s v="C001"/>
    <s v="P103"/>
    <x v="216"/>
    <s v="01/04/2025"/>
    <s v="Amit Sharma"/>
    <s v="Male"/>
    <s v="08/02/2001"/>
    <s v="Jaipur"/>
    <x v="1"/>
    <x v="1"/>
    <s v="Keyboard"/>
    <n v="5"/>
    <n v="1200"/>
    <n v="20"/>
    <n v="4800"/>
    <n v="2"/>
    <s v="UPI"/>
    <s v="Neha"/>
    <s v="amit.sharma@company.com"/>
    <s v="9571436865"/>
    <s v="Pending"/>
  </r>
  <r>
    <s v="ORD10293"/>
    <s v="C010"/>
    <s v="P103"/>
    <x v="217"/>
    <s v="14/03/2025"/>
    <s v="Pooja Shah"/>
    <s v="Female"/>
    <s v="14/12/1989"/>
    <s v="Jaipur"/>
    <x v="1"/>
    <x v="1"/>
    <s v="Keyboard"/>
    <n v="10"/>
    <n v="1200"/>
    <n v="20"/>
    <n v="9600"/>
    <n v="4"/>
    <s v="Cash"/>
    <s v="Rahul"/>
    <s v="pooja.shah@company.com"/>
    <s v="9307011171"/>
    <s v="Completed"/>
  </r>
  <r>
    <s v="ORD10294"/>
    <s v="C008"/>
    <s v="P103"/>
    <x v="218"/>
    <s v="24/02/2026"/>
    <s v="Kavya Nair"/>
    <s v="Female"/>
    <s v="15/12/1988"/>
    <s v="Ahmedabad"/>
    <x v="2"/>
    <x v="1"/>
    <s v="Keyboard"/>
    <n v="5"/>
    <n v="1200"/>
    <n v="20"/>
    <n v="4800"/>
    <n v="3"/>
    <s v="NetBanking"/>
    <s v="Karan"/>
    <s v="KAvya.nair@company.com"/>
    <s v="9922380435"/>
    <s v="Completed"/>
  </r>
  <r>
    <s v="ORD10295"/>
    <s v="C004"/>
    <s v="P302"/>
    <x v="219"/>
    <s v="14/02/2025"/>
    <s v="Anita Gupta"/>
    <s v="Female"/>
    <s v="20/10/1990"/>
    <s v="Mumbai"/>
    <x v="2"/>
    <x v="2"/>
    <s v="Pen"/>
    <n v="10"/>
    <n v="20"/>
    <n v="5"/>
    <n v="190"/>
    <n v="4"/>
    <s v="Cash"/>
    <s v="Karan"/>
    <s v="anita.gupta@company.com"/>
    <s v="9463618792"/>
    <s v="Pending"/>
  </r>
  <r>
    <s v="ORD10296"/>
    <s v="C002"/>
    <s v="P301"/>
    <x v="220"/>
    <s v="27/01/2025"/>
    <s v="Priya Patel"/>
    <s v="Female"/>
    <s v="08/09/1978"/>
    <s v="Delhi"/>
    <x v="1"/>
    <x v="2"/>
    <s v="Notebook"/>
    <n v="20"/>
    <n v="60"/>
    <n v="15"/>
    <n v="1020"/>
    <n v="5"/>
    <s v="Card"/>
    <s v="Ritika"/>
    <s v="priYa.patel@company.com"/>
    <s v="9954973200"/>
    <s v="Pending"/>
  </r>
  <r>
    <s v="ORD10297"/>
    <s v="C001"/>
    <s v="P202"/>
    <x v="221"/>
    <s v="12/04/2025"/>
    <s v="Amit Sharma"/>
    <s v="Male"/>
    <s v="09/02/1978"/>
    <s v="Ahmedabad"/>
    <x v="2"/>
    <x v="0"/>
    <s v="Iron"/>
    <n v="7"/>
    <n v="2200"/>
    <n v="15"/>
    <n v="13090"/>
    <n v="4"/>
    <s v="Cash"/>
    <s v="Aisha"/>
    <s v="amit.sharma@company.com"/>
    <s v="9383199236"/>
    <s v="Cancelled"/>
  </r>
  <r>
    <s v="ORD10298"/>
    <s v="C003"/>
    <s v="P101"/>
    <x v="96"/>
    <s v="16/01/2025"/>
    <s v="Rohit Singh"/>
    <s v="Male"/>
    <s v="03/01/2004"/>
    <s v="Hyderabad"/>
    <x v="0"/>
    <x v="1"/>
    <s v="Laptop"/>
    <n v="11"/>
    <n v="55000"/>
    <n v="5"/>
    <n v="574750"/>
    <n v="1"/>
    <s v="UPI"/>
    <s v="Ritika"/>
    <s v="rohit.singh@company.com"/>
    <s v="9482699727"/>
    <s v="Cancelled"/>
  </r>
  <r>
    <s v="ORD10299"/>
    <s v="C007"/>
    <s v="P201"/>
    <x v="37"/>
    <s v="17/10/2025"/>
    <s v="Arjun Rao"/>
    <s v="Male"/>
    <s v="02/05/1992"/>
    <s v="Jaipur"/>
    <x v="1"/>
    <x v="0"/>
    <s v="Mixer"/>
    <n v="12"/>
    <n v="3500"/>
    <n v="0"/>
    <n v="42000"/>
    <n v="2"/>
    <s v="NetBanking"/>
    <s v="Not Assigned"/>
    <s v="arjun.rao@company.com"/>
    <s v="9332473934"/>
    <s v="Pending"/>
  </r>
  <r>
    <s v="ORD10300"/>
    <s v="C009"/>
    <s v="P303"/>
    <x v="222"/>
    <s v="08/03/2026"/>
    <s v="Mohit Verma"/>
    <s v="Male"/>
    <s v="26/01/2003"/>
    <s v="Hyderabad"/>
    <x v="0"/>
    <x v="2"/>
    <s v="Marker"/>
    <n v="15"/>
    <n v="45"/>
    <n v="10"/>
    <n v="607.5"/>
    <n v="2"/>
    <s v="Cash"/>
    <s v="Karan"/>
    <s v="mohit.verma@company.com"/>
    <s v="9647657382"/>
    <s v="Pending"/>
  </r>
  <r>
    <s v="ORD10301"/>
    <s v="C001"/>
    <s v="P303"/>
    <x v="223"/>
    <s v="26/05/2025"/>
    <s v="Amit Sharma"/>
    <s v="Male"/>
    <s v="20/05/1987"/>
    <s v="Bengaluru"/>
    <x v="0"/>
    <x v="2"/>
    <s v="Marker"/>
    <n v="13"/>
    <n v="45"/>
    <n v="0"/>
    <n v="585"/>
    <n v="5"/>
    <s v="NetBanking"/>
    <s v="Rahul"/>
    <s v="amit.sharma@company.com"/>
    <s v="9736797776"/>
    <s v="Pending"/>
  </r>
  <r>
    <s v="ORD10302"/>
    <s v="C003"/>
    <s v="P101"/>
    <x v="112"/>
    <s v="05/01/2026"/>
    <s v="Rohit Singh"/>
    <s v="Male"/>
    <s v="07/09/1975"/>
    <s v="Bengaluru"/>
    <x v="0"/>
    <x v="1"/>
    <s v="Laptop"/>
    <n v="8"/>
    <n v="55000"/>
    <n v="0"/>
    <n v="440000"/>
    <n v="2"/>
    <s v="UPI"/>
    <s v="Karan"/>
    <s v="rohit.singh@company.com"/>
    <s v="9745773533"/>
    <s v="Cancelled"/>
  </r>
  <r>
    <s v="ORD10303"/>
    <s v="C006"/>
    <s v="P101"/>
    <x v="224"/>
    <s v="27/07/2025"/>
    <s v="Sneha Joshi"/>
    <s v="Female"/>
    <s v="10/08/1980"/>
    <s v="Delhi"/>
    <x v="1"/>
    <x v="1"/>
    <s v="Laptop"/>
    <n v="4"/>
    <n v="55000"/>
    <n v="20"/>
    <n v="176000"/>
    <n v="5"/>
    <s v="Cash"/>
    <s v="Rahul"/>
    <s v="sneha.joshi@company.com"/>
    <s v="9246715757"/>
    <s v="Pending"/>
  </r>
  <r>
    <s v="ORD10304"/>
    <s v="C008"/>
    <s v="P201"/>
    <x v="225"/>
    <s v="26/04/2026"/>
    <s v="Kavya Nair"/>
    <s v="Female"/>
    <s v="07/04/1989"/>
    <s v="Ahmedabad"/>
    <x v="2"/>
    <x v="0"/>
    <s v="Mixer"/>
    <n v="19"/>
    <n v="3500"/>
    <n v="5"/>
    <n v="63175"/>
    <n v="1"/>
    <s v="Card"/>
    <s v="Neha"/>
    <s v="KAvya.nair@company.com"/>
    <s v="9904065774"/>
    <s v="Completed"/>
  </r>
  <r>
    <s v="ORD10305"/>
    <s v="C005"/>
    <s v="P103"/>
    <x v="226"/>
    <s v="06/03/2025"/>
    <s v="Vikas Mehta"/>
    <s v="Male"/>
    <s v="20/08/1998"/>
    <s v="Jaipur"/>
    <x v="1"/>
    <x v="1"/>
    <s v="Keyboard"/>
    <n v="17"/>
    <n v="1200"/>
    <n v="15"/>
    <n v="17340"/>
    <n v="2"/>
    <s v="NetBanking"/>
    <s v="Rahul"/>
    <s v="vikas.mehta@company.com"/>
    <s v="9652985385"/>
    <s v="Completed"/>
  </r>
  <r>
    <s v="ORD10306"/>
    <s v="C008"/>
    <s v="P202"/>
    <x v="62"/>
    <s v="17/02/2026"/>
    <s v="Kavya Nair"/>
    <s v="Female"/>
    <s v="03/04/2001"/>
    <s v="Hyderabad"/>
    <x v="0"/>
    <x v="0"/>
    <s v="Iron"/>
    <n v="8"/>
    <n v="2200"/>
    <n v="5"/>
    <n v="16720"/>
    <n v="3"/>
    <s v="Card"/>
    <s v="Neha"/>
    <s v="KAvya.nair@company.com"/>
    <s v="9427001508"/>
    <s v="Pending"/>
  </r>
  <r>
    <s v="ORD10307"/>
    <s v="C006"/>
    <s v="P102"/>
    <x v="157"/>
    <s v="26/02/2025"/>
    <s v="Sneha Joshi"/>
    <s v="Female"/>
    <s v="05/03/1992"/>
    <s v="Mumbai"/>
    <x v="2"/>
    <x v="1"/>
    <s v="Mouse"/>
    <n v="17"/>
    <n v="700"/>
    <n v="20"/>
    <n v="9520"/>
    <n v="4"/>
    <s v="NetBanking"/>
    <s v="Neha"/>
    <s v="sneha.joshi@company.com"/>
    <s v="9666803655"/>
    <s v="Completed"/>
  </r>
  <r>
    <s v="ORD10308"/>
    <s v="C006"/>
    <s v="P203"/>
    <x v="227"/>
    <s v="08/09/2025"/>
    <s v="Sneha Joshi"/>
    <s v="Female"/>
    <s v="28/12/1976"/>
    <s v="Pune"/>
    <x v="2"/>
    <x v="0"/>
    <s v="Microwave"/>
    <n v="6"/>
    <n v="8500"/>
    <n v="15"/>
    <n v="43350"/>
    <n v="1"/>
    <s v="Cash"/>
    <s v="Aisha"/>
    <s v="sneha.joshi@company.com"/>
    <s v="9134878547"/>
    <s v="Completed"/>
  </r>
  <r>
    <s v="ORD10309"/>
    <s v="C010"/>
    <s v="P201"/>
    <x v="228"/>
    <s v="11/10/2025"/>
    <s v="Pooja Shah"/>
    <s v="Female"/>
    <s v="04/09/1986"/>
    <s v="Hyderabad"/>
    <x v="0"/>
    <x v="0"/>
    <s v="Mixer"/>
    <n v="3"/>
    <n v="3500"/>
    <n v="10"/>
    <n v="9450"/>
    <n v="1"/>
    <s v="NetBanking"/>
    <s v="Rahul"/>
    <s v="pooja.shah@company.com"/>
    <s v="9253593557"/>
    <s v="Completed"/>
  </r>
  <r>
    <s v="ORD10310"/>
    <s v="C009"/>
    <s v="P104"/>
    <x v="220"/>
    <s v="29/01/2025"/>
    <s v="Mohit Verma"/>
    <s v="Male"/>
    <s v="14/08/1989"/>
    <s v="Ahmedabad"/>
    <x v="2"/>
    <x v="1"/>
    <s v="Monitor"/>
    <n v="2"/>
    <n v="12000"/>
    <n v="20"/>
    <n v="19200"/>
    <n v="1"/>
    <s v="Card"/>
    <s v="Aisha"/>
    <s v="mohit.verma@company.com"/>
    <s v="9183094051"/>
    <s v="Completed"/>
  </r>
  <r>
    <s v="ORD10311"/>
    <s v="C005"/>
    <s v="P302"/>
    <x v="43"/>
    <s v="16/10/2025"/>
    <s v="Vikas Mehta"/>
    <s v="Male"/>
    <s v="02/03/1991"/>
    <s v="Delhi"/>
    <x v="1"/>
    <x v="2"/>
    <s v="Pen"/>
    <n v="12"/>
    <n v="20"/>
    <n v="20"/>
    <n v="192"/>
    <n v="2"/>
    <s v="Card"/>
    <s v="Rahul"/>
    <s v="vikas.mehta@company.com"/>
    <s v="9293147620"/>
    <s v="Completed"/>
  </r>
  <r>
    <s v="ORD10312"/>
    <s v="C002"/>
    <s v="P104"/>
    <x v="229"/>
    <s v="28/04/2026"/>
    <s v="Priya Patel"/>
    <s v="Female"/>
    <s v="13/08/1989"/>
    <s v="Kolkata"/>
    <x v="3"/>
    <x v="1"/>
    <s v="Monitor"/>
    <n v="20"/>
    <n v="12000"/>
    <n v="15"/>
    <n v="204000"/>
    <n v="3"/>
    <s v="Cash"/>
    <s v="Ritika"/>
    <s v="priYa.patel@company.com"/>
    <s v="9755583734"/>
    <s v="Pending"/>
  </r>
  <r>
    <s v="ORD10313"/>
    <s v="C010"/>
    <s v="P301"/>
    <x v="53"/>
    <s v="04/04/2026"/>
    <s v="Pooja Shah"/>
    <s v="Female"/>
    <s v="02/02/2003"/>
    <s v="Jaipur"/>
    <x v="1"/>
    <x v="2"/>
    <s v="Notebook"/>
    <n v="13"/>
    <n v="60"/>
    <n v="10"/>
    <n v="702"/>
    <n v="5"/>
    <s v="Cash"/>
    <s v="Ritika"/>
    <s v="pooja.shah@company.com"/>
    <s v="9186592813"/>
    <s v="Pending"/>
  </r>
  <r>
    <s v="ORD10314"/>
    <s v="C009"/>
    <s v="P101"/>
    <x v="230"/>
    <s v="19/05/2025"/>
    <s v="Mohit Verma"/>
    <s v="Male"/>
    <s v="16/11/1995"/>
    <s v="Pune"/>
    <x v="2"/>
    <x v="1"/>
    <s v="Laptop"/>
    <n v="13"/>
    <n v="55000"/>
    <n v="5"/>
    <n v="679250"/>
    <n v="1"/>
    <s v="UPI"/>
    <s v="Karan"/>
    <s v="mohit.verma@company.com"/>
    <s v="9203482008"/>
    <s v="Pending"/>
  </r>
  <r>
    <s v="ORD10315"/>
    <s v="C002"/>
    <s v="P103"/>
    <x v="127"/>
    <s v="10/03/2026"/>
    <s v="Priya Patel"/>
    <s v="Female"/>
    <s v="24/11/1989"/>
    <s v="Bengaluru"/>
    <x v="0"/>
    <x v="1"/>
    <s v="Keyboard"/>
    <n v="7"/>
    <n v="1200"/>
    <n v="15"/>
    <n v="7140"/>
    <n v="5"/>
    <s v="UPI"/>
    <s v="Rahul"/>
    <s v="priYa.patel@company.com"/>
    <s v="9829888777"/>
    <s v="Pending"/>
  </r>
  <r>
    <s v="ORD10316"/>
    <s v="C007"/>
    <s v="P104"/>
    <x v="231"/>
    <s v="30/12/2025"/>
    <s v="Arjun Rao"/>
    <s v="Male"/>
    <s v="20/04/1988"/>
    <s v="Jaipur"/>
    <x v="1"/>
    <x v="1"/>
    <s v="Monitor"/>
    <n v="17"/>
    <n v="12000"/>
    <n v="5"/>
    <n v="193800"/>
    <n v="1"/>
    <s v="Cash"/>
    <s v="Aisha"/>
    <s v="arjun.rao@company.com"/>
    <s v="9566101317"/>
    <s v="Cancelled"/>
  </r>
  <r>
    <s v="ORD10317"/>
    <s v="C007"/>
    <s v="P302"/>
    <x v="46"/>
    <s v="25/04/2026"/>
    <s v="Arjun Rao"/>
    <s v="Male"/>
    <s v="02/11/1978"/>
    <s v="Bengaluru"/>
    <x v="0"/>
    <x v="2"/>
    <s v="Pen"/>
    <n v="10"/>
    <n v="20"/>
    <n v="5"/>
    <n v="190"/>
    <n v="2"/>
    <s v="Cash"/>
    <s v="Aisha"/>
    <s v="arjun.rao@company.com"/>
    <s v="9706240823"/>
    <s v="Cancelled"/>
  </r>
  <r>
    <s v="ORD10318"/>
    <s v="C004"/>
    <s v="P202"/>
    <x v="34"/>
    <s v="08/11/2025"/>
    <s v="Anita Gupta"/>
    <s v="Female"/>
    <s v="13/12/1989"/>
    <s v="Delhi"/>
    <x v="1"/>
    <x v="0"/>
    <s v="Iron"/>
    <n v="11"/>
    <n v="2200"/>
    <n v="5"/>
    <n v="22990"/>
    <n v="5"/>
    <s v="Card"/>
    <s v="Rahul"/>
    <s v="anita.gupta@company.com"/>
    <s v="9259943760"/>
    <s v="Pending"/>
  </r>
  <r>
    <s v="ORD10319"/>
    <s v="C002"/>
    <s v="P301"/>
    <x v="232"/>
    <s v="28/02/2026"/>
    <s v="Priya Patel"/>
    <s v="Female"/>
    <s v="08/01/1995"/>
    <s v="Jaipur"/>
    <x v="1"/>
    <x v="2"/>
    <s v="Notebook"/>
    <n v="8"/>
    <n v="60"/>
    <n v="15"/>
    <n v="408"/>
    <n v="4"/>
    <s v="Cash"/>
    <s v="Rahul"/>
    <s v="priYa.patel@company.com"/>
    <s v="9527326977"/>
    <s v="Pending"/>
  </r>
  <r>
    <s v="ORD10320"/>
    <s v="C005"/>
    <s v="P303"/>
    <x v="194"/>
    <s v="25/03/2025"/>
    <s v="Vikas Mehta"/>
    <s v="Male"/>
    <s v="23/10/1994"/>
    <s v="Delhi"/>
    <x v="1"/>
    <x v="2"/>
    <s v="Marker"/>
    <n v="17"/>
    <n v="45"/>
    <n v="15"/>
    <n v="650.25"/>
    <n v="2"/>
    <s v="UPI"/>
    <s v="Karan"/>
    <s v="vikas.mehta@company.com"/>
    <s v="9886970990"/>
    <s v="Completed"/>
  </r>
  <r>
    <s v="ORD10321"/>
    <s v="C001"/>
    <s v="P102"/>
    <x v="233"/>
    <s v="10/03/2025"/>
    <s v="Amit Sharma"/>
    <s v="Male"/>
    <s v="21/05/1996"/>
    <s v="Jaipur"/>
    <x v="1"/>
    <x v="1"/>
    <s v="Mouse"/>
    <n v="14"/>
    <n v="700"/>
    <n v="15"/>
    <n v="8330"/>
    <n v="1"/>
    <s v="Card"/>
    <s v="Neha"/>
    <s v="amit.sharma@company.com"/>
    <s v="9106930369"/>
    <s v="Completed"/>
  </r>
  <r>
    <s v="ORD10322"/>
    <s v="C007"/>
    <s v="P103"/>
    <x v="234"/>
    <s v="14/06/2025"/>
    <s v="Arjun Rao"/>
    <s v="Male"/>
    <s v="26/05/1982"/>
    <s v="Pune"/>
    <x v="2"/>
    <x v="1"/>
    <s v="Keyboard"/>
    <n v="3"/>
    <n v="1200"/>
    <n v="5"/>
    <n v="3420"/>
    <n v="3"/>
    <s v="NetBanking"/>
    <s v="Karan"/>
    <s v="arjun.rao@company.com"/>
    <s v="9342009114"/>
    <s v="Completed"/>
  </r>
  <r>
    <s v="ORD10323"/>
    <s v="C008"/>
    <s v="P103"/>
    <x v="129"/>
    <s v="16/07/2025"/>
    <s v="Kavya Nair"/>
    <s v="Female"/>
    <s v="22/11/2001"/>
    <s v="Ahmedabad"/>
    <x v="2"/>
    <x v="1"/>
    <s v="Keyboard"/>
    <n v="9"/>
    <n v="1200"/>
    <n v="15"/>
    <n v="9180"/>
    <n v="3"/>
    <s v="Cash"/>
    <s v="Rahul"/>
    <s v="KAvya.nair@company.com"/>
    <s v="9992739960"/>
    <s v="Completed"/>
  </r>
  <r>
    <s v="ORD10324"/>
    <s v="C006"/>
    <s v="P302"/>
    <x v="113"/>
    <s v="21/04/2026"/>
    <s v="Sneha Joshi"/>
    <s v="Female"/>
    <s v="26/02/1989"/>
    <s v="Mumbai"/>
    <x v="2"/>
    <x v="2"/>
    <s v="Pen"/>
    <n v="5"/>
    <n v="20"/>
    <n v="5"/>
    <n v="95"/>
    <n v="4"/>
    <s v="Cash"/>
    <s v="Karan"/>
    <s v="sneha.joshi@company.com"/>
    <s v="9241987748"/>
    <s v="Completed"/>
  </r>
  <r>
    <s v="ORD10325"/>
    <s v="C006"/>
    <s v="P202"/>
    <x v="235"/>
    <s v="21/12/2025"/>
    <s v="Sneha Joshi"/>
    <s v="Female"/>
    <s v="18/08/1985"/>
    <s v="Ahmedabad"/>
    <x v="2"/>
    <x v="0"/>
    <s v="Iron"/>
    <n v="8"/>
    <n v="2200"/>
    <n v="10"/>
    <n v="15840"/>
    <n v="4"/>
    <s v="UPI"/>
    <s v="Aisha"/>
    <s v="sneha.joshi@company.com"/>
    <s v="9571990711"/>
    <s v="Cancelled"/>
  </r>
  <r>
    <s v="ORD10326"/>
    <s v="C006"/>
    <s v="P102"/>
    <x v="35"/>
    <s v="12/03/2026"/>
    <s v="Sneha Joshi"/>
    <s v="Female"/>
    <s v="03/01/1980"/>
    <s v="Mumbai"/>
    <x v="2"/>
    <x v="1"/>
    <s v="Mouse"/>
    <n v="10"/>
    <n v="700"/>
    <n v="20"/>
    <n v="5600"/>
    <n v="1"/>
    <s v="UPI"/>
    <s v="Neha"/>
    <s v="sneha.joshi@company.com"/>
    <s v="9219231183"/>
    <s v="Completed"/>
  </r>
  <r>
    <s v="ORD10327"/>
    <s v="C007"/>
    <s v="P102"/>
    <x v="236"/>
    <s v="28/11/2025"/>
    <s v="Arjun Rao"/>
    <s v="Male"/>
    <s v="08/01/1978"/>
    <s v="Bengaluru"/>
    <x v="0"/>
    <x v="1"/>
    <s v="Mouse"/>
    <n v="2"/>
    <n v="700"/>
    <n v="20"/>
    <n v="1120"/>
    <n v="2"/>
    <s v="Cash"/>
    <s v="Neha"/>
    <s v="arjun.rao@company.com"/>
    <s v="9847386174"/>
    <s v="Pending"/>
  </r>
  <r>
    <s v="ORD10328"/>
    <s v="C005"/>
    <s v="P201"/>
    <x v="138"/>
    <s v="28/06/2025"/>
    <s v="Vikas Mehta"/>
    <s v="Male"/>
    <s v="05/08/1992"/>
    <s v="Pune"/>
    <x v="2"/>
    <x v="0"/>
    <s v="Mixer"/>
    <n v="16"/>
    <n v="3500"/>
    <n v="20"/>
    <n v="44800"/>
    <n v="2"/>
    <s v="UPI"/>
    <s v="Ritika"/>
    <s v="vikas.mehta@company.com"/>
    <s v="9941274924"/>
    <s v="Pending"/>
  </r>
  <r>
    <s v="ORD10329"/>
    <s v="C004"/>
    <s v="P201"/>
    <x v="134"/>
    <s v="01/08/2025"/>
    <s v="Anita Gupta"/>
    <s v="Female"/>
    <s v="28/12/2004"/>
    <s v="Delhi"/>
    <x v="1"/>
    <x v="0"/>
    <s v="Mixer"/>
    <n v="9"/>
    <n v="3500"/>
    <n v="20"/>
    <n v="25200"/>
    <n v="1"/>
    <s v="Card"/>
    <s v="Rahul"/>
    <s v="anita.gupta@company.com"/>
    <s v="9950650508"/>
    <s v="Cancelled"/>
  </r>
  <r>
    <s v="ORD10330"/>
    <s v="C003"/>
    <s v="P102"/>
    <x v="237"/>
    <s v="30/10/2025"/>
    <s v="Rohit Singh"/>
    <s v="Male"/>
    <s v="07/01/2003"/>
    <s v="Hyderabad"/>
    <x v="0"/>
    <x v="1"/>
    <s v="Mouse"/>
    <n v="15"/>
    <n v="700"/>
    <n v="5"/>
    <n v="9975"/>
    <n v="1"/>
    <s v="Cash"/>
    <s v="Rahul"/>
    <s v="rohit.singh@company.com"/>
    <s v="9464035549"/>
    <s v="Cancelled"/>
  </r>
  <r>
    <s v="ORD10331"/>
    <s v="C010"/>
    <s v="P103"/>
    <x v="238"/>
    <s v="10/03/2026"/>
    <s v="Pooja Shah"/>
    <s v="Female"/>
    <s v="09/03/1993"/>
    <s v="Ahmedabad"/>
    <x v="2"/>
    <x v="1"/>
    <s v="Keyboard"/>
    <n v="13"/>
    <n v="1200"/>
    <n v="0"/>
    <n v="15600"/>
    <n v="3"/>
    <s v="NetBanking"/>
    <s v="Neha"/>
    <s v="pooja.shah@company.com"/>
    <s v="9142334315"/>
    <s v="Cancelled"/>
  </r>
  <r>
    <s v="ORD10332"/>
    <s v="C001"/>
    <s v="P104"/>
    <x v="239"/>
    <s v="07/09/2025"/>
    <s v="Amit Sharma"/>
    <s v="Male"/>
    <s v="03/06/1993"/>
    <s v="Delhi"/>
    <x v="1"/>
    <x v="1"/>
    <s v="Monitor"/>
    <n v="5"/>
    <n v="12000"/>
    <n v="10"/>
    <n v="54000"/>
    <n v="3"/>
    <s v="UPI"/>
    <s v="Rahul"/>
    <s v="amit.sharma@company.com"/>
    <s v="9123961962"/>
    <s v="Completed"/>
  </r>
  <r>
    <s v="ORD10333"/>
    <s v="C010"/>
    <s v="P303"/>
    <x v="240"/>
    <s v="08/04/2025"/>
    <s v="Pooja Shah"/>
    <s v="Female"/>
    <s v="10/12/1999"/>
    <s v="Bengaluru"/>
    <x v="0"/>
    <x v="2"/>
    <s v="Marker"/>
    <n v="12"/>
    <n v="45"/>
    <n v="20"/>
    <n v="432"/>
    <n v="3"/>
    <s v="NetBanking"/>
    <s v="Aisha"/>
    <s v="pooja.shah@company.com"/>
    <s v="9741953402"/>
    <s v="Completed"/>
  </r>
  <r>
    <s v="ORD10334"/>
    <s v="C008"/>
    <s v="P201"/>
    <x v="102"/>
    <s v="14/04/2025"/>
    <s v="Kavya Nair"/>
    <s v="Female"/>
    <s v="06/06/1976"/>
    <s v="Bengaluru"/>
    <x v="0"/>
    <x v="0"/>
    <s v="Mixer"/>
    <n v="2"/>
    <n v="3500"/>
    <n v="0"/>
    <n v="7000"/>
    <n v="1"/>
    <s v="NetBanking"/>
    <s v="Neha"/>
    <s v="KAvya.nair@company.com"/>
    <s v="9404733633"/>
    <s v="Pending"/>
  </r>
  <r>
    <s v="ORD10335"/>
    <s v="C008"/>
    <s v="P202"/>
    <x v="57"/>
    <s v="16/05/2026"/>
    <s v="Kavya Nair"/>
    <s v="Female"/>
    <s v="27/10/1984"/>
    <s v="Pune"/>
    <x v="2"/>
    <x v="0"/>
    <s v="Iron"/>
    <n v="15"/>
    <n v="2200"/>
    <n v="15"/>
    <n v="28050"/>
    <n v="2"/>
    <s v="NetBanking"/>
    <s v="Rahul"/>
    <s v="KAvya.nair@company.com"/>
    <s v="9297492337"/>
    <s v="Pending"/>
  </r>
  <r>
    <s v="ORD10336"/>
    <s v="C002"/>
    <s v="P302"/>
    <x v="241"/>
    <s v="12/12/2025"/>
    <s v="Priya Patel"/>
    <s v="Female"/>
    <s v="28/02/1975"/>
    <s v="Ahmedabad"/>
    <x v="2"/>
    <x v="2"/>
    <s v="Pen"/>
    <n v="8"/>
    <n v="20"/>
    <n v="20"/>
    <n v="128"/>
    <n v="5"/>
    <s v="UPI"/>
    <s v="Rahul"/>
    <s v="priYa.patel@company.com"/>
    <s v="9350338928"/>
    <s v="Completed"/>
  </r>
  <r>
    <s v="ORD10337"/>
    <s v="C003"/>
    <s v="P302"/>
    <x v="35"/>
    <s v="10/03/2026"/>
    <s v="Rohit Singh"/>
    <s v="Male"/>
    <s v="19/10/1993"/>
    <s v="Hyderabad"/>
    <x v="0"/>
    <x v="2"/>
    <s v="Pen"/>
    <n v="1"/>
    <n v="20"/>
    <n v="0"/>
    <n v="20"/>
    <n v="3"/>
    <s v="UPI"/>
    <s v="Ritika"/>
    <s v="rohit.singh@company.com"/>
    <s v="9933894798"/>
    <s v="Completed"/>
  </r>
  <r>
    <s v="ORD10338"/>
    <s v="C008"/>
    <s v="P102"/>
    <x v="242"/>
    <s v="16/01/2026"/>
    <s v="Kavya Nair"/>
    <s v="Female"/>
    <s v="25/10/1983"/>
    <s v="Jaipur"/>
    <x v="1"/>
    <x v="1"/>
    <s v="Mouse"/>
    <n v="15"/>
    <n v="700"/>
    <n v="0"/>
    <n v="10500"/>
    <n v="2"/>
    <s v="UPI"/>
    <s v="Rahul"/>
    <s v="KAvya.nair@company.com"/>
    <s v="9705218824"/>
    <s v="Completed"/>
  </r>
  <r>
    <s v="ORD10339"/>
    <s v="C001"/>
    <s v="P201"/>
    <x v="148"/>
    <s v="10/02/2025"/>
    <s v="Amit Sharma"/>
    <s v="Male"/>
    <s v="08/01/1983"/>
    <s v="Hyderabad"/>
    <x v="0"/>
    <x v="0"/>
    <s v="Mixer"/>
    <n v="15"/>
    <n v="3500"/>
    <n v="10"/>
    <n v="47250"/>
    <n v="3"/>
    <s v="Cash"/>
    <s v="Karan"/>
    <s v="amit.sharma@company.com"/>
    <s v="9229164453"/>
    <s v="Pending"/>
  </r>
  <r>
    <s v="ORD10340"/>
    <s v="C008"/>
    <s v="P301"/>
    <x v="243"/>
    <s v="07/08/2025"/>
    <s v="Kavya Nair"/>
    <s v="Female"/>
    <s v="14/12/1983"/>
    <s v="Kolkata"/>
    <x v="3"/>
    <x v="2"/>
    <s v="Notebook"/>
    <n v="16"/>
    <n v="60"/>
    <n v="10"/>
    <n v="864"/>
    <n v="4"/>
    <s v="Card"/>
    <s v="Aisha"/>
    <s v="KAvya.nair@company.com"/>
    <s v="9219806176"/>
    <s v="Completed"/>
  </r>
  <r>
    <s v="ORD10341"/>
    <s v="C003"/>
    <s v="P303"/>
    <x v="244"/>
    <s v="21/10/2025"/>
    <s v="Rohit Singh"/>
    <s v="Male"/>
    <s v="26/09/1983"/>
    <s v="Delhi"/>
    <x v="1"/>
    <x v="2"/>
    <s v="Marker"/>
    <n v="2"/>
    <n v="45"/>
    <n v="15"/>
    <n v="76.5"/>
    <n v="1"/>
    <s v="UPI"/>
    <s v="Karan"/>
    <s v="rohit.singh@company.com"/>
    <s v="9630210250"/>
    <s v="Cancelled"/>
  </r>
  <r>
    <s v="ORD10342"/>
    <s v="C004"/>
    <s v="P301"/>
    <x v="245"/>
    <s v="15/12/2025"/>
    <s v="Anita Gupta"/>
    <s v="Female"/>
    <s v="23/05/1975"/>
    <s v="Delhi"/>
    <x v="1"/>
    <x v="2"/>
    <s v="Notebook"/>
    <n v="13"/>
    <n v="60"/>
    <n v="15"/>
    <n v="663"/>
    <n v="2"/>
    <s v="NetBanking"/>
    <s v="Aisha"/>
    <s v="anita.gupta@company.com"/>
    <s v="9583354052"/>
    <s v="Cancelled"/>
  </r>
  <r>
    <s v="ORD10343"/>
    <s v="C007"/>
    <s v="P104"/>
    <x v="182"/>
    <s v="22/05/2025"/>
    <s v="Arjun Rao"/>
    <s v="Male"/>
    <s v="09/11/1994"/>
    <s v="Delhi"/>
    <x v="1"/>
    <x v="1"/>
    <s v="Monitor"/>
    <n v="15"/>
    <n v="12000"/>
    <n v="20"/>
    <n v="144000"/>
    <n v="3"/>
    <s v="Card"/>
    <s v="Ritika"/>
    <s v="arjun.rao@company.com"/>
    <s v="9242534507"/>
    <s v="Cancelled"/>
  </r>
  <r>
    <s v="ORD10344"/>
    <s v="C001"/>
    <s v="P302"/>
    <x v="119"/>
    <s v="02/08/2025"/>
    <s v="Amit Sharma"/>
    <s v="Male"/>
    <s v="17/12/1987"/>
    <s v="Delhi"/>
    <x v="1"/>
    <x v="2"/>
    <s v="Pen"/>
    <n v="2"/>
    <n v="20"/>
    <n v="20"/>
    <n v="32"/>
    <n v="4"/>
    <s v="Cash"/>
    <s v="Ritika"/>
    <s v="amit.sharma@company.com"/>
    <s v="9291239150"/>
    <s v="Pending"/>
  </r>
  <r>
    <s v="ORD10345"/>
    <s v="C003"/>
    <s v="P201"/>
    <x v="246"/>
    <s v="17/08/2025"/>
    <s v="Rohit Singh"/>
    <s v="Male"/>
    <s v="19/06/1975"/>
    <s v="Bengaluru"/>
    <x v="0"/>
    <x v="0"/>
    <s v="Mixer"/>
    <n v="16"/>
    <n v="3500"/>
    <n v="0"/>
    <n v="56000"/>
    <n v="4"/>
    <s v="Cash"/>
    <s v="Neha"/>
    <s v="rohit.singh@company.com"/>
    <s v="9550820904"/>
    <s v="Completed"/>
  </r>
  <r>
    <s v="ORD10346"/>
    <s v="C010"/>
    <s v="P201"/>
    <x v="207"/>
    <s v="25/02/2026"/>
    <s v="Pooja Shah"/>
    <s v="Female"/>
    <s v="09/01/1977"/>
    <s v="Ahmedabad"/>
    <x v="2"/>
    <x v="0"/>
    <s v="Mixer"/>
    <n v="18"/>
    <n v="3500"/>
    <n v="15"/>
    <n v="53550"/>
    <n v="5"/>
    <s v="Cash"/>
    <s v="Karan"/>
    <s v="pooja.shah@company.com"/>
    <s v="9294486423"/>
    <s v="Cancelled"/>
  </r>
  <r>
    <s v="ORD10347"/>
    <s v="C008"/>
    <s v="P303"/>
    <x v="247"/>
    <s v="26/03/2026"/>
    <s v="Kavya Nair"/>
    <s v="Female"/>
    <s v="20/09/1993"/>
    <s v="Ahmedabad"/>
    <x v="2"/>
    <x v="2"/>
    <s v="Marker"/>
    <n v="20"/>
    <n v="45"/>
    <n v="15"/>
    <n v="765"/>
    <n v="4"/>
    <s v="Cash"/>
    <s v="Karan"/>
    <s v="KAvya.nair@company.com"/>
    <s v="9260258621"/>
    <s v="Cancelled"/>
  </r>
  <r>
    <s v="ORD10348"/>
    <s v="C006"/>
    <s v="P202"/>
    <x v="248"/>
    <s v="19/04/2026"/>
    <s v="Sneha Joshi"/>
    <s v="Female"/>
    <s v="05/03/1997"/>
    <s v="Delhi"/>
    <x v="1"/>
    <x v="0"/>
    <s v="Iron"/>
    <n v="13"/>
    <n v="2200"/>
    <n v="15"/>
    <n v="24310"/>
    <n v="2"/>
    <s v="NetBanking"/>
    <s v="Neha"/>
    <s v="sneha.joshi@company.com"/>
    <s v="9697433584"/>
    <s v="Pending"/>
  </r>
  <r>
    <s v="ORD10349"/>
    <s v="C010"/>
    <s v="P999"/>
    <x v="43"/>
    <s v="14/10/2025"/>
    <s v="Pooja Shah"/>
    <s v="Female"/>
    <s v="10/07/2002"/>
    <s v="Kolkata"/>
    <x v="3"/>
    <x v="0"/>
    <s v="Microwave"/>
    <n v="11"/>
    <n v="8500"/>
    <n v="5"/>
    <n v="88825"/>
    <n v="1"/>
    <s v="UPI"/>
    <s v="Neha"/>
    <s v="pooja.shah@company.com"/>
    <s v="9837969758"/>
    <s v="Cancelled"/>
  </r>
  <r>
    <s v="ORD10350"/>
    <s v="C010"/>
    <s v="P202"/>
    <x v="249"/>
    <s v="10/12/2025"/>
    <s v="Pooja Shah"/>
    <s v="Female"/>
    <s v="18/04/1984"/>
    <s v="Jaipur"/>
    <x v="1"/>
    <x v="0"/>
    <s v="Iron"/>
    <n v="2"/>
    <n v="2200"/>
    <n v="0"/>
    <n v="4400"/>
    <n v="4"/>
    <s v="UPI"/>
    <s v="Karan"/>
    <s v="pooja.shah@company.com"/>
    <s v="9209736419"/>
    <s v="Pending"/>
  </r>
  <r>
    <s v="ORD10351"/>
    <s v="C007"/>
    <s v="P102"/>
    <x v="250"/>
    <s v="04/08/2025"/>
    <s v="Arjun Rao"/>
    <s v="Male"/>
    <s v="01/07/2003"/>
    <s v="Mumbai"/>
    <x v="2"/>
    <x v="1"/>
    <s v="Mouse"/>
    <n v="15"/>
    <n v="700"/>
    <n v="15"/>
    <n v="8925"/>
    <n v="3"/>
    <s v="NetBanking"/>
    <s v="Neha"/>
    <s v="arjun.rao@company.com"/>
    <s v="9645907237"/>
    <s v="Completed"/>
  </r>
  <r>
    <s v="ORD10352"/>
    <s v="C003"/>
    <s v="P202"/>
    <x v="251"/>
    <s v="24/07/2025"/>
    <s v="Rohit Singh"/>
    <s v="Male"/>
    <s v="25/10/1992"/>
    <s v="Ahmedabad"/>
    <x v="2"/>
    <x v="0"/>
    <s v="Iron"/>
    <n v="5"/>
    <n v="2200"/>
    <n v="15"/>
    <n v="9350"/>
    <n v="1"/>
    <s v="NetBanking"/>
    <s v="Neha"/>
    <s v="rohit.singh@company.com"/>
    <s v="9566149945"/>
    <s v="Pending"/>
  </r>
  <r>
    <s v="ORD10353"/>
    <s v="C007"/>
    <s v="P103"/>
    <x v="83"/>
    <s v="12/03/2026"/>
    <s v="Arjun Rao"/>
    <s v="Male"/>
    <s v="05/08/1988"/>
    <s v="Ahmedabad"/>
    <x v="2"/>
    <x v="1"/>
    <s v="Keyboard"/>
    <n v="15"/>
    <n v="1200"/>
    <n v="0"/>
    <n v="18000"/>
    <n v="3"/>
    <s v="NetBanking"/>
    <s v="Aisha"/>
    <s v="arjun.rao@company.com"/>
    <s v="9935018068"/>
    <s v="Cancelled"/>
  </r>
  <r>
    <s v="ORD10354"/>
    <s v="C006"/>
    <s v="P103"/>
    <x v="14"/>
    <s v="10/04/2026"/>
    <s v="Sneha Joshi"/>
    <s v="Female"/>
    <s v="24/06/1987"/>
    <s v="Mumbai"/>
    <x v="2"/>
    <x v="1"/>
    <s v="Keyboard"/>
    <n v="19"/>
    <n v="1200"/>
    <n v="0"/>
    <n v="22800"/>
    <n v="1"/>
    <s v="Cash"/>
    <s v="Rahul"/>
    <s v="sneha.joshi@company.com"/>
    <s v="9171794652"/>
    <s v="Cancelled"/>
  </r>
  <r>
    <s v="ORD10355"/>
    <s v="C004"/>
    <s v="P104"/>
    <x v="0"/>
    <s v="25/09/2025"/>
    <s v="Anita Gupta"/>
    <s v="Female"/>
    <s v="19/10/1989"/>
    <s v="Mumbai"/>
    <x v="2"/>
    <x v="1"/>
    <s v="Monitor"/>
    <n v="9"/>
    <n v="12000"/>
    <n v="15"/>
    <n v="91800"/>
    <n v="3"/>
    <s v="UPI"/>
    <s v="Rahul"/>
    <s v="anita.gupta@company.com"/>
    <s v="9671497416"/>
    <s v="Cancelled"/>
  </r>
  <r>
    <s v="ORD10356"/>
    <s v="C008"/>
    <s v="P303"/>
    <x v="44"/>
    <s v="21/10/2025"/>
    <s v="Kavya Nair"/>
    <s v="Female"/>
    <s v="22/05/1992"/>
    <s v="Jaipur"/>
    <x v="1"/>
    <x v="2"/>
    <s v="Marker"/>
    <n v="5"/>
    <n v="45"/>
    <n v="5"/>
    <n v="213.75"/>
    <n v="1"/>
    <s v="Card"/>
    <s v="Neha"/>
    <s v="KAvya.nair@company.com"/>
    <s v="9810433484"/>
    <s v="Completed"/>
  </r>
  <r>
    <s v="ORD10357"/>
    <s v="C006"/>
    <s v="P102"/>
    <x v="252"/>
    <s v="11/02/2025"/>
    <s v="Sneha Joshi"/>
    <s v="Female"/>
    <s v="10/11/1989"/>
    <s v="Mumbai"/>
    <x v="2"/>
    <x v="1"/>
    <s v="Mouse"/>
    <n v="3"/>
    <n v="700"/>
    <n v="15"/>
    <n v="1785"/>
    <n v="4"/>
    <s v="Cash"/>
    <s v="Karan"/>
    <s v="sneha.joshi@company.com"/>
    <s v="9990243436"/>
    <s v="Completed"/>
  </r>
  <r>
    <s v="ORD10358"/>
    <s v="C009"/>
    <s v="P203"/>
    <x v="63"/>
    <s v="26/12/2025"/>
    <s v="Mohit Verma"/>
    <s v="Male"/>
    <s v="03/09/1980"/>
    <s v="Jaipur"/>
    <x v="1"/>
    <x v="0"/>
    <s v="Microwave"/>
    <n v="12"/>
    <n v="8500"/>
    <n v="5"/>
    <n v="96900"/>
    <n v="3"/>
    <s v="Card"/>
    <s v="Aisha"/>
    <s v="mohit.verma@company.com"/>
    <s v="9396678031"/>
    <s v="Pending"/>
  </r>
  <r>
    <s v="ORD10359"/>
    <s v="C006"/>
    <s v="P203"/>
    <x v="253"/>
    <s v="19/04/2026"/>
    <s v="Sneha Joshi"/>
    <s v="Female"/>
    <s v="06/03/1979"/>
    <s v="Pune"/>
    <x v="2"/>
    <x v="0"/>
    <s v="Microwave"/>
    <n v="4"/>
    <n v="8500"/>
    <n v="15"/>
    <n v="28900"/>
    <n v="4"/>
    <s v="NetBanking"/>
    <s v="Aisha"/>
    <s v="sneha.joshi@company.com"/>
    <s v="9818591245"/>
    <s v="Pending"/>
  </r>
  <r>
    <s v="ORD10360"/>
    <s v="C003"/>
    <s v="P302"/>
    <x v="21"/>
    <s v="22/04/2025"/>
    <s v="Rohit Singh"/>
    <s v="Male"/>
    <s v="04/09/1996"/>
    <s v="Jaipur"/>
    <x v="1"/>
    <x v="2"/>
    <s v="Pen"/>
    <n v="16"/>
    <n v="20"/>
    <n v="10"/>
    <n v="288"/>
    <n v="4"/>
    <s v="Cash"/>
    <s v="Neha"/>
    <s v="rohit.singh@company.com"/>
    <s v="9505550047"/>
    <s v="Cancelled"/>
  </r>
  <r>
    <s v="ORD10361"/>
    <s v="C003"/>
    <s v="P301"/>
    <x v="254"/>
    <s v="18/05/2026"/>
    <s v="Rohit Singh"/>
    <s v="Male"/>
    <s v="14/03/1999"/>
    <s v="Mumbai"/>
    <x v="2"/>
    <x v="2"/>
    <s v="Notebook"/>
    <n v="3"/>
    <n v="60"/>
    <n v="20"/>
    <n v="144"/>
    <n v="4"/>
    <s v="UPI"/>
    <s v="Karan"/>
    <s v="rohit.singh@company.com"/>
    <s v="9469828772"/>
    <s v="Pending"/>
  </r>
  <r>
    <s v="ORD10362"/>
    <s v="C009"/>
    <s v="P202"/>
    <x v="178"/>
    <s v="26/07/2025"/>
    <s v="Mohit Verma"/>
    <s v="Male"/>
    <s v="03/10/1984"/>
    <s v="Mumbai"/>
    <x v="2"/>
    <x v="0"/>
    <s v="Iron"/>
    <n v="19"/>
    <n v="2200"/>
    <n v="10"/>
    <n v="37620"/>
    <n v="2"/>
    <s v="Cash"/>
    <s v="Karan"/>
    <s v="mohit.verma@company.com"/>
    <s v="9885092680"/>
    <s v="Pending"/>
  </r>
  <r>
    <s v="ORD10363"/>
    <s v="C009"/>
    <s v="P103"/>
    <x v="255"/>
    <s v="27/01/2026"/>
    <s v="Mohit Verma"/>
    <s v="Male"/>
    <s v="09/07/1984"/>
    <s v="Hyderabad"/>
    <x v="0"/>
    <x v="1"/>
    <s v="Keyboard"/>
    <n v="7"/>
    <n v="1200"/>
    <n v="20"/>
    <n v="6720"/>
    <n v="3"/>
    <s v="Card"/>
    <s v="Neha"/>
    <s v="mohit.verma@company.com"/>
    <s v="9362319457"/>
    <s v="Cancelled"/>
  </r>
  <r>
    <s v="ORD10364"/>
    <s v="C010"/>
    <s v="P302"/>
    <x v="81"/>
    <s v="21/03/2026"/>
    <s v="Pooja Shah"/>
    <s v="Female"/>
    <s v="10/03/1989"/>
    <s v="Bengaluru"/>
    <x v="0"/>
    <x v="2"/>
    <s v="Pen"/>
    <n v="20"/>
    <n v="20"/>
    <n v="20"/>
    <n v="320"/>
    <n v="5"/>
    <s v="Card"/>
    <s v="Neha"/>
    <s v="pooja.shah@company.com"/>
    <s v="9223945130"/>
    <s v="Pending"/>
  </r>
  <r>
    <s v="ORD10365"/>
    <s v="C002"/>
    <s v="P103"/>
    <x v="256"/>
    <s v="07/05/2025"/>
    <s v="Priya Patel"/>
    <s v="Female"/>
    <s v="19/04/1985"/>
    <s v="Hyderabad"/>
    <x v="0"/>
    <x v="1"/>
    <s v="Keyboard"/>
    <n v="19"/>
    <n v="1200"/>
    <n v="5"/>
    <n v="21660"/>
    <n v="3"/>
    <s v="Card"/>
    <s v="Ritika"/>
    <s v="priYa.patel@company.com"/>
    <s v="9910804926"/>
    <s v="Pending"/>
  </r>
  <r>
    <s v="ORD10366"/>
    <s v="C010"/>
    <s v="P302"/>
    <x v="257"/>
    <s v="13/02/2025"/>
    <s v="Pooja Shah"/>
    <s v="Female"/>
    <s v="13/08/2003"/>
    <s v="Hyderabad"/>
    <x v="0"/>
    <x v="2"/>
    <s v="Pen"/>
    <n v="5"/>
    <n v="20"/>
    <n v="0"/>
    <n v="100"/>
    <n v="2"/>
    <s v="UPI"/>
    <s v="Rahul"/>
    <s v="pooja.shah@company.com"/>
    <s v="9274269744"/>
    <s v="Pending"/>
  </r>
  <r>
    <s v="ORD10367"/>
    <s v="C002"/>
    <s v="P303"/>
    <x v="127"/>
    <s v="16/03/2026"/>
    <s v="Priya Patel"/>
    <s v="Female"/>
    <s v="11/09/1983"/>
    <s v="Jaipur"/>
    <x v="1"/>
    <x v="2"/>
    <s v="Marker"/>
    <n v="16"/>
    <n v="45"/>
    <n v="15"/>
    <n v="612"/>
    <n v="5"/>
    <s v="Cash"/>
    <s v="Aisha"/>
    <s v="priYa.patel@company.com"/>
    <s v="9223196101"/>
    <s v="Cancelled"/>
  </r>
  <r>
    <s v="ORD10368"/>
    <s v="C008"/>
    <s v="P202"/>
    <x v="200"/>
    <s v="15/05/2025"/>
    <s v="Kavya Nair"/>
    <s v="Female"/>
    <s v="11/06/1976"/>
    <s v="Jaipur"/>
    <x v="1"/>
    <x v="0"/>
    <s v="Iron"/>
    <n v="1"/>
    <n v="2200"/>
    <n v="10"/>
    <n v="1980"/>
    <n v="5"/>
    <s v="Card"/>
    <s v="Rahul"/>
    <s v="KAvya.nair@company.com"/>
    <s v="9888477457"/>
    <s v="Completed"/>
  </r>
  <r>
    <s v="ORD10369"/>
    <s v="C010"/>
    <s v="P301"/>
    <x v="141"/>
    <s v="05/04/2026"/>
    <s v="Pooja Shah"/>
    <s v="Female"/>
    <s v="04/01/1987"/>
    <s v="Hyderabad"/>
    <x v="0"/>
    <x v="2"/>
    <s v="Notebook"/>
    <n v="19"/>
    <n v="60"/>
    <n v="15"/>
    <n v="969"/>
    <n v="4"/>
    <s v="NetBanking"/>
    <s v="Neha"/>
    <s v="pooja.shah@company.com"/>
    <s v="9435947486"/>
    <s v="Cancelled"/>
  </r>
  <r>
    <s v="ORD10370"/>
    <s v="C001"/>
    <s v="P101"/>
    <x v="258"/>
    <s v="02/02/2025"/>
    <s v="Amit Sharma"/>
    <s v="Male"/>
    <s v="14/05/1992"/>
    <s v="Delhi"/>
    <x v="1"/>
    <x v="1"/>
    <s v="Laptop"/>
    <n v="15"/>
    <n v="55000"/>
    <n v="0"/>
    <n v="825000"/>
    <n v="5"/>
    <s v="Card"/>
    <s v="Neha"/>
    <s v="amit.sharma@company.com"/>
    <s v="9411668831"/>
    <s v="Cancelled"/>
  </r>
  <r>
    <s v="ORD10371"/>
    <s v="C009"/>
    <s v="P303"/>
    <x v="228"/>
    <s v="08/10/2025"/>
    <s v="Mohit Verma"/>
    <s v="Male"/>
    <s v="03/05/1989"/>
    <s v="Bengaluru"/>
    <x v="0"/>
    <x v="2"/>
    <s v="Marker"/>
    <n v="11"/>
    <n v="45"/>
    <n v="5"/>
    <n v="470.25"/>
    <n v="5"/>
    <s v="NetBanking"/>
    <s v="Karan"/>
    <s v="mohit.verma@company.com"/>
    <s v="9523682403"/>
    <s v="Completed"/>
  </r>
  <r>
    <s v="ORD10372"/>
    <s v="C006"/>
    <s v="P302"/>
    <x v="259"/>
    <s v="17/06/2025"/>
    <s v="Sneha Joshi"/>
    <s v="Female"/>
    <s v="19/12/1990"/>
    <s v="Jaipur"/>
    <x v="1"/>
    <x v="2"/>
    <s v="Pen"/>
    <n v="9"/>
    <n v="20"/>
    <n v="10"/>
    <n v="162"/>
    <n v="1"/>
    <s v="Card"/>
    <s v="Rahul"/>
    <s v="sneha.joshi@company.com"/>
    <s v="9652936744"/>
    <s v="Cancelled"/>
  </r>
  <r>
    <s v="ORD10373"/>
    <s v="C004"/>
    <s v="P303"/>
    <x v="101"/>
    <s v="20/11/2025"/>
    <s v="Anita Gupta"/>
    <s v="Female"/>
    <s v="09/07/1995"/>
    <s v="Bengaluru"/>
    <x v="0"/>
    <x v="2"/>
    <s v="Marker"/>
    <n v="5"/>
    <n v="45"/>
    <n v="5"/>
    <n v="213.75"/>
    <n v="3"/>
    <s v="Card"/>
    <s v="Neha"/>
    <s v="anita.gupta@company.com"/>
    <s v="9726464733"/>
    <s v="Pending"/>
  </r>
  <r>
    <s v="ORD10374"/>
    <s v="C007"/>
    <s v="P102"/>
    <x v="260"/>
    <s v="02/11/2025"/>
    <s v="Arjun Rao"/>
    <s v="Male"/>
    <s v="23/12/1998"/>
    <s v="Hyderabad"/>
    <x v="0"/>
    <x v="1"/>
    <s v="Mouse"/>
    <n v="5"/>
    <n v="700"/>
    <n v="10"/>
    <n v="3150"/>
    <n v="2"/>
    <s v="UPI"/>
    <s v="Rahul"/>
    <s v="arjun.rao@company.com"/>
    <s v="9273520544"/>
    <s v="Completed"/>
  </r>
  <r>
    <s v="ORD10375"/>
    <s v="C005"/>
    <s v="P102"/>
    <x v="261"/>
    <s v="31/01/2025"/>
    <s v="Vikas Mehta"/>
    <s v="Male"/>
    <s v="23/12/1979"/>
    <s v="Kolkata"/>
    <x v="3"/>
    <x v="1"/>
    <s v="Mouse"/>
    <n v="1"/>
    <n v="700"/>
    <n v="0"/>
    <n v="700"/>
    <n v="1"/>
    <s v="UPI"/>
    <s v="Karan"/>
    <s v="vikas.mehta@company.com"/>
    <s v="9374259988"/>
    <s v="Completed"/>
  </r>
  <r>
    <s v="ORD10376"/>
    <s v="C008"/>
    <s v="P102"/>
    <x v="218"/>
    <s v="21/02/2026"/>
    <s v="Kavya Nair"/>
    <s v="Female"/>
    <s v="15/12/1975"/>
    <s v="Mumbai"/>
    <x v="2"/>
    <x v="1"/>
    <s v="Mouse"/>
    <n v="13"/>
    <n v="700"/>
    <n v="20"/>
    <n v="7280"/>
    <n v="2"/>
    <s v="Card"/>
    <s v="Ritika"/>
    <s v="KAvya.nair@company.com"/>
    <s v="9538129419"/>
    <s v="Completed"/>
  </r>
  <r>
    <s v="ORD10377"/>
    <s v="C009"/>
    <s v="P104"/>
    <x v="188"/>
    <s v="19/02/2025"/>
    <s v="Mohit Verma"/>
    <s v="Male"/>
    <s v="17/05/1993"/>
    <s v="Pune"/>
    <x v="2"/>
    <x v="1"/>
    <s v="Monitor"/>
    <n v="20"/>
    <n v="12000"/>
    <n v="0"/>
    <n v="240000"/>
    <n v="2"/>
    <s v="Card"/>
    <s v="Neha"/>
    <s v="mohit.verma@company.com"/>
    <s v="9382815686"/>
    <s v="Completed"/>
  </r>
  <r>
    <s v="ORD10378"/>
    <s v="C007"/>
    <s v="P103"/>
    <x v="193"/>
    <s v="06/01/2026"/>
    <s v="Arjun Rao"/>
    <s v="Male"/>
    <s v="17/09/1976"/>
    <s v="Kolkata"/>
    <x v="3"/>
    <x v="1"/>
    <s v="Keyboard"/>
    <n v="9"/>
    <n v="1200"/>
    <n v="15"/>
    <n v="9180"/>
    <n v="1"/>
    <s v="UPI"/>
    <s v="Ritika"/>
    <s v="arjun.rao@company.com"/>
    <s v="9450746157"/>
    <s v="Pending"/>
  </r>
  <r>
    <s v="ORD10379"/>
    <s v="C007"/>
    <s v="P302"/>
    <x v="262"/>
    <s v="03/10/2025"/>
    <s v="Arjun Rao"/>
    <s v="Male"/>
    <s v="22/12/1996"/>
    <s v="Jaipur"/>
    <x v="1"/>
    <x v="2"/>
    <s v="Pen"/>
    <n v="3"/>
    <n v="20"/>
    <n v="15"/>
    <n v="51"/>
    <n v="3"/>
    <s v="Cash"/>
    <s v="Neha"/>
    <s v="arjun.rao@company.com"/>
    <s v="9349012570"/>
    <s v="Pending"/>
  </r>
  <r>
    <s v="ORD10380"/>
    <s v="C006"/>
    <s v="P101"/>
    <x v="167"/>
    <s v="19/12/2025"/>
    <s v="Sneha Joshi"/>
    <s v="Female"/>
    <s v="25/12/1995"/>
    <s v="Delhi"/>
    <x v="1"/>
    <x v="1"/>
    <s v="Laptop"/>
    <n v="8"/>
    <n v="55000"/>
    <n v="20"/>
    <n v="352000"/>
    <n v="5"/>
    <s v="Card"/>
    <s v="Karan"/>
    <s v="sneha.joshi@company.com"/>
    <s v="9442163790"/>
    <s v="Pending"/>
  </r>
  <r>
    <s v="ORD10381"/>
    <s v="C006"/>
    <s v="P301"/>
    <x v="263"/>
    <s v="07/10/2025"/>
    <s v="Sneha Joshi"/>
    <s v="Female"/>
    <s v="23/06/1985"/>
    <s v="Delhi"/>
    <x v="1"/>
    <x v="2"/>
    <s v="Notebook"/>
    <n v="17"/>
    <n v="60"/>
    <n v="20"/>
    <n v="816"/>
    <n v="1"/>
    <s v="UPI"/>
    <s v="Ritika"/>
    <s v="sneha.joshi@company.com"/>
    <s v="9953329223"/>
    <s v="Pending"/>
  </r>
  <r>
    <s v="ORD10382"/>
    <s v="C003"/>
    <s v="P302"/>
    <x v="264"/>
    <s v="22/05/2025"/>
    <s v="Rohit Singh"/>
    <s v="Male"/>
    <s v="10/02/1984"/>
    <s v="Bengaluru"/>
    <x v="0"/>
    <x v="2"/>
    <s v="Pen"/>
    <n v="4"/>
    <n v="20"/>
    <n v="15"/>
    <n v="68"/>
    <n v="3"/>
    <s v="NetBanking"/>
    <s v="Aisha"/>
    <s v="rohit.singh@company.com"/>
    <s v="9202321359"/>
    <s v="Pending"/>
  </r>
  <r>
    <s v="ORD10383"/>
    <s v="C003"/>
    <s v="P202"/>
    <x v="221"/>
    <s v="11/04/2025"/>
    <s v="Rohit Singh"/>
    <s v="Male"/>
    <s v="02/04/2002"/>
    <s v="Kolkata"/>
    <x v="3"/>
    <x v="0"/>
    <s v="Iron"/>
    <n v="2"/>
    <n v="2200"/>
    <n v="10"/>
    <n v="3960"/>
    <n v="2"/>
    <s v="UPI"/>
    <s v="Rahul"/>
    <s v="rohit.singh@company.com"/>
    <s v="9812564160"/>
    <s v="Pending"/>
  </r>
  <r>
    <s v="ORD10384"/>
    <s v="C005"/>
    <s v="P301"/>
    <x v="64"/>
    <s v="18/04/2025"/>
    <s v="Vikas Mehta"/>
    <s v="Male"/>
    <s v="17/07/2003"/>
    <s v="Bengaluru"/>
    <x v="0"/>
    <x v="2"/>
    <s v="Notebook"/>
    <n v="5"/>
    <n v="60"/>
    <n v="5"/>
    <n v="285"/>
    <n v="1"/>
    <s v="UPI"/>
    <s v="Ritika"/>
    <s v="vikas.mehta@company.com"/>
    <s v="9688458222"/>
    <s v="Cancelled"/>
  </r>
  <r>
    <s v="ORD10385"/>
    <s v="C003"/>
    <s v="P202"/>
    <x v="265"/>
    <s v="23/02/2026"/>
    <s v="Rohit Singh"/>
    <s v="Male"/>
    <s v="06/10/1991"/>
    <s v="Delhi"/>
    <x v="1"/>
    <x v="0"/>
    <s v="Iron"/>
    <n v="17"/>
    <n v="2200"/>
    <n v="0"/>
    <n v="37400"/>
    <n v="2"/>
    <s v="UPI"/>
    <s v="Karan"/>
    <s v="rohit.singh@company.com"/>
    <s v="9634473337"/>
    <s v="Cancelled"/>
  </r>
  <r>
    <s v="ORD10386"/>
    <s v="C004"/>
    <s v="P301"/>
    <x v="241"/>
    <s v="11/12/2025"/>
    <s v="Anita Gupta"/>
    <s v="Female"/>
    <s v="05/01/1984"/>
    <s v="Ahmedabad"/>
    <x v="2"/>
    <x v="2"/>
    <s v="Notebook"/>
    <n v="7"/>
    <n v="60"/>
    <n v="0"/>
    <n v="420"/>
    <n v="2"/>
    <s v="UPI"/>
    <s v="Aisha"/>
    <s v="anita.gupta@company.com"/>
    <s v="9608737026"/>
    <s v="Pending"/>
  </r>
  <r>
    <s v="ORD10387"/>
    <s v="C005"/>
    <s v="P101"/>
    <x v="110"/>
    <s v="24/10/2025"/>
    <s v="Vikas Mehta"/>
    <s v="Male"/>
    <s v="12/03/1975"/>
    <s v="Hyderabad"/>
    <x v="0"/>
    <x v="1"/>
    <s v="Laptop"/>
    <n v="6"/>
    <n v="55000"/>
    <n v="5"/>
    <n v="313500"/>
    <n v="4"/>
    <s v="Card"/>
    <s v="Aisha"/>
    <s v="vikas.mehta@company.com"/>
    <s v="9804498139"/>
    <s v="Completed"/>
  </r>
  <r>
    <s v="ORD10388"/>
    <s v="C009"/>
    <s v="P302"/>
    <x v="208"/>
    <s v="25/01/2026"/>
    <s v="Mohit Verma"/>
    <s v="Male"/>
    <s v="15/03/1983"/>
    <s v="Hyderabad"/>
    <x v="0"/>
    <x v="2"/>
    <s v="Pen"/>
    <n v="16"/>
    <n v="20"/>
    <n v="5"/>
    <n v="304"/>
    <n v="1"/>
    <s v="Card"/>
    <s v="Rahul"/>
    <s v="mohit.verma@company.com"/>
    <s v="9798643580"/>
    <s v="Completed"/>
  </r>
  <r>
    <s v="ORD10389"/>
    <s v="C008"/>
    <s v="P202"/>
    <x v="266"/>
    <s v="28/01/2025"/>
    <s v="Kavya Nair"/>
    <s v="Female"/>
    <s v="20/04/1976"/>
    <s v="Kolkata"/>
    <x v="3"/>
    <x v="0"/>
    <s v="Iron"/>
    <n v="11"/>
    <n v="2200"/>
    <n v="15"/>
    <n v="20570"/>
    <n v="1"/>
    <s v="NetBanking"/>
    <s v="Neha"/>
    <s v="KAvya.nair@company.com"/>
    <s v="9809823278"/>
    <s v="Cancelled"/>
  </r>
  <r>
    <s v="ORD10390"/>
    <s v="C002"/>
    <s v="P302"/>
    <x v="171"/>
    <s v="02/03/2025"/>
    <s v="Priya Patel"/>
    <s v="Female"/>
    <s v="11/02/1986"/>
    <s v="Pune"/>
    <x v="2"/>
    <x v="2"/>
    <s v="Pen"/>
    <n v="19"/>
    <n v="20"/>
    <n v="5"/>
    <n v="361"/>
    <n v="4"/>
    <s v="UPI"/>
    <s v="Ritika"/>
    <s v="priYa.patel@company.com"/>
    <s v="9177767854"/>
    <s v="Pending"/>
  </r>
  <r>
    <s v="ORD10391"/>
    <s v="C002"/>
    <s v="P103"/>
    <x v="267"/>
    <s v="21/06/2025"/>
    <s v="Priya Patel"/>
    <s v="Female"/>
    <s v="21/03/1978"/>
    <s v="Pune"/>
    <x v="2"/>
    <x v="1"/>
    <s v="Keyboard"/>
    <n v="20"/>
    <n v="1200"/>
    <n v="15"/>
    <n v="20400"/>
    <n v="4"/>
    <s v="Card"/>
    <s v="Ritika"/>
    <s v="priYa.patel@company.com"/>
    <s v="9643440006"/>
    <s v="Pending"/>
  </r>
  <r>
    <s v="ORD10392"/>
    <s v="C010"/>
    <s v="P302"/>
    <x v="268"/>
    <s v="06/06/2025"/>
    <s v="Pooja Shah"/>
    <s v="Female"/>
    <s v="12/07/1996"/>
    <s v="Hyderabad"/>
    <x v="0"/>
    <x v="2"/>
    <s v="Pen"/>
    <n v="13"/>
    <n v="20"/>
    <n v="15"/>
    <n v="221"/>
    <n v="4"/>
    <s v="Cash"/>
    <s v="Ritika"/>
    <s v="pooja.shah@company.com"/>
    <s v="9673698825"/>
    <s v="Pending"/>
  </r>
  <r>
    <s v="ORD10393"/>
    <s v="C006"/>
    <s v="P103"/>
    <x v="20"/>
    <s v="08/01/2025"/>
    <s v="Sneha Joshi"/>
    <s v="Female"/>
    <s v="02/12/1992"/>
    <s v="Delhi"/>
    <x v="1"/>
    <x v="1"/>
    <s v="Keyboard"/>
    <n v="12"/>
    <n v="1200"/>
    <n v="10"/>
    <n v="12960"/>
    <n v="3"/>
    <s v="NetBanking"/>
    <s v="Ritika"/>
    <s v="sneha.joshi@company.com"/>
    <s v="9706238784"/>
    <s v="Pending"/>
  </r>
  <r>
    <s v="ORD10394"/>
    <s v="C002"/>
    <s v="P203"/>
    <x v="269"/>
    <s v="29/01/2025"/>
    <s v="Priya Patel"/>
    <s v="Female"/>
    <s v="23/03/1996"/>
    <s v="Kolkata"/>
    <x v="3"/>
    <x v="0"/>
    <s v="Microwave"/>
    <n v="6"/>
    <n v="8500"/>
    <n v="5"/>
    <n v="48450"/>
    <n v="5"/>
    <s v="Cash"/>
    <s v="Neha"/>
    <s v="priYa.patel@company.com"/>
    <s v="9132959877"/>
    <s v="Cancelled"/>
  </r>
  <r>
    <s v="ORD10395"/>
    <s v="C008"/>
    <s v="P203"/>
    <x v="207"/>
    <s v="26/02/2026"/>
    <s v="Kavya Nair"/>
    <s v="Female"/>
    <s v="23/06/1994"/>
    <s v="Ahmedabad"/>
    <x v="2"/>
    <x v="0"/>
    <s v="Microwave"/>
    <n v="15"/>
    <n v="8500"/>
    <n v="10"/>
    <n v="114750"/>
    <n v="1"/>
    <s v="Cash"/>
    <s v="Neha"/>
    <s v="KAvya.nair@company.com"/>
    <s v="9295011645"/>
    <s v="Completed"/>
  </r>
  <r>
    <s v="ORD10396"/>
    <s v="C003"/>
    <s v="P104"/>
    <x v="270"/>
    <s v="15/08/2025"/>
    <s v="Rohit Singh"/>
    <s v="Male"/>
    <s v="02/02/1980"/>
    <s v="Hyderabad"/>
    <x v="0"/>
    <x v="1"/>
    <s v="Monitor"/>
    <n v="19"/>
    <n v="12000"/>
    <n v="20"/>
    <n v="182400"/>
    <n v="5"/>
    <s v="Cash"/>
    <s v="Neha"/>
    <s v="rohit.singh@company.com"/>
    <s v="9677606427"/>
    <s v="Completed"/>
  </r>
  <r>
    <s v="ORD10397"/>
    <s v="C007"/>
    <s v="P102"/>
    <x v="271"/>
    <s v="18/01/2025"/>
    <s v="Arjun Rao"/>
    <s v="Male"/>
    <s v="24/08/1990"/>
    <s v="Delhi"/>
    <x v="1"/>
    <x v="1"/>
    <s v="Mouse"/>
    <n v="5"/>
    <n v="700"/>
    <n v="0"/>
    <n v="3500"/>
    <n v="2"/>
    <s v="Card"/>
    <s v="Aisha"/>
    <s v="arjun.rao@company.com"/>
    <s v="9161631566"/>
    <s v="Cancelled"/>
  </r>
  <r>
    <s v="ORD10398"/>
    <s v="C007"/>
    <s v="P104"/>
    <x v="272"/>
    <s v="04/02/2025"/>
    <s v="Arjun Rao"/>
    <s v="Male"/>
    <s v="10/12/1978"/>
    <s v="Kolkata"/>
    <x v="3"/>
    <x v="1"/>
    <s v="Monitor"/>
    <n v="19"/>
    <n v="12000"/>
    <n v="0"/>
    <n v="228000"/>
    <n v="4"/>
    <s v="UPI"/>
    <s v="Aisha"/>
    <s v="arjun.rao@company.com"/>
    <s v="9136906750"/>
    <s v="Pending"/>
  </r>
  <r>
    <s v="ORD10399"/>
    <s v="C001"/>
    <s v="P102"/>
    <x v="258"/>
    <s v="03/11/2025"/>
    <s v="Amit Sharma"/>
    <s v="Male"/>
    <s v="01/09/1979"/>
    <s v="Bengaluru"/>
    <x v="0"/>
    <x v="1"/>
    <s v="Mouse"/>
    <n v="12"/>
    <n v="700"/>
    <n v="15"/>
    <n v="7140"/>
    <n v="3"/>
    <s v="Card"/>
    <s v="Ritika"/>
    <s v="amit.sharma@company.com"/>
    <s v="9485286324"/>
    <s v="Completed"/>
  </r>
  <r>
    <s v="ORD10400"/>
    <s v="C008"/>
    <s v="P103"/>
    <x v="273"/>
    <s v="21/05/2025"/>
    <s v="Kavya Nair"/>
    <s v="Female"/>
    <s v="08/04/2001"/>
    <s v="Delhi"/>
    <x v="1"/>
    <x v="1"/>
    <s v="Keyboard"/>
    <n v="16"/>
    <n v="1200"/>
    <n v="20"/>
    <n v="15360"/>
    <n v="1"/>
    <s v="Cash"/>
    <s v="Rahul"/>
    <s v="KAvya.nair@company.com"/>
    <s v="9414633966"/>
    <s v="Pending"/>
  </r>
  <r>
    <s v="ORD10401"/>
    <s v="C009"/>
    <s v="P203"/>
    <x v="274"/>
    <s v="04/01/2026"/>
    <s v="Mohit Verma"/>
    <s v="Male"/>
    <s v="01/01/1983"/>
    <s v="Hyderabad"/>
    <x v="0"/>
    <x v="0"/>
    <s v="Microwave"/>
    <n v="10"/>
    <n v="8500"/>
    <n v="5"/>
    <n v="80750"/>
    <n v="5"/>
    <s v="NetBanking"/>
    <s v="Ritika"/>
    <s v="mohit.verma@company.com"/>
    <s v="9833735234"/>
    <s v="Completed"/>
  </r>
  <r>
    <s v="ORD10402"/>
    <s v="C008"/>
    <s v="P302"/>
    <x v="219"/>
    <s v="21/02/2025"/>
    <s v="Kavya Nair"/>
    <s v="Female"/>
    <s v="09/08/1989"/>
    <s v="Ahmedabad"/>
    <x v="2"/>
    <x v="2"/>
    <s v="Pen"/>
    <n v="18"/>
    <n v="20"/>
    <n v="20"/>
    <n v="288"/>
    <n v="1"/>
    <s v="UPI"/>
    <s v="Ritika"/>
    <s v="KAvya.nair@company.com"/>
    <s v="9523689108"/>
    <s v="Pending"/>
  </r>
  <r>
    <s v="ORD10403"/>
    <s v="C009"/>
    <s v="P203"/>
    <x v="26"/>
    <s v="19/03/2026"/>
    <s v="Mohit Verma"/>
    <s v="Male"/>
    <s v="22/10/1993"/>
    <s v="Mumbai"/>
    <x v="2"/>
    <x v="0"/>
    <s v="Microwave"/>
    <n v="9"/>
    <n v="8500"/>
    <n v="0"/>
    <n v="76500"/>
    <n v="2"/>
    <s v="Card"/>
    <s v="Ritika"/>
    <s v="mohit.verma@company.com"/>
    <s v="9812909831"/>
    <s v="Pending"/>
  </r>
  <r>
    <s v="ORD10404"/>
    <s v="C008"/>
    <s v="P203"/>
    <x v="262"/>
    <s v="12/10/2025"/>
    <s v="Kavya Nair"/>
    <s v="Female"/>
    <s v="05/05/2000"/>
    <s v="Mumbai"/>
    <x v="2"/>
    <x v="0"/>
    <s v="Microwave"/>
    <n v="8"/>
    <n v="8500"/>
    <n v="10"/>
    <n v="61200"/>
    <n v="4"/>
    <s v="Cash"/>
    <s v="Neha"/>
    <s v="KAvya.nair@company.com"/>
    <s v="9106290987"/>
    <s v="Cancelled"/>
  </r>
  <r>
    <s v="ORD10405"/>
    <s v="C010"/>
    <s v="P302"/>
    <x v="69"/>
    <s v="01/02/2026"/>
    <s v="Pooja Shah"/>
    <s v="Female"/>
    <s v="18/02/1984"/>
    <s v="Pune"/>
    <x v="2"/>
    <x v="2"/>
    <s v="Pen"/>
    <n v="3"/>
    <n v="20"/>
    <n v="10"/>
    <n v="54"/>
    <n v="3"/>
    <s v="Card"/>
    <s v="Karan"/>
    <s v="pooja.shah@company.com"/>
    <s v="9767727724"/>
    <s v="Pending"/>
  </r>
  <r>
    <s v="ORD10406"/>
    <s v="C004"/>
    <s v="P203"/>
    <x v="275"/>
    <s v="12/07/2025"/>
    <s v="Anita Gupta"/>
    <s v="Female"/>
    <s v="13/06/1991"/>
    <s v="Kolkata"/>
    <x v="3"/>
    <x v="0"/>
    <s v="Microwave"/>
    <n v="18"/>
    <n v="8500"/>
    <n v="10"/>
    <n v="137700"/>
    <n v="4"/>
    <s v="Cash"/>
    <s v="Rahul"/>
    <s v="anita.gupta@company.com"/>
    <s v="9865401727"/>
    <s v="Cancelled"/>
  </r>
  <r>
    <s v="ORD10407"/>
    <s v="C010"/>
    <s v="P303"/>
    <x v="37"/>
    <s v="09/10/2025"/>
    <s v="Pooja Shah"/>
    <s v="Female"/>
    <s v="19/05/1996"/>
    <s v="Pune"/>
    <x v="2"/>
    <x v="2"/>
    <s v="Marker"/>
    <n v="5"/>
    <n v="45"/>
    <n v="10"/>
    <n v="202.5"/>
    <n v="3"/>
    <s v="Cash"/>
    <s v="Neha"/>
    <s v="pooja.shah@company.com"/>
    <s v="9603848571"/>
    <s v="Pending"/>
  </r>
  <r>
    <s v="ORD10408"/>
    <s v="C009"/>
    <s v="P303"/>
    <x v="108"/>
    <s v="02/06/2025"/>
    <s v="Mohit Verma"/>
    <s v="Male"/>
    <s v="23/05/1992"/>
    <s v="Mumbai"/>
    <x v="2"/>
    <x v="2"/>
    <s v="Marker"/>
    <n v="2"/>
    <n v="45"/>
    <n v="20"/>
    <n v="72"/>
    <n v="5"/>
    <s v="UPI"/>
    <s v="Aisha"/>
    <s v="mohit.verma@company.com"/>
    <s v="9101231789"/>
    <s v="Cancelled"/>
  </r>
  <r>
    <s v="ORD10409"/>
    <s v="C002"/>
    <s v="P303"/>
    <x v="276"/>
    <s v="06/02/2025"/>
    <s v="Priya Patel"/>
    <s v="Female"/>
    <s v="15/06/1988"/>
    <s v="Hyderabad"/>
    <x v="0"/>
    <x v="2"/>
    <s v="Marker"/>
    <n v="18"/>
    <n v="45"/>
    <n v="10"/>
    <n v="729"/>
    <n v="2"/>
    <s v="NetBanking"/>
    <s v="Neha"/>
    <s v="priYa.patel@company.com"/>
    <s v="9485017802"/>
    <s v="Pending"/>
  </r>
  <r>
    <s v="ORD10410"/>
    <s v="C003"/>
    <s v="P103"/>
    <x v="65"/>
    <s v="01/01/2026"/>
    <s v="Rohit Singh"/>
    <s v="Male"/>
    <s v="22/07/1993"/>
    <s v="Kolkata"/>
    <x v="3"/>
    <x v="1"/>
    <s v="Keyboard"/>
    <n v="13"/>
    <n v="1200"/>
    <n v="5"/>
    <n v="14820"/>
    <n v="4"/>
    <s v="Card"/>
    <s v="Neha"/>
    <s v="rohit.singh@company.com"/>
    <s v="9815464650"/>
    <s v="Completed"/>
  </r>
  <r>
    <s v="ORD10411"/>
    <s v="C008"/>
    <s v="P302"/>
    <x v="277"/>
    <s v="17/05/2026"/>
    <s v="Kavya Nair"/>
    <s v="Female"/>
    <s v="03/02/2004"/>
    <s v="Hyderabad"/>
    <x v="0"/>
    <x v="2"/>
    <s v="Pen"/>
    <n v="14"/>
    <n v="20"/>
    <n v="20"/>
    <n v="224"/>
    <n v="5"/>
    <s v="UPI"/>
    <s v="Rahul"/>
    <s v="KAvya.nair@company.com"/>
    <s v="9860715839"/>
    <s v="Pending"/>
  </r>
  <r>
    <s v="ORD10412"/>
    <s v="C002"/>
    <s v="P201"/>
    <x v="278"/>
    <s v="23/02/2026"/>
    <s v="Priya Patel"/>
    <s v="Female"/>
    <s v="23/12/1978"/>
    <s v="Hyderabad"/>
    <x v="0"/>
    <x v="0"/>
    <s v="Mixer"/>
    <n v="16"/>
    <n v="3500"/>
    <n v="15"/>
    <n v="47600"/>
    <n v="3"/>
    <s v="UPI"/>
    <s v="Aisha"/>
    <s v="priYa.patel@company.com"/>
    <s v="9207561051"/>
    <s v="Cancelled"/>
  </r>
  <r>
    <s v="ORD10413"/>
    <s v="C006"/>
    <s v="P302"/>
    <x v="157"/>
    <s v="24/02/2025"/>
    <s v="Sneha Joshi"/>
    <s v="Female"/>
    <s v="15/10/1993"/>
    <s v="Bengaluru"/>
    <x v="0"/>
    <x v="2"/>
    <s v="Pen"/>
    <n v="20"/>
    <n v="20"/>
    <n v="15"/>
    <n v="340"/>
    <n v="1"/>
    <s v="NetBanking"/>
    <s v="Aisha"/>
    <s v="sneha.joshi@company.com"/>
    <s v="9159894508"/>
    <s v="Cancelled"/>
  </r>
  <r>
    <s v="ORD10414"/>
    <s v="C004"/>
    <s v="P101"/>
    <x v="102"/>
    <s v="14/04/2025"/>
    <s v="Anita Gupta"/>
    <s v="Female"/>
    <s v="12/12/1979"/>
    <s v="Ahmedabad"/>
    <x v="2"/>
    <x v="1"/>
    <s v="Laptop"/>
    <n v="1"/>
    <n v="55000"/>
    <n v="15"/>
    <n v="46750"/>
    <n v="2"/>
    <s v="UPI"/>
    <s v="Neha"/>
    <s v="anita.gupta@company.com"/>
    <s v="9531465024"/>
    <s v="Cancelled"/>
  </r>
  <r>
    <s v="ORD10415"/>
    <s v="C002"/>
    <s v="P301"/>
    <x v="271"/>
    <s v="20/01/2025"/>
    <s v="Priya Patel"/>
    <s v="Female"/>
    <s v="24/05/2002"/>
    <s v="Ahmedabad"/>
    <x v="2"/>
    <x v="2"/>
    <s v="Notebook"/>
    <n v="15"/>
    <n v="60"/>
    <n v="5"/>
    <n v="855"/>
    <n v="4"/>
    <s v="NetBanking"/>
    <s v="Aisha"/>
    <s v="priYa.patel@company.com"/>
    <s v="9158813608"/>
    <s v="Completed"/>
  </r>
  <r>
    <s v="ORD10416"/>
    <s v="C007"/>
    <s v="P102"/>
    <x v="279"/>
    <s v="02/04/2026"/>
    <s v="Arjun Rao"/>
    <s v="Male"/>
    <s v="09/03/1976"/>
    <s v="Mumbai"/>
    <x v="2"/>
    <x v="1"/>
    <s v="Mouse"/>
    <n v="15"/>
    <n v="700"/>
    <n v="0"/>
    <n v="10500"/>
    <n v="5"/>
    <s v="NetBanking"/>
    <s v="Neha"/>
    <s v="arjun.rao@company.com"/>
    <s v="9308461700"/>
    <s v="Completed"/>
  </r>
  <r>
    <s v="ORD10417"/>
    <s v="C005"/>
    <s v="P104"/>
    <x v="242"/>
    <s v="09/01/2026"/>
    <s v="Vikas Mehta"/>
    <s v="Male"/>
    <s v="20/09/1980"/>
    <s v="Kolkata"/>
    <x v="3"/>
    <x v="1"/>
    <s v="Monitor"/>
    <n v="13"/>
    <n v="12000"/>
    <n v="10"/>
    <n v="140400"/>
    <n v="1"/>
    <s v="Cash"/>
    <s v="Karan"/>
    <s v="vikas.mehta@company.com"/>
    <s v="9882279049"/>
    <s v="Cancelled"/>
  </r>
  <r>
    <s v="ORD10418"/>
    <s v="C007"/>
    <s v="P104"/>
    <x v="280"/>
    <s v="29/04/2026"/>
    <s v="Arjun Rao"/>
    <s v="Male"/>
    <s v="24/06/1988"/>
    <s v="Hyderabad"/>
    <x v="0"/>
    <x v="1"/>
    <s v="Monitor"/>
    <n v="12"/>
    <n v="12000"/>
    <n v="20"/>
    <n v="115200"/>
    <n v="2"/>
    <s v="Cash"/>
    <s v="Ritika"/>
    <s v="arjun.rao@company.com"/>
    <s v="9961801338"/>
    <s v="Completed"/>
  </r>
  <r>
    <s v="ORD10419"/>
    <s v="C007"/>
    <s v="P303"/>
    <x v="8"/>
    <s v="29/03/2025"/>
    <s v="Arjun Rao"/>
    <s v="Male"/>
    <s v="11/06/2003"/>
    <s v="Mumbai"/>
    <x v="2"/>
    <x v="2"/>
    <s v="Marker"/>
    <n v="10"/>
    <n v="45"/>
    <n v="0"/>
    <n v="450"/>
    <n v="5"/>
    <s v="Card"/>
    <s v="Neha"/>
    <s v="arjun.rao@company.com"/>
    <s v="9853525026"/>
    <s v="Cancelled"/>
  </r>
  <r>
    <s v="ORD10420"/>
    <s v="C003"/>
    <s v="P103"/>
    <x v="1"/>
    <s v="09/05/2025"/>
    <s v="Rohit Singh"/>
    <s v="Male"/>
    <s v="10/12/1981"/>
    <s v="Mumbai"/>
    <x v="2"/>
    <x v="1"/>
    <s v="Keyboard"/>
    <n v="20"/>
    <n v="1200"/>
    <n v="20"/>
    <n v="19200"/>
    <n v="5"/>
    <s v="NetBanking"/>
    <s v="Aisha"/>
    <s v="rohit.singh@company.com"/>
    <s v="9209649485"/>
    <s v="Cancelled"/>
  </r>
  <r>
    <s v="ORD10421"/>
    <s v="C009"/>
    <s v="P103"/>
    <x v="9"/>
    <s v="26/09/2025"/>
    <s v="Mohit Verma"/>
    <s v="Male"/>
    <s v="24/02/1975"/>
    <s v="Pune"/>
    <x v="2"/>
    <x v="1"/>
    <s v="Keyboard"/>
    <n v="8"/>
    <n v="1200"/>
    <n v="10"/>
    <n v="8640"/>
    <n v="4"/>
    <s v="NetBanking"/>
    <s v="Aisha"/>
    <s v="mohit.verma@company.com"/>
    <s v="9712905525"/>
    <s v="Completed"/>
  </r>
  <r>
    <s v="ORD10422"/>
    <s v="C003"/>
    <s v="P103"/>
    <x v="174"/>
    <s v="20/05/2025"/>
    <s v="Rohit Singh"/>
    <s v="Male"/>
    <s v="27/09/1977"/>
    <s v="Jaipur"/>
    <x v="1"/>
    <x v="1"/>
    <s v="Keyboard"/>
    <n v="8"/>
    <n v="1200"/>
    <n v="10"/>
    <n v="8640"/>
    <n v="5"/>
    <s v="Card"/>
    <s v="Rahul"/>
    <s v="rohit.singh@company.com"/>
    <s v="9812472447"/>
    <s v="Cancelled"/>
  </r>
  <r>
    <s v="ORD10423"/>
    <s v="C001"/>
    <s v="P202"/>
    <x v="281"/>
    <s v="30/12/2025"/>
    <s v="Amit Sharma"/>
    <s v="Male"/>
    <s v="25/12/1987"/>
    <s v="Jaipur"/>
    <x v="1"/>
    <x v="0"/>
    <s v="Iron"/>
    <n v="9"/>
    <n v="2200"/>
    <n v="20"/>
    <n v="15840"/>
    <n v="1"/>
    <s v="NetBanking"/>
    <s v="Neha"/>
    <s v="amit.sharma@company.com"/>
    <s v="9281127052"/>
    <s v="Completed"/>
  </r>
  <r>
    <s v="ORD10424"/>
    <s v="C003"/>
    <s v="P302"/>
    <x v="282"/>
    <s v="16/01/2025"/>
    <s v="Rohit Singh"/>
    <s v="Male"/>
    <s v="23/03/2001"/>
    <s v="Kolkata"/>
    <x v="3"/>
    <x v="2"/>
    <s v="Pen"/>
    <n v="8"/>
    <n v="20"/>
    <n v="20"/>
    <n v="128"/>
    <n v="4"/>
    <s v="Cash"/>
    <s v="Ritika"/>
    <s v="rohit.singh@company.com"/>
    <s v="9346312555"/>
    <s v="Cancelled"/>
  </r>
  <r>
    <s v="ORD10425"/>
    <s v="C005"/>
    <s v="P101"/>
    <x v="283"/>
    <s v="22/01/2026"/>
    <s v="Vikas Mehta"/>
    <s v="Male"/>
    <s v="22/09/1982"/>
    <s v="Pune"/>
    <x v="2"/>
    <x v="1"/>
    <s v="Laptop"/>
    <n v="5"/>
    <n v="55000"/>
    <n v="0"/>
    <n v="275000"/>
    <n v="1"/>
    <s v="Card"/>
    <s v="Neha"/>
    <s v="vikas.mehta@company.com"/>
    <s v="9443786067"/>
    <s v="Completed"/>
  </r>
  <r>
    <s v="ORD10426"/>
    <s v="C002"/>
    <s v="P103"/>
    <x v="284"/>
    <s v="18/03/2026"/>
    <s v="Priya Patel"/>
    <s v="Female"/>
    <s v="15/09/1986"/>
    <s v="Mumbai"/>
    <x v="2"/>
    <x v="1"/>
    <s v="Keyboard"/>
    <n v="13"/>
    <n v="1200"/>
    <n v="5"/>
    <n v="14820"/>
    <n v="2"/>
    <s v="Card"/>
    <s v="Ritika"/>
    <s v="priYa.patel@company.com"/>
    <s v="9452540528"/>
    <s v="Cancelled"/>
  </r>
  <r>
    <s v="ORD10427"/>
    <s v="C007"/>
    <s v="P203"/>
    <x v="236"/>
    <s v="30/11/2025"/>
    <s v="Arjun Rao"/>
    <s v="Male"/>
    <s v="12/12/2002"/>
    <s v="Jaipur"/>
    <x v="1"/>
    <x v="0"/>
    <s v="Microwave"/>
    <n v="13"/>
    <n v="8500"/>
    <n v="20"/>
    <n v="88400"/>
    <n v="5"/>
    <s v="Cash"/>
    <s v="Rahul"/>
    <s v="arjun.rao@company.com"/>
    <s v="9750918728"/>
    <s v="Pending"/>
  </r>
  <r>
    <s v="ORD10428"/>
    <s v="C009"/>
    <s v="P301"/>
    <x v="121"/>
    <s v="15/02/2025"/>
    <s v="Mohit Verma"/>
    <s v="Male"/>
    <s v="15/09/1998"/>
    <s v="Pune"/>
    <x v="2"/>
    <x v="2"/>
    <s v="Notebook"/>
    <n v="14"/>
    <n v="60"/>
    <n v="10"/>
    <n v="756"/>
    <n v="1"/>
    <s v="Cash"/>
    <s v="Aisha"/>
    <s v="mohit.verma@company.com"/>
    <s v="9375975834"/>
    <s v="Cancelled"/>
  </r>
  <r>
    <s v="ORD10429"/>
    <s v="C006"/>
    <s v="P202"/>
    <x v="158"/>
    <s v="29/04/2025"/>
    <s v="Sneha Joshi"/>
    <s v="Female"/>
    <s v="17/10/1985"/>
    <s v="Bengaluru"/>
    <x v="0"/>
    <x v="0"/>
    <s v="Iron"/>
    <n v="15"/>
    <n v="2200"/>
    <n v="0"/>
    <n v="33000"/>
    <n v="1"/>
    <s v="Cash"/>
    <s v="Aisha"/>
    <s v="sneha.joshi@company.com"/>
    <s v="9497321112"/>
    <s v="Completed"/>
  </r>
  <r>
    <s v="ORD10430"/>
    <s v="C007"/>
    <s v="P301"/>
    <x v="285"/>
    <s v="29/08/2025"/>
    <s v="Arjun Rao"/>
    <s v="Male"/>
    <s v="15/08/1995"/>
    <s v="Jaipur"/>
    <x v="1"/>
    <x v="2"/>
    <s v="Notebook"/>
    <n v="19"/>
    <n v="60"/>
    <n v="20"/>
    <n v="912"/>
    <n v="3"/>
    <s v="Cash"/>
    <s v="Karan"/>
    <s v="arjun.rao@company.com"/>
    <s v="9828749888"/>
    <s v="Pending"/>
  </r>
  <r>
    <s v="ORD10431"/>
    <s v="C010"/>
    <s v="P303"/>
    <x v="286"/>
    <s v="23/10/2025"/>
    <s v="Pooja Shah"/>
    <s v="Female"/>
    <s v="27/08/1985"/>
    <s v="Jaipur"/>
    <x v="1"/>
    <x v="2"/>
    <s v="Marker"/>
    <n v="13"/>
    <n v="45"/>
    <n v="15"/>
    <n v="497.25"/>
    <n v="2"/>
    <s v="Cash"/>
    <s v="Rahul"/>
    <s v="pooja.shah@company.com"/>
    <s v="9814267382"/>
    <s v="Completed"/>
  </r>
  <r>
    <s v="ORD10432"/>
    <s v="C006"/>
    <s v="P104"/>
    <x v="287"/>
    <s v="24/01/2026"/>
    <s v="Sneha Joshi"/>
    <s v="Female"/>
    <s v="05/06/1975"/>
    <s v="Mumbai"/>
    <x v="2"/>
    <x v="1"/>
    <s v="Monitor"/>
    <n v="7"/>
    <n v="12000"/>
    <n v="5"/>
    <n v="79800"/>
    <n v="4"/>
    <s v="Card"/>
    <s v="Karan"/>
    <s v="sneha.joshi@company.com"/>
    <s v="9937007439"/>
    <s v="Cancelled"/>
  </r>
  <r>
    <s v="ORD10433"/>
    <s v="C001"/>
    <s v="P302"/>
    <x v="254"/>
    <s v="Pending"/>
    <s v="Amit Sharma"/>
    <s v="Male"/>
    <s v="25/03/1997"/>
    <s v="Kolkata"/>
    <x v="3"/>
    <x v="2"/>
    <s v="Pen"/>
    <n v="8"/>
    <n v="20"/>
    <n v="0"/>
    <n v="160"/>
    <n v="4"/>
    <s v="Card"/>
    <s v="Aisha"/>
    <s v="amit.sharma@company.com"/>
    <s v="9657513435"/>
    <s v="Pending"/>
  </r>
  <r>
    <s v="ORD10434"/>
    <s v="C008"/>
    <s v="P201"/>
    <x v="288"/>
    <s v="06/02/2025"/>
    <s v="Kavya Nair"/>
    <s v="Female"/>
    <s v="18/04/1997"/>
    <s v="Kolkata"/>
    <x v="3"/>
    <x v="0"/>
    <s v="Mixer"/>
    <n v="16"/>
    <n v="3500"/>
    <n v="5"/>
    <n v="53200"/>
    <n v="1"/>
    <s v="Card"/>
    <s v="Aisha"/>
    <s v="KAvya.nair@company.com"/>
    <s v="9999406260"/>
    <s v="Cancelled"/>
  </r>
  <r>
    <s v="ORD10435"/>
    <s v="C001"/>
    <s v="P203"/>
    <x v="289"/>
    <s v="04/03/2025"/>
    <s v="Amit Sharma"/>
    <s v="Male"/>
    <s v="28/05/1999"/>
    <s v="Mumbai"/>
    <x v="2"/>
    <x v="0"/>
    <s v="Microwave"/>
    <n v="12"/>
    <n v="8500"/>
    <n v="10"/>
    <n v="91800"/>
    <n v="3"/>
    <s v="Card"/>
    <s v="Ritika"/>
    <s v="amit.sharma@company.com"/>
    <s v="9233727886"/>
    <s v="Completed"/>
  </r>
  <r>
    <s v="ORD10436"/>
    <s v="C008"/>
    <s v="P301"/>
    <x v="290"/>
    <s v="20/04/2025"/>
    <s v="Kavya Nair"/>
    <s v="Female"/>
    <s v="25/06/1983"/>
    <s v="Ahmedabad"/>
    <x v="2"/>
    <x v="2"/>
    <s v="Notebook"/>
    <n v="1"/>
    <n v="60"/>
    <n v="20"/>
    <n v="48"/>
    <n v="2"/>
    <s v="Card"/>
    <s v="Karan"/>
    <s v="KAvya.nair@company.com"/>
    <s v="9831688801"/>
    <s v="Completed"/>
  </r>
  <r>
    <s v="ORD10437"/>
    <s v="C003"/>
    <s v="P301"/>
    <x v="74"/>
    <s v="11/11/2025"/>
    <s v="Rohit Singh"/>
    <s v="Male"/>
    <s v="26/01/1993"/>
    <s v="Hyderabad"/>
    <x v="0"/>
    <x v="2"/>
    <s v="Notebook"/>
    <n v="3"/>
    <n v="60"/>
    <n v="15"/>
    <n v="153"/>
    <n v="4"/>
    <s v="Card"/>
    <s v="Ritika"/>
    <s v="rohit.singh@company.com"/>
    <s v="9982849508"/>
    <s v="Completed"/>
  </r>
  <r>
    <s v="ORD10438"/>
    <s v="C002"/>
    <s v="P102"/>
    <x v="291"/>
    <s v="25/03/2025"/>
    <s v="Priya Patel"/>
    <s v="Female"/>
    <s v="03/03/1979"/>
    <s v="Kolkata"/>
    <x v="3"/>
    <x v="1"/>
    <s v="Mouse"/>
    <n v="10"/>
    <n v="700"/>
    <n v="15"/>
    <n v="5950"/>
    <n v="3"/>
    <s v="NetBanking"/>
    <s v="Ritika"/>
    <s v="priYa.patel@company.com"/>
    <s v="9288309246"/>
    <s v="Pending"/>
  </r>
  <r>
    <s v="ORD10439"/>
    <s v="C007"/>
    <s v="P302"/>
    <x v="292"/>
    <s v="25/10/2025"/>
    <s v="Arjun Rao"/>
    <s v="Male"/>
    <s v="13/09/1976"/>
    <s v="Ahmedabad"/>
    <x v="2"/>
    <x v="2"/>
    <s v="Pen"/>
    <n v="2"/>
    <n v="20"/>
    <n v="10"/>
    <n v="36"/>
    <n v="2"/>
    <s v="UPI"/>
    <s v="Aisha"/>
    <s v="arjun.rao@company.com"/>
    <s v="9808476235"/>
    <s v="Completed"/>
  </r>
  <r>
    <s v="ORD10440"/>
    <s v="C007"/>
    <s v="P302"/>
    <x v="293"/>
    <s v="05/01/2026"/>
    <s v="Arjun Rao"/>
    <s v="Male"/>
    <s v="27/07/1991"/>
    <s v="Delhi"/>
    <x v="1"/>
    <x v="2"/>
    <s v="Pen"/>
    <n v="14"/>
    <n v="20"/>
    <n v="20"/>
    <n v="224"/>
    <n v="5"/>
    <s v="Cash"/>
    <s v="Karan"/>
    <s v="arjun.rao@company.com"/>
    <s v="9869056117"/>
    <s v="Pending"/>
  </r>
  <r>
    <s v="ORD10441"/>
    <s v="C001"/>
    <s v="P201"/>
    <x v="294"/>
    <s v="25/06/2025"/>
    <s v="Amit Sharma"/>
    <s v="Male"/>
    <s v="25/10/1987"/>
    <s v="Ahmedabad"/>
    <x v="2"/>
    <x v="0"/>
    <s v="Mixer"/>
    <n v="4"/>
    <n v="3500"/>
    <n v="0"/>
    <n v="14000"/>
    <n v="2"/>
    <s v="UPI"/>
    <s v="Ritika"/>
    <s v="amit.sharma@company.com"/>
    <s v="9734229772"/>
    <s v="Cancelled"/>
  </r>
  <r>
    <s v="ORD10442"/>
    <s v="C007"/>
    <s v="P201"/>
    <x v="39"/>
    <s v="05/06/2025"/>
    <s v="Arjun Rao"/>
    <s v="Male"/>
    <s v="09/11/1983"/>
    <s v="Jaipur"/>
    <x v="1"/>
    <x v="0"/>
    <s v="Mixer"/>
    <n v="9"/>
    <n v="3500"/>
    <n v="5"/>
    <n v="29925"/>
    <n v="3"/>
    <s v="Card"/>
    <s v="Aisha"/>
    <s v="arjun.rao@company.com"/>
    <s v="9791617906"/>
    <s v="Completed"/>
  </r>
  <r>
    <s v="ORD10443"/>
    <s v="C003"/>
    <s v="P301"/>
    <x v="108"/>
    <s v="03/06/2025"/>
    <s v="Rohit Singh"/>
    <s v="Male"/>
    <s v="28/12/1983"/>
    <s v="Mumbai"/>
    <x v="2"/>
    <x v="2"/>
    <s v="Notebook"/>
    <n v="9"/>
    <n v="60"/>
    <n v="0"/>
    <n v="540"/>
    <n v="3"/>
    <s v="UPI"/>
    <s v="Ritika"/>
    <s v="rohit.singh@company.com"/>
    <s v="9286316823"/>
    <s v="Pending"/>
  </r>
  <r>
    <s v="ORD10444"/>
    <s v="C004"/>
    <s v="P103"/>
    <x v="295"/>
    <s v="03/05/2025"/>
    <s v="Anita Gupta"/>
    <s v="Female"/>
    <s v="15/09/1992"/>
    <s v="Ahmedabad"/>
    <x v="2"/>
    <x v="1"/>
    <s v="Keyboard"/>
    <n v="4"/>
    <n v="1200"/>
    <n v="0"/>
    <n v="4800"/>
    <n v="1"/>
    <s v="NetBanking"/>
    <s v="Aisha"/>
    <s v="anita.gupta@company.com"/>
    <s v="9810569252"/>
    <s v="Completed"/>
  </r>
  <r>
    <s v="ORD10445"/>
    <s v="C010"/>
    <s v="P101"/>
    <x v="257"/>
    <s v="13/02/2025"/>
    <s v="Pooja Shah"/>
    <s v="Female"/>
    <s v="09/08/1999"/>
    <s v="Hyderabad"/>
    <x v="0"/>
    <x v="1"/>
    <s v="Laptop"/>
    <n v="10"/>
    <n v="55000"/>
    <n v="5"/>
    <n v="522500"/>
    <n v="5"/>
    <s v="UPI"/>
    <s v="Neha"/>
    <s v="pooja.shah@company.com"/>
    <s v="9771745925"/>
    <s v="Completed"/>
  </r>
  <r>
    <s v="ORD10446"/>
    <s v="C005"/>
    <s v="P303"/>
    <x v="296"/>
    <s v="06/07/2025"/>
    <s v="Vikas Mehta"/>
    <s v="Male"/>
    <s v="27/02/1990"/>
    <s v="Hyderabad"/>
    <x v="0"/>
    <x v="2"/>
    <s v="Marker"/>
    <n v="20"/>
    <n v="45"/>
    <n v="15"/>
    <n v="765"/>
    <n v="2"/>
    <s v="Card"/>
    <s v="Ritika"/>
    <s v="vikas.mehta@company.com"/>
    <s v="9820683063"/>
    <s v="Cancelled"/>
  </r>
  <r>
    <s v="ORD10447"/>
    <s v="C008"/>
    <s v="P302"/>
    <x v="297"/>
    <s v="22/02/2026"/>
    <s v="Kavya Nair"/>
    <s v="Female"/>
    <s v="27/03/1994"/>
    <s v="Mumbai"/>
    <x v="2"/>
    <x v="2"/>
    <s v="Pen"/>
    <n v="9"/>
    <n v="20"/>
    <n v="20"/>
    <n v="144"/>
    <n v="3"/>
    <s v="Card"/>
    <s v="Aisha"/>
    <s v="KAvya.nair@company.com"/>
    <s v="9292891941"/>
    <s v="Completed"/>
  </r>
  <r>
    <s v="ORD10448"/>
    <s v="C008"/>
    <s v="P101"/>
    <x v="298"/>
    <s v="14/03/2025"/>
    <s v="Kavya Nair"/>
    <s v="Female"/>
    <s v="11/06/1980"/>
    <s v="Pune"/>
    <x v="2"/>
    <x v="1"/>
    <s v="Laptop"/>
    <n v="8"/>
    <n v="55000"/>
    <n v="0"/>
    <n v="440000"/>
    <n v="4"/>
    <s v="Cash"/>
    <s v="Neha"/>
    <s v="KAvya.nair@company.com"/>
    <s v="9413789556"/>
    <s v="Completed"/>
  </r>
  <r>
    <s v="ORD10449"/>
    <s v="C001"/>
    <s v="P103"/>
    <x v="299"/>
    <s v="28/04/2026"/>
    <s v="Amit Sharma"/>
    <s v="Male"/>
    <s v="10/06/2000"/>
    <s v="Ahmedabad"/>
    <x v="2"/>
    <x v="1"/>
    <s v="Keyboard"/>
    <n v="4"/>
    <n v="1200"/>
    <n v="10"/>
    <n v="4320"/>
    <n v="4"/>
    <s v="UPI"/>
    <s v="Ritika"/>
    <s v="amit.sharma@company.com"/>
    <s v="98765"/>
    <s v="Cancelled"/>
  </r>
  <r>
    <s v="ORD10450"/>
    <s v="C001"/>
    <s v="P203"/>
    <x v="130"/>
    <s v="13/05/2026"/>
    <s v="Amit Sharma"/>
    <s v="Male"/>
    <s v="21/04/1998"/>
    <s v="Kolkata"/>
    <x v="3"/>
    <x v="0"/>
    <s v="Microwave"/>
    <n v="14"/>
    <n v="8500"/>
    <n v="10"/>
    <n v="107100"/>
    <n v="4"/>
    <s v="Cash"/>
    <s v="Ritika"/>
    <s v="amit.sharma@company.com"/>
    <s v="9211936331"/>
    <s v="Completed"/>
  </r>
  <r>
    <s v="ORD10451"/>
    <s v="C009"/>
    <s v="P303"/>
    <x v="108"/>
    <s v="07/06/2025"/>
    <s v="Mohit Verma"/>
    <s v="Male"/>
    <s v="10/05/1984"/>
    <s v="Hyderabad"/>
    <x v="0"/>
    <x v="2"/>
    <s v="Marker"/>
    <n v="1"/>
    <n v="45"/>
    <n v="0"/>
    <n v="45"/>
    <n v="3"/>
    <s v="UPI"/>
    <s v="Karan"/>
    <s v="mohit.verma@company.com"/>
    <s v="9167291747"/>
    <s v="Cancelled"/>
  </r>
  <r>
    <s v="ORD10452"/>
    <s v="C009"/>
    <s v="P101"/>
    <x v="300"/>
    <s v="28/02/2025"/>
    <s v="Mohit Verma"/>
    <s v="Male"/>
    <s v="07/10/1986"/>
    <s v="Delhi"/>
    <x v="1"/>
    <x v="1"/>
    <s v="Laptop"/>
    <n v="16"/>
    <n v="55000"/>
    <n v="15"/>
    <n v="748000"/>
    <n v="1"/>
    <s v="Card"/>
    <s v="Karan"/>
    <s v="mohit.verma@company.com"/>
    <s v="9637283597"/>
    <s v="Cancelled"/>
  </r>
  <r>
    <s v="ORD10453"/>
    <s v="C010"/>
    <s v="P102"/>
    <x v="301"/>
    <s v="29/03/2026"/>
    <s v="Pooja Shah"/>
    <s v="Female"/>
    <s v="01/11/2003"/>
    <s v="Ahmedabad"/>
    <x v="2"/>
    <x v="1"/>
    <s v="Mouse"/>
    <n v="8"/>
    <n v="700"/>
    <n v="0"/>
    <n v="5600"/>
    <n v="3"/>
    <s v="Cash"/>
    <s v="Rahul"/>
    <s v="pooja.shah@company.com"/>
    <s v="9514269002"/>
    <s v="Completed"/>
  </r>
  <r>
    <s v="ORD10454"/>
    <s v="C006"/>
    <s v="P103"/>
    <x v="302"/>
    <s v="13/04/2026"/>
    <s v="Sneha Joshi"/>
    <s v="Female"/>
    <s v="10/06/2003"/>
    <s v="Ahmedabad"/>
    <x v="2"/>
    <x v="1"/>
    <s v="Keyboard"/>
    <n v="3"/>
    <n v="1200"/>
    <n v="0"/>
    <n v="3600"/>
    <n v="1"/>
    <s v="Card"/>
    <s v="Rahul"/>
    <s v="sneha.joshi@company.com"/>
    <s v="9778908233"/>
    <s v="Cancelled"/>
  </r>
  <r>
    <s v="ORD10455"/>
    <s v="C009"/>
    <s v="P201"/>
    <x v="303"/>
    <s v="26/02/2025"/>
    <s v="Mohit Verma"/>
    <s v="Male"/>
    <s v="27/03/1990"/>
    <s v="Kolkata"/>
    <x v="3"/>
    <x v="0"/>
    <s v="Mixer"/>
    <n v="7"/>
    <n v="3500"/>
    <n v="15"/>
    <n v="20825"/>
    <n v="4"/>
    <s v="Card"/>
    <s v="Aisha"/>
    <s v="mohit.verma@company.com"/>
    <s v="9981118755"/>
    <s v="Pending"/>
  </r>
  <r>
    <s v="ORD10456"/>
    <s v="C010"/>
    <s v="P101"/>
    <x v="304"/>
    <s v="04/04/2026"/>
    <s v="Pooja Shah"/>
    <s v="Female"/>
    <s v="28/05/2003"/>
    <s v="Pune"/>
    <x v="2"/>
    <x v="1"/>
    <s v="Laptop"/>
    <n v="9"/>
    <n v="55000"/>
    <n v="15"/>
    <n v="420750"/>
    <n v="3"/>
    <s v="UPI"/>
    <s v="Ritika"/>
    <s v="pooja.shah@company.com"/>
    <s v="9887896743"/>
    <s v="Cancelled"/>
  </r>
  <r>
    <s v="ORD10457"/>
    <s v="C001"/>
    <s v="P104"/>
    <x v="17"/>
    <s v="02/12/2025"/>
    <s v="Amit Sharma"/>
    <s v="Male"/>
    <s v="06/02/1993"/>
    <s v="Bengaluru"/>
    <x v="0"/>
    <x v="1"/>
    <s v="Monitor"/>
    <n v="12"/>
    <n v="12000"/>
    <n v="0"/>
    <n v="144000"/>
    <n v="3"/>
    <s v="Card"/>
    <s v="Karan"/>
    <s v="amit.sharma@company.com"/>
    <s v="9585330043"/>
    <s v="Cancelled"/>
  </r>
  <r>
    <s v="ORD10458"/>
    <s v="C002"/>
    <s v="P301"/>
    <x v="305"/>
    <s v="11/05/2025"/>
    <s v="Priya Patel"/>
    <s v="Female"/>
    <s v="02/09/1975"/>
    <s v="Ahmedabad"/>
    <x v="2"/>
    <x v="2"/>
    <s v="Notebook"/>
    <n v="7"/>
    <n v="60"/>
    <n v="10"/>
    <n v="378"/>
    <n v="4"/>
    <s v="Cash"/>
    <s v="Rahul"/>
    <s v="priYa.patel@company.com"/>
    <s v="9423719975"/>
    <s v="Cancelled"/>
  </r>
  <r>
    <s v="ORD10459"/>
    <s v="C005"/>
    <s v="P202"/>
    <x v="306"/>
    <s v="31/08/2025"/>
    <s v="Vikas Mehta"/>
    <s v="Male"/>
    <s v="09/09/1994"/>
    <s v="Mumbai"/>
    <x v="2"/>
    <x v="0"/>
    <s v="Iron"/>
    <n v="17"/>
    <n v="2200"/>
    <n v="15"/>
    <n v="31790"/>
    <n v="3"/>
    <s v="UPI"/>
    <s v="Karan"/>
    <s v="vikas.mehta@company.com"/>
    <s v="9270746961"/>
    <s v="Pending"/>
  </r>
  <r>
    <s v="ORD10460"/>
    <s v="C001"/>
    <s v="P102"/>
    <x v="45"/>
    <s v="06/12/2025"/>
    <s v="Amit Sharma"/>
    <s v="Male"/>
    <s v="07/10/1992"/>
    <s v="Bengaluru"/>
    <x v="0"/>
    <x v="1"/>
    <s v="Mouse"/>
    <n v="17"/>
    <n v="700"/>
    <n v="10"/>
    <n v="10710"/>
    <n v="2"/>
    <s v="Cash"/>
    <s v="Aisha"/>
    <s v="amit.sharma@company.com"/>
    <s v="9333162025"/>
    <s v="Pending"/>
  </r>
  <r>
    <s v="ORD10461"/>
    <s v="C001"/>
    <s v="P101"/>
    <x v="307"/>
    <s v="01/06/2025"/>
    <s v="Amit Sharma"/>
    <s v="Male"/>
    <s v="17/07/2002"/>
    <s v="Delhi"/>
    <x v="1"/>
    <x v="1"/>
    <s v="Laptop"/>
    <n v="19"/>
    <n v="55000"/>
    <n v="20"/>
    <n v="836000"/>
    <n v="5"/>
    <s v="NetBanking"/>
    <s v="Aisha"/>
    <s v="amit.sharma@company.com"/>
    <s v="9247023285"/>
    <s v="Completed"/>
  </r>
  <r>
    <s v="ORD10462"/>
    <s v="C003"/>
    <s v="P301"/>
    <x v="308"/>
    <s v="19/09/2025"/>
    <s v="Rohit Singh"/>
    <s v="Male"/>
    <s v="03/02/2001"/>
    <s v="Delhi"/>
    <x v="1"/>
    <x v="2"/>
    <s v="Notebook"/>
    <n v="1"/>
    <n v="60"/>
    <n v="10"/>
    <n v="54"/>
    <n v="4"/>
    <s v="NetBanking"/>
    <s v="Not Assigned"/>
    <s v="rohit.singh@company.com"/>
    <s v="9448658297"/>
    <s v="Cancelled"/>
  </r>
  <r>
    <s v="ORD10463"/>
    <s v="C009"/>
    <s v="P201"/>
    <x v="309"/>
    <s v="11/03/2026"/>
    <s v="Mohit Verma"/>
    <s v="Male"/>
    <s v="23/06/1990"/>
    <s v="Hyderabad"/>
    <x v="0"/>
    <x v="0"/>
    <s v="Mixer"/>
    <n v="16"/>
    <n v="3500"/>
    <n v="0"/>
    <n v="56000"/>
    <n v="4"/>
    <s v="NetBanking"/>
    <s v="Ritika"/>
    <s v="mohit.verma@company.com"/>
    <s v="9906748486"/>
    <s v="Pending"/>
  </r>
  <r>
    <s v="ORD10464"/>
    <s v="C003"/>
    <s v="P302"/>
    <x v="261"/>
    <s v="05/02/2025"/>
    <s v="Rohit Singh"/>
    <s v="Male"/>
    <s v="13/05/1978"/>
    <s v="Pune"/>
    <x v="2"/>
    <x v="2"/>
    <s v="Pen"/>
    <n v="14"/>
    <n v="20"/>
    <n v="10"/>
    <n v="252"/>
    <n v="1"/>
    <s v="NetBanking"/>
    <s v="Aisha"/>
    <s v="rohit.singh@company.com"/>
    <s v="9365182725"/>
    <s v="Pending"/>
  </r>
  <r>
    <s v="ORD10465"/>
    <s v="C009"/>
    <s v="P202"/>
    <x v="67"/>
    <s v="14/12/2025"/>
    <s v="Mohit Verma"/>
    <s v="Male"/>
    <s v="22/07/2000"/>
    <s v="Bengaluru"/>
    <x v="0"/>
    <x v="0"/>
    <s v="Iron"/>
    <n v="11"/>
    <n v="2200"/>
    <n v="15"/>
    <n v="20570"/>
    <n v="4"/>
    <s v="NetBanking"/>
    <s v="Rahul"/>
    <s v="mohit.verma@company.com"/>
    <s v="9937119494"/>
    <s v="Cancelled"/>
  </r>
  <r>
    <s v="ORD10466"/>
    <s v="C007"/>
    <s v="P101"/>
    <x v="310"/>
    <s v="09/08/2025"/>
    <s v="Arjun Rao"/>
    <s v="Male"/>
    <s v="20/03/1985"/>
    <s v="Jaipur"/>
    <x v="1"/>
    <x v="1"/>
    <s v="Laptop"/>
    <n v="2"/>
    <n v="55000"/>
    <n v="0"/>
    <n v="110000"/>
    <n v="4"/>
    <s v="NetBanking"/>
    <s v="Rahul"/>
    <s v="arjun.rao@company.com"/>
    <s v="9828015293"/>
    <s v="Cancelled"/>
  </r>
  <r>
    <s v="ORD10467"/>
    <s v="C010"/>
    <s v="P202"/>
    <x v="75"/>
    <s v="07/01/2025"/>
    <s v="Pooja Shah"/>
    <s v="Female"/>
    <s v="08/02/1988"/>
    <s v="Pune"/>
    <x v="2"/>
    <x v="0"/>
    <s v="Iron"/>
    <n v="7"/>
    <n v="2200"/>
    <n v="5"/>
    <n v="14630"/>
    <n v="4"/>
    <s v="Card"/>
    <s v="Neha"/>
    <s v="pooja.shah@company.com"/>
    <s v="9864206250"/>
    <s v="Cancelled"/>
  </r>
  <r>
    <s v="ORD10468"/>
    <s v="C008"/>
    <s v="P303"/>
    <x v="311"/>
    <s v="12/04/2025"/>
    <s v="Kavya Nair"/>
    <s v="Female"/>
    <s v="26/04/1997"/>
    <s v="Ahmedabad"/>
    <x v="2"/>
    <x v="2"/>
    <s v="Marker"/>
    <n v="11"/>
    <n v="45"/>
    <n v="15"/>
    <n v="420.75"/>
    <n v="4"/>
    <s v="Card"/>
    <s v="Aisha"/>
    <s v="KAvya.nair@company.com"/>
    <s v="9519293104"/>
    <s v="Pending"/>
  </r>
  <r>
    <s v="ORD10469"/>
    <s v="C002"/>
    <s v="P301"/>
    <x v="180"/>
    <s v="30/04/2025"/>
    <s v="Priya Patel"/>
    <s v="Female"/>
    <s v="22/05/2001"/>
    <s v="Mumbai"/>
    <x v="2"/>
    <x v="2"/>
    <s v="Notebook"/>
    <n v="16"/>
    <n v="60"/>
    <n v="5"/>
    <n v="912"/>
    <n v="2"/>
    <s v="Cash"/>
    <s v="Neha"/>
    <s v="priYa.patel@company.com"/>
    <s v="9296075245"/>
    <s v="Cancelled"/>
  </r>
  <r>
    <s v="ORD10470"/>
    <s v="C001"/>
    <s v="P101"/>
    <x v="312"/>
    <s v="04/11/2025"/>
    <s v="Amit Sharma"/>
    <s v="Male"/>
    <s v="19/06/1982"/>
    <s v="Pune"/>
    <x v="2"/>
    <x v="1"/>
    <s v="Laptop"/>
    <n v="18"/>
    <n v="55000"/>
    <n v="0"/>
    <n v="990000"/>
    <n v="5"/>
    <s v="NetBanking"/>
    <s v="Rahul"/>
    <s v="amit.sharma@company.com"/>
    <s v="9316770206"/>
    <s v="Pending"/>
  </r>
  <r>
    <s v="ORD10471"/>
    <s v="C008"/>
    <s v="P103"/>
    <x v="313"/>
    <s v="22/10/2025"/>
    <s v="Kavya Nair"/>
    <s v="Female"/>
    <s v="23/06/1999"/>
    <s v="Bengaluru"/>
    <x v="0"/>
    <x v="1"/>
    <s v="Keyboard"/>
    <n v="17"/>
    <n v="1200"/>
    <n v="5"/>
    <n v="19380"/>
    <n v="1"/>
    <s v="NetBanking"/>
    <s v="Ritika"/>
    <s v="KAvya.nair@company.com"/>
    <s v="9706553861"/>
    <s v="Pending"/>
  </r>
  <r>
    <s v="ORD10472"/>
    <s v="C010"/>
    <s v="P101"/>
    <x v="1"/>
    <s v="05/05/2025"/>
    <s v="Pooja Shah"/>
    <s v="Female"/>
    <s v="02/02/2001"/>
    <s v="Pune"/>
    <x v="2"/>
    <x v="1"/>
    <s v="Laptop"/>
    <n v="11"/>
    <n v="55000"/>
    <n v="0"/>
    <n v="605000"/>
    <n v="2"/>
    <s v="Cash"/>
    <s v="Aisha"/>
    <s v="pooja.shah@company.com"/>
    <s v="9524904662"/>
    <s v="Pending"/>
  </r>
  <r>
    <s v="ORD10473"/>
    <s v="C006"/>
    <s v="P102"/>
    <x v="25"/>
    <s v="31/05/2025"/>
    <s v="Sneha Joshi"/>
    <s v="Female"/>
    <s v="09/02/1999"/>
    <s v="Delhi"/>
    <x v="1"/>
    <x v="1"/>
    <s v="Mouse"/>
    <n v="20"/>
    <n v="700"/>
    <n v="20"/>
    <n v="11200"/>
    <n v="5"/>
    <s v="NetBanking"/>
    <s v="Aisha"/>
    <s v="sneha.joshi@company.com"/>
    <s v="9577624596"/>
    <s v="Completed"/>
  </r>
  <r>
    <s v="ORD10474"/>
    <s v="C009"/>
    <s v="P302"/>
    <x v="314"/>
    <s v="08/02/2026"/>
    <s v="Mohit Verma"/>
    <s v="Male"/>
    <s v="06/05/1988"/>
    <s v="Delhi"/>
    <x v="1"/>
    <x v="2"/>
    <s v="Pen"/>
    <n v="5"/>
    <n v="20"/>
    <n v="5"/>
    <n v="95"/>
    <n v="4"/>
    <s v="Cash"/>
    <s v="Rahul"/>
    <s v="mohit.verma@company.com"/>
    <s v="9898452436"/>
    <s v="Cancelled"/>
  </r>
  <r>
    <s v="ORD10475"/>
    <s v="C001"/>
    <s v="P101"/>
    <x v="121"/>
    <s v="11/02/2025"/>
    <s v="Amit Sharma"/>
    <s v="Male"/>
    <s v="12/02/1975"/>
    <s v="Mumbai"/>
    <x v="2"/>
    <x v="1"/>
    <s v="Laptop"/>
    <n v="13"/>
    <n v="55000"/>
    <n v="5"/>
    <n v="679250"/>
    <n v="1"/>
    <s v="NetBanking"/>
    <s v="Rahul"/>
    <s v="amit.sharma@company.com"/>
    <s v="9960757012"/>
    <s v="Pending"/>
  </r>
  <r>
    <s v="ORD10476"/>
    <s v="C003"/>
    <s v="P101"/>
    <x v="21"/>
    <s v="20/04/2025"/>
    <s v="Rohit Singh"/>
    <s v="Male"/>
    <s v="01/01/2004"/>
    <s v="Kolkata"/>
    <x v="3"/>
    <x v="1"/>
    <s v="Laptop"/>
    <n v="12"/>
    <n v="55000"/>
    <n v="5"/>
    <n v="627000"/>
    <n v="1"/>
    <s v="NetBanking"/>
    <s v="Neha"/>
    <s v="rohit.singh@company.com"/>
    <s v="9331268182"/>
    <s v="Cancelled"/>
  </r>
  <r>
    <s v="ORD10477"/>
    <s v="C010"/>
    <s v="P303"/>
    <x v="315"/>
    <s v="28/01/2025"/>
    <s v="Pooja Shah"/>
    <s v="Female"/>
    <s v="23/08/2001"/>
    <s v="Mumbai"/>
    <x v="2"/>
    <x v="2"/>
    <s v="Marker"/>
    <n v="16"/>
    <n v="45"/>
    <n v="20"/>
    <n v="576"/>
    <n v="2"/>
    <s v="Cash"/>
    <s v="Rahul"/>
    <s v="pooja.shah@company.com"/>
    <s v="9135996862"/>
    <s v="Pending"/>
  </r>
  <r>
    <s v="ORD10478"/>
    <s v="C008"/>
    <s v="P103"/>
    <x v="0"/>
    <s v="27/09/2025"/>
    <s v="Kavya Nair"/>
    <s v="Female"/>
    <s v="23/01/1998"/>
    <s v="Bengaluru"/>
    <x v="0"/>
    <x v="1"/>
    <s v="Keyboard"/>
    <n v="5"/>
    <n v="1200"/>
    <n v="10"/>
    <n v="5400"/>
    <n v="1"/>
    <s v="Cash"/>
    <s v="Not Assigned"/>
    <s v="KAvya.nair@company.com"/>
    <s v="9540813143"/>
    <s v="Completed"/>
  </r>
  <r>
    <s v="ORD10479"/>
    <s v="C004"/>
    <s v="P303"/>
    <x v="316"/>
    <s v="20/10/2025"/>
    <s v="Anita Gupta"/>
    <s v="Female"/>
    <s v="28/05/2004"/>
    <s v="Kolkata"/>
    <x v="3"/>
    <x v="2"/>
    <s v="Marker"/>
    <n v="2"/>
    <n v="45"/>
    <n v="10"/>
    <n v="81"/>
    <n v="4"/>
    <s v="UPI"/>
    <s v="Rahul"/>
    <s v="anita.gupta@company.com"/>
    <s v="9910913552"/>
    <s v="Pending"/>
  </r>
  <r>
    <s v="ORD10480"/>
    <s v="C003"/>
    <s v="P104"/>
    <x v="317"/>
    <s v="18/01/2026"/>
    <s v="Rohit Singh"/>
    <s v="Male"/>
    <s v="06/03/1985"/>
    <s v="Ahmedabad"/>
    <x v="2"/>
    <x v="1"/>
    <s v="Monitor"/>
    <n v="3"/>
    <n v="12000"/>
    <n v="0"/>
    <n v="36000"/>
    <n v="2"/>
    <s v="UPI"/>
    <s v="Karan"/>
    <s v="rohit.singh@company.com"/>
    <s v="9282751683"/>
    <s v="Pending"/>
  </r>
  <r>
    <s v="ORD10481"/>
    <s v="C008"/>
    <s v="P104"/>
    <x v="318"/>
    <s v="01/02/2025"/>
    <s v="Kavya Nair"/>
    <s v="Female"/>
    <s v="06/09/1986"/>
    <s v="Bengaluru"/>
    <x v="0"/>
    <x v="1"/>
    <s v="Monitor"/>
    <n v="3"/>
    <n v="12000"/>
    <n v="20"/>
    <n v="28800"/>
    <n v="3"/>
    <s v="UPI"/>
    <s v="Neha"/>
    <s v="KAvya.nair@company.com"/>
    <s v="9939332058"/>
    <s v="Completed"/>
  </r>
  <r>
    <s v="ORD10482"/>
    <s v="C003"/>
    <s v="P203"/>
    <x v="319"/>
    <s v="08/04/2026"/>
    <s v="Rohit Singh"/>
    <s v="Male"/>
    <s v="21/08/1981"/>
    <s v="Kolkata"/>
    <x v="3"/>
    <x v="0"/>
    <s v="Microwave"/>
    <n v="9"/>
    <n v="8500"/>
    <n v="15"/>
    <n v="65025"/>
    <n v="5"/>
    <s v="Cash"/>
    <s v="Rahul"/>
    <s v="rohit.singh@company.com"/>
    <s v="9780626473"/>
    <s v="Pending"/>
  </r>
  <r>
    <s v="ORD10483"/>
    <s v="C009"/>
    <s v="P102"/>
    <x v="320"/>
    <s v="06/07/2025"/>
    <s v="Mohit Verma"/>
    <s v="Male"/>
    <s v="23/04/1992"/>
    <s v="Kolkata"/>
    <x v="3"/>
    <x v="1"/>
    <s v="Mouse"/>
    <n v="17"/>
    <n v="700"/>
    <n v="0"/>
    <n v="11900"/>
    <n v="2"/>
    <s v="Cash"/>
    <s v="Aisha"/>
    <s v="mohit.verma@company.com"/>
    <s v="9347298020"/>
    <s v="Cancelled"/>
  </r>
  <r>
    <s v="ORD10484"/>
    <s v="C008"/>
    <s v="P102"/>
    <x v="198"/>
    <s v="18/07/2025"/>
    <s v="Kavya Nair"/>
    <s v="Female"/>
    <s v="03/07/1991"/>
    <s v="Hyderabad"/>
    <x v="0"/>
    <x v="1"/>
    <s v="Mouse"/>
    <n v="20"/>
    <n v="700"/>
    <n v="5"/>
    <n v="13300"/>
    <n v="2"/>
    <s v="UPI"/>
    <s v="Ritika"/>
    <s v="KAvya.nair@company.com"/>
    <s v="9345328522"/>
    <s v="Completed"/>
  </r>
  <r>
    <s v="ORD10485"/>
    <s v="C001"/>
    <s v="P103"/>
    <x v="83"/>
    <s v="21/03/2026"/>
    <s v="Amit Sharma"/>
    <s v="Male"/>
    <s v="05/02/1978"/>
    <s v="Ahmedabad"/>
    <x v="2"/>
    <x v="1"/>
    <s v="Keyboard"/>
    <n v="13"/>
    <n v="1200"/>
    <n v="20"/>
    <n v="12480"/>
    <n v="5"/>
    <s v="Card"/>
    <s v="Neha"/>
    <s v="amit.sharma@company.com"/>
    <s v="9160310438"/>
    <s v="Completed"/>
  </r>
  <r>
    <s v="ORD10486"/>
    <s v="C002"/>
    <s v="P101"/>
    <x v="321"/>
    <s v="29/03/2026"/>
    <s v="Priya Patel"/>
    <s v="Female"/>
    <s v="18/07/1999"/>
    <s v="Jaipur"/>
    <x v="1"/>
    <x v="1"/>
    <s v="Laptop"/>
    <n v="20"/>
    <n v="55000"/>
    <n v="10"/>
    <n v="990000"/>
    <n v="1"/>
    <s v="UPI"/>
    <s v="Ritika"/>
    <s v="priYa.patel@company.com"/>
    <s v="9343776153"/>
    <s v="Pending"/>
  </r>
  <r>
    <s v="ORD10487"/>
    <s v="C006"/>
    <s v="P103"/>
    <x v="79"/>
    <s v="05/11/2025"/>
    <s v="Sneha Joshi"/>
    <s v="Female"/>
    <s v="03/04/1988"/>
    <s v="Kolkata"/>
    <x v="3"/>
    <x v="1"/>
    <s v="Keyboard"/>
    <n v="8"/>
    <n v="1200"/>
    <n v="0"/>
    <n v="9600"/>
    <n v="2"/>
    <s v="NetBanking"/>
    <s v="Karan"/>
    <s v="sneha.joshi@company.com"/>
    <s v="9458599727"/>
    <s v="Completed"/>
  </r>
  <r>
    <s v="ORD10488"/>
    <s v="C010"/>
    <s v="P302"/>
    <x v="322"/>
    <s v="09/05/2026"/>
    <s v="Pooja Shah"/>
    <s v="Female"/>
    <s v="11/11/1978"/>
    <s v="Kolkata"/>
    <x v="3"/>
    <x v="2"/>
    <s v="Pen"/>
    <n v="18"/>
    <n v="20"/>
    <n v="10"/>
    <n v="324"/>
    <n v="5"/>
    <s v="Card"/>
    <s v="Not Assigned"/>
    <s v="pooja.shah@company.com"/>
    <s v="9218660140"/>
    <s v="Pending"/>
  </r>
  <r>
    <s v="ORD10489"/>
    <s v="C004"/>
    <s v="P104"/>
    <x v="323"/>
    <s v="07/03/2025"/>
    <s v="Anita Gupta"/>
    <s v="Female"/>
    <s v="02/04/1994"/>
    <s v="Pune"/>
    <x v="2"/>
    <x v="1"/>
    <s v="Monitor"/>
    <n v="11"/>
    <n v="12000"/>
    <n v="10"/>
    <n v="118800"/>
    <n v="1"/>
    <s v="Card"/>
    <s v="Rahul"/>
    <s v="anita.gupta@company.com"/>
    <s v="9341979199"/>
    <s v="Cancelled"/>
  </r>
  <r>
    <s v="ORD10490"/>
    <s v="C001"/>
    <s v="P203"/>
    <x v="271"/>
    <s v="17/01/2025"/>
    <s v="Amit Sharma"/>
    <s v="Male"/>
    <s v="09/05/1993"/>
    <s v="Hyderabad"/>
    <x v="0"/>
    <x v="0"/>
    <s v="Microwave"/>
    <n v="2"/>
    <n v="8500"/>
    <n v="5"/>
    <n v="16150"/>
    <n v="1"/>
    <s v="Card"/>
    <s v="Aisha"/>
    <s v="amit.sharma@company.com"/>
    <s v="9823080381"/>
    <s v="Completed"/>
  </r>
  <r>
    <s v="ORD10491"/>
    <s v="C002"/>
    <s v="P202"/>
    <x v="41"/>
    <s v="08/04/2025"/>
    <s v="Priya Patel"/>
    <s v="Female"/>
    <s v="11/07/1994"/>
    <s v="Pune"/>
    <x v="2"/>
    <x v="0"/>
    <s v="Iron"/>
    <n v="7"/>
    <n v="2200"/>
    <n v="0"/>
    <n v="15400"/>
    <n v="5"/>
    <s v="NetBanking"/>
    <s v="Ritika"/>
    <s v="priYa.patel@company.com"/>
    <s v="9981183477"/>
    <s v="Pending"/>
  </r>
  <r>
    <s v="ORD10492"/>
    <s v="C007"/>
    <s v="P203"/>
    <x v="299"/>
    <s v="02/05/2026"/>
    <s v="Arjun Rao"/>
    <s v="Male"/>
    <s v="19/12/1982"/>
    <s v="Delhi"/>
    <x v="1"/>
    <x v="0"/>
    <s v="Microwave"/>
    <n v="20"/>
    <n v="8500"/>
    <n v="0"/>
    <n v="170000"/>
    <n v="3"/>
    <s v="NetBanking"/>
    <s v="Rahul"/>
    <s v="arjun.rao@company.com"/>
    <s v="9281596011"/>
    <s v="Completed"/>
  </r>
  <r>
    <s v="ORD10493"/>
    <s v="C003"/>
    <s v="P103"/>
    <x v="178"/>
    <s v="29/07/2025"/>
    <s v="Rohit Singh"/>
    <s v="Male"/>
    <s v="02/11/2001"/>
    <s v="Hyderabad"/>
    <x v="0"/>
    <x v="1"/>
    <s v="Keyboard"/>
    <n v="11"/>
    <n v="1200"/>
    <n v="5"/>
    <n v="12540"/>
    <n v="2"/>
    <s v="Cash"/>
    <s v="Ritika"/>
    <s v="rohit.singh@company.com"/>
    <s v="9211734022"/>
    <s v="Pending"/>
  </r>
  <r>
    <s v="ORD10494"/>
    <s v="C007"/>
    <s v="P102"/>
    <x v="324"/>
    <s v="01/08/2025"/>
    <s v="Arjun Rao"/>
    <s v="Male"/>
    <s v="18/10/2001"/>
    <s v="Ahmedabad"/>
    <x v="2"/>
    <x v="1"/>
    <s v="Mouse"/>
    <n v="14"/>
    <n v="700"/>
    <n v="0"/>
    <n v="9800"/>
    <n v="2"/>
    <s v="Card"/>
    <s v="Karan"/>
    <s v="arjun.rao@company.com"/>
    <s v="9447151666"/>
    <s v="Cancelled"/>
  </r>
  <r>
    <s v="ORD10495"/>
    <s v="C009"/>
    <s v="P103"/>
    <x v="325"/>
    <s v="01/11/2025"/>
    <s v="Mohit Verma"/>
    <s v="Male"/>
    <s v="21/12/2000"/>
    <s v="Pune"/>
    <x v="2"/>
    <x v="1"/>
    <s v="Keyboard"/>
    <n v="16"/>
    <n v="1200"/>
    <n v="15"/>
    <n v="16320"/>
    <n v="4"/>
    <s v="Cash"/>
    <s v="Karan"/>
    <s v="mohit.verma@company.com"/>
    <s v="9345342793"/>
    <s v="Pending"/>
  </r>
  <r>
    <s v="ORD10496"/>
    <s v="C004"/>
    <s v="P202"/>
    <x v="71"/>
    <s v="29/03/2026"/>
    <s v="Anita Gupta"/>
    <s v="Female"/>
    <s v="20/02/1983"/>
    <s v="Jaipur"/>
    <x v="1"/>
    <x v="0"/>
    <s v="Iron"/>
    <n v="20"/>
    <n v="2200"/>
    <n v="0"/>
    <n v="44000"/>
    <n v="5"/>
    <s v="Cash"/>
    <s v="Ritika"/>
    <s v="anita.gupta@company.com"/>
    <s v="9329668173"/>
    <s v="Cancelled"/>
  </r>
  <r>
    <s v="ORD10497"/>
    <s v="C007"/>
    <s v="P104"/>
    <x v="323"/>
    <s v="07/03/2025"/>
    <s v="Arjun Rao"/>
    <s v="Male"/>
    <s v="13/06/1988"/>
    <s v="Jaipur"/>
    <x v="1"/>
    <x v="1"/>
    <s v="Monitor"/>
    <n v="12"/>
    <n v="12000"/>
    <n v="15"/>
    <n v="122400"/>
    <n v="5"/>
    <s v="Cash"/>
    <s v="Karan"/>
    <s v="arjun.rao@company.com"/>
    <s v="9294740227"/>
    <s v="Completed"/>
  </r>
  <r>
    <s v="ORD10498"/>
    <s v="C005"/>
    <s v="P103"/>
    <x v="95"/>
    <s v="20/12/2025"/>
    <s v="Vikas Mehta"/>
    <s v="Male"/>
    <s v="22/07/1992"/>
    <s v="Delhi"/>
    <x v="1"/>
    <x v="1"/>
    <s v="Keyboard"/>
    <n v="3"/>
    <n v="1200"/>
    <n v="20"/>
    <n v="2880"/>
    <n v="2"/>
    <s v="NetBanking"/>
    <s v="Neha"/>
    <s v="vikas.mehtacompany.com"/>
    <s v="9549426303"/>
    <s v="Pending"/>
  </r>
  <r>
    <s v="ORD10499"/>
    <s v="C002"/>
    <s v="P101"/>
    <x v="124"/>
    <s v="05/07/2025"/>
    <s v="Priya Patel"/>
    <s v="Female"/>
    <s v="12/08/1979"/>
    <s v="Mumbai"/>
    <x v="2"/>
    <x v="1"/>
    <s v="Laptop,Mouse"/>
    <n v="6"/>
    <n v="55000"/>
    <n v="20"/>
    <n v="264000"/>
    <n v="3"/>
    <s v="Cash"/>
    <s v="Karan"/>
    <s v="priYa.patel@company.com"/>
    <s v="9374249303"/>
    <s v="Completed"/>
  </r>
  <r>
    <s v="ORD10500"/>
    <s v="C002"/>
    <s v="P201"/>
    <x v="326"/>
    <s v="23/09/2025"/>
    <s v="Priya Patel"/>
    <s v="Female"/>
    <s v="24/11/1976"/>
    <s v="Bengaluru"/>
    <x v="0"/>
    <x v="0"/>
    <s v="Mixer"/>
    <n v="20"/>
    <n v="3500"/>
    <n v="0"/>
    <n v="70000"/>
    <n v="1"/>
    <s v="NetBanking"/>
    <s v="Karan"/>
    <s v="priYa.patel@company.com"/>
    <s v="9810334941"/>
    <s v="Pend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0DBA1F-B2EB-46BB-925E-AFF2B2E2F3D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2:C7" firstHeaderRow="1" firstDataRow="1" firstDataCol="1"/>
  <pivotFields count="22">
    <pivotField showAll="0"/>
    <pivotField showAll="0"/>
    <pivotField showAll="0"/>
    <pivotField showAll="0">
      <items count="328">
        <item x="252"/>
        <item x="75"/>
        <item x="288"/>
        <item x="58"/>
        <item x="221"/>
        <item x="141"/>
        <item x="30"/>
        <item x="310"/>
        <item x="61"/>
        <item x="262"/>
        <item x="260"/>
        <item x="17"/>
        <item x="112"/>
        <item x="226"/>
        <item x="302"/>
        <item x="295"/>
        <item x="177"/>
        <item x="168"/>
        <item x="275"/>
        <item x="312"/>
        <item x="145"/>
        <item x="20"/>
        <item x="109"/>
        <item x="257"/>
        <item x="298"/>
        <item x="105"/>
        <item x="103"/>
        <item x="200"/>
        <item x="130"/>
        <item x="234"/>
        <item x="270"/>
        <item x="2"/>
        <item x="196"/>
        <item x="4"/>
        <item x="121"/>
        <item x="68"/>
        <item x="309"/>
        <item x="117"/>
        <item x="305"/>
        <item x="89"/>
        <item x="39"/>
        <item x="124"/>
        <item x="114"/>
        <item x="87"/>
        <item x="150"/>
        <item x="137"/>
        <item x="241"/>
        <item x="242"/>
        <item x="55"/>
        <item x="238"/>
        <item x="240"/>
        <item x="322"/>
        <item x="181"/>
        <item x="246"/>
        <item x="37"/>
        <item x="34"/>
        <item x="249"/>
        <item x="162"/>
        <item x="143"/>
        <item x="163"/>
        <item x="170"/>
        <item x="164"/>
        <item x="140"/>
        <item x="211"/>
        <item x="228"/>
        <item x="74"/>
        <item x="245"/>
        <item x="148"/>
        <item x="31"/>
        <item x="127"/>
        <item x="64"/>
        <item x="319"/>
        <item x="93"/>
        <item x="129"/>
        <item x="190"/>
        <item x="188"/>
        <item x="40"/>
        <item x="10"/>
        <item x="35"/>
        <item x="311"/>
        <item x="14"/>
        <item x="230"/>
        <item x="215"/>
        <item x="118"/>
        <item x="198"/>
        <item x="27"/>
        <item x="201"/>
        <item x="60"/>
        <item x="59"/>
        <item x="62"/>
        <item x="12"/>
        <item x="102"/>
        <item x="23"/>
        <item x="92"/>
        <item x="197"/>
        <item x="72"/>
        <item x="187"/>
        <item x="203"/>
        <item x="32"/>
        <item x="147"/>
        <item x="11"/>
        <item x="38"/>
        <item x="80"/>
        <item x="254"/>
        <item x="100"/>
        <item x="52"/>
        <item x="126"/>
        <item x="235"/>
        <item x="28"/>
        <item x="219"/>
        <item x="278"/>
        <item x="83"/>
        <item x="123"/>
        <item x="253"/>
        <item x="111"/>
        <item x="277"/>
        <item x="184"/>
        <item x="44"/>
        <item x="95"/>
        <item x="282"/>
        <item x="317"/>
        <item x="297"/>
        <item x="217"/>
        <item x="88"/>
        <item x="210"/>
        <item x="155"/>
        <item x="259"/>
        <item x="308"/>
        <item x="286"/>
        <item x="199"/>
        <item x="96"/>
        <item x="283"/>
        <item x="36"/>
        <item x="218"/>
        <item x="133"/>
        <item x="26"/>
        <item x="6"/>
        <item x="273"/>
        <item x="57"/>
        <item x="85"/>
        <item x="43"/>
        <item x="67"/>
        <item x="287"/>
        <item x="146"/>
        <item x="144"/>
        <item x="91"/>
        <item x="264"/>
        <item x="152"/>
        <item x="132"/>
        <item x="63"/>
        <item x="271"/>
        <item x="284"/>
        <item x="159"/>
        <item x="151"/>
        <item x="54"/>
        <item x="82"/>
        <item x="244"/>
        <item x="73"/>
        <item x="195"/>
        <item x="120"/>
        <item x="185"/>
        <item x="157"/>
        <item x="86"/>
        <item x="81"/>
        <item x="248"/>
        <item x="223"/>
        <item x="191"/>
        <item x="29"/>
        <item x="56"/>
        <item x="326"/>
        <item x="156"/>
        <item x="154"/>
        <item x="220"/>
        <item x="165"/>
        <item x="300"/>
        <item x="116"/>
        <item x="97"/>
        <item x="71"/>
        <item x="202"/>
        <item x="280"/>
        <item x="209"/>
        <item x="125"/>
        <item x="90"/>
        <item x="303"/>
        <item x="207"/>
        <item x="77"/>
        <item x="290"/>
        <item x="174"/>
        <item x="251"/>
        <item x="0"/>
        <item x="313"/>
        <item x="101"/>
        <item x="167"/>
        <item x="176"/>
        <item x="179"/>
        <item x="265"/>
        <item x="21"/>
        <item x="46"/>
        <item x="205"/>
        <item x="138"/>
        <item x="136"/>
        <item x="49"/>
        <item x="9"/>
        <item x="316"/>
        <item x="33"/>
        <item x="160"/>
        <item x="186"/>
        <item x="291"/>
        <item x="180"/>
        <item x="113"/>
        <item x="182"/>
        <item x="267"/>
        <item x="178"/>
        <item x="84"/>
        <item x="110"/>
        <item x="315"/>
        <item x="208"/>
        <item x="51"/>
        <item x="213"/>
        <item x="247"/>
        <item x="94"/>
        <item x="294"/>
        <item x="135"/>
        <item x="166"/>
        <item x="325"/>
        <item x="122"/>
        <item x="289"/>
        <item x="15"/>
        <item x="301"/>
        <item x="153"/>
        <item x="169"/>
        <item x="25"/>
        <item x="204"/>
        <item x="134"/>
        <item x="214"/>
        <item x="292"/>
        <item x="22"/>
        <item x="255"/>
        <item x="323"/>
        <item x="194"/>
        <item x="321"/>
        <item x="212"/>
        <item x="225"/>
        <item x="224"/>
        <item x="306"/>
        <item x="104"/>
        <item x="128"/>
        <item x="261"/>
        <item x="183"/>
        <item x="232"/>
        <item x="53"/>
        <item x="299"/>
        <item x="161"/>
        <item x="24"/>
        <item x="106"/>
        <item x="65"/>
        <item x="266"/>
        <item x="98"/>
        <item x="222"/>
        <item x="8"/>
        <item x="42"/>
        <item x="76"/>
        <item x="192"/>
        <item x="18"/>
        <item x="119"/>
        <item x="48"/>
        <item x="236"/>
        <item x="318"/>
        <item x="69"/>
        <item x="99"/>
        <item x="139"/>
        <item x="175"/>
        <item x="19"/>
        <item x="229"/>
        <item x="149"/>
        <item x="320"/>
        <item x="13"/>
        <item x="239"/>
        <item x="231"/>
        <item x="276"/>
        <item x="189"/>
        <item x="233"/>
        <item x="216"/>
        <item x="279"/>
        <item x="1"/>
        <item x="115"/>
        <item x="70"/>
        <item x="50"/>
        <item x="285"/>
        <item x="3"/>
        <item x="45"/>
        <item x="274"/>
        <item x="269"/>
        <item x="314"/>
        <item x="171"/>
        <item x="16"/>
        <item x="47"/>
        <item x="158"/>
        <item x="268"/>
        <item x="243"/>
        <item x="227"/>
        <item x="142"/>
        <item x="193"/>
        <item x="206"/>
        <item x="304"/>
        <item x="173"/>
        <item x="307"/>
        <item x="296"/>
        <item x="324"/>
        <item x="263"/>
        <item x="237"/>
        <item x="131"/>
        <item x="281"/>
        <item x="172"/>
        <item x="41"/>
        <item x="256"/>
        <item x="108"/>
        <item x="250"/>
        <item x="66"/>
        <item x="78"/>
        <item x="272"/>
        <item x="7"/>
        <item x="5"/>
        <item x="107"/>
        <item x="79"/>
        <item x="293"/>
        <item x="258"/>
        <item t="default"/>
      </items>
    </pivotField>
    <pivotField showAll="0"/>
    <pivotField showAll="0"/>
    <pivotField showAll="0"/>
    <pivotField showAll="0"/>
    <pivotField showAll="0"/>
    <pivotField axis="axisRow" showAll="0">
      <items count="5">
        <item x="3"/>
        <item x="1"/>
        <item x="0"/>
        <item x="2"/>
        <item t="default"/>
      </items>
    </pivotField>
    <pivotField showAll="0">
      <items count="5">
        <item x="1"/>
        <item x="0"/>
        <item x="3"/>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Sum of Sales"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EA01B8-E97D-486C-88F8-F7F8D460DB6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40:C368" firstHeaderRow="1" firstDataRow="1" firstDataCol="1"/>
  <pivotFields count="22">
    <pivotField showAll="0"/>
    <pivotField showAll="0"/>
    <pivotField showAll="0"/>
    <pivotField axis="axisRow" showAll="0">
      <items count="328">
        <item x="252"/>
        <item x="75"/>
        <item x="288"/>
        <item x="58"/>
        <item x="221"/>
        <item x="141"/>
        <item x="30"/>
        <item x="310"/>
        <item x="61"/>
        <item x="262"/>
        <item x="260"/>
        <item x="17"/>
        <item x="112"/>
        <item x="226"/>
        <item x="302"/>
        <item x="295"/>
        <item x="177"/>
        <item x="168"/>
        <item x="275"/>
        <item x="312"/>
        <item x="145"/>
        <item x="20"/>
        <item x="109"/>
        <item x="257"/>
        <item x="298"/>
        <item x="105"/>
        <item x="103"/>
        <item x="200"/>
        <item x="130"/>
        <item x="234"/>
        <item x="270"/>
        <item x="2"/>
        <item x="196"/>
        <item x="4"/>
        <item x="121"/>
        <item x="68"/>
        <item x="309"/>
        <item x="117"/>
        <item x="305"/>
        <item x="89"/>
        <item x="39"/>
        <item x="124"/>
        <item x="114"/>
        <item x="87"/>
        <item x="150"/>
        <item x="137"/>
        <item x="241"/>
        <item x="242"/>
        <item x="55"/>
        <item x="238"/>
        <item x="240"/>
        <item x="322"/>
        <item x="181"/>
        <item x="246"/>
        <item x="37"/>
        <item x="34"/>
        <item x="249"/>
        <item x="162"/>
        <item x="143"/>
        <item x="163"/>
        <item x="170"/>
        <item x="164"/>
        <item x="140"/>
        <item x="211"/>
        <item x="228"/>
        <item x="74"/>
        <item x="245"/>
        <item x="148"/>
        <item x="31"/>
        <item x="127"/>
        <item x="64"/>
        <item x="319"/>
        <item x="93"/>
        <item x="129"/>
        <item x="190"/>
        <item x="188"/>
        <item x="40"/>
        <item x="10"/>
        <item x="35"/>
        <item x="311"/>
        <item x="14"/>
        <item x="230"/>
        <item x="215"/>
        <item x="118"/>
        <item x="198"/>
        <item x="27"/>
        <item x="201"/>
        <item x="60"/>
        <item x="59"/>
        <item x="62"/>
        <item x="12"/>
        <item x="102"/>
        <item x="23"/>
        <item x="92"/>
        <item x="197"/>
        <item x="72"/>
        <item x="187"/>
        <item x="203"/>
        <item x="32"/>
        <item x="147"/>
        <item x="11"/>
        <item x="38"/>
        <item x="80"/>
        <item x="254"/>
        <item x="100"/>
        <item x="52"/>
        <item x="126"/>
        <item x="235"/>
        <item x="28"/>
        <item x="219"/>
        <item x="278"/>
        <item x="83"/>
        <item x="123"/>
        <item x="253"/>
        <item x="111"/>
        <item x="277"/>
        <item x="184"/>
        <item x="44"/>
        <item x="95"/>
        <item x="282"/>
        <item x="317"/>
        <item x="297"/>
        <item x="217"/>
        <item x="88"/>
        <item x="210"/>
        <item x="155"/>
        <item x="259"/>
        <item x="308"/>
        <item x="286"/>
        <item x="199"/>
        <item x="96"/>
        <item x="283"/>
        <item x="36"/>
        <item x="218"/>
        <item x="133"/>
        <item x="26"/>
        <item x="6"/>
        <item x="273"/>
        <item x="57"/>
        <item x="85"/>
        <item x="43"/>
        <item x="67"/>
        <item x="287"/>
        <item x="146"/>
        <item x="144"/>
        <item x="91"/>
        <item x="264"/>
        <item x="152"/>
        <item x="132"/>
        <item x="63"/>
        <item x="271"/>
        <item x="284"/>
        <item x="159"/>
        <item x="151"/>
        <item x="54"/>
        <item x="82"/>
        <item x="244"/>
        <item x="73"/>
        <item x="195"/>
        <item x="120"/>
        <item x="185"/>
        <item x="157"/>
        <item x="86"/>
        <item x="81"/>
        <item x="248"/>
        <item x="223"/>
        <item x="191"/>
        <item x="29"/>
        <item x="56"/>
        <item x="326"/>
        <item x="156"/>
        <item x="154"/>
        <item x="220"/>
        <item x="165"/>
        <item x="300"/>
        <item x="116"/>
        <item x="97"/>
        <item x="71"/>
        <item x="202"/>
        <item x="280"/>
        <item x="209"/>
        <item x="125"/>
        <item x="90"/>
        <item x="303"/>
        <item x="207"/>
        <item x="77"/>
        <item x="290"/>
        <item x="174"/>
        <item x="251"/>
        <item x="0"/>
        <item x="313"/>
        <item x="101"/>
        <item x="167"/>
        <item x="176"/>
        <item x="179"/>
        <item x="265"/>
        <item x="21"/>
        <item x="46"/>
        <item x="205"/>
        <item x="138"/>
        <item x="136"/>
        <item x="49"/>
        <item x="9"/>
        <item x="316"/>
        <item x="33"/>
        <item x="160"/>
        <item x="186"/>
        <item x="291"/>
        <item x="180"/>
        <item x="113"/>
        <item x="182"/>
        <item x="267"/>
        <item x="178"/>
        <item x="84"/>
        <item x="110"/>
        <item x="315"/>
        <item x="208"/>
        <item x="51"/>
        <item x="213"/>
        <item x="247"/>
        <item x="94"/>
        <item x="294"/>
        <item x="135"/>
        <item x="166"/>
        <item x="325"/>
        <item x="122"/>
        <item x="289"/>
        <item x="15"/>
        <item x="301"/>
        <item x="153"/>
        <item x="169"/>
        <item x="25"/>
        <item x="204"/>
        <item x="134"/>
        <item x="214"/>
        <item x="292"/>
        <item x="22"/>
        <item x="255"/>
        <item x="323"/>
        <item x="194"/>
        <item x="321"/>
        <item x="212"/>
        <item x="225"/>
        <item x="224"/>
        <item x="306"/>
        <item x="104"/>
        <item x="128"/>
        <item x="261"/>
        <item x="183"/>
        <item x="232"/>
        <item x="53"/>
        <item x="299"/>
        <item x="161"/>
        <item x="24"/>
        <item x="106"/>
        <item x="65"/>
        <item x="266"/>
        <item x="98"/>
        <item x="222"/>
        <item x="8"/>
        <item x="42"/>
        <item x="76"/>
        <item x="192"/>
        <item x="18"/>
        <item x="119"/>
        <item x="48"/>
        <item x="236"/>
        <item x="318"/>
        <item x="69"/>
        <item x="99"/>
        <item x="139"/>
        <item x="175"/>
        <item x="19"/>
        <item x="229"/>
        <item x="149"/>
        <item x="320"/>
        <item x="13"/>
        <item x="239"/>
        <item x="231"/>
        <item x="276"/>
        <item x="189"/>
        <item x="233"/>
        <item x="216"/>
        <item x="279"/>
        <item x="1"/>
        <item x="115"/>
        <item x="70"/>
        <item x="50"/>
        <item x="285"/>
        <item x="3"/>
        <item x="45"/>
        <item x="274"/>
        <item x="269"/>
        <item x="314"/>
        <item x="171"/>
        <item x="16"/>
        <item x="47"/>
        <item x="158"/>
        <item x="268"/>
        <item x="243"/>
        <item x="227"/>
        <item x="142"/>
        <item x="193"/>
        <item x="206"/>
        <item x="304"/>
        <item x="173"/>
        <item x="307"/>
        <item x="296"/>
        <item x="324"/>
        <item x="263"/>
        <item x="237"/>
        <item x="131"/>
        <item x="281"/>
        <item x="172"/>
        <item x="41"/>
        <item x="256"/>
        <item x="108"/>
        <item x="250"/>
        <item x="66"/>
        <item x="78"/>
        <item x="272"/>
        <item x="7"/>
        <item x="5"/>
        <item x="107"/>
        <item x="79"/>
        <item x="293"/>
        <item x="258"/>
        <item t="default"/>
      </items>
    </pivotField>
    <pivotField showAll="0"/>
    <pivotField showAll="0"/>
    <pivotField showAll="0"/>
    <pivotField showAll="0"/>
    <pivotField showAll="0"/>
    <pivotField showAll="0">
      <items count="5">
        <item x="3"/>
        <item x="1"/>
        <item x="0"/>
        <item x="2"/>
        <item t="default"/>
      </items>
    </pivotField>
    <pivotField showAll="0">
      <items count="5">
        <item x="1"/>
        <item x="0"/>
        <item x="3"/>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s>
  <rowFields count="1">
    <field x="3"/>
  </rowFields>
  <rowItems count="32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t="grand">
      <x/>
    </i>
  </rowItems>
  <colItems count="1">
    <i/>
  </colItems>
  <dataFields count="1">
    <dataField name="Sum of Sales" fld="15"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FD5F64-C0A1-4CEB-9A24-6B4372E6D44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2:C27" firstHeaderRow="1" firstDataRow="1" firstDataCol="1"/>
  <pivotFields count="22">
    <pivotField showAll="0"/>
    <pivotField showAll="0"/>
    <pivotField showAll="0"/>
    <pivotField showAll="0">
      <items count="328">
        <item x="252"/>
        <item x="75"/>
        <item x="288"/>
        <item x="58"/>
        <item x="221"/>
        <item x="141"/>
        <item x="30"/>
        <item x="310"/>
        <item x="61"/>
        <item x="262"/>
        <item x="260"/>
        <item x="17"/>
        <item x="112"/>
        <item x="226"/>
        <item x="302"/>
        <item x="295"/>
        <item x="177"/>
        <item x="168"/>
        <item x="275"/>
        <item x="312"/>
        <item x="145"/>
        <item x="20"/>
        <item x="109"/>
        <item x="257"/>
        <item x="298"/>
        <item x="105"/>
        <item x="103"/>
        <item x="200"/>
        <item x="130"/>
        <item x="234"/>
        <item x="270"/>
        <item x="2"/>
        <item x="196"/>
        <item x="4"/>
        <item x="121"/>
        <item x="68"/>
        <item x="309"/>
        <item x="117"/>
        <item x="305"/>
        <item x="89"/>
        <item x="39"/>
        <item x="124"/>
        <item x="114"/>
        <item x="87"/>
        <item x="150"/>
        <item x="137"/>
        <item x="241"/>
        <item x="242"/>
        <item x="55"/>
        <item x="238"/>
        <item x="240"/>
        <item x="322"/>
        <item x="181"/>
        <item x="246"/>
        <item x="37"/>
        <item x="34"/>
        <item x="249"/>
        <item x="162"/>
        <item x="143"/>
        <item x="163"/>
        <item x="170"/>
        <item x="164"/>
        <item x="140"/>
        <item x="211"/>
        <item x="228"/>
        <item x="74"/>
        <item x="245"/>
        <item x="148"/>
        <item x="31"/>
        <item x="127"/>
        <item x="64"/>
        <item x="319"/>
        <item x="93"/>
        <item x="129"/>
        <item x="190"/>
        <item x="188"/>
        <item x="40"/>
        <item x="10"/>
        <item x="35"/>
        <item x="311"/>
        <item x="14"/>
        <item x="230"/>
        <item x="215"/>
        <item x="118"/>
        <item x="198"/>
        <item x="27"/>
        <item x="201"/>
        <item x="60"/>
        <item x="59"/>
        <item x="62"/>
        <item x="12"/>
        <item x="102"/>
        <item x="23"/>
        <item x="92"/>
        <item x="197"/>
        <item x="72"/>
        <item x="187"/>
        <item x="203"/>
        <item x="32"/>
        <item x="147"/>
        <item x="11"/>
        <item x="38"/>
        <item x="80"/>
        <item x="254"/>
        <item x="100"/>
        <item x="52"/>
        <item x="126"/>
        <item x="235"/>
        <item x="28"/>
        <item x="219"/>
        <item x="278"/>
        <item x="83"/>
        <item x="123"/>
        <item x="253"/>
        <item x="111"/>
        <item x="277"/>
        <item x="184"/>
        <item x="44"/>
        <item x="95"/>
        <item x="282"/>
        <item x="317"/>
        <item x="297"/>
        <item x="217"/>
        <item x="88"/>
        <item x="210"/>
        <item x="155"/>
        <item x="259"/>
        <item x="308"/>
        <item x="286"/>
        <item x="199"/>
        <item x="96"/>
        <item x="283"/>
        <item x="36"/>
        <item x="218"/>
        <item x="133"/>
        <item x="26"/>
        <item x="6"/>
        <item x="273"/>
        <item x="57"/>
        <item x="85"/>
        <item x="43"/>
        <item x="67"/>
        <item x="287"/>
        <item x="146"/>
        <item x="144"/>
        <item x="91"/>
        <item x="264"/>
        <item x="152"/>
        <item x="132"/>
        <item x="63"/>
        <item x="271"/>
        <item x="284"/>
        <item x="159"/>
        <item x="151"/>
        <item x="54"/>
        <item x="82"/>
        <item x="244"/>
        <item x="73"/>
        <item x="195"/>
        <item x="120"/>
        <item x="185"/>
        <item x="157"/>
        <item x="86"/>
        <item x="81"/>
        <item x="248"/>
        <item x="223"/>
        <item x="191"/>
        <item x="29"/>
        <item x="56"/>
        <item x="326"/>
        <item x="156"/>
        <item x="154"/>
        <item x="220"/>
        <item x="165"/>
        <item x="300"/>
        <item x="116"/>
        <item x="97"/>
        <item x="71"/>
        <item x="202"/>
        <item x="280"/>
        <item x="209"/>
        <item x="125"/>
        <item x="90"/>
        <item x="303"/>
        <item x="207"/>
        <item x="77"/>
        <item x="290"/>
        <item x="174"/>
        <item x="251"/>
        <item x="0"/>
        <item x="313"/>
        <item x="101"/>
        <item x="167"/>
        <item x="176"/>
        <item x="179"/>
        <item x="265"/>
        <item x="21"/>
        <item x="46"/>
        <item x="205"/>
        <item x="138"/>
        <item x="136"/>
        <item x="49"/>
        <item x="9"/>
        <item x="316"/>
        <item x="33"/>
        <item x="160"/>
        <item x="186"/>
        <item x="291"/>
        <item x="180"/>
        <item x="113"/>
        <item x="182"/>
        <item x="267"/>
        <item x="178"/>
        <item x="84"/>
        <item x="110"/>
        <item x="315"/>
        <item x="208"/>
        <item x="51"/>
        <item x="213"/>
        <item x="247"/>
        <item x="94"/>
        <item x="294"/>
        <item x="135"/>
        <item x="166"/>
        <item x="325"/>
        <item x="122"/>
        <item x="289"/>
        <item x="15"/>
        <item x="301"/>
        <item x="153"/>
        <item x="169"/>
        <item x="25"/>
        <item x="204"/>
        <item x="134"/>
        <item x="214"/>
        <item x="292"/>
        <item x="22"/>
        <item x="255"/>
        <item x="323"/>
        <item x="194"/>
        <item x="321"/>
        <item x="212"/>
        <item x="225"/>
        <item x="224"/>
        <item x="306"/>
        <item x="104"/>
        <item x="128"/>
        <item x="261"/>
        <item x="183"/>
        <item x="232"/>
        <item x="53"/>
        <item x="299"/>
        <item x="161"/>
        <item x="24"/>
        <item x="106"/>
        <item x="65"/>
        <item x="266"/>
        <item x="98"/>
        <item x="222"/>
        <item x="8"/>
        <item x="42"/>
        <item x="76"/>
        <item x="192"/>
        <item x="18"/>
        <item x="119"/>
        <item x="48"/>
        <item x="236"/>
        <item x="318"/>
        <item x="69"/>
        <item x="99"/>
        <item x="139"/>
        <item x="175"/>
        <item x="19"/>
        <item x="229"/>
        <item x="149"/>
        <item x="320"/>
        <item x="13"/>
        <item x="239"/>
        <item x="231"/>
        <item x="276"/>
        <item x="189"/>
        <item x="233"/>
        <item x="216"/>
        <item x="279"/>
        <item x="1"/>
        <item x="115"/>
        <item x="70"/>
        <item x="50"/>
        <item x="285"/>
        <item x="3"/>
        <item x="45"/>
        <item x="274"/>
        <item x="269"/>
        <item x="314"/>
        <item x="171"/>
        <item x="16"/>
        <item x="47"/>
        <item x="158"/>
        <item x="268"/>
        <item x="243"/>
        <item x="227"/>
        <item x="142"/>
        <item x="193"/>
        <item x="206"/>
        <item x="304"/>
        <item x="173"/>
        <item x="307"/>
        <item x="296"/>
        <item x="324"/>
        <item x="263"/>
        <item x="237"/>
        <item x="131"/>
        <item x="281"/>
        <item x="172"/>
        <item x="41"/>
        <item x="256"/>
        <item x="108"/>
        <item x="250"/>
        <item x="66"/>
        <item x="78"/>
        <item x="272"/>
        <item x="7"/>
        <item x="5"/>
        <item x="107"/>
        <item x="79"/>
        <item x="293"/>
        <item x="258"/>
        <item t="default"/>
      </items>
    </pivotField>
    <pivotField showAll="0"/>
    <pivotField showAll="0"/>
    <pivotField showAll="0"/>
    <pivotField showAll="0"/>
    <pivotField showAll="0"/>
    <pivotField showAll="0">
      <items count="5">
        <item x="3"/>
        <item x="1"/>
        <item x="0"/>
        <item x="2"/>
        <item t="default"/>
      </items>
    </pivotField>
    <pivotField axis="axisRow" showAll="0">
      <items count="5">
        <item x="1"/>
        <item x="0"/>
        <item x="3"/>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s>
  <rowFields count="1">
    <field x="10"/>
  </rowFields>
  <rowItems count="5">
    <i>
      <x/>
    </i>
    <i>
      <x v="1"/>
    </i>
    <i>
      <x v="2"/>
    </i>
    <i>
      <x v="3"/>
    </i>
    <i t="grand">
      <x/>
    </i>
  </rowItems>
  <colItems count="1">
    <i/>
  </colItems>
  <dataFields count="1">
    <dataField name="Sum of Sales" fld="15" baseField="0" baseItem="0"/>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0" count="1" selected="0">
            <x v="0"/>
          </reference>
        </references>
      </pivotArea>
    </chartFormat>
    <chartFormat chart="3" format="8">
      <pivotArea type="data" outline="0" fieldPosition="0">
        <references count="2">
          <reference field="4294967294" count="1" selected="0">
            <x v="0"/>
          </reference>
          <reference field="10" count="1" selected="0">
            <x v="1"/>
          </reference>
        </references>
      </pivotArea>
    </chartFormat>
    <chartFormat chart="3" format="9">
      <pivotArea type="data" outline="0" fieldPosition="0">
        <references count="2">
          <reference field="4294967294" count="1" selected="0">
            <x v="0"/>
          </reference>
          <reference field="10" count="1" selected="0">
            <x v="2"/>
          </reference>
        </references>
      </pivotArea>
    </chartFormat>
    <chartFormat chart="3"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2D1AF27-530E-424B-860F-6F8915DC77FA}" sourceName="Region">
  <pivotTables>
    <pivotTable tabId="20" name="PivotTable11"/>
    <pivotTable tabId="20" name="PivotTable12"/>
    <pivotTable tabId="20" name="PivotTable13"/>
  </pivotTables>
  <data>
    <tabular pivotCacheId="62883739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93D60FC-BFF8-4608-9839-40926B989975}" sourceName="Category">
  <pivotTables>
    <pivotTable tabId="20" name="PivotTable12"/>
    <pivotTable tabId="20" name="PivotTable11"/>
    <pivotTable tabId="20" name="PivotTable13"/>
  </pivotTables>
  <data>
    <tabular pivotCacheId="628837399">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B76FA795-C454-4290-84CB-72F280B78A96}" sourceName="Order_Date">
  <pivotTables>
    <pivotTable tabId="20" name="PivotTable13"/>
    <pivotTable tabId="20" name="PivotTable11"/>
    <pivotTable tabId="20" name="PivotTable12"/>
  </pivotTables>
  <data>
    <tabular pivotCacheId="628837399">
      <items count="327">
        <i x="252" s="1"/>
        <i x="75" s="1"/>
        <i x="288" s="1"/>
        <i x="58" s="1"/>
        <i x="221" s="1"/>
        <i x="141" s="1"/>
        <i x="30" s="1"/>
        <i x="310" s="1"/>
        <i x="61" s="1"/>
        <i x="262" s="1"/>
        <i x="260" s="1"/>
        <i x="17" s="1"/>
        <i x="112" s="1"/>
        <i x="226" s="1"/>
        <i x="302" s="1"/>
        <i x="295" s="1"/>
        <i x="177" s="1"/>
        <i x="168" s="1"/>
        <i x="275" s="1"/>
        <i x="312" s="1"/>
        <i x="145" s="1"/>
        <i x="20" s="1"/>
        <i x="109" s="1"/>
        <i x="257" s="1"/>
        <i x="298" s="1"/>
        <i x="105" s="1"/>
        <i x="103" s="1"/>
        <i x="200" s="1"/>
        <i x="130" s="1"/>
        <i x="234" s="1"/>
        <i x="270" s="1"/>
        <i x="2" s="1"/>
        <i x="196" s="1"/>
        <i x="4" s="1"/>
        <i x="121" s="1"/>
        <i x="68" s="1"/>
        <i x="309" s="1"/>
        <i x="117" s="1"/>
        <i x="305" s="1"/>
        <i x="89" s="1"/>
        <i x="39" s="1"/>
        <i x="124" s="1"/>
        <i x="114" s="1"/>
        <i x="87" s="1"/>
        <i x="150" s="1"/>
        <i x="137" s="1"/>
        <i x="241" s="1"/>
        <i x="242" s="1"/>
        <i x="55" s="1"/>
        <i x="238" s="1"/>
        <i x="240" s="1"/>
        <i x="322" s="1"/>
        <i x="181" s="1"/>
        <i x="246" s="1"/>
        <i x="37" s="1"/>
        <i x="34" s="1"/>
        <i x="249" s="1"/>
        <i x="162" s="1"/>
        <i x="143" s="1"/>
        <i x="163" s="1"/>
        <i x="170" s="1"/>
        <i x="164" s="1"/>
        <i x="140" s="1"/>
        <i x="211" s="1"/>
        <i x="228" s="1"/>
        <i x="74" s="1"/>
        <i x="245" s="1"/>
        <i x="148" s="1"/>
        <i x="31" s="1"/>
        <i x="127" s="1"/>
        <i x="64" s="1"/>
        <i x="319" s="1"/>
        <i x="93" s="1"/>
        <i x="129" s="1"/>
        <i x="190" s="1"/>
        <i x="188" s="1"/>
        <i x="40" s="1"/>
        <i x="10" s="1"/>
        <i x="35" s="1"/>
        <i x="311" s="1"/>
        <i x="14" s="1"/>
        <i x="230" s="1"/>
        <i x="215" s="1"/>
        <i x="118" s="1"/>
        <i x="198" s="1"/>
        <i x="27" s="1"/>
        <i x="201" s="1"/>
        <i x="60" s="1"/>
        <i x="59" s="1"/>
        <i x="62" s="1"/>
        <i x="12" s="1"/>
        <i x="102" s="1"/>
        <i x="23" s="1"/>
        <i x="92" s="1"/>
        <i x="197" s="1"/>
        <i x="72" s="1"/>
        <i x="187" s="1"/>
        <i x="203" s="1"/>
        <i x="32" s="1"/>
        <i x="147" s="1"/>
        <i x="11" s="1"/>
        <i x="38" s="1"/>
        <i x="80" s="1"/>
        <i x="254" s="1"/>
        <i x="100" s="1"/>
        <i x="52" s="1"/>
        <i x="126" s="1"/>
        <i x="235" s="1"/>
        <i x="28" s="1"/>
        <i x="219" s="1"/>
        <i x="278" s="1"/>
        <i x="83" s="1"/>
        <i x="123" s="1"/>
        <i x="253" s="1"/>
        <i x="111" s="1"/>
        <i x="277" s="1"/>
        <i x="184" s="1"/>
        <i x="44" s="1"/>
        <i x="95" s="1"/>
        <i x="282" s="1"/>
        <i x="317" s="1"/>
        <i x="297" s="1"/>
        <i x="217" s="1"/>
        <i x="88" s="1"/>
        <i x="210" s="1"/>
        <i x="155" s="1"/>
        <i x="259" s="1"/>
        <i x="308" s="1"/>
        <i x="286" s="1"/>
        <i x="199" s="1"/>
        <i x="96" s="1"/>
        <i x="283" s="1"/>
        <i x="36" s="1"/>
        <i x="218" s="1"/>
        <i x="133" s="1"/>
        <i x="26" s="1"/>
        <i x="6" s="1"/>
        <i x="273" s="1"/>
        <i x="57" s="1"/>
        <i x="85" s="1"/>
        <i x="43" s="1"/>
        <i x="67" s="1"/>
        <i x="287" s="1"/>
        <i x="146" s="1"/>
        <i x="144" s="1"/>
        <i x="91" s="1"/>
        <i x="264" s="1"/>
        <i x="152" s="1"/>
        <i x="132" s="1"/>
        <i x="63" s="1"/>
        <i x="271" s="1"/>
        <i x="284" s="1"/>
        <i x="159" s="1"/>
        <i x="151" s="1"/>
        <i x="54" s="1"/>
        <i x="82" s="1"/>
        <i x="244" s="1"/>
        <i x="73" s="1"/>
        <i x="195" s="1"/>
        <i x="120" s="1"/>
        <i x="185" s="1"/>
        <i x="157" s="1"/>
        <i x="86" s="1"/>
        <i x="81" s="1"/>
        <i x="248" s="1"/>
        <i x="223" s="1"/>
        <i x="191" s="1"/>
        <i x="29" s="1"/>
        <i x="56" s="1"/>
        <i x="326" s="1"/>
        <i x="156" s="1"/>
        <i x="154" s="1"/>
        <i x="220" s="1"/>
        <i x="165" s="1"/>
        <i x="300" s="1"/>
        <i x="116" s="1"/>
        <i x="97" s="1"/>
        <i x="71" s="1"/>
        <i x="202" s="1"/>
        <i x="280" s="1"/>
        <i x="209" s="1"/>
        <i x="125" s="1"/>
        <i x="90" s="1"/>
        <i x="303" s="1"/>
        <i x="207" s="1"/>
        <i x="77" s="1"/>
        <i x="290" s="1"/>
        <i x="174" s="1"/>
        <i x="251" s="1"/>
        <i x="0" s="1"/>
        <i x="313" s="1"/>
        <i x="101" s="1"/>
        <i x="167" s="1"/>
        <i x="176" s="1"/>
        <i x="179" s="1"/>
        <i x="265" s="1"/>
        <i x="21" s="1"/>
        <i x="46" s="1"/>
        <i x="205" s="1"/>
        <i x="138" s="1"/>
        <i x="136" s="1"/>
        <i x="49" s="1"/>
        <i x="9" s="1"/>
        <i x="316" s="1"/>
        <i x="33" s="1"/>
        <i x="160" s="1"/>
        <i x="186" s="1"/>
        <i x="291" s="1"/>
        <i x="180" s="1"/>
        <i x="113" s="1"/>
        <i x="182" s="1"/>
        <i x="267" s="1"/>
        <i x="178" s="1"/>
        <i x="84" s="1"/>
        <i x="110" s="1"/>
        <i x="315" s="1"/>
        <i x="208" s="1"/>
        <i x="51" s="1"/>
        <i x="213" s="1"/>
        <i x="247" s="1"/>
        <i x="94" s="1"/>
        <i x="294" s="1"/>
        <i x="135" s="1"/>
        <i x="166" s="1"/>
        <i x="325" s="1"/>
        <i x="122" s="1"/>
        <i x="289" s="1"/>
        <i x="15" s="1"/>
        <i x="301" s="1"/>
        <i x="153" s="1"/>
        <i x="169" s="1"/>
        <i x="25" s="1"/>
        <i x="204" s="1"/>
        <i x="134" s="1"/>
        <i x="214" s="1"/>
        <i x="292" s="1"/>
        <i x="22" s="1"/>
        <i x="255" s="1"/>
        <i x="323" s="1"/>
        <i x="194" s="1"/>
        <i x="321" s="1"/>
        <i x="212" s="1"/>
        <i x="225" s="1"/>
        <i x="224" s="1"/>
        <i x="306" s="1"/>
        <i x="104" s="1"/>
        <i x="128" s="1"/>
        <i x="261" s="1"/>
        <i x="183" s="1"/>
        <i x="232" s="1"/>
        <i x="53" s="1"/>
        <i x="299" s="1"/>
        <i x="161" s="1"/>
        <i x="24" s="1"/>
        <i x="106" s="1"/>
        <i x="65" s="1"/>
        <i x="266" s="1"/>
        <i x="98" s="1"/>
        <i x="222" s="1"/>
        <i x="8" s="1"/>
        <i x="42" s="1"/>
        <i x="76" s="1"/>
        <i x="192" s="1"/>
        <i x="18" s="1"/>
        <i x="119" s="1"/>
        <i x="48" s="1"/>
        <i x="236" s="1"/>
        <i x="318" s="1"/>
        <i x="69" s="1"/>
        <i x="99" s="1"/>
        <i x="139" s="1"/>
        <i x="175" s="1"/>
        <i x="19" s="1"/>
        <i x="229" s="1"/>
        <i x="149" s="1"/>
        <i x="320" s="1"/>
        <i x="13" s="1"/>
        <i x="239" s="1"/>
        <i x="231" s="1"/>
        <i x="276" s="1"/>
        <i x="189" s="1"/>
        <i x="233" s="1"/>
        <i x="216" s="1"/>
        <i x="279" s="1"/>
        <i x="1" s="1"/>
        <i x="115" s="1"/>
        <i x="70" s="1"/>
        <i x="50" s="1"/>
        <i x="285" s="1"/>
        <i x="3" s="1"/>
        <i x="45" s="1"/>
        <i x="274" s="1"/>
        <i x="269" s="1"/>
        <i x="314" s="1"/>
        <i x="171" s="1"/>
        <i x="16" s="1"/>
        <i x="47" s="1"/>
        <i x="158" s="1"/>
        <i x="268" s="1"/>
        <i x="243" s="1"/>
        <i x="227" s="1"/>
        <i x="142" s="1"/>
        <i x="193" s="1"/>
        <i x="206" s="1"/>
        <i x="304" s="1"/>
        <i x="173" s="1"/>
        <i x="307" s="1"/>
        <i x="296" s="1"/>
        <i x="324" s="1"/>
        <i x="263" s="1"/>
        <i x="237" s="1"/>
        <i x="131" s="1"/>
        <i x="281" s="1"/>
        <i x="172" s="1"/>
        <i x="41" s="1"/>
        <i x="256" s="1"/>
        <i x="108" s="1"/>
        <i x="250" s="1"/>
        <i x="66" s="1"/>
        <i x="78" s="1"/>
        <i x="272" s="1"/>
        <i x="7" s="1"/>
        <i x="5" s="1"/>
        <i x="107" s="1"/>
        <i x="79" s="1"/>
        <i x="293" s="1"/>
        <i x="25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E6FBDC0-85F7-4E65-94F5-77B53E1B616B}" cache="Slicer_Region" caption="Region" rowHeight="234950"/>
  <slicer name="Category" xr10:uid="{275436FA-E06D-4C29-81CE-12E2D972A0EA}" cache="Slicer_Category" caption="Category" rowHeight="234950"/>
  <slicer name="Order_Date" xr10:uid="{2663174A-6E28-4951-A052-76ADD2F358AF}" cache="Slicer_Order_Date" caption="Order_Date" startItem="1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mailto:Anita.gupta@company.com" TargetMode="External"/><Relationship Id="rId13" Type="http://schemas.openxmlformats.org/officeDocument/2006/relationships/hyperlink" Target="mailto:amit.SHarma@company.com" TargetMode="External"/><Relationship Id="rId3" Type="http://schemas.openxmlformats.org/officeDocument/2006/relationships/hyperlink" Target="mailto:PRiya.patel@company.com" TargetMode="External"/><Relationship Id="rId7" Type="http://schemas.openxmlformats.org/officeDocument/2006/relationships/hyperlink" Target="mailto:Vikas.mehta@company.com" TargetMode="External"/><Relationship Id="rId12" Type="http://schemas.openxmlformats.org/officeDocument/2006/relationships/hyperlink" Target="mailto:rohit.sinGh@company.com" TargetMode="External"/><Relationship Id="rId2" Type="http://schemas.openxmlformats.org/officeDocument/2006/relationships/hyperlink" Target="mailto:priYa.patel@company.com" TargetMode="External"/><Relationship Id="rId1" Type="http://schemas.openxmlformats.org/officeDocument/2006/relationships/hyperlink" Target="mailto:KAvya.nair@company.com" TargetMode="External"/><Relationship Id="rId6" Type="http://schemas.openxmlformats.org/officeDocument/2006/relationships/hyperlink" Target="mailto:arjun.Rao@company.com" TargetMode="External"/><Relationship Id="rId11" Type="http://schemas.openxmlformats.org/officeDocument/2006/relationships/hyperlink" Target="mailto:kavya.Nair@company.com" TargetMode="External"/><Relationship Id="rId5" Type="http://schemas.openxmlformats.org/officeDocument/2006/relationships/hyperlink" Target="mailto:rOhit.singh@company.com" TargetMode="External"/><Relationship Id="rId10" Type="http://schemas.openxmlformats.org/officeDocument/2006/relationships/hyperlink" Target="mailto:pOOja.shah@company.com" TargetMode="External"/><Relationship Id="rId4" Type="http://schemas.openxmlformats.org/officeDocument/2006/relationships/hyperlink" Target="mailto:kavya.nair@company.com" TargetMode="External"/><Relationship Id="rId9" Type="http://schemas.openxmlformats.org/officeDocument/2006/relationships/hyperlink" Target="mailto:Pooja.shah@company.com"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mailto:Anita.gupta@company.com" TargetMode="External"/><Relationship Id="rId13" Type="http://schemas.openxmlformats.org/officeDocument/2006/relationships/hyperlink" Target="mailto:amit.SHarma@company.com" TargetMode="External"/><Relationship Id="rId3" Type="http://schemas.openxmlformats.org/officeDocument/2006/relationships/hyperlink" Target="mailto:PRiya.patel@company.com" TargetMode="External"/><Relationship Id="rId7" Type="http://schemas.openxmlformats.org/officeDocument/2006/relationships/hyperlink" Target="mailto:Vikas.mehta@company.com" TargetMode="External"/><Relationship Id="rId12" Type="http://schemas.openxmlformats.org/officeDocument/2006/relationships/hyperlink" Target="mailto:rohit.sinGh@company.com" TargetMode="External"/><Relationship Id="rId2" Type="http://schemas.openxmlformats.org/officeDocument/2006/relationships/hyperlink" Target="mailto:priYa.patel@company.com" TargetMode="External"/><Relationship Id="rId1" Type="http://schemas.openxmlformats.org/officeDocument/2006/relationships/hyperlink" Target="mailto:KAvya.nair@company.com" TargetMode="External"/><Relationship Id="rId6" Type="http://schemas.openxmlformats.org/officeDocument/2006/relationships/hyperlink" Target="mailto:arjun.Rao@company.com" TargetMode="External"/><Relationship Id="rId11" Type="http://schemas.openxmlformats.org/officeDocument/2006/relationships/hyperlink" Target="mailto:kavya.Nair@company.com" TargetMode="External"/><Relationship Id="rId5" Type="http://schemas.openxmlformats.org/officeDocument/2006/relationships/hyperlink" Target="mailto:rOhit.singh@company.com" TargetMode="External"/><Relationship Id="rId10" Type="http://schemas.openxmlformats.org/officeDocument/2006/relationships/hyperlink" Target="mailto:pOOja.shah@company.com" TargetMode="External"/><Relationship Id="rId4" Type="http://schemas.openxmlformats.org/officeDocument/2006/relationships/hyperlink" Target="mailto:kavya.nair@company.com" TargetMode="External"/><Relationship Id="rId9" Type="http://schemas.openxmlformats.org/officeDocument/2006/relationships/hyperlink" Target="mailto:Pooja.shah@company.com" TargetMode="Externa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56B59-69B6-44CA-98B4-E80682B59343}">
  <dimension ref="A1:V501"/>
  <sheetViews>
    <sheetView tabSelected="1" topLeftCell="L475" workbookViewId="0">
      <selection sqref="A1:V501"/>
    </sheetView>
  </sheetViews>
  <sheetFormatPr defaultRowHeight="14.4"/>
  <sheetData>
    <row r="1" spans="1:22" ht="15" thickBo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ht="15" thickTop="1">
      <c r="A2" s="3" t="s">
        <v>22</v>
      </c>
      <c r="B2" s="4" t="s">
        <v>23</v>
      </c>
      <c r="C2" s="4" t="s">
        <v>24</v>
      </c>
      <c r="D2" s="4" t="s">
        <v>25</v>
      </c>
      <c r="E2" s="4" t="s">
        <v>26</v>
      </c>
      <c r="F2" s="4" t="s">
        <v>27</v>
      </c>
      <c r="G2" s="4" t="s">
        <v>28</v>
      </c>
      <c r="H2" s="4" t="s">
        <v>29</v>
      </c>
      <c r="I2" s="4" t="s">
        <v>30</v>
      </c>
      <c r="J2" s="4" t="s">
        <v>31</v>
      </c>
      <c r="K2" s="4" t="s">
        <v>32</v>
      </c>
      <c r="L2" s="4" t="s">
        <v>33</v>
      </c>
      <c r="M2" s="4">
        <v>4</v>
      </c>
      <c r="N2" s="4">
        <v>2200</v>
      </c>
      <c r="O2" s="4">
        <v>10</v>
      </c>
      <c r="P2" s="4">
        <v>7920</v>
      </c>
      <c r="Q2" s="4">
        <v>4</v>
      </c>
      <c r="R2" s="4" t="s">
        <v>34</v>
      </c>
      <c r="S2" s="4" t="s">
        <v>35</v>
      </c>
      <c r="T2" s="5" t="s">
        <v>36</v>
      </c>
      <c r="U2" s="6" t="s">
        <v>37</v>
      </c>
      <c r="V2" s="4" t="s">
        <v>38</v>
      </c>
    </row>
    <row r="3" spans="1:22">
      <c r="A3" s="7" t="s">
        <v>39</v>
      </c>
      <c r="B3" s="8" t="s">
        <v>23</v>
      </c>
      <c r="C3" s="8" t="s">
        <v>40</v>
      </c>
      <c r="D3" s="8" t="s">
        <v>41</v>
      </c>
      <c r="E3" s="8" t="s">
        <v>42</v>
      </c>
      <c r="F3" s="8" t="s">
        <v>27</v>
      </c>
      <c r="G3" s="8" t="s">
        <v>28</v>
      </c>
      <c r="H3" s="8" t="s">
        <v>43</v>
      </c>
      <c r="I3" s="8" t="s">
        <v>44</v>
      </c>
      <c r="J3" s="8" t="s">
        <v>45</v>
      </c>
      <c r="K3" s="8" t="s">
        <v>46</v>
      </c>
      <c r="L3" s="8" t="s">
        <v>47</v>
      </c>
      <c r="M3" s="8">
        <v>17</v>
      </c>
      <c r="N3" s="8">
        <v>12000</v>
      </c>
      <c r="O3" s="8">
        <v>10</v>
      </c>
      <c r="P3" s="8">
        <v>183600</v>
      </c>
      <c r="Q3" s="8">
        <v>1</v>
      </c>
      <c r="R3" s="8" t="s">
        <v>48</v>
      </c>
      <c r="S3" s="8" t="s">
        <v>49</v>
      </c>
      <c r="T3" s="8" t="s">
        <v>50</v>
      </c>
      <c r="U3" s="9" t="s">
        <v>51</v>
      </c>
      <c r="V3" s="8" t="s">
        <v>38</v>
      </c>
    </row>
    <row r="4" spans="1:22">
      <c r="A4" s="3" t="s">
        <v>52</v>
      </c>
      <c r="B4" s="4" t="s">
        <v>53</v>
      </c>
      <c r="C4" s="4" t="s">
        <v>54</v>
      </c>
      <c r="D4" s="4" t="s">
        <v>55</v>
      </c>
      <c r="E4" s="4" t="s">
        <v>56</v>
      </c>
      <c r="F4" s="4" t="s">
        <v>57</v>
      </c>
      <c r="G4" s="4" t="s">
        <v>28</v>
      </c>
      <c r="H4" s="4" t="s">
        <v>58</v>
      </c>
      <c r="I4" s="4" t="s">
        <v>59</v>
      </c>
      <c r="J4" s="4" t="s">
        <v>31</v>
      </c>
      <c r="K4" s="4" t="s">
        <v>46</v>
      </c>
      <c r="L4" s="4" t="s">
        <v>60</v>
      </c>
      <c r="M4" s="4">
        <v>5</v>
      </c>
      <c r="N4" s="4">
        <v>55000</v>
      </c>
      <c r="O4" s="4">
        <v>5</v>
      </c>
      <c r="P4" s="4">
        <v>261250</v>
      </c>
      <c r="Q4" s="4">
        <v>3</v>
      </c>
      <c r="R4" s="4" t="s">
        <v>48</v>
      </c>
      <c r="S4" s="4" t="s">
        <v>61</v>
      </c>
      <c r="T4" s="4" t="s">
        <v>62</v>
      </c>
      <c r="U4" s="6" t="s">
        <v>63</v>
      </c>
      <c r="V4" s="4" t="s">
        <v>64</v>
      </c>
    </row>
    <row r="5" spans="1:22">
      <c r="A5" s="7" t="s">
        <v>39</v>
      </c>
      <c r="B5" s="8" t="s">
        <v>23</v>
      </c>
      <c r="C5" s="8" t="s">
        <v>24</v>
      </c>
      <c r="D5" s="8" t="s">
        <v>65</v>
      </c>
      <c r="E5" s="8" t="s">
        <v>66</v>
      </c>
      <c r="F5" s="8" t="s">
        <v>27</v>
      </c>
      <c r="G5" s="8" t="s">
        <v>28</v>
      </c>
      <c r="H5" s="8" t="s">
        <v>67</v>
      </c>
      <c r="I5" s="8" t="s">
        <v>59</v>
      </c>
      <c r="J5" s="8" t="s">
        <v>31</v>
      </c>
      <c r="K5" s="8" t="s">
        <v>32</v>
      </c>
      <c r="L5" s="8" t="s">
        <v>33</v>
      </c>
      <c r="M5" s="8">
        <v>5</v>
      </c>
      <c r="N5" s="8">
        <v>2200</v>
      </c>
      <c r="O5" s="8">
        <v>5</v>
      </c>
      <c r="P5" s="8">
        <v>10450</v>
      </c>
      <c r="Q5" s="8">
        <v>5</v>
      </c>
      <c r="R5" s="8" t="s">
        <v>48</v>
      </c>
      <c r="S5" s="8" t="s">
        <v>61</v>
      </c>
      <c r="T5" s="10" t="s">
        <v>50</v>
      </c>
      <c r="U5" s="9" t="s">
        <v>68</v>
      </c>
      <c r="V5" s="8" t="s">
        <v>69</v>
      </c>
    </row>
    <row r="6" spans="1:22">
      <c r="A6" s="3" t="s">
        <v>70</v>
      </c>
      <c r="B6" s="4" t="s">
        <v>71</v>
      </c>
      <c r="C6" s="4" t="s">
        <v>72</v>
      </c>
      <c r="D6" s="4" t="s">
        <v>73</v>
      </c>
      <c r="E6" s="4" t="s">
        <v>74</v>
      </c>
      <c r="F6" s="4" t="s">
        <v>75</v>
      </c>
      <c r="G6" s="4" t="s">
        <v>76</v>
      </c>
      <c r="H6" s="4" t="s">
        <v>77</v>
      </c>
      <c r="I6" s="4" t="s">
        <v>44</v>
      </c>
      <c r="J6" s="4" t="s">
        <v>45</v>
      </c>
      <c r="K6" s="4" t="s">
        <v>46</v>
      </c>
      <c r="L6" s="4" t="s">
        <v>78</v>
      </c>
      <c r="M6" s="4">
        <v>8</v>
      </c>
      <c r="N6" s="4">
        <v>1200</v>
      </c>
      <c r="O6" s="4">
        <v>5</v>
      </c>
      <c r="P6" s="4">
        <v>9120</v>
      </c>
      <c r="Q6" s="4">
        <v>2</v>
      </c>
      <c r="R6" s="4" t="s">
        <v>79</v>
      </c>
      <c r="S6" s="4" t="s">
        <v>61</v>
      </c>
      <c r="T6" s="4" t="s">
        <v>80</v>
      </c>
      <c r="U6" s="6" t="s">
        <v>81</v>
      </c>
      <c r="V6" s="4" t="s">
        <v>64</v>
      </c>
    </row>
    <row r="7" spans="1:22">
      <c r="A7" s="7" t="s">
        <v>82</v>
      </c>
      <c r="B7" s="8" t="s">
        <v>83</v>
      </c>
      <c r="C7" s="8" t="s">
        <v>24</v>
      </c>
      <c r="D7" s="8" t="s">
        <v>84</v>
      </c>
      <c r="E7" s="8" t="s">
        <v>85</v>
      </c>
      <c r="F7" s="8" t="s">
        <v>86</v>
      </c>
      <c r="G7" s="8" t="s">
        <v>76</v>
      </c>
      <c r="H7" s="8" t="s">
        <v>87</v>
      </c>
      <c r="I7" s="8" t="s">
        <v>30</v>
      </c>
      <c r="J7" s="8" t="s">
        <v>31</v>
      </c>
      <c r="K7" s="8" t="s">
        <v>32</v>
      </c>
      <c r="L7" s="8" t="s">
        <v>33</v>
      </c>
      <c r="M7" s="8">
        <v>4</v>
      </c>
      <c r="N7" s="8">
        <v>2200</v>
      </c>
      <c r="O7" s="8">
        <v>0</v>
      </c>
      <c r="P7" s="8">
        <v>8800</v>
      </c>
      <c r="Q7" s="8">
        <v>1</v>
      </c>
      <c r="R7" s="8" t="s">
        <v>88</v>
      </c>
      <c r="S7" s="8" t="s">
        <v>35</v>
      </c>
      <c r="T7" s="8" t="s">
        <v>89</v>
      </c>
      <c r="U7" s="9" t="s">
        <v>90</v>
      </c>
      <c r="V7" s="8" t="s">
        <v>38</v>
      </c>
    </row>
    <row r="8" spans="1:22">
      <c r="A8" s="3" t="s">
        <v>91</v>
      </c>
      <c r="B8" s="4" t="s">
        <v>23</v>
      </c>
      <c r="C8" s="4" t="s">
        <v>92</v>
      </c>
      <c r="D8" s="4" t="s">
        <v>93</v>
      </c>
      <c r="E8" s="4" t="s">
        <v>94</v>
      </c>
      <c r="F8" s="4" t="s">
        <v>95</v>
      </c>
      <c r="G8" s="4" t="s">
        <v>28</v>
      </c>
      <c r="H8" s="4" t="s">
        <v>96</v>
      </c>
      <c r="I8" s="4" t="s">
        <v>30</v>
      </c>
      <c r="J8" s="4" t="s">
        <v>31</v>
      </c>
      <c r="K8" s="4" t="s">
        <v>32</v>
      </c>
      <c r="L8" s="4" t="s">
        <v>97</v>
      </c>
      <c r="M8" s="4">
        <v>2</v>
      </c>
      <c r="N8" s="4">
        <v>3500</v>
      </c>
      <c r="O8" s="4">
        <v>5</v>
      </c>
      <c r="P8" s="4">
        <v>6650</v>
      </c>
      <c r="Q8" s="4">
        <v>1</v>
      </c>
      <c r="R8" s="4" t="s">
        <v>88</v>
      </c>
      <c r="S8" s="4" t="s">
        <v>35</v>
      </c>
      <c r="T8" s="4" t="s">
        <v>50</v>
      </c>
      <c r="U8" s="6" t="s">
        <v>98</v>
      </c>
      <c r="V8" s="4" t="s">
        <v>38</v>
      </c>
    </row>
    <row r="9" spans="1:22">
      <c r="A9" s="7" t="s">
        <v>99</v>
      </c>
      <c r="B9" s="8" t="s">
        <v>100</v>
      </c>
      <c r="C9" s="8" t="s">
        <v>40</v>
      </c>
      <c r="D9" s="8" t="s">
        <v>101</v>
      </c>
      <c r="E9" s="8" t="s">
        <v>102</v>
      </c>
      <c r="F9" s="8" t="s">
        <v>103</v>
      </c>
      <c r="G9" s="8" t="s">
        <v>28</v>
      </c>
      <c r="H9" s="8" t="s">
        <v>104</v>
      </c>
      <c r="I9" s="8" t="s">
        <v>105</v>
      </c>
      <c r="J9" s="8" t="s">
        <v>106</v>
      </c>
      <c r="K9" s="8" t="s">
        <v>46</v>
      </c>
      <c r="L9" s="8" t="s">
        <v>47</v>
      </c>
      <c r="M9" s="8">
        <v>14</v>
      </c>
      <c r="N9" s="8">
        <v>12000</v>
      </c>
      <c r="O9" s="8">
        <v>15</v>
      </c>
      <c r="P9" s="8">
        <v>142800</v>
      </c>
      <c r="Q9" s="8">
        <v>4</v>
      </c>
      <c r="R9" s="8" t="s">
        <v>48</v>
      </c>
      <c r="S9" s="8" t="s">
        <v>35</v>
      </c>
      <c r="T9" s="10" t="s">
        <v>107</v>
      </c>
      <c r="U9" s="9" t="s">
        <v>108</v>
      </c>
      <c r="V9" s="8" t="s">
        <v>38</v>
      </c>
    </row>
    <row r="10" spans="1:22">
      <c r="A10" s="3" t="s">
        <v>109</v>
      </c>
      <c r="B10" s="4" t="s">
        <v>23</v>
      </c>
      <c r="C10" s="4" t="s">
        <v>40</v>
      </c>
      <c r="D10" s="4" t="s">
        <v>110</v>
      </c>
      <c r="E10" s="4" t="s">
        <v>111</v>
      </c>
      <c r="F10" s="4" t="s">
        <v>112</v>
      </c>
      <c r="G10" s="4" t="s">
        <v>28</v>
      </c>
      <c r="H10" s="4" t="s">
        <v>113</v>
      </c>
      <c r="I10" s="4" t="s">
        <v>114</v>
      </c>
      <c r="J10" s="4" t="s">
        <v>106</v>
      </c>
      <c r="K10" s="4" t="s">
        <v>46</v>
      </c>
      <c r="L10" s="4" t="s">
        <v>47</v>
      </c>
      <c r="M10" s="4">
        <v>4</v>
      </c>
      <c r="N10" s="4">
        <v>12000</v>
      </c>
      <c r="O10" s="4">
        <v>15</v>
      </c>
      <c r="P10" s="4">
        <v>40800</v>
      </c>
      <c r="Q10" s="4">
        <v>4</v>
      </c>
      <c r="R10" s="4" t="s">
        <v>88</v>
      </c>
      <c r="S10" s="4" t="s">
        <v>115</v>
      </c>
      <c r="T10" s="4" t="s">
        <v>50</v>
      </c>
      <c r="U10" s="6" t="s">
        <v>116</v>
      </c>
      <c r="V10" s="4" t="s">
        <v>38</v>
      </c>
    </row>
    <row r="11" spans="1:22">
      <c r="A11" s="7" t="s">
        <v>117</v>
      </c>
      <c r="B11" s="8" t="s">
        <v>100</v>
      </c>
      <c r="C11" s="8" t="s">
        <v>118</v>
      </c>
      <c r="D11" s="8" t="s">
        <v>119</v>
      </c>
      <c r="E11" s="8" t="s">
        <v>120</v>
      </c>
      <c r="F11" s="8" t="s">
        <v>103</v>
      </c>
      <c r="G11" s="8" t="s">
        <v>28</v>
      </c>
      <c r="H11" s="8" t="s">
        <v>121</v>
      </c>
      <c r="I11" s="8" t="s">
        <v>105</v>
      </c>
      <c r="J11" s="8" t="s">
        <v>106</v>
      </c>
      <c r="K11" s="8" t="s">
        <v>122</v>
      </c>
      <c r="L11" s="8" t="s">
        <v>123</v>
      </c>
      <c r="M11" s="8">
        <v>6</v>
      </c>
      <c r="N11" s="8">
        <v>60</v>
      </c>
      <c r="O11" s="8">
        <v>0</v>
      </c>
      <c r="P11" s="8">
        <v>360</v>
      </c>
      <c r="Q11" s="8">
        <v>4</v>
      </c>
      <c r="R11" s="8" t="s">
        <v>79</v>
      </c>
      <c r="S11" s="8" t="s">
        <v>115</v>
      </c>
      <c r="T11" s="10" t="s">
        <v>124</v>
      </c>
      <c r="U11" s="9" t="s">
        <v>125</v>
      </c>
      <c r="V11" s="8" t="s">
        <v>38</v>
      </c>
    </row>
    <row r="12" spans="1:22">
      <c r="A12" s="3" t="s">
        <v>126</v>
      </c>
      <c r="B12" s="4" t="s">
        <v>127</v>
      </c>
      <c r="C12" s="4" t="s">
        <v>24</v>
      </c>
      <c r="D12" s="4" t="s">
        <v>128</v>
      </c>
      <c r="E12" s="4" t="s">
        <v>129</v>
      </c>
      <c r="F12" s="4" t="s">
        <v>130</v>
      </c>
      <c r="G12" s="4" t="s">
        <v>76</v>
      </c>
      <c r="H12" s="4" t="s">
        <v>131</v>
      </c>
      <c r="I12" s="4" t="s">
        <v>44</v>
      </c>
      <c r="J12" s="4" t="s">
        <v>45</v>
      </c>
      <c r="K12" s="4" t="s">
        <v>32</v>
      </c>
      <c r="L12" s="4" t="s">
        <v>33</v>
      </c>
      <c r="M12" s="4">
        <v>-3</v>
      </c>
      <c r="N12" s="4">
        <v>2200</v>
      </c>
      <c r="O12" s="4">
        <v>0</v>
      </c>
      <c r="P12" s="4">
        <v>35200</v>
      </c>
      <c r="Q12" s="4">
        <v>2</v>
      </c>
      <c r="R12" s="4" t="s">
        <v>79</v>
      </c>
      <c r="S12" s="4" t="s">
        <v>49</v>
      </c>
      <c r="T12" s="4" t="s">
        <v>132</v>
      </c>
      <c r="U12" s="6" t="s">
        <v>133</v>
      </c>
      <c r="V12" s="4" t="s">
        <v>64</v>
      </c>
    </row>
    <row r="13" spans="1:22">
      <c r="A13" s="7" t="s">
        <v>134</v>
      </c>
      <c r="B13" s="8" t="s">
        <v>23</v>
      </c>
      <c r="C13" s="8" t="s">
        <v>92</v>
      </c>
      <c r="D13" s="8" t="s">
        <v>135</v>
      </c>
      <c r="E13" s="8" t="s">
        <v>136</v>
      </c>
      <c r="F13" s="8" t="s">
        <v>27</v>
      </c>
      <c r="G13" s="8" t="s">
        <v>28</v>
      </c>
      <c r="H13" s="8" t="s">
        <v>137</v>
      </c>
      <c r="I13" s="8" t="s">
        <v>138</v>
      </c>
      <c r="J13" s="8" t="s">
        <v>106</v>
      </c>
      <c r="K13" s="8" t="s">
        <v>32</v>
      </c>
      <c r="L13" s="8" t="s">
        <v>97</v>
      </c>
      <c r="M13" s="8">
        <v>10</v>
      </c>
      <c r="N13" s="8">
        <v>3500</v>
      </c>
      <c r="O13" s="8">
        <v>5</v>
      </c>
      <c r="P13" s="8">
        <v>33250</v>
      </c>
      <c r="Q13" s="8">
        <v>5</v>
      </c>
      <c r="R13" s="8" t="s">
        <v>79</v>
      </c>
      <c r="S13" s="8" t="s">
        <v>61</v>
      </c>
      <c r="T13" s="8" t="s">
        <v>50</v>
      </c>
      <c r="U13" s="9" t="s">
        <v>139</v>
      </c>
      <c r="V13" s="8" t="s">
        <v>69</v>
      </c>
    </row>
    <row r="14" spans="1:22">
      <c r="A14" s="3" t="s">
        <v>140</v>
      </c>
      <c r="B14" s="4" t="s">
        <v>100</v>
      </c>
      <c r="C14" s="4" t="s">
        <v>24</v>
      </c>
      <c r="D14" s="4" t="s">
        <v>141</v>
      </c>
      <c r="E14" s="4" t="s">
        <v>142</v>
      </c>
      <c r="F14" s="4" t="s">
        <v>103</v>
      </c>
      <c r="G14" s="4" t="s">
        <v>28</v>
      </c>
      <c r="H14" s="4" t="s">
        <v>143</v>
      </c>
      <c r="I14" s="4" t="s">
        <v>114</v>
      </c>
      <c r="J14" s="4" t="s">
        <v>106</v>
      </c>
      <c r="K14" s="4" t="s">
        <v>32</v>
      </c>
      <c r="L14" s="4" t="s">
        <v>33</v>
      </c>
      <c r="M14" s="4">
        <v>15</v>
      </c>
      <c r="N14" s="4">
        <v>2200</v>
      </c>
      <c r="O14" s="4">
        <v>10</v>
      </c>
      <c r="P14" s="4">
        <v>29700</v>
      </c>
      <c r="Q14" s="4">
        <v>1</v>
      </c>
      <c r="R14" s="4" t="s">
        <v>88</v>
      </c>
      <c r="S14" s="4" t="s">
        <v>115</v>
      </c>
      <c r="T14" s="4" t="s">
        <v>144</v>
      </c>
      <c r="U14" s="6" t="s">
        <v>145</v>
      </c>
      <c r="V14" s="4" t="s">
        <v>64</v>
      </c>
    </row>
    <row r="15" spans="1:22">
      <c r="A15" s="7" t="s">
        <v>146</v>
      </c>
      <c r="B15" s="8" t="s">
        <v>127</v>
      </c>
      <c r="C15" s="8" t="s">
        <v>24</v>
      </c>
      <c r="D15" s="8" t="s">
        <v>147</v>
      </c>
      <c r="E15" s="8" t="s">
        <v>148</v>
      </c>
      <c r="F15" s="8" t="s">
        <v>149</v>
      </c>
      <c r="G15" s="8" t="s">
        <v>76</v>
      </c>
      <c r="H15" s="8" t="s">
        <v>150</v>
      </c>
      <c r="I15" s="8" t="s">
        <v>105</v>
      </c>
      <c r="J15" s="8" t="s">
        <v>106</v>
      </c>
      <c r="K15" s="8" t="s">
        <v>32</v>
      </c>
      <c r="L15" s="8" t="s">
        <v>33</v>
      </c>
      <c r="M15" s="8">
        <v>17</v>
      </c>
      <c r="N15" s="8">
        <v>2200</v>
      </c>
      <c r="O15" s="8">
        <v>5</v>
      </c>
      <c r="P15" s="8">
        <v>35530</v>
      </c>
      <c r="Q15" s="8">
        <v>1</v>
      </c>
      <c r="R15" s="8" t="s">
        <v>34</v>
      </c>
      <c r="S15" s="8" t="s">
        <v>151</v>
      </c>
      <c r="T15" s="10" t="s">
        <v>152</v>
      </c>
      <c r="U15" s="9" t="s">
        <v>153</v>
      </c>
      <c r="V15" s="8" t="s">
        <v>38</v>
      </c>
    </row>
    <row r="16" spans="1:22">
      <c r="A16" s="3" t="s">
        <v>154</v>
      </c>
      <c r="B16" s="4" t="s">
        <v>23</v>
      </c>
      <c r="C16" s="4" t="s">
        <v>92</v>
      </c>
      <c r="D16" s="4" t="s">
        <v>155</v>
      </c>
      <c r="E16" s="4" t="s">
        <v>156</v>
      </c>
      <c r="F16" s="4" t="s">
        <v>157</v>
      </c>
      <c r="G16" s="4" t="s">
        <v>28</v>
      </c>
      <c r="H16" s="4" t="s">
        <v>158</v>
      </c>
      <c r="I16" s="4" t="s">
        <v>105</v>
      </c>
      <c r="J16" s="4" t="s">
        <v>106</v>
      </c>
      <c r="K16" s="4" t="s">
        <v>32</v>
      </c>
      <c r="L16" s="4" t="s">
        <v>97</v>
      </c>
      <c r="M16" s="4">
        <v>15</v>
      </c>
      <c r="N16" s="4">
        <v>3500</v>
      </c>
      <c r="O16" s="4">
        <v>15</v>
      </c>
      <c r="P16" s="4">
        <v>44625</v>
      </c>
      <c r="Q16" s="4">
        <v>2</v>
      </c>
      <c r="R16" s="4" t="s">
        <v>34</v>
      </c>
      <c r="S16" s="4" t="s">
        <v>115</v>
      </c>
      <c r="T16" s="5" t="s">
        <v>50</v>
      </c>
      <c r="U16" s="6" t="s">
        <v>159</v>
      </c>
      <c r="V16" s="4" t="s">
        <v>69</v>
      </c>
    </row>
    <row r="17" spans="1:22">
      <c r="A17" s="7" t="s">
        <v>160</v>
      </c>
      <c r="B17" s="8" t="s">
        <v>53</v>
      </c>
      <c r="C17" s="8" t="s">
        <v>72</v>
      </c>
      <c r="D17" s="8" t="s">
        <v>161</v>
      </c>
      <c r="E17" s="8" t="s">
        <v>162</v>
      </c>
      <c r="F17" s="8" t="s">
        <v>163</v>
      </c>
      <c r="G17" s="8" t="s">
        <v>28</v>
      </c>
      <c r="H17" s="8" t="s">
        <v>164</v>
      </c>
      <c r="I17" s="8" t="s">
        <v>30</v>
      </c>
      <c r="J17" s="8" t="s">
        <v>31</v>
      </c>
      <c r="K17" s="8" t="s">
        <v>46</v>
      </c>
      <c r="L17" s="8" t="s">
        <v>78</v>
      </c>
      <c r="M17" s="8">
        <v>3</v>
      </c>
      <c r="N17" s="8">
        <v>1200</v>
      </c>
      <c r="O17" s="8">
        <v>5</v>
      </c>
      <c r="P17" s="8">
        <v>3420</v>
      </c>
      <c r="Q17" s="8">
        <v>5</v>
      </c>
      <c r="R17" s="8" t="s">
        <v>88</v>
      </c>
      <c r="S17" s="8" t="s">
        <v>35</v>
      </c>
      <c r="T17" s="8" t="s">
        <v>165</v>
      </c>
      <c r="U17" s="9" t="s">
        <v>166</v>
      </c>
      <c r="V17" s="8" t="s">
        <v>38</v>
      </c>
    </row>
    <row r="18" spans="1:22">
      <c r="A18" s="3" t="s">
        <v>167</v>
      </c>
      <c r="B18" s="4" t="s">
        <v>168</v>
      </c>
      <c r="C18" s="4" t="s">
        <v>169</v>
      </c>
      <c r="D18" s="4" t="s">
        <v>170</v>
      </c>
      <c r="E18" s="4" t="s">
        <v>171</v>
      </c>
      <c r="F18" s="4" t="s">
        <v>172</v>
      </c>
      <c r="G18" s="4" t="s">
        <v>28</v>
      </c>
      <c r="H18" s="4" t="s">
        <v>173</v>
      </c>
      <c r="I18" s="4" t="s">
        <v>114</v>
      </c>
      <c r="J18" s="4" t="s">
        <v>106</v>
      </c>
      <c r="K18" s="4" t="s">
        <v>32</v>
      </c>
      <c r="L18" s="4" t="s">
        <v>174</v>
      </c>
      <c r="M18" s="4">
        <v>13</v>
      </c>
      <c r="N18" s="4">
        <v>8500</v>
      </c>
      <c r="O18" s="4">
        <v>20</v>
      </c>
      <c r="P18" s="4">
        <v>88400</v>
      </c>
      <c r="Q18" s="4">
        <v>4</v>
      </c>
      <c r="R18" s="4" t="s">
        <v>79</v>
      </c>
      <c r="S18" s="4" t="s">
        <v>49</v>
      </c>
      <c r="T18" s="4" t="s">
        <v>175</v>
      </c>
      <c r="U18" s="6" t="s">
        <v>176</v>
      </c>
      <c r="V18" s="4" t="s">
        <v>64</v>
      </c>
    </row>
    <row r="19" spans="1:22">
      <c r="A19" s="7" t="s">
        <v>177</v>
      </c>
      <c r="B19" s="8" t="s">
        <v>83</v>
      </c>
      <c r="C19" s="8" t="s">
        <v>169</v>
      </c>
      <c r="D19" s="8" t="s">
        <v>178</v>
      </c>
      <c r="E19" s="8" t="s">
        <v>179</v>
      </c>
      <c r="F19" s="8" t="s">
        <v>180</v>
      </c>
      <c r="G19" s="8" t="s">
        <v>76</v>
      </c>
      <c r="H19" s="8" t="s">
        <v>181</v>
      </c>
      <c r="I19" s="8" t="s">
        <v>138</v>
      </c>
      <c r="J19" s="8" t="s">
        <v>106</v>
      </c>
      <c r="K19" s="8" t="s">
        <v>32</v>
      </c>
      <c r="L19" s="8" t="s">
        <v>174</v>
      </c>
      <c r="M19" s="8">
        <v>4</v>
      </c>
      <c r="N19" s="8">
        <v>8500</v>
      </c>
      <c r="O19" s="8">
        <v>20</v>
      </c>
      <c r="P19" s="8">
        <v>27200</v>
      </c>
      <c r="Q19" s="8">
        <v>5</v>
      </c>
      <c r="R19" s="8" t="s">
        <v>79</v>
      </c>
      <c r="S19" s="8" t="s">
        <v>61</v>
      </c>
      <c r="T19" s="8" t="s">
        <v>89</v>
      </c>
      <c r="U19" s="9" t="s">
        <v>182</v>
      </c>
      <c r="V19" s="8" t="s">
        <v>64</v>
      </c>
    </row>
    <row r="20" spans="1:22">
      <c r="A20" s="3" t="s">
        <v>183</v>
      </c>
      <c r="B20" s="4" t="s">
        <v>83</v>
      </c>
      <c r="C20" s="4" t="s">
        <v>184</v>
      </c>
      <c r="D20" s="4" t="s">
        <v>185</v>
      </c>
      <c r="E20" s="4" t="s">
        <v>186</v>
      </c>
      <c r="F20" s="4" t="s">
        <v>187</v>
      </c>
      <c r="G20" s="4" t="s">
        <v>76</v>
      </c>
      <c r="H20" s="4" t="s">
        <v>188</v>
      </c>
      <c r="I20" s="4" t="s">
        <v>105</v>
      </c>
      <c r="J20" s="4" t="s">
        <v>106</v>
      </c>
      <c r="K20" s="4" t="s">
        <v>46</v>
      </c>
      <c r="L20" s="4" t="s">
        <v>189</v>
      </c>
      <c r="M20" s="4">
        <v>9</v>
      </c>
      <c r="N20" s="4">
        <v>700</v>
      </c>
      <c r="O20" s="4">
        <v>5</v>
      </c>
      <c r="P20" s="4">
        <v>5985</v>
      </c>
      <c r="Q20" s="4">
        <v>3</v>
      </c>
      <c r="R20" s="4" t="s">
        <v>88</v>
      </c>
      <c r="S20" s="4" t="s">
        <v>35</v>
      </c>
      <c r="T20" s="5" t="s">
        <v>190</v>
      </c>
      <c r="U20" s="6" t="s">
        <v>191</v>
      </c>
      <c r="V20" s="4" t="s">
        <v>64</v>
      </c>
    </row>
    <row r="21" spans="1:22">
      <c r="A21" s="7" t="s">
        <v>192</v>
      </c>
      <c r="B21" s="8" t="s">
        <v>23</v>
      </c>
      <c r="C21" s="8" t="s">
        <v>54</v>
      </c>
      <c r="D21" s="8" t="s">
        <v>193</v>
      </c>
      <c r="E21" s="8" t="s">
        <v>194</v>
      </c>
      <c r="F21" s="8" t="s">
        <v>27</v>
      </c>
      <c r="G21" s="8" t="s">
        <v>28</v>
      </c>
      <c r="H21" s="8" t="s">
        <v>195</v>
      </c>
      <c r="I21" s="8" t="s">
        <v>138</v>
      </c>
      <c r="J21" s="8" t="s">
        <v>106</v>
      </c>
      <c r="K21" s="8" t="s">
        <v>46</v>
      </c>
      <c r="L21" s="8" t="s">
        <v>60</v>
      </c>
      <c r="M21" s="8">
        <v>8</v>
      </c>
      <c r="N21" s="8">
        <v>55000</v>
      </c>
      <c r="O21" s="8">
        <v>20</v>
      </c>
      <c r="P21" s="8">
        <v>352000</v>
      </c>
      <c r="Q21" s="8">
        <v>1</v>
      </c>
      <c r="R21" s="8" t="s">
        <v>34</v>
      </c>
      <c r="S21" s="8" t="s">
        <v>151</v>
      </c>
      <c r="T21" s="8" t="s">
        <v>50</v>
      </c>
      <c r="U21" s="9" t="s">
        <v>196</v>
      </c>
      <c r="V21" s="8" t="s">
        <v>38</v>
      </c>
    </row>
    <row r="22" spans="1:22">
      <c r="A22" s="3" t="s">
        <v>197</v>
      </c>
      <c r="B22" s="4" t="s">
        <v>127</v>
      </c>
      <c r="C22" s="4" t="s">
        <v>184</v>
      </c>
      <c r="D22" s="4" t="s">
        <v>198</v>
      </c>
      <c r="E22" s="4" t="s">
        <v>199</v>
      </c>
      <c r="F22" s="4" t="s">
        <v>200</v>
      </c>
      <c r="G22" s="4" t="s">
        <v>76</v>
      </c>
      <c r="H22" s="4" t="s">
        <v>201</v>
      </c>
      <c r="I22" s="4" t="s">
        <v>44</v>
      </c>
      <c r="J22" s="4" t="s">
        <v>45</v>
      </c>
      <c r="K22" s="4" t="s">
        <v>202</v>
      </c>
      <c r="L22" s="4" t="s">
        <v>189</v>
      </c>
      <c r="M22" s="4">
        <v>10</v>
      </c>
      <c r="N22" s="4">
        <v>700</v>
      </c>
      <c r="O22" s="4">
        <v>20</v>
      </c>
      <c r="P22" s="4">
        <v>5600</v>
      </c>
      <c r="Q22" s="4">
        <v>4</v>
      </c>
      <c r="R22" s="4" t="s">
        <v>79</v>
      </c>
      <c r="S22" s="4" t="s">
        <v>61</v>
      </c>
      <c r="T22" s="4" t="s">
        <v>132</v>
      </c>
      <c r="U22" s="6" t="s">
        <v>203</v>
      </c>
      <c r="V22" s="4" t="s">
        <v>69</v>
      </c>
    </row>
    <row r="23" spans="1:22">
      <c r="A23" s="7" t="s">
        <v>204</v>
      </c>
      <c r="B23" s="8" t="s">
        <v>23</v>
      </c>
      <c r="C23" s="8" t="s">
        <v>92</v>
      </c>
      <c r="D23" s="8" t="s">
        <v>205</v>
      </c>
      <c r="E23" s="8" t="s">
        <v>206</v>
      </c>
      <c r="F23" s="8" t="s">
        <v>112</v>
      </c>
      <c r="G23" s="8" t="s">
        <v>28</v>
      </c>
      <c r="H23" s="8" t="s">
        <v>207</v>
      </c>
      <c r="I23" s="8" t="s">
        <v>59</v>
      </c>
      <c r="J23" s="8" t="s">
        <v>31</v>
      </c>
      <c r="K23" s="8" t="s">
        <v>32</v>
      </c>
      <c r="L23" s="8" t="s">
        <v>97</v>
      </c>
      <c r="M23" s="8">
        <v>1</v>
      </c>
      <c r="N23" s="8">
        <v>3500</v>
      </c>
      <c r="O23" s="8">
        <v>5</v>
      </c>
      <c r="P23" s="8">
        <v>3325</v>
      </c>
      <c r="Q23" s="8">
        <v>3</v>
      </c>
      <c r="R23" s="8" t="s">
        <v>88</v>
      </c>
      <c r="S23" s="8" t="s">
        <v>115</v>
      </c>
      <c r="T23" s="8" t="s">
        <v>50</v>
      </c>
      <c r="U23" s="9" t="s">
        <v>208</v>
      </c>
      <c r="V23" s="8" t="s">
        <v>69</v>
      </c>
    </row>
    <row r="24" spans="1:22">
      <c r="A24" s="3" t="s">
        <v>209</v>
      </c>
      <c r="B24" s="4" t="s">
        <v>100</v>
      </c>
      <c r="C24" s="4" t="s">
        <v>184</v>
      </c>
      <c r="D24" s="4" t="s">
        <v>102</v>
      </c>
      <c r="E24" s="4" t="s">
        <v>210</v>
      </c>
      <c r="F24" s="4" t="s">
        <v>103</v>
      </c>
      <c r="G24" s="4" t="s">
        <v>28</v>
      </c>
      <c r="H24" s="4" t="s">
        <v>211</v>
      </c>
      <c r="I24" s="4" t="s">
        <v>212</v>
      </c>
      <c r="J24" s="4" t="s">
        <v>45</v>
      </c>
      <c r="K24" s="4" t="s">
        <v>46</v>
      </c>
      <c r="L24" s="4" t="s">
        <v>189</v>
      </c>
      <c r="M24" s="4">
        <v>19</v>
      </c>
      <c r="N24" s="4">
        <v>700</v>
      </c>
      <c r="O24" s="4">
        <v>15</v>
      </c>
      <c r="P24" s="4">
        <v>11305</v>
      </c>
      <c r="Q24" s="4">
        <v>3</v>
      </c>
      <c r="R24" s="4" t="s">
        <v>48</v>
      </c>
      <c r="S24" s="4" t="s">
        <v>151</v>
      </c>
      <c r="T24" s="4" t="s">
        <v>144</v>
      </c>
      <c r="U24" s="6" t="s">
        <v>213</v>
      </c>
      <c r="V24" s="4" t="s">
        <v>64</v>
      </c>
    </row>
    <row r="25" spans="1:22">
      <c r="A25" s="7" t="s">
        <v>214</v>
      </c>
      <c r="B25" s="8" t="s">
        <v>71</v>
      </c>
      <c r="C25" s="8" t="s">
        <v>54</v>
      </c>
      <c r="D25" s="8" t="s">
        <v>215</v>
      </c>
      <c r="E25" s="8" t="s">
        <v>216</v>
      </c>
      <c r="F25" s="8" t="s">
        <v>217</v>
      </c>
      <c r="G25" s="8" t="s">
        <v>76</v>
      </c>
      <c r="H25" s="8" t="s">
        <v>218</v>
      </c>
      <c r="I25" s="8" t="s">
        <v>59</v>
      </c>
      <c r="J25" s="8" t="s">
        <v>31</v>
      </c>
      <c r="K25" s="8" t="s">
        <v>46</v>
      </c>
      <c r="L25" s="8" t="s">
        <v>60</v>
      </c>
      <c r="M25" s="8">
        <v>12</v>
      </c>
      <c r="N25" s="8">
        <v>55000</v>
      </c>
      <c r="O25" s="8">
        <v>0</v>
      </c>
      <c r="P25" s="8">
        <v>660000</v>
      </c>
      <c r="Q25" s="8">
        <v>1</v>
      </c>
      <c r="R25" s="8" t="s">
        <v>79</v>
      </c>
      <c r="S25" s="8" t="s">
        <v>49</v>
      </c>
      <c r="T25" s="8" t="s">
        <v>80</v>
      </c>
      <c r="U25" s="9" t="s">
        <v>219</v>
      </c>
      <c r="V25" s="8" t="s">
        <v>64</v>
      </c>
    </row>
    <row r="26" spans="1:22">
      <c r="A26" s="3" t="s">
        <v>220</v>
      </c>
      <c r="B26" s="4" t="s">
        <v>221</v>
      </c>
      <c r="C26" s="4" t="s">
        <v>222</v>
      </c>
      <c r="D26" s="4" t="s">
        <v>223</v>
      </c>
      <c r="E26" s="4" t="s">
        <v>224</v>
      </c>
      <c r="F26" s="4" t="s">
        <v>225</v>
      </c>
      <c r="G26" s="4" t="s">
        <v>76</v>
      </c>
      <c r="H26" s="4" t="s">
        <v>226</v>
      </c>
      <c r="I26" s="4" t="s">
        <v>105</v>
      </c>
      <c r="J26" s="4" t="s">
        <v>106</v>
      </c>
      <c r="K26" s="4" t="s">
        <v>122</v>
      </c>
      <c r="L26" s="4" t="s">
        <v>227</v>
      </c>
      <c r="M26" s="4">
        <v>1</v>
      </c>
      <c r="N26" s="4">
        <v>20</v>
      </c>
      <c r="O26" s="4">
        <v>5</v>
      </c>
      <c r="P26" s="4">
        <v>19</v>
      </c>
      <c r="Q26" s="4">
        <v>5</v>
      </c>
      <c r="R26" s="4" t="s">
        <v>79</v>
      </c>
      <c r="S26" s="4" t="s">
        <v>35</v>
      </c>
      <c r="T26" s="4" t="s">
        <v>228</v>
      </c>
      <c r="U26" s="6" t="s">
        <v>229</v>
      </c>
      <c r="V26" s="4" t="s">
        <v>69</v>
      </c>
    </row>
    <row r="27" spans="1:22">
      <c r="A27" s="7" t="s">
        <v>230</v>
      </c>
      <c r="B27" s="8" t="s">
        <v>83</v>
      </c>
      <c r="C27" s="8" t="s">
        <v>222</v>
      </c>
      <c r="D27" s="8" t="s">
        <v>231</v>
      </c>
      <c r="E27" s="8" t="s">
        <v>232</v>
      </c>
      <c r="F27" s="8" t="s">
        <v>180</v>
      </c>
      <c r="G27" s="8" t="s">
        <v>76</v>
      </c>
      <c r="H27" s="8" t="s">
        <v>233</v>
      </c>
      <c r="I27" s="8" t="s">
        <v>105</v>
      </c>
      <c r="J27" s="8" t="s">
        <v>106</v>
      </c>
      <c r="K27" s="8" t="s">
        <v>122</v>
      </c>
      <c r="L27" s="8" t="s">
        <v>227</v>
      </c>
      <c r="M27" s="8">
        <v>2</v>
      </c>
      <c r="N27" s="8">
        <v>20</v>
      </c>
      <c r="O27" s="8">
        <v>15</v>
      </c>
      <c r="P27" s="8">
        <v>34</v>
      </c>
      <c r="Q27" s="8">
        <v>1</v>
      </c>
      <c r="R27" s="8" t="s">
        <v>88</v>
      </c>
      <c r="S27" s="8" t="s">
        <v>35</v>
      </c>
      <c r="T27" s="8" t="s">
        <v>89</v>
      </c>
      <c r="U27" s="9" t="s">
        <v>234</v>
      </c>
      <c r="V27" s="8" t="s">
        <v>64</v>
      </c>
    </row>
    <row r="28" spans="1:22">
      <c r="A28" s="3" t="s">
        <v>235</v>
      </c>
      <c r="B28" s="4" t="s">
        <v>71</v>
      </c>
      <c r="C28" s="4" t="s">
        <v>92</v>
      </c>
      <c r="D28" s="4" t="s">
        <v>236</v>
      </c>
      <c r="E28" s="4" t="s">
        <v>237</v>
      </c>
      <c r="F28" s="4" t="s">
        <v>217</v>
      </c>
      <c r="G28" s="4" t="s">
        <v>76</v>
      </c>
      <c r="H28" s="4" t="s">
        <v>238</v>
      </c>
      <c r="I28" s="4" t="s">
        <v>138</v>
      </c>
      <c r="J28" s="4" t="s">
        <v>106</v>
      </c>
      <c r="K28" s="4" t="s">
        <v>32</v>
      </c>
      <c r="L28" s="4" t="s">
        <v>97</v>
      </c>
      <c r="M28" s="4">
        <v>12</v>
      </c>
      <c r="N28" s="4">
        <v>3500</v>
      </c>
      <c r="O28" s="4">
        <v>15</v>
      </c>
      <c r="P28" s="4">
        <v>35700</v>
      </c>
      <c r="Q28" s="4">
        <v>4</v>
      </c>
      <c r="R28" s="4" t="s">
        <v>34</v>
      </c>
      <c r="S28" s="4" t="s">
        <v>49</v>
      </c>
      <c r="T28" s="4" t="s">
        <v>80</v>
      </c>
      <c r="U28" s="6" t="s">
        <v>239</v>
      </c>
      <c r="V28" s="4" t="s">
        <v>69</v>
      </c>
    </row>
    <row r="29" spans="1:22">
      <c r="A29" s="7" t="s">
        <v>240</v>
      </c>
      <c r="B29" s="8" t="s">
        <v>23</v>
      </c>
      <c r="C29" s="8" t="s">
        <v>72</v>
      </c>
      <c r="D29" s="8" t="s">
        <v>241</v>
      </c>
      <c r="E29" s="8" t="s">
        <v>242</v>
      </c>
      <c r="F29" s="8" t="s">
        <v>27</v>
      </c>
      <c r="G29" s="8" t="s">
        <v>28</v>
      </c>
      <c r="H29" s="8" t="s">
        <v>243</v>
      </c>
      <c r="I29" s="8" t="s">
        <v>138</v>
      </c>
      <c r="J29" s="8" t="s">
        <v>106</v>
      </c>
      <c r="K29" s="8" t="s">
        <v>46</v>
      </c>
      <c r="L29" s="8" t="s">
        <v>78</v>
      </c>
      <c r="M29" s="8">
        <v>11</v>
      </c>
      <c r="N29" s="8">
        <v>1200</v>
      </c>
      <c r="O29" s="8">
        <v>0</v>
      </c>
      <c r="P29" s="8">
        <v>13200</v>
      </c>
      <c r="Q29" s="8">
        <v>2</v>
      </c>
      <c r="R29" s="8" t="s">
        <v>88</v>
      </c>
      <c r="S29" s="8" t="s">
        <v>151</v>
      </c>
      <c r="T29" s="8" t="s">
        <v>50</v>
      </c>
      <c r="U29" s="9" t="s">
        <v>244</v>
      </c>
      <c r="V29" s="8" t="s">
        <v>38</v>
      </c>
    </row>
    <row r="30" spans="1:22">
      <c r="A30" s="3" t="s">
        <v>245</v>
      </c>
      <c r="B30" s="4" t="s">
        <v>127</v>
      </c>
      <c r="C30" s="4" t="s">
        <v>169</v>
      </c>
      <c r="D30" s="4" t="s">
        <v>246</v>
      </c>
      <c r="E30" s="4" t="s">
        <v>247</v>
      </c>
      <c r="F30" s="4" t="s">
        <v>200</v>
      </c>
      <c r="G30" s="4" t="s">
        <v>76</v>
      </c>
      <c r="H30" s="4" t="s">
        <v>248</v>
      </c>
      <c r="I30" s="4" t="s">
        <v>114</v>
      </c>
      <c r="J30" s="4" t="s">
        <v>106</v>
      </c>
      <c r="K30" s="4" t="s">
        <v>32</v>
      </c>
      <c r="L30" s="4" t="s">
        <v>174</v>
      </c>
      <c r="M30" s="4">
        <v>6</v>
      </c>
      <c r="N30" s="4">
        <v>8500</v>
      </c>
      <c r="O30" s="4">
        <v>65</v>
      </c>
      <c r="P30" s="4">
        <v>51000</v>
      </c>
      <c r="Q30" s="4">
        <v>1</v>
      </c>
      <c r="R30" s="4" t="s">
        <v>79</v>
      </c>
      <c r="S30" s="4" t="s">
        <v>61</v>
      </c>
      <c r="T30" s="4" t="s">
        <v>132</v>
      </c>
      <c r="U30" s="6" t="s">
        <v>249</v>
      </c>
      <c r="V30" s="4" t="s">
        <v>38</v>
      </c>
    </row>
    <row r="31" spans="1:22">
      <c r="A31" s="7" t="s">
        <v>250</v>
      </c>
      <c r="B31" s="8" t="s">
        <v>251</v>
      </c>
      <c r="C31" s="8" t="s">
        <v>118</v>
      </c>
      <c r="D31" s="8" t="s">
        <v>252</v>
      </c>
      <c r="E31" s="8" t="s">
        <v>253</v>
      </c>
      <c r="F31" s="8" t="s">
        <v>254</v>
      </c>
      <c r="G31" s="8" t="s">
        <v>28</v>
      </c>
      <c r="H31" s="8" t="s">
        <v>255</v>
      </c>
      <c r="I31" s="8" t="s">
        <v>114</v>
      </c>
      <c r="J31" s="8" t="s">
        <v>106</v>
      </c>
      <c r="K31" s="8" t="s">
        <v>122</v>
      </c>
      <c r="L31" s="8" t="s">
        <v>123</v>
      </c>
      <c r="M31" s="8">
        <v>2</v>
      </c>
      <c r="N31" s="8">
        <v>60</v>
      </c>
      <c r="O31" s="8">
        <v>5</v>
      </c>
      <c r="P31" s="8">
        <v>114</v>
      </c>
      <c r="Q31" s="8">
        <v>3</v>
      </c>
      <c r="R31" s="8" t="s">
        <v>34</v>
      </c>
      <c r="S31" s="8" t="s">
        <v>151</v>
      </c>
      <c r="T31" s="8" t="s">
        <v>256</v>
      </c>
      <c r="U31" s="9" t="s">
        <v>257</v>
      </c>
      <c r="V31" s="8" t="s">
        <v>69</v>
      </c>
    </row>
    <row r="32" spans="1:22">
      <c r="A32" s="3" t="s">
        <v>258</v>
      </c>
      <c r="B32" s="4" t="s">
        <v>23</v>
      </c>
      <c r="C32" s="4" t="s">
        <v>259</v>
      </c>
      <c r="D32" s="4" t="s">
        <v>260</v>
      </c>
      <c r="E32" s="4" t="s">
        <v>261</v>
      </c>
      <c r="F32" s="4" t="s">
        <v>27</v>
      </c>
      <c r="G32" s="4" t="s">
        <v>28</v>
      </c>
      <c r="H32" s="4" t="s">
        <v>262</v>
      </c>
      <c r="I32" s="4" t="s">
        <v>59</v>
      </c>
      <c r="J32" s="4" t="s">
        <v>31</v>
      </c>
      <c r="K32" s="4" t="s">
        <v>122</v>
      </c>
      <c r="L32" s="4" t="s">
        <v>263</v>
      </c>
      <c r="M32" s="4">
        <v>19</v>
      </c>
      <c r="N32" s="4">
        <v>45</v>
      </c>
      <c r="O32" s="4">
        <v>20</v>
      </c>
      <c r="P32" s="4">
        <v>684</v>
      </c>
      <c r="Q32" s="4">
        <v>4</v>
      </c>
      <c r="R32" s="4" t="s">
        <v>48</v>
      </c>
      <c r="S32" s="4" t="s">
        <v>61</v>
      </c>
      <c r="T32" s="4" t="s">
        <v>50</v>
      </c>
      <c r="U32" s="6" t="s">
        <v>264</v>
      </c>
      <c r="V32" s="4" t="s">
        <v>69</v>
      </c>
    </row>
    <row r="33" spans="1:22">
      <c r="A33" s="7" t="s">
        <v>265</v>
      </c>
      <c r="B33" s="8" t="s">
        <v>100</v>
      </c>
      <c r="C33" s="8" t="s">
        <v>40</v>
      </c>
      <c r="D33" s="8" t="s">
        <v>266</v>
      </c>
      <c r="E33" s="8" t="s">
        <v>267</v>
      </c>
      <c r="F33" s="8" t="s">
        <v>268</v>
      </c>
      <c r="G33" s="8" t="s">
        <v>28</v>
      </c>
      <c r="H33" s="8" t="s">
        <v>269</v>
      </c>
      <c r="I33" s="8" t="s">
        <v>138</v>
      </c>
      <c r="J33" s="8" t="s">
        <v>106</v>
      </c>
      <c r="K33" s="8" t="s">
        <v>46</v>
      </c>
      <c r="L33" s="8" t="s">
        <v>47</v>
      </c>
      <c r="M33" s="8">
        <v>11</v>
      </c>
      <c r="N33" s="8">
        <v>12000</v>
      </c>
      <c r="O33" s="8">
        <v>0</v>
      </c>
      <c r="P33" s="8">
        <v>132000</v>
      </c>
      <c r="Q33" s="8">
        <v>3</v>
      </c>
      <c r="R33" s="8" t="s">
        <v>88</v>
      </c>
      <c r="S33" s="8" t="s">
        <v>35</v>
      </c>
      <c r="T33" s="8" t="s">
        <v>144</v>
      </c>
      <c r="U33" s="9" t="s">
        <v>270</v>
      </c>
      <c r="V33" s="8" t="s">
        <v>64</v>
      </c>
    </row>
    <row r="34" spans="1:22">
      <c r="A34" s="3" t="s">
        <v>271</v>
      </c>
      <c r="B34" s="4" t="s">
        <v>251</v>
      </c>
      <c r="C34" s="4" t="s">
        <v>24</v>
      </c>
      <c r="D34" s="4" t="s">
        <v>272</v>
      </c>
      <c r="E34" s="4" t="s">
        <v>136</v>
      </c>
      <c r="F34" s="4" t="s">
        <v>254</v>
      </c>
      <c r="G34" s="4" t="s">
        <v>28</v>
      </c>
      <c r="H34" s="4" t="s">
        <v>273</v>
      </c>
      <c r="I34" s="4" t="s">
        <v>59</v>
      </c>
      <c r="J34" s="4" t="s">
        <v>31</v>
      </c>
      <c r="K34" s="4" t="s">
        <v>32</v>
      </c>
      <c r="L34" s="4" t="s">
        <v>33</v>
      </c>
      <c r="M34" s="4">
        <v>20</v>
      </c>
      <c r="N34" s="4">
        <v>2200</v>
      </c>
      <c r="O34" s="4">
        <v>5</v>
      </c>
      <c r="P34" s="4">
        <v>41800</v>
      </c>
      <c r="Q34" s="4">
        <v>1</v>
      </c>
      <c r="R34" s="4" t="s">
        <v>34</v>
      </c>
      <c r="S34" s="4" t="s">
        <v>49</v>
      </c>
      <c r="T34" s="4" t="s">
        <v>256</v>
      </c>
      <c r="U34" s="6" t="s">
        <v>274</v>
      </c>
      <c r="V34" s="4" t="s">
        <v>64</v>
      </c>
    </row>
    <row r="35" spans="1:22">
      <c r="A35" s="7" t="s">
        <v>275</v>
      </c>
      <c r="B35" s="8" t="s">
        <v>83</v>
      </c>
      <c r="C35" s="8" t="s">
        <v>222</v>
      </c>
      <c r="D35" s="8" t="s">
        <v>231</v>
      </c>
      <c r="E35" s="8" t="s">
        <v>276</v>
      </c>
      <c r="F35" s="8" t="s">
        <v>180</v>
      </c>
      <c r="G35" s="8" t="s">
        <v>76</v>
      </c>
      <c r="H35" s="8" t="s">
        <v>277</v>
      </c>
      <c r="I35" s="8" t="s">
        <v>138</v>
      </c>
      <c r="J35" s="8" t="s">
        <v>106</v>
      </c>
      <c r="K35" s="8" t="s">
        <v>122</v>
      </c>
      <c r="L35" s="8" t="s">
        <v>227</v>
      </c>
      <c r="M35" s="8">
        <v>3</v>
      </c>
      <c r="N35" s="8">
        <v>20</v>
      </c>
      <c r="O35" s="8">
        <v>0</v>
      </c>
      <c r="P35" s="8">
        <v>60</v>
      </c>
      <c r="Q35" s="8">
        <v>2</v>
      </c>
      <c r="R35" s="8" t="s">
        <v>79</v>
      </c>
      <c r="S35" s="8" t="s">
        <v>35</v>
      </c>
      <c r="T35" s="8" t="s">
        <v>278</v>
      </c>
      <c r="U35" s="9" t="s">
        <v>279</v>
      </c>
      <c r="V35" s="8" t="s">
        <v>69</v>
      </c>
    </row>
    <row r="36" spans="1:22">
      <c r="A36" s="3" t="s">
        <v>280</v>
      </c>
      <c r="B36" s="4" t="s">
        <v>127</v>
      </c>
      <c r="C36" s="4" t="s">
        <v>259</v>
      </c>
      <c r="D36" s="4" t="s">
        <v>281</v>
      </c>
      <c r="E36" s="4" t="s">
        <v>282</v>
      </c>
      <c r="F36" s="4" t="s">
        <v>200</v>
      </c>
      <c r="G36" s="4" t="s">
        <v>76</v>
      </c>
      <c r="H36" s="4" t="s">
        <v>283</v>
      </c>
      <c r="I36" s="4" t="s">
        <v>114</v>
      </c>
      <c r="J36" s="4" t="s">
        <v>106</v>
      </c>
      <c r="K36" s="4" t="s">
        <v>122</v>
      </c>
      <c r="L36" s="4" t="s">
        <v>263</v>
      </c>
      <c r="M36" s="4">
        <v>18</v>
      </c>
      <c r="N36" s="4">
        <v>45</v>
      </c>
      <c r="O36" s="4">
        <v>20</v>
      </c>
      <c r="P36" s="4">
        <v>648</v>
      </c>
      <c r="Q36" s="4">
        <v>4</v>
      </c>
      <c r="R36" s="4" t="s">
        <v>48</v>
      </c>
      <c r="S36" s="4" t="s">
        <v>35</v>
      </c>
      <c r="T36" s="4" t="s">
        <v>132</v>
      </c>
      <c r="U36" s="6" t="s">
        <v>284</v>
      </c>
      <c r="V36" s="4" t="s">
        <v>69</v>
      </c>
    </row>
    <row r="37" spans="1:22">
      <c r="A37" s="7" t="s">
        <v>285</v>
      </c>
      <c r="B37" s="8" t="s">
        <v>127</v>
      </c>
      <c r="C37" s="8" t="s">
        <v>72</v>
      </c>
      <c r="D37" s="8" t="s">
        <v>286</v>
      </c>
      <c r="E37" s="8" t="s">
        <v>287</v>
      </c>
      <c r="F37" s="8" t="s">
        <v>200</v>
      </c>
      <c r="G37" s="8" t="s">
        <v>76</v>
      </c>
      <c r="H37" s="8" t="s">
        <v>288</v>
      </c>
      <c r="I37" s="8" t="s">
        <v>59</v>
      </c>
      <c r="J37" s="8" t="s">
        <v>31</v>
      </c>
      <c r="K37" s="8" t="s">
        <v>46</v>
      </c>
      <c r="L37" s="8" t="s">
        <v>78</v>
      </c>
      <c r="M37" s="8">
        <v>4</v>
      </c>
      <c r="N37" s="8">
        <v>1200</v>
      </c>
      <c r="O37" s="8">
        <v>20</v>
      </c>
      <c r="P37" s="8">
        <v>3840</v>
      </c>
      <c r="Q37" s="8">
        <v>3</v>
      </c>
      <c r="R37" s="8" t="s">
        <v>48</v>
      </c>
      <c r="S37" s="8" t="s">
        <v>61</v>
      </c>
      <c r="T37" s="8" t="s">
        <v>132</v>
      </c>
      <c r="U37" s="9" t="s">
        <v>289</v>
      </c>
      <c r="V37" s="8" t="s">
        <v>38</v>
      </c>
    </row>
    <row r="38" spans="1:22">
      <c r="A38" s="3" t="s">
        <v>290</v>
      </c>
      <c r="B38" s="4" t="s">
        <v>71</v>
      </c>
      <c r="C38" s="4" t="s">
        <v>54</v>
      </c>
      <c r="D38" s="4" t="s">
        <v>291</v>
      </c>
      <c r="E38" s="4" t="s">
        <v>292</v>
      </c>
      <c r="F38" s="4" t="s">
        <v>217</v>
      </c>
      <c r="G38" s="4" t="s">
        <v>76</v>
      </c>
      <c r="H38" s="4" t="s">
        <v>293</v>
      </c>
      <c r="I38" s="4" t="s">
        <v>294</v>
      </c>
      <c r="J38" s="4" t="s">
        <v>295</v>
      </c>
      <c r="K38" s="4" t="s">
        <v>46</v>
      </c>
      <c r="L38" s="4" t="s">
        <v>60</v>
      </c>
      <c r="M38" s="4">
        <v>10</v>
      </c>
      <c r="N38" s="4">
        <v>55000</v>
      </c>
      <c r="O38" s="4">
        <v>0</v>
      </c>
      <c r="P38" s="4">
        <v>550000</v>
      </c>
      <c r="Q38" s="4">
        <v>1</v>
      </c>
      <c r="R38" s="4" t="s">
        <v>88</v>
      </c>
      <c r="S38" s="4" t="s">
        <v>49</v>
      </c>
      <c r="T38" s="4" t="s">
        <v>80</v>
      </c>
      <c r="U38" s="6" t="s">
        <v>296</v>
      </c>
      <c r="V38" s="4" t="s">
        <v>69</v>
      </c>
    </row>
    <row r="39" spans="1:22">
      <c r="A39" s="7" t="s">
        <v>297</v>
      </c>
      <c r="B39" s="8" t="s">
        <v>251</v>
      </c>
      <c r="C39" s="8" t="s">
        <v>92</v>
      </c>
      <c r="D39" s="8" t="s">
        <v>298</v>
      </c>
      <c r="E39" s="8" t="s">
        <v>242</v>
      </c>
      <c r="F39" s="8" t="s">
        <v>254</v>
      </c>
      <c r="G39" s="8" t="s">
        <v>28</v>
      </c>
      <c r="H39" s="8" t="s">
        <v>299</v>
      </c>
      <c r="I39" s="8" t="s">
        <v>44</v>
      </c>
      <c r="J39" s="8" t="s">
        <v>45</v>
      </c>
      <c r="K39" s="8" t="s">
        <v>32</v>
      </c>
      <c r="L39" s="8" t="s">
        <v>97</v>
      </c>
      <c r="M39" s="8">
        <v>20</v>
      </c>
      <c r="N39" s="8">
        <v>3500</v>
      </c>
      <c r="O39" s="8">
        <v>10</v>
      </c>
      <c r="P39" s="8">
        <v>63000</v>
      </c>
      <c r="Q39" s="8">
        <v>3</v>
      </c>
      <c r="R39" s="8" t="s">
        <v>79</v>
      </c>
      <c r="S39" s="8" t="s">
        <v>49</v>
      </c>
      <c r="T39" s="8" t="s">
        <v>256</v>
      </c>
      <c r="U39" s="9" t="s">
        <v>300</v>
      </c>
      <c r="V39" s="8" t="s">
        <v>69</v>
      </c>
    </row>
    <row r="40" spans="1:22">
      <c r="A40" s="3" t="s">
        <v>301</v>
      </c>
      <c r="B40" s="4" t="s">
        <v>23</v>
      </c>
      <c r="C40" s="4" t="s">
        <v>222</v>
      </c>
      <c r="D40" s="4" t="s">
        <v>302</v>
      </c>
      <c r="E40" s="4" t="s">
        <v>303</v>
      </c>
      <c r="F40" s="4" t="s">
        <v>27</v>
      </c>
      <c r="G40" s="4" t="s">
        <v>28</v>
      </c>
      <c r="H40" s="4" t="s">
        <v>304</v>
      </c>
      <c r="I40" s="4" t="s">
        <v>114</v>
      </c>
      <c r="J40" s="4" t="s">
        <v>106</v>
      </c>
      <c r="K40" s="4" t="s">
        <v>122</v>
      </c>
      <c r="L40" s="4" t="s">
        <v>227</v>
      </c>
      <c r="M40" s="4">
        <v>5</v>
      </c>
      <c r="N40" s="4" t="s">
        <v>305</v>
      </c>
      <c r="O40" s="4">
        <v>0</v>
      </c>
      <c r="P40" s="4">
        <v>100</v>
      </c>
      <c r="Q40" s="4">
        <v>1</v>
      </c>
      <c r="R40" s="4" t="s">
        <v>34</v>
      </c>
      <c r="S40" s="4" t="s">
        <v>49</v>
      </c>
      <c r="T40" s="4" t="s">
        <v>50</v>
      </c>
      <c r="U40" s="6" t="s">
        <v>306</v>
      </c>
      <c r="V40" s="4" t="s">
        <v>69</v>
      </c>
    </row>
    <row r="41" spans="1:22">
      <c r="A41" s="7" t="s">
        <v>307</v>
      </c>
      <c r="B41" s="8" t="s">
        <v>53</v>
      </c>
      <c r="C41" s="8" t="s">
        <v>169</v>
      </c>
      <c r="D41" s="8" t="s">
        <v>308</v>
      </c>
      <c r="E41" s="8" t="s">
        <v>309</v>
      </c>
      <c r="F41" s="8" t="s">
        <v>163</v>
      </c>
      <c r="G41" s="8" t="s">
        <v>28</v>
      </c>
      <c r="H41" s="8" t="s">
        <v>310</v>
      </c>
      <c r="I41" s="8" t="s">
        <v>105</v>
      </c>
      <c r="J41" s="8" t="s">
        <v>106</v>
      </c>
      <c r="K41" s="8" t="s">
        <v>32</v>
      </c>
      <c r="L41" s="8" t="s">
        <v>174</v>
      </c>
      <c r="M41" s="8">
        <v>20</v>
      </c>
      <c r="N41" s="8">
        <v>8500</v>
      </c>
      <c r="O41" s="8">
        <v>0</v>
      </c>
      <c r="P41" s="8">
        <v>170000</v>
      </c>
      <c r="Q41" s="8">
        <v>1</v>
      </c>
      <c r="R41" s="8" t="s">
        <v>88</v>
      </c>
      <c r="S41" s="8" t="s">
        <v>115</v>
      </c>
      <c r="T41" s="8" t="s">
        <v>62</v>
      </c>
      <c r="U41" s="9" t="s">
        <v>311</v>
      </c>
      <c r="V41" s="8" t="s">
        <v>69</v>
      </c>
    </row>
    <row r="42" spans="1:22">
      <c r="A42" s="3" t="s">
        <v>312</v>
      </c>
      <c r="B42" s="4" t="s">
        <v>83</v>
      </c>
      <c r="C42" s="4" t="s">
        <v>118</v>
      </c>
      <c r="D42" s="4" t="s">
        <v>313</v>
      </c>
      <c r="E42" s="4" t="s">
        <v>314</v>
      </c>
      <c r="F42" s="4" t="s">
        <v>180</v>
      </c>
      <c r="G42" s="4" t="s">
        <v>76</v>
      </c>
      <c r="H42" s="4" t="s">
        <v>315</v>
      </c>
      <c r="I42" s="4" t="s">
        <v>59</v>
      </c>
      <c r="J42" s="4" t="s">
        <v>31</v>
      </c>
      <c r="K42" s="4" t="s">
        <v>122</v>
      </c>
      <c r="L42" s="4" t="s">
        <v>123</v>
      </c>
      <c r="M42" s="4">
        <v>8</v>
      </c>
      <c r="N42" s="4">
        <v>60</v>
      </c>
      <c r="O42" s="4">
        <v>15</v>
      </c>
      <c r="P42" s="4">
        <v>408</v>
      </c>
      <c r="Q42" s="4">
        <v>5</v>
      </c>
      <c r="R42" s="4" t="s">
        <v>88</v>
      </c>
      <c r="S42" s="4" t="s">
        <v>49</v>
      </c>
      <c r="T42" s="4" t="s">
        <v>89</v>
      </c>
      <c r="U42" s="6" t="s">
        <v>316</v>
      </c>
      <c r="V42" s="4" t="s">
        <v>64</v>
      </c>
    </row>
    <row r="43" spans="1:22">
      <c r="A43" s="7" t="s">
        <v>317</v>
      </c>
      <c r="B43" s="8" t="s">
        <v>53</v>
      </c>
      <c r="C43" s="8" t="s">
        <v>92</v>
      </c>
      <c r="D43" s="8" t="s">
        <v>318</v>
      </c>
      <c r="E43" s="8" t="s">
        <v>260</v>
      </c>
      <c r="F43" s="8" t="s">
        <v>163</v>
      </c>
      <c r="G43" s="8" t="s">
        <v>28</v>
      </c>
      <c r="H43" s="8" t="s">
        <v>319</v>
      </c>
      <c r="I43" s="8" t="s">
        <v>114</v>
      </c>
      <c r="J43" s="8" t="s">
        <v>106</v>
      </c>
      <c r="K43" s="8" t="s">
        <v>32</v>
      </c>
      <c r="L43" s="8" t="s">
        <v>97</v>
      </c>
      <c r="M43" s="8">
        <v>8</v>
      </c>
      <c r="N43" s="8">
        <v>3500</v>
      </c>
      <c r="O43" s="8">
        <v>5</v>
      </c>
      <c r="P43" s="8">
        <v>26600</v>
      </c>
      <c r="Q43" s="8">
        <v>1</v>
      </c>
      <c r="R43" s="8" t="s">
        <v>79</v>
      </c>
      <c r="S43" s="8" t="s">
        <v>115</v>
      </c>
      <c r="T43" s="8" t="s">
        <v>62</v>
      </c>
      <c r="U43" s="9" t="s">
        <v>320</v>
      </c>
      <c r="V43" s="8" t="s">
        <v>64</v>
      </c>
    </row>
    <row r="44" spans="1:22">
      <c r="A44" s="3" t="s">
        <v>321</v>
      </c>
      <c r="B44" s="4" t="s">
        <v>71</v>
      </c>
      <c r="C44" s="4" t="s">
        <v>169</v>
      </c>
      <c r="D44" s="4" t="s">
        <v>322</v>
      </c>
      <c r="E44" s="4" t="s">
        <v>323</v>
      </c>
      <c r="F44" s="4" t="s">
        <v>217</v>
      </c>
      <c r="G44" s="4" t="s">
        <v>76</v>
      </c>
      <c r="H44" s="4" t="s">
        <v>324</v>
      </c>
      <c r="I44" s="4" t="s">
        <v>212</v>
      </c>
      <c r="J44" s="4" t="s">
        <v>45</v>
      </c>
      <c r="K44" s="4" t="s">
        <v>32</v>
      </c>
      <c r="L44" s="4" t="s">
        <v>174</v>
      </c>
      <c r="M44" s="4">
        <v>1</v>
      </c>
      <c r="N44" s="4">
        <v>8500</v>
      </c>
      <c r="O44" s="4">
        <v>0</v>
      </c>
      <c r="P44" s="4">
        <v>8500</v>
      </c>
      <c r="Q44" s="4">
        <v>2</v>
      </c>
      <c r="R44" s="4" t="s">
        <v>79</v>
      </c>
      <c r="S44" s="4" t="s">
        <v>115</v>
      </c>
      <c r="T44" s="4" t="s">
        <v>80</v>
      </c>
      <c r="U44" s="6" t="s">
        <v>325</v>
      </c>
      <c r="V44" s="4" t="s">
        <v>64</v>
      </c>
    </row>
    <row r="45" spans="1:22">
      <c r="A45" s="7" t="s">
        <v>326</v>
      </c>
      <c r="B45" s="8" t="s">
        <v>327</v>
      </c>
      <c r="C45" s="8" t="s">
        <v>259</v>
      </c>
      <c r="D45" s="8" t="s">
        <v>328</v>
      </c>
      <c r="E45" s="8" t="s">
        <v>329</v>
      </c>
      <c r="F45" s="8" t="s">
        <v>330</v>
      </c>
      <c r="G45" s="8" t="s">
        <v>76</v>
      </c>
      <c r="H45" s="8" t="s">
        <v>331</v>
      </c>
      <c r="I45" s="8" t="s">
        <v>114</v>
      </c>
      <c r="J45" s="8" t="s">
        <v>106</v>
      </c>
      <c r="K45" s="8" t="s">
        <v>122</v>
      </c>
      <c r="L45" s="8" t="s">
        <v>263</v>
      </c>
      <c r="M45" s="8">
        <v>8</v>
      </c>
      <c r="N45" s="8">
        <v>45</v>
      </c>
      <c r="O45" s="8">
        <v>15</v>
      </c>
      <c r="P45" s="8">
        <v>306</v>
      </c>
      <c r="Q45" s="8">
        <v>2</v>
      </c>
      <c r="R45" s="8" t="s">
        <v>79</v>
      </c>
      <c r="S45" s="8" t="s">
        <v>61</v>
      </c>
      <c r="T45" s="8" t="s">
        <v>332</v>
      </c>
      <c r="U45" s="9" t="s">
        <v>333</v>
      </c>
      <c r="V45" s="8" t="s">
        <v>38</v>
      </c>
    </row>
    <row r="46" spans="1:22">
      <c r="A46" s="3" t="s">
        <v>334</v>
      </c>
      <c r="B46" s="4" t="s">
        <v>251</v>
      </c>
      <c r="C46" s="4" t="s">
        <v>24</v>
      </c>
      <c r="D46" s="4" t="s">
        <v>335</v>
      </c>
      <c r="E46" s="4" t="s">
        <v>336</v>
      </c>
      <c r="F46" s="4" t="s">
        <v>254</v>
      </c>
      <c r="G46" s="4" t="s">
        <v>28</v>
      </c>
      <c r="H46" s="4" t="s">
        <v>337</v>
      </c>
      <c r="I46" s="4" t="s">
        <v>114</v>
      </c>
      <c r="J46" s="4" t="s">
        <v>106</v>
      </c>
      <c r="K46" s="4" t="s">
        <v>32</v>
      </c>
      <c r="L46" s="4" t="s">
        <v>33</v>
      </c>
      <c r="M46" s="4">
        <v>16</v>
      </c>
      <c r="N46" s="4">
        <v>2200</v>
      </c>
      <c r="O46" s="4">
        <v>5</v>
      </c>
      <c r="P46" s="4">
        <v>33440</v>
      </c>
      <c r="Q46" s="4">
        <v>5</v>
      </c>
      <c r="R46" s="4" t="s">
        <v>79</v>
      </c>
      <c r="S46" s="4" t="s">
        <v>61</v>
      </c>
      <c r="T46" s="4" t="s">
        <v>256</v>
      </c>
      <c r="U46" s="6" t="s">
        <v>338</v>
      </c>
      <c r="V46" s="4" t="s">
        <v>69</v>
      </c>
    </row>
    <row r="47" spans="1:22">
      <c r="A47" s="7" t="s">
        <v>339</v>
      </c>
      <c r="B47" s="8" t="s">
        <v>71</v>
      </c>
      <c r="C47" s="8" t="s">
        <v>92</v>
      </c>
      <c r="D47" s="8" t="s">
        <v>340</v>
      </c>
      <c r="E47" s="8" t="s">
        <v>341</v>
      </c>
      <c r="F47" s="8" t="s">
        <v>217</v>
      </c>
      <c r="G47" s="8" t="s">
        <v>76</v>
      </c>
      <c r="H47" s="8" t="s">
        <v>342</v>
      </c>
      <c r="I47" s="8" t="s">
        <v>59</v>
      </c>
      <c r="J47" s="8" t="s">
        <v>31</v>
      </c>
      <c r="K47" s="8" t="s">
        <v>32</v>
      </c>
      <c r="L47" s="8" t="s">
        <v>97</v>
      </c>
      <c r="M47" s="8">
        <v>19</v>
      </c>
      <c r="N47" s="8">
        <v>3500</v>
      </c>
      <c r="O47" s="8">
        <v>20</v>
      </c>
      <c r="P47" s="8">
        <v>53200</v>
      </c>
      <c r="Q47" s="8">
        <v>3</v>
      </c>
      <c r="R47" s="8" t="s">
        <v>34</v>
      </c>
      <c r="S47" s="8" t="s">
        <v>151</v>
      </c>
      <c r="T47" s="8" t="s">
        <v>80</v>
      </c>
      <c r="U47" s="9" t="s">
        <v>343</v>
      </c>
      <c r="V47" s="8" t="s">
        <v>69</v>
      </c>
    </row>
    <row r="48" spans="1:22">
      <c r="A48" s="3" t="s">
        <v>344</v>
      </c>
      <c r="B48" s="4" t="s">
        <v>251</v>
      </c>
      <c r="C48" s="4" t="s">
        <v>184</v>
      </c>
      <c r="D48" s="4" t="s">
        <v>345</v>
      </c>
      <c r="E48" s="4" t="s">
        <v>346</v>
      </c>
      <c r="F48" s="4" t="s">
        <v>254</v>
      </c>
      <c r="G48" s="4" t="s">
        <v>28</v>
      </c>
      <c r="H48" s="4" t="s">
        <v>347</v>
      </c>
      <c r="I48" s="4" t="s">
        <v>114</v>
      </c>
      <c r="J48" s="4" t="s">
        <v>106</v>
      </c>
      <c r="K48" s="4" t="s">
        <v>46</v>
      </c>
      <c r="L48" s="4" t="s">
        <v>189</v>
      </c>
      <c r="M48" s="4">
        <v>15</v>
      </c>
      <c r="N48" s="4">
        <v>700</v>
      </c>
      <c r="O48" s="4">
        <v>15</v>
      </c>
      <c r="P48" s="4">
        <v>8925</v>
      </c>
      <c r="Q48" s="4">
        <v>4</v>
      </c>
      <c r="R48" s="4" t="s">
        <v>88</v>
      </c>
      <c r="S48" s="4" t="s">
        <v>115</v>
      </c>
      <c r="T48" s="4" t="s">
        <v>348</v>
      </c>
      <c r="U48" s="6" t="s">
        <v>349</v>
      </c>
      <c r="V48" s="4" t="s">
        <v>38</v>
      </c>
    </row>
    <row r="49" spans="1:22">
      <c r="A49" s="7" t="s">
        <v>350</v>
      </c>
      <c r="B49" s="8" t="s">
        <v>251</v>
      </c>
      <c r="C49" s="8" t="s">
        <v>184</v>
      </c>
      <c r="D49" s="8" t="s">
        <v>351</v>
      </c>
      <c r="E49" s="8" t="s">
        <v>352</v>
      </c>
      <c r="F49" s="8" t="s">
        <v>254</v>
      </c>
      <c r="G49" s="8" t="s">
        <v>28</v>
      </c>
      <c r="H49" s="8" t="s">
        <v>353</v>
      </c>
      <c r="I49" s="8" t="s">
        <v>212</v>
      </c>
      <c r="J49" s="8" t="s">
        <v>45</v>
      </c>
      <c r="K49" s="8" t="s">
        <v>46</v>
      </c>
      <c r="L49" s="8" t="s">
        <v>189</v>
      </c>
      <c r="M49" s="8">
        <v>19</v>
      </c>
      <c r="N49" s="8">
        <v>700</v>
      </c>
      <c r="O49" s="8">
        <v>20</v>
      </c>
      <c r="P49" s="8">
        <v>10640</v>
      </c>
      <c r="Q49" s="8">
        <v>1</v>
      </c>
      <c r="R49" s="8" t="s">
        <v>34</v>
      </c>
      <c r="S49" s="8" t="s">
        <v>115</v>
      </c>
      <c r="T49" s="8" t="s">
        <v>256</v>
      </c>
      <c r="U49" s="9" t="s">
        <v>354</v>
      </c>
      <c r="V49" s="8" t="s">
        <v>38</v>
      </c>
    </row>
    <row r="50" spans="1:22">
      <c r="A50" s="3" t="s">
        <v>355</v>
      </c>
      <c r="B50" s="4" t="s">
        <v>71</v>
      </c>
      <c r="C50" s="4" t="s">
        <v>40</v>
      </c>
      <c r="D50" s="4" t="s">
        <v>356</v>
      </c>
      <c r="E50" s="4"/>
      <c r="F50" s="4" t="s">
        <v>217</v>
      </c>
      <c r="G50" s="4" t="s">
        <v>76</v>
      </c>
      <c r="H50" s="4" t="s">
        <v>357</v>
      </c>
      <c r="I50" s="4" t="s">
        <v>44</v>
      </c>
      <c r="J50" s="4" t="s">
        <v>45</v>
      </c>
      <c r="K50" s="4" t="s">
        <v>46</v>
      </c>
      <c r="L50" s="4" t="s">
        <v>47</v>
      </c>
      <c r="M50" s="4">
        <v>19</v>
      </c>
      <c r="N50" s="4">
        <v>12000</v>
      </c>
      <c r="O50" s="4">
        <v>0</v>
      </c>
      <c r="P50" s="4">
        <v>228000</v>
      </c>
      <c r="Q50" s="4">
        <v>1</v>
      </c>
      <c r="R50" s="4" t="s">
        <v>48</v>
      </c>
      <c r="S50" s="4" t="s">
        <v>61</v>
      </c>
      <c r="T50" s="4" t="s">
        <v>80</v>
      </c>
      <c r="U50" s="6" t="s">
        <v>358</v>
      </c>
      <c r="V50" s="4" t="s">
        <v>38</v>
      </c>
    </row>
    <row r="51" spans="1:22">
      <c r="A51" s="7" t="s">
        <v>359</v>
      </c>
      <c r="B51" s="8" t="s">
        <v>168</v>
      </c>
      <c r="C51" s="8" t="s">
        <v>72</v>
      </c>
      <c r="D51" s="8" t="s">
        <v>356</v>
      </c>
      <c r="E51" s="8" t="s">
        <v>360</v>
      </c>
      <c r="F51" s="8" t="s">
        <v>361</v>
      </c>
      <c r="G51" s="8" t="s">
        <v>28</v>
      </c>
      <c r="H51" s="8" t="s">
        <v>362</v>
      </c>
      <c r="I51" s="8" t="s">
        <v>114</v>
      </c>
      <c r="J51" s="8" t="s">
        <v>106</v>
      </c>
      <c r="K51" s="8" t="s">
        <v>46</v>
      </c>
      <c r="L51" s="8" t="s">
        <v>78</v>
      </c>
      <c r="M51" s="8">
        <v>6</v>
      </c>
      <c r="N51" s="8">
        <v>1200</v>
      </c>
      <c r="O51" s="8">
        <v>5</v>
      </c>
      <c r="P51" s="8">
        <v>6840</v>
      </c>
      <c r="Q51" s="8">
        <v>2</v>
      </c>
      <c r="R51" s="8" t="s">
        <v>34</v>
      </c>
      <c r="S51" s="8" t="s">
        <v>35</v>
      </c>
      <c r="T51" s="8" t="s">
        <v>175</v>
      </c>
      <c r="U51" s="9" t="s">
        <v>363</v>
      </c>
      <c r="V51" s="8" t="s">
        <v>64</v>
      </c>
    </row>
    <row r="52" spans="1:22">
      <c r="A52" s="3" t="s">
        <v>364</v>
      </c>
      <c r="B52" s="4" t="s">
        <v>53</v>
      </c>
      <c r="C52" s="4" t="s">
        <v>24</v>
      </c>
      <c r="D52" s="4" t="s">
        <v>365</v>
      </c>
      <c r="E52" s="4" t="s">
        <v>366</v>
      </c>
      <c r="F52" s="4" t="s">
        <v>367</v>
      </c>
      <c r="G52" s="4" t="s">
        <v>28</v>
      </c>
      <c r="H52" s="4" t="s">
        <v>368</v>
      </c>
      <c r="I52" s="4" t="s">
        <v>59</v>
      </c>
      <c r="J52" s="4" t="s">
        <v>31</v>
      </c>
      <c r="K52" s="4" t="s">
        <v>32</v>
      </c>
      <c r="L52" s="4" t="s">
        <v>33</v>
      </c>
      <c r="M52" s="4">
        <v>7</v>
      </c>
      <c r="N52" s="4">
        <v>2200</v>
      </c>
      <c r="O52" s="4">
        <v>15</v>
      </c>
      <c r="P52" s="4">
        <v>13090</v>
      </c>
      <c r="Q52" s="4">
        <v>1</v>
      </c>
      <c r="R52" s="4" t="s">
        <v>88</v>
      </c>
      <c r="S52" s="4" t="s">
        <v>61</v>
      </c>
      <c r="T52" s="4" t="s">
        <v>62</v>
      </c>
      <c r="U52" s="6" t="s">
        <v>369</v>
      </c>
      <c r="V52" s="4" t="s">
        <v>38</v>
      </c>
    </row>
    <row r="53" spans="1:22">
      <c r="A53" s="7" t="s">
        <v>370</v>
      </c>
      <c r="B53" s="8" t="s">
        <v>100</v>
      </c>
      <c r="C53" s="8" t="s">
        <v>118</v>
      </c>
      <c r="D53" s="8" t="s">
        <v>371</v>
      </c>
      <c r="E53" s="8" t="s">
        <v>372</v>
      </c>
      <c r="F53" s="8" t="s">
        <v>103</v>
      </c>
      <c r="G53" s="8" t="s">
        <v>28</v>
      </c>
      <c r="H53" s="8" t="s">
        <v>373</v>
      </c>
      <c r="I53" s="8" t="s">
        <v>212</v>
      </c>
      <c r="J53" s="8" t="s">
        <v>45</v>
      </c>
      <c r="K53" s="8" t="s">
        <v>122</v>
      </c>
      <c r="L53" s="8" t="s">
        <v>123</v>
      </c>
      <c r="M53" s="8">
        <v>8</v>
      </c>
      <c r="N53" s="8">
        <v>60</v>
      </c>
      <c r="O53" s="8">
        <v>10</v>
      </c>
      <c r="P53" s="8">
        <v>432</v>
      </c>
      <c r="Q53" s="8">
        <v>5</v>
      </c>
      <c r="R53" s="8" t="s">
        <v>79</v>
      </c>
      <c r="S53" s="8" t="s">
        <v>61</v>
      </c>
      <c r="T53" s="8" t="s">
        <v>144</v>
      </c>
      <c r="U53" s="9" t="s">
        <v>374</v>
      </c>
      <c r="V53" s="8" t="s">
        <v>69</v>
      </c>
    </row>
    <row r="54" spans="1:22">
      <c r="A54" s="3" t="s">
        <v>375</v>
      </c>
      <c r="B54" s="4" t="s">
        <v>221</v>
      </c>
      <c r="C54" s="4" t="s">
        <v>54</v>
      </c>
      <c r="D54" s="4" t="s">
        <v>376</v>
      </c>
      <c r="E54" s="4" t="s">
        <v>377</v>
      </c>
      <c r="F54" s="4" t="s">
        <v>225</v>
      </c>
      <c r="G54" s="4" t="s">
        <v>76</v>
      </c>
      <c r="H54" s="4" t="s">
        <v>378</v>
      </c>
      <c r="I54" s="4" t="s">
        <v>294</v>
      </c>
      <c r="J54" s="4" t="s">
        <v>295</v>
      </c>
      <c r="K54" s="4" t="s">
        <v>46</v>
      </c>
      <c r="L54" s="4" t="s">
        <v>60</v>
      </c>
      <c r="M54" s="4">
        <v>12</v>
      </c>
      <c r="N54" s="4">
        <v>55000</v>
      </c>
      <c r="O54" s="4">
        <v>5</v>
      </c>
      <c r="P54" s="4">
        <v>627000</v>
      </c>
      <c r="Q54" s="4">
        <v>2</v>
      </c>
      <c r="R54" s="4" t="s">
        <v>88</v>
      </c>
      <c r="S54" s="4" t="s">
        <v>49</v>
      </c>
      <c r="T54" s="4" t="s">
        <v>228</v>
      </c>
      <c r="U54" s="6" t="s">
        <v>379</v>
      </c>
      <c r="V54" s="4" t="s">
        <v>64</v>
      </c>
    </row>
    <row r="55" spans="1:22">
      <c r="A55" s="7" t="s">
        <v>380</v>
      </c>
      <c r="B55" s="8" t="s">
        <v>23</v>
      </c>
      <c r="C55" s="8" t="s">
        <v>184</v>
      </c>
      <c r="D55" s="8" t="s">
        <v>381</v>
      </c>
      <c r="E55" s="8" t="s">
        <v>382</v>
      </c>
      <c r="F55" s="8" t="s">
        <v>27</v>
      </c>
      <c r="G55" s="8" t="s">
        <v>28</v>
      </c>
      <c r="H55" s="8" t="s">
        <v>383</v>
      </c>
      <c r="I55" s="8" t="s">
        <v>212</v>
      </c>
      <c r="J55" s="8" t="s">
        <v>45</v>
      </c>
      <c r="K55" s="8" t="s">
        <v>46</v>
      </c>
      <c r="L55" s="8" t="s">
        <v>189</v>
      </c>
      <c r="M55" s="8">
        <v>3</v>
      </c>
      <c r="N55" s="8">
        <v>700</v>
      </c>
      <c r="O55" s="8">
        <v>0</v>
      </c>
      <c r="P55" s="8">
        <v>2100</v>
      </c>
      <c r="Q55" s="8">
        <v>3</v>
      </c>
      <c r="R55" s="8" t="s">
        <v>79</v>
      </c>
      <c r="S55" s="8" t="s">
        <v>151</v>
      </c>
      <c r="T55" s="8" t="s">
        <v>50</v>
      </c>
      <c r="U55" s="9" t="s">
        <v>384</v>
      </c>
      <c r="V55" s="8" t="s">
        <v>69</v>
      </c>
    </row>
    <row r="56" spans="1:22">
      <c r="A56" s="3" t="s">
        <v>385</v>
      </c>
      <c r="B56" s="4" t="s">
        <v>127</v>
      </c>
      <c r="C56" s="4" t="s">
        <v>118</v>
      </c>
      <c r="D56" s="4" t="s">
        <v>386</v>
      </c>
      <c r="E56" s="4" t="s">
        <v>387</v>
      </c>
      <c r="F56" s="4" t="s">
        <v>388</v>
      </c>
      <c r="G56" s="4" t="s">
        <v>76</v>
      </c>
      <c r="H56" s="4" t="s">
        <v>389</v>
      </c>
      <c r="I56" s="4" t="s">
        <v>138</v>
      </c>
      <c r="J56" s="4" t="s">
        <v>106</v>
      </c>
      <c r="K56" s="4" t="s">
        <v>122</v>
      </c>
      <c r="L56" s="4" t="s">
        <v>123</v>
      </c>
      <c r="M56" s="4">
        <v>19</v>
      </c>
      <c r="N56" s="4">
        <v>60</v>
      </c>
      <c r="O56" s="4">
        <v>15</v>
      </c>
      <c r="P56" s="4">
        <v>969</v>
      </c>
      <c r="Q56" s="4">
        <v>4</v>
      </c>
      <c r="R56" s="4" t="s">
        <v>79</v>
      </c>
      <c r="S56" s="4" t="s">
        <v>49</v>
      </c>
      <c r="T56" s="4" t="s">
        <v>132</v>
      </c>
      <c r="U56" s="6" t="s">
        <v>390</v>
      </c>
      <c r="V56" s="4" t="s">
        <v>69</v>
      </c>
    </row>
    <row r="57" spans="1:22">
      <c r="A57" s="7" t="s">
        <v>391</v>
      </c>
      <c r="B57" s="8" t="s">
        <v>327</v>
      </c>
      <c r="C57" s="8" t="s">
        <v>118</v>
      </c>
      <c r="D57" s="8" t="s">
        <v>392</v>
      </c>
      <c r="E57" s="8" t="s">
        <v>393</v>
      </c>
      <c r="F57" s="8" t="s">
        <v>394</v>
      </c>
      <c r="G57" s="8" t="s">
        <v>76</v>
      </c>
      <c r="H57" s="8" t="s">
        <v>395</v>
      </c>
      <c r="I57" s="8" t="s">
        <v>212</v>
      </c>
      <c r="J57" s="8" t="s">
        <v>45</v>
      </c>
      <c r="K57" s="8" t="s">
        <v>122</v>
      </c>
      <c r="L57" s="8" t="s">
        <v>123</v>
      </c>
      <c r="M57" s="8">
        <v>9</v>
      </c>
      <c r="N57" s="8">
        <v>60</v>
      </c>
      <c r="O57" s="8">
        <v>20</v>
      </c>
      <c r="P57" s="8">
        <v>432</v>
      </c>
      <c r="Q57" s="8">
        <v>1</v>
      </c>
      <c r="R57" s="8" t="s">
        <v>48</v>
      </c>
      <c r="S57" s="8" t="s">
        <v>115</v>
      </c>
      <c r="T57" s="8" t="s">
        <v>332</v>
      </c>
      <c r="U57" s="9" t="s">
        <v>396</v>
      </c>
      <c r="V57" s="8" t="s">
        <v>64</v>
      </c>
    </row>
    <row r="58" spans="1:22">
      <c r="A58" s="3" t="s">
        <v>397</v>
      </c>
      <c r="B58" s="4" t="s">
        <v>327</v>
      </c>
      <c r="C58" s="4" t="s">
        <v>184</v>
      </c>
      <c r="D58" s="4" t="s">
        <v>398</v>
      </c>
      <c r="E58" s="4" t="s">
        <v>399</v>
      </c>
      <c r="F58" s="4" t="s">
        <v>394</v>
      </c>
      <c r="G58" s="4" t="s">
        <v>76</v>
      </c>
      <c r="H58" s="4" t="s">
        <v>400</v>
      </c>
      <c r="I58" s="4" t="s">
        <v>59</v>
      </c>
      <c r="J58" s="4" t="s">
        <v>31</v>
      </c>
      <c r="K58" s="4" t="s">
        <v>46</v>
      </c>
      <c r="L58" s="4" t="s">
        <v>189</v>
      </c>
      <c r="M58" s="4">
        <v>6</v>
      </c>
      <c r="N58" s="4">
        <v>700</v>
      </c>
      <c r="O58" s="4">
        <v>0</v>
      </c>
      <c r="P58" s="4">
        <v>4200</v>
      </c>
      <c r="Q58" s="4">
        <v>4</v>
      </c>
      <c r="R58" s="4" t="s">
        <v>88</v>
      </c>
      <c r="S58" s="4" t="s">
        <v>49</v>
      </c>
      <c r="T58" s="4" t="s">
        <v>401</v>
      </c>
      <c r="U58" s="6" t="s">
        <v>402</v>
      </c>
      <c r="V58" s="4" t="s">
        <v>69</v>
      </c>
    </row>
    <row r="59" spans="1:22">
      <c r="A59" s="7" t="s">
        <v>403</v>
      </c>
      <c r="B59" s="8" t="s">
        <v>127</v>
      </c>
      <c r="C59" s="8" t="s">
        <v>259</v>
      </c>
      <c r="D59" s="8" t="s">
        <v>241</v>
      </c>
      <c r="E59" s="8" t="s">
        <v>404</v>
      </c>
      <c r="F59" s="8" t="s">
        <v>200</v>
      </c>
      <c r="G59" s="8" t="s">
        <v>76</v>
      </c>
      <c r="H59" s="8" t="s">
        <v>405</v>
      </c>
      <c r="I59" s="8" t="s">
        <v>44</v>
      </c>
      <c r="J59" s="8" t="s">
        <v>45</v>
      </c>
      <c r="K59" s="8" t="s">
        <v>122</v>
      </c>
      <c r="L59" s="8" t="s">
        <v>263</v>
      </c>
      <c r="M59" s="8">
        <v>18</v>
      </c>
      <c r="N59" s="8">
        <v>45</v>
      </c>
      <c r="O59" s="8">
        <v>5</v>
      </c>
      <c r="P59" s="8">
        <v>769.5</v>
      </c>
      <c r="Q59" s="8">
        <v>1</v>
      </c>
      <c r="R59" s="8" t="s">
        <v>79</v>
      </c>
      <c r="S59" s="8" t="s">
        <v>61</v>
      </c>
      <c r="T59" s="8" t="s">
        <v>132</v>
      </c>
      <c r="U59" s="9" t="s">
        <v>406</v>
      </c>
      <c r="V59" s="8" t="s">
        <v>64</v>
      </c>
    </row>
    <row r="60" spans="1:22">
      <c r="A60" s="3" t="s">
        <v>407</v>
      </c>
      <c r="B60" s="4" t="s">
        <v>83</v>
      </c>
      <c r="C60" s="4" t="s">
        <v>222</v>
      </c>
      <c r="D60" s="4" t="s">
        <v>408</v>
      </c>
      <c r="E60" s="4" t="s">
        <v>261</v>
      </c>
      <c r="F60" s="4" t="s">
        <v>180</v>
      </c>
      <c r="G60" s="4" t="s">
        <v>76</v>
      </c>
      <c r="H60" s="4" t="s">
        <v>409</v>
      </c>
      <c r="I60" s="4" t="s">
        <v>212</v>
      </c>
      <c r="J60" s="4" t="s">
        <v>45</v>
      </c>
      <c r="K60" s="4" t="s">
        <v>122</v>
      </c>
      <c r="L60" s="4" t="s">
        <v>227</v>
      </c>
      <c r="M60" s="4">
        <v>8</v>
      </c>
      <c r="N60" s="4">
        <v>20</v>
      </c>
      <c r="O60" s="4">
        <v>5</v>
      </c>
      <c r="P60" s="4">
        <v>152</v>
      </c>
      <c r="Q60" s="4">
        <v>1</v>
      </c>
      <c r="R60" s="4" t="s">
        <v>79</v>
      </c>
      <c r="S60" s="4" t="s">
        <v>35</v>
      </c>
      <c r="T60" s="4" t="s">
        <v>89</v>
      </c>
      <c r="U60" s="6" t="s">
        <v>410</v>
      </c>
      <c r="V60" s="4" t="s">
        <v>411</v>
      </c>
    </row>
    <row r="61" spans="1:22">
      <c r="A61" s="7" t="s">
        <v>412</v>
      </c>
      <c r="B61" s="8" t="s">
        <v>221</v>
      </c>
      <c r="C61" s="8" t="s">
        <v>184</v>
      </c>
      <c r="D61" s="8" t="s">
        <v>413</v>
      </c>
      <c r="E61" s="8" t="s">
        <v>414</v>
      </c>
      <c r="F61" s="8" t="s">
        <v>225</v>
      </c>
      <c r="G61" s="8" t="s">
        <v>76</v>
      </c>
      <c r="H61" s="8" t="s">
        <v>415</v>
      </c>
      <c r="I61" s="8" t="s">
        <v>212</v>
      </c>
      <c r="J61" s="8" t="s">
        <v>45</v>
      </c>
      <c r="K61" s="8" t="s">
        <v>46</v>
      </c>
      <c r="L61" s="8" t="s">
        <v>189</v>
      </c>
      <c r="M61" s="8">
        <v>8</v>
      </c>
      <c r="N61" s="8">
        <v>700</v>
      </c>
      <c r="O61" s="8">
        <v>10</v>
      </c>
      <c r="P61" s="8">
        <v>5040</v>
      </c>
      <c r="Q61" s="8">
        <v>1</v>
      </c>
      <c r="R61" s="8" t="s">
        <v>48</v>
      </c>
      <c r="S61" s="8" t="s">
        <v>61</v>
      </c>
      <c r="T61" s="10" t="s">
        <v>416</v>
      </c>
      <c r="U61" s="9" t="s">
        <v>417</v>
      </c>
      <c r="V61" s="8" t="s">
        <v>69</v>
      </c>
    </row>
    <row r="62" spans="1:22">
      <c r="A62" s="3" t="s">
        <v>418</v>
      </c>
      <c r="B62" s="4" t="s">
        <v>23</v>
      </c>
      <c r="C62" s="4" t="s">
        <v>222</v>
      </c>
      <c r="D62" s="4" t="s">
        <v>223</v>
      </c>
      <c r="E62" s="4" t="s">
        <v>356</v>
      </c>
      <c r="F62" s="4" t="s">
        <v>27</v>
      </c>
      <c r="G62" s="4" t="s">
        <v>28</v>
      </c>
      <c r="H62" s="4" t="s">
        <v>419</v>
      </c>
      <c r="I62" s="4" t="s">
        <v>44</v>
      </c>
      <c r="J62" s="4" t="s">
        <v>45</v>
      </c>
      <c r="K62" s="4" t="s">
        <v>122</v>
      </c>
      <c r="L62" s="4" t="s">
        <v>227</v>
      </c>
      <c r="M62" s="4">
        <v>7</v>
      </c>
      <c r="N62" s="4">
        <v>20</v>
      </c>
      <c r="O62" s="4">
        <v>15</v>
      </c>
      <c r="P62" s="4">
        <v>119</v>
      </c>
      <c r="Q62" s="4">
        <v>5</v>
      </c>
      <c r="R62" s="4" t="s">
        <v>79</v>
      </c>
      <c r="S62" s="4" t="s">
        <v>49</v>
      </c>
      <c r="T62" s="4" t="s">
        <v>50</v>
      </c>
      <c r="U62" s="6" t="s">
        <v>420</v>
      </c>
      <c r="V62" s="4" t="s">
        <v>38</v>
      </c>
    </row>
    <row r="63" spans="1:22">
      <c r="A63" s="7" t="s">
        <v>421</v>
      </c>
      <c r="B63" s="8" t="s">
        <v>100</v>
      </c>
      <c r="C63" s="8" t="s">
        <v>222</v>
      </c>
      <c r="D63" s="8" t="s">
        <v>422</v>
      </c>
      <c r="E63" s="8" t="s">
        <v>371</v>
      </c>
      <c r="F63" s="8" t="s">
        <v>103</v>
      </c>
      <c r="G63" s="8" t="s">
        <v>28</v>
      </c>
      <c r="H63" s="8" t="s">
        <v>423</v>
      </c>
      <c r="I63" s="8" t="s">
        <v>114</v>
      </c>
      <c r="J63" s="8" t="s">
        <v>106</v>
      </c>
      <c r="K63" s="8" t="s">
        <v>122</v>
      </c>
      <c r="L63" s="8" t="s">
        <v>227</v>
      </c>
      <c r="M63" s="8">
        <v>16</v>
      </c>
      <c r="N63" s="8">
        <v>20</v>
      </c>
      <c r="O63" s="8">
        <v>0</v>
      </c>
      <c r="P63" s="8">
        <v>320</v>
      </c>
      <c r="Q63" s="8">
        <v>5</v>
      </c>
      <c r="R63" s="8" t="s">
        <v>48</v>
      </c>
      <c r="S63" s="8" t="s">
        <v>61</v>
      </c>
      <c r="T63" s="8" t="s">
        <v>144</v>
      </c>
      <c r="U63" s="9" t="s">
        <v>424</v>
      </c>
      <c r="V63" s="8" t="s">
        <v>64</v>
      </c>
    </row>
    <row r="64" spans="1:22">
      <c r="A64" s="3" t="s">
        <v>425</v>
      </c>
      <c r="B64" s="4" t="s">
        <v>53</v>
      </c>
      <c r="C64" s="4" t="s">
        <v>259</v>
      </c>
      <c r="D64" s="4" t="s">
        <v>426</v>
      </c>
      <c r="E64" s="4" t="s">
        <v>427</v>
      </c>
      <c r="F64" s="4" t="s">
        <v>163</v>
      </c>
      <c r="G64" s="4" t="s">
        <v>28</v>
      </c>
      <c r="H64" s="4" t="s">
        <v>428</v>
      </c>
      <c r="I64" s="4" t="s">
        <v>105</v>
      </c>
      <c r="J64" s="4" t="s">
        <v>106</v>
      </c>
      <c r="K64" s="4" t="s">
        <v>122</v>
      </c>
      <c r="L64" s="4" t="s">
        <v>263</v>
      </c>
      <c r="M64" s="4">
        <v>15</v>
      </c>
      <c r="N64" s="4">
        <v>45</v>
      </c>
      <c r="O64" s="4">
        <v>0</v>
      </c>
      <c r="P64" s="4">
        <v>675</v>
      </c>
      <c r="Q64" s="4">
        <v>4</v>
      </c>
      <c r="R64" s="4" t="s">
        <v>34</v>
      </c>
      <c r="S64" s="4" t="s">
        <v>61</v>
      </c>
      <c r="T64" s="4" t="s">
        <v>62</v>
      </c>
      <c r="U64" s="6" t="s">
        <v>429</v>
      </c>
      <c r="V64" s="4" t="s">
        <v>69</v>
      </c>
    </row>
    <row r="65" spans="1:22">
      <c r="A65" s="7" t="s">
        <v>430</v>
      </c>
      <c r="B65" s="8" t="s">
        <v>251</v>
      </c>
      <c r="C65" s="8" t="s">
        <v>184</v>
      </c>
      <c r="D65" s="8" t="s">
        <v>431</v>
      </c>
      <c r="E65" s="8" t="s">
        <v>413</v>
      </c>
      <c r="F65" s="8" t="s">
        <v>254</v>
      </c>
      <c r="G65" s="8" t="s">
        <v>28</v>
      </c>
      <c r="H65" s="8" t="s">
        <v>432</v>
      </c>
      <c r="I65" s="8" t="s">
        <v>138</v>
      </c>
      <c r="J65" s="8" t="s">
        <v>106</v>
      </c>
      <c r="K65" s="8" t="s">
        <v>46</v>
      </c>
      <c r="L65" s="8" t="s">
        <v>189</v>
      </c>
      <c r="M65" s="8">
        <v>15</v>
      </c>
      <c r="N65" s="8">
        <v>700</v>
      </c>
      <c r="O65" s="8">
        <v>10</v>
      </c>
      <c r="P65" s="8">
        <v>9450</v>
      </c>
      <c r="Q65" s="8">
        <v>3</v>
      </c>
      <c r="R65" s="8" t="s">
        <v>48</v>
      </c>
      <c r="S65" s="8" t="s">
        <v>151</v>
      </c>
      <c r="T65" s="8" t="s">
        <v>256</v>
      </c>
      <c r="U65" s="9" t="s">
        <v>433</v>
      </c>
      <c r="V65" s="8" t="s">
        <v>38</v>
      </c>
    </row>
    <row r="66" spans="1:22">
      <c r="A66" s="3" t="s">
        <v>434</v>
      </c>
      <c r="B66" s="4" t="s">
        <v>53</v>
      </c>
      <c r="C66" s="4" t="s">
        <v>259</v>
      </c>
      <c r="D66" s="4" t="s">
        <v>435</v>
      </c>
      <c r="E66" s="4" t="s">
        <v>436</v>
      </c>
      <c r="F66" s="4" t="s">
        <v>163</v>
      </c>
      <c r="G66" s="4" t="s">
        <v>28</v>
      </c>
      <c r="H66" s="4" t="s">
        <v>437</v>
      </c>
      <c r="I66" s="4" t="s">
        <v>294</v>
      </c>
      <c r="J66" s="4" t="s">
        <v>295</v>
      </c>
      <c r="K66" s="4" t="s">
        <v>122</v>
      </c>
      <c r="L66" s="4" t="s">
        <v>263</v>
      </c>
      <c r="M66" s="4">
        <v>3</v>
      </c>
      <c r="N66" s="4">
        <v>45</v>
      </c>
      <c r="O66" s="4">
        <v>15</v>
      </c>
      <c r="P66" s="4">
        <v>114.75</v>
      </c>
      <c r="Q66" s="4">
        <v>2</v>
      </c>
      <c r="R66" s="4" t="s">
        <v>88</v>
      </c>
      <c r="S66" s="4" t="s">
        <v>115</v>
      </c>
      <c r="T66" s="4" t="s">
        <v>62</v>
      </c>
      <c r="U66" s="6" t="s">
        <v>438</v>
      </c>
      <c r="V66" s="4" t="s">
        <v>64</v>
      </c>
    </row>
    <row r="67" spans="1:22">
      <c r="A67" s="7" t="s">
        <v>439</v>
      </c>
      <c r="B67" s="8" t="s">
        <v>100</v>
      </c>
      <c r="C67" s="8" t="s">
        <v>24</v>
      </c>
      <c r="D67" s="8" t="s">
        <v>440</v>
      </c>
      <c r="E67" s="8" t="s">
        <v>441</v>
      </c>
      <c r="F67" s="8" t="s">
        <v>103</v>
      </c>
      <c r="G67" s="8" t="s">
        <v>28</v>
      </c>
      <c r="H67" s="8" t="s">
        <v>442</v>
      </c>
      <c r="I67" s="8" t="s">
        <v>294</v>
      </c>
      <c r="J67" s="8" t="s">
        <v>295</v>
      </c>
      <c r="K67" s="8" t="s">
        <v>32</v>
      </c>
      <c r="L67" s="8" t="s">
        <v>33</v>
      </c>
      <c r="M67" s="8">
        <v>7</v>
      </c>
      <c r="N67" s="8">
        <v>2200</v>
      </c>
      <c r="O67" s="8">
        <v>15</v>
      </c>
      <c r="P67" s="8">
        <v>13090</v>
      </c>
      <c r="Q67" s="8">
        <v>5</v>
      </c>
      <c r="R67" s="8" t="s">
        <v>88</v>
      </c>
      <c r="S67" s="8" t="s">
        <v>115</v>
      </c>
      <c r="T67" s="8" t="s">
        <v>144</v>
      </c>
      <c r="U67" s="9" t="s">
        <v>443</v>
      </c>
      <c r="V67" s="8" t="s">
        <v>38</v>
      </c>
    </row>
    <row r="68" spans="1:22">
      <c r="A68" s="3" t="s">
        <v>444</v>
      </c>
      <c r="B68" s="4" t="s">
        <v>23</v>
      </c>
      <c r="C68" s="4" t="s">
        <v>259</v>
      </c>
      <c r="D68" s="4" t="s">
        <v>445</v>
      </c>
      <c r="E68" s="4" t="s">
        <v>446</v>
      </c>
      <c r="F68" s="4" t="s">
        <v>27</v>
      </c>
      <c r="G68" s="4" t="s">
        <v>28</v>
      </c>
      <c r="H68" s="4" t="s">
        <v>447</v>
      </c>
      <c r="I68" s="4" t="s">
        <v>44</v>
      </c>
      <c r="J68" s="4" t="s">
        <v>45</v>
      </c>
      <c r="K68" s="4" t="s">
        <v>122</v>
      </c>
      <c r="L68" s="4" t="s">
        <v>263</v>
      </c>
      <c r="M68" s="4">
        <v>19</v>
      </c>
      <c r="N68" s="4">
        <v>45</v>
      </c>
      <c r="O68" s="4">
        <v>10</v>
      </c>
      <c r="P68" s="4">
        <v>769.5</v>
      </c>
      <c r="Q68" s="4">
        <v>5</v>
      </c>
      <c r="R68" s="4" t="s">
        <v>79</v>
      </c>
      <c r="S68" s="4" t="s">
        <v>115</v>
      </c>
      <c r="T68" s="4" t="s">
        <v>50</v>
      </c>
      <c r="U68" s="6" t="s">
        <v>448</v>
      </c>
      <c r="V68" s="4" t="s">
        <v>69</v>
      </c>
    </row>
    <row r="69" spans="1:22">
      <c r="A69" s="7" t="s">
        <v>449</v>
      </c>
      <c r="B69" s="8" t="s">
        <v>251</v>
      </c>
      <c r="C69" s="8" t="s">
        <v>92</v>
      </c>
      <c r="D69" s="8" t="s">
        <v>450</v>
      </c>
      <c r="E69" s="8" t="s">
        <v>323</v>
      </c>
      <c r="F69" s="8" t="s">
        <v>254</v>
      </c>
      <c r="G69" s="8" t="s">
        <v>28</v>
      </c>
      <c r="H69" s="8" t="s">
        <v>451</v>
      </c>
      <c r="I69" s="8" t="s">
        <v>30</v>
      </c>
      <c r="J69" s="8" t="s">
        <v>31</v>
      </c>
      <c r="K69" s="8" t="s">
        <v>32</v>
      </c>
      <c r="L69" s="8" t="s">
        <v>97</v>
      </c>
      <c r="M69" s="8">
        <v>7</v>
      </c>
      <c r="N69" s="8">
        <v>3500</v>
      </c>
      <c r="O69" s="8">
        <v>15</v>
      </c>
      <c r="P69" s="8">
        <v>20825</v>
      </c>
      <c r="Q69" s="8">
        <v>1</v>
      </c>
      <c r="R69" s="8" t="s">
        <v>34</v>
      </c>
      <c r="S69" s="8" t="s">
        <v>151</v>
      </c>
      <c r="T69" s="8" t="s">
        <v>256</v>
      </c>
      <c r="U69" s="9" t="s">
        <v>452</v>
      </c>
      <c r="V69" s="8" t="s">
        <v>64</v>
      </c>
    </row>
    <row r="70" spans="1:22">
      <c r="A70" s="3" t="s">
        <v>453</v>
      </c>
      <c r="B70" s="4" t="s">
        <v>53</v>
      </c>
      <c r="C70" s="4" t="s">
        <v>169</v>
      </c>
      <c r="D70" s="4" t="s">
        <v>454</v>
      </c>
      <c r="E70" s="4" t="s">
        <v>455</v>
      </c>
      <c r="F70" s="4" t="s">
        <v>163</v>
      </c>
      <c r="G70" s="4" t="s">
        <v>28</v>
      </c>
      <c r="H70" s="4" t="s">
        <v>456</v>
      </c>
      <c r="I70" s="4" t="s">
        <v>212</v>
      </c>
      <c r="J70" s="4" t="s">
        <v>45</v>
      </c>
      <c r="K70" s="4" t="s">
        <v>32</v>
      </c>
      <c r="L70" s="4" t="s">
        <v>174</v>
      </c>
      <c r="M70" s="4">
        <v>7</v>
      </c>
      <c r="N70" s="4">
        <v>8500</v>
      </c>
      <c r="O70" s="4">
        <v>20</v>
      </c>
      <c r="P70" s="4">
        <v>47600</v>
      </c>
      <c r="Q70" s="4">
        <v>4</v>
      </c>
      <c r="R70" s="4" t="s">
        <v>48</v>
      </c>
      <c r="S70" s="4" t="s">
        <v>115</v>
      </c>
      <c r="T70" s="4" t="s">
        <v>62</v>
      </c>
      <c r="U70" s="6" t="s">
        <v>457</v>
      </c>
      <c r="V70" s="4" t="s">
        <v>38</v>
      </c>
    </row>
    <row r="71" spans="1:22">
      <c r="A71" s="7" t="s">
        <v>458</v>
      </c>
      <c r="B71" s="8" t="s">
        <v>23</v>
      </c>
      <c r="C71" s="8" t="s">
        <v>54</v>
      </c>
      <c r="D71" s="8" t="s">
        <v>366</v>
      </c>
      <c r="E71" s="8" t="s">
        <v>459</v>
      </c>
      <c r="F71" s="8" t="s">
        <v>27</v>
      </c>
      <c r="G71" s="8" t="s">
        <v>28</v>
      </c>
      <c r="H71" s="8" t="s">
        <v>460</v>
      </c>
      <c r="I71" s="8" t="s">
        <v>59</v>
      </c>
      <c r="J71" s="8" t="s">
        <v>31</v>
      </c>
      <c r="K71" s="8" t="s">
        <v>46</v>
      </c>
      <c r="L71" s="8" t="s">
        <v>60</v>
      </c>
      <c r="M71" s="8">
        <v>16</v>
      </c>
      <c r="N71" s="8">
        <v>55000</v>
      </c>
      <c r="O71" s="8">
        <v>10</v>
      </c>
      <c r="P71" s="8">
        <v>792000</v>
      </c>
      <c r="Q71" s="8">
        <v>1</v>
      </c>
      <c r="R71" s="8" t="s">
        <v>79</v>
      </c>
      <c r="S71" s="8" t="s">
        <v>61</v>
      </c>
      <c r="T71" s="8" t="s">
        <v>50</v>
      </c>
      <c r="U71" s="9" t="s">
        <v>461</v>
      </c>
      <c r="V71" s="8" t="s">
        <v>38</v>
      </c>
    </row>
    <row r="72" spans="1:22">
      <c r="A72" s="3" t="s">
        <v>462</v>
      </c>
      <c r="B72" s="4" t="s">
        <v>168</v>
      </c>
      <c r="C72" s="4" t="s">
        <v>40</v>
      </c>
      <c r="D72" s="4" t="s">
        <v>463</v>
      </c>
      <c r="E72" s="4" t="s">
        <v>464</v>
      </c>
      <c r="F72" s="4" t="s">
        <v>361</v>
      </c>
      <c r="G72" s="4" t="s">
        <v>28</v>
      </c>
      <c r="H72" s="4" t="s">
        <v>465</v>
      </c>
      <c r="I72" s="4" t="s">
        <v>105</v>
      </c>
      <c r="J72" s="4" t="s">
        <v>106</v>
      </c>
      <c r="K72" s="4" t="s">
        <v>46</v>
      </c>
      <c r="L72" s="4" t="s">
        <v>47</v>
      </c>
      <c r="M72" s="4">
        <v>2</v>
      </c>
      <c r="N72" s="4">
        <v>12000</v>
      </c>
      <c r="O72" s="4">
        <v>20</v>
      </c>
      <c r="P72" s="4">
        <v>19200</v>
      </c>
      <c r="Q72" s="4">
        <v>1</v>
      </c>
      <c r="R72" s="4" t="s">
        <v>34</v>
      </c>
      <c r="S72" s="4" t="s">
        <v>151</v>
      </c>
      <c r="T72" s="5" t="s">
        <v>466</v>
      </c>
      <c r="U72" s="6" t="s">
        <v>467</v>
      </c>
      <c r="V72" s="4" t="s">
        <v>64</v>
      </c>
    </row>
    <row r="73" spans="1:22">
      <c r="A73" s="7" t="s">
        <v>468</v>
      </c>
      <c r="B73" s="8" t="s">
        <v>127</v>
      </c>
      <c r="C73" s="8" t="s">
        <v>259</v>
      </c>
      <c r="D73" s="8" t="s">
        <v>469</v>
      </c>
      <c r="E73" s="8" t="s">
        <v>446</v>
      </c>
      <c r="F73" s="8" t="s">
        <v>200</v>
      </c>
      <c r="G73" s="8" t="s">
        <v>76</v>
      </c>
      <c r="H73" s="8" t="s">
        <v>470</v>
      </c>
      <c r="I73" s="8" t="s">
        <v>59</v>
      </c>
      <c r="J73" s="8" t="s">
        <v>31</v>
      </c>
      <c r="K73" s="8" t="s">
        <v>122</v>
      </c>
      <c r="L73" s="8" t="s">
        <v>263</v>
      </c>
      <c r="M73" s="8">
        <v>4</v>
      </c>
      <c r="N73" s="8">
        <v>45</v>
      </c>
      <c r="O73" s="8">
        <v>5</v>
      </c>
      <c r="P73" s="8">
        <v>171</v>
      </c>
      <c r="Q73" s="8">
        <v>1</v>
      </c>
      <c r="R73" s="8" t="s">
        <v>79</v>
      </c>
      <c r="S73" s="8" t="s">
        <v>49</v>
      </c>
      <c r="T73" s="8" t="s">
        <v>132</v>
      </c>
      <c r="U73" s="9" t="s">
        <v>471</v>
      </c>
      <c r="V73" s="8" t="s">
        <v>64</v>
      </c>
    </row>
    <row r="74" spans="1:22">
      <c r="A74" s="3" t="s">
        <v>472</v>
      </c>
      <c r="B74" s="4" t="s">
        <v>23</v>
      </c>
      <c r="C74" s="4" t="s">
        <v>72</v>
      </c>
      <c r="D74" s="4" t="s">
        <v>473</v>
      </c>
      <c r="E74" s="4" t="s">
        <v>474</v>
      </c>
      <c r="F74" s="4" t="s">
        <v>27</v>
      </c>
      <c r="G74" s="4" t="s">
        <v>28</v>
      </c>
      <c r="H74" s="4" t="s">
        <v>475</v>
      </c>
      <c r="I74" s="4" t="s">
        <v>212</v>
      </c>
      <c r="J74" s="4" t="s">
        <v>45</v>
      </c>
      <c r="K74" s="4" t="s">
        <v>46</v>
      </c>
      <c r="L74" s="4" t="s">
        <v>78</v>
      </c>
      <c r="M74" s="4">
        <v>1</v>
      </c>
      <c r="N74" s="4">
        <v>1200</v>
      </c>
      <c r="O74" s="4">
        <v>5</v>
      </c>
      <c r="P74" s="4">
        <v>1140</v>
      </c>
      <c r="Q74" s="4">
        <v>3</v>
      </c>
      <c r="R74" s="4" t="s">
        <v>88</v>
      </c>
      <c r="S74" s="4" t="s">
        <v>61</v>
      </c>
      <c r="T74" s="4" t="s">
        <v>50</v>
      </c>
      <c r="U74" s="6" t="s">
        <v>476</v>
      </c>
      <c r="V74" s="4" t="s">
        <v>69</v>
      </c>
    </row>
    <row r="75" spans="1:22">
      <c r="A75" s="7" t="s">
        <v>477</v>
      </c>
      <c r="B75" s="8" t="s">
        <v>53</v>
      </c>
      <c r="C75" s="8" t="s">
        <v>24</v>
      </c>
      <c r="D75" s="8" t="s">
        <v>478</v>
      </c>
      <c r="E75" s="8" t="s">
        <v>479</v>
      </c>
      <c r="F75" s="8" t="s">
        <v>163</v>
      </c>
      <c r="G75" s="8" t="s">
        <v>28</v>
      </c>
      <c r="H75" s="8" t="s">
        <v>480</v>
      </c>
      <c r="I75" s="8"/>
      <c r="J75" s="8" t="s">
        <v>31</v>
      </c>
      <c r="K75" s="8" t="s">
        <v>32</v>
      </c>
      <c r="L75" s="8" t="s">
        <v>33</v>
      </c>
      <c r="M75" s="8">
        <v>1</v>
      </c>
      <c r="N75" s="8">
        <v>2200</v>
      </c>
      <c r="O75" s="8">
        <v>15</v>
      </c>
      <c r="P75" s="8">
        <v>1870</v>
      </c>
      <c r="Q75" s="8">
        <v>4</v>
      </c>
      <c r="R75" s="8" t="s">
        <v>79</v>
      </c>
      <c r="S75" s="8" t="s">
        <v>61</v>
      </c>
      <c r="T75" s="8" t="s">
        <v>62</v>
      </c>
      <c r="U75" s="9" t="s">
        <v>481</v>
      </c>
      <c r="V75" s="8" t="s">
        <v>38</v>
      </c>
    </row>
    <row r="76" spans="1:22">
      <c r="A76" s="3" t="s">
        <v>482</v>
      </c>
      <c r="B76" s="4" t="s">
        <v>127</v>
      </c>
      <c r="C76" s="4" t="s">
        <v>72</v>
      </c>
      <c r="D76" s="4" t="s">
        <v>483</v>
      </c>
      <c r="E76" s="4" t="s">
        <v>484</v>
      </c>
      <c r="F76" s="4" t="s">
        <v>200</v>
      </c>
      <c r="G76" s="4" t="s">
        <v>76</v>
      </c>
      <c r="H76" s="4" t="s">
        <v>485</v>
      </c>
      <c r="I76" s="4" t="s">
        <v>114</v>
      </c>
      <c r="J76" s="4" t="s">
        <v>106</v>
      </c>
      <c r="K76" s="4" t="s">
        <v>46</v>
      </c>
      <c r="L76" s="4" t="s">
        <v>78</v>
      </c>
      <c r="M76" s="4">
        <v>3</v>
      </c>
      <c r="N76" s="4">
        <v>1200</v>
      </c>
      <c r="O76" s="4">
        <v>10</v>
      </c>
      <c r="P76" s="4">
        <v>3240</v>
      </c>
      <c r="Q76" s="4">
        <v>5</v>
      </c>
      <c r="R76" s="4" t="s">
        <v>34</v>
      </c>
      <c r="S76" s="4" t="s">
        <v>49</v>
      </c>
      <c r="T76" s="4" t="s">
        <v>132</v>
      </c>
      <c r="U76" s="6" t="s">
        <v>486</v>
      </c>
      <c r="V76" s="4" t="s">
        <v>38</v>
      </c>
    </row>
    <row r="77" spans="1:22">
      <c r="A77" s="7" t="s">
        <v>487</v>
      </c>
      <c r="B77" s="8" t="s">
        <v>23</v>
      </c>
      <c r="C77" s="8" t="s">
        <v>92</v>
      </c>
      <c r="D77" s="8" t="s">
        <v>488</v>
      </c>
      <c r="E77" s="8" t="s">
        <v>489</v>
      </c>
      <c r="F77" s="8" t="s">
        <v>27</v>
      </c>
      <c r="G77" s="8" t="s">
        <v>28</v>
      </c>
      <c r="H77" s="8" t="s">
        <v>490</v>
      </c>
      <c r="I77" s="8" t="s">
        <v>59</v>
      </c>
      <c r="J77" s="8" t="s">
        <v>31</v>
      </c>
      <c r="K77" s="8" t="s">
        <v>32</v>
      </c>
      <c r="L77" s="8" t="s">
        <v>97</v>
      </c>
      <c r="M77" s="8">
        <v>10</v>
      </c>
      <c r="N77" s="8">
        <v>3500</v>
      </c>
      <c r="O77" s="8">
        <v>20</v>
      </c>
      <c r="P77" s="8">
        <v>28000</v>
      </c>
      <c r="Q77" s="8">
        <v>5</v>
      </c>
      <c r="R77" s="8" t="s">
        <v>79</v>
      </c>
      <c r="S77" s="8" t="s">
        <v>35</v>
      </c>
      <c r="T77" s="8" t="s">
        <v>50</v>
      </c>
      <c r="U77" s="9" t="s">
        <v>491</v>
      </c>
      <c r="V77" s="8" t="s">
        <v>38</v>
      </c>
    </row>
    <row r="78" spans="1:22">
      <c r="A78" s="3" t="s">
        <v>492</v>
      </c>
      <c r="B78" s="4" t="s">
        <v>83</v>
      </c>
      <c r="C78" s="4" t="s">
        <v>184</v>
      </c>
      <c r="D78" s="4" t="s">
        <v>493</v>
      </c>
      <c r="E78" s="4" t="s">
        <v>404</v>
      </c>
      <c r="F78" s="4" t="s">
        <v>180</v>
      </c>
      <c r="G78" s="4" t="s">
        <v>76</v>
      </c>
      <c r="H78" s="4" t="s">
        <v>494</v>
      </c>
      <c r="I78" s="4" t="s">
        <v>44</v>
      </c>
      <c r="J78" s="4" t="s">
        <v>45</v>
      </c>
      <c r="K78" s="4" t="s">
        <v>46</v>
      </c>
      <c r="L78" s="4" t="s">
        <v>189</v>
      </c>
      <c r="M78" s="4">
        <v>18</v>
      </c>
      <c r="N78" s="4">
        <v>700</v>
      </c>
      <c r="O78" s="4">
        <v>5</v>
      </c>
      <c r="P78" s="4">
        <v>11970</v>
      </c>
      <c r="Q78" s="4">
        <v>3</v>
      </c>
      <c r="R78" s="4" t="s">
        <v>79</v>
      </c>
      <c r="S78" s="4" t="s">
        <v>115</v>
      </c>
      <c r="T78" s="4" t="s">
        <v>89</v>
      </c>
      <c r="U78" s="6" t="s">
        <v>495</v>
      </c>
      <c r="V78" s="4" t="s">
        <v>69</v>
      </c>
    </row>
    <row r="79" spans="1:22">
      <c r="A79" s="7" t="s">
        <v>496</v>
      </c>
      <c r="B79" s="8" t="s">
        <v>221</v>
      </c>
      <c r="C79" s="8" t="s">
        <v>184</v>
      </c>
      <c r="D79" s="8" t="s">
        <v>497</v>
      </c>
      <c r="E79" s="8" t="s">
        <v>498</v>
      </c>
      <c r="F79" s="8" t="s">
        <v>225</v>
      </c>
      <c r="G79" s="8" t="s">
        <v>76</v>
      </c>
      <c r="H79" s="8" t="s">
        <v>499</v>
      </c>
      <c r="I79" s="8" t="s">
        <v>59</v>
      </c>
      <c r="J79" s="8" t="s">
        <v>31</v>
      </c>
      <c r="K79" s="8" t="s">
        <v>46</v>
      </c>
      <c r="L79" s="8" t="s">
        <v>189</v>
      </c>
      <c r="M79" s="8">
        <v>12</v>
      </c>
      <c r="N79" s="8">
        <v>700</v>
      </c>
      <c r="O79" s="8">
        <v>15</v>
      </c>
      <c r="P79" s="8">
        <v>7140</v>
      </c>
      <c r="Q79" s="8">
        <v>2</v>
      </c>
      <c r="R79" s="8" t="s">
        <v>88</v>
      </c>
      <c r="S79" s="8" t="s">
        <v>49</v>
      </c>
      <c r="T79" s="8" t="s">
        <v>228</v>
      </c>
      <c r="U79" s="9" t="s">
        <v>500</v>
      </c>
      <c r="V79" s="8" t="s">
        <v>38</v>
      </c>
    </row>
    <row r="80" spans="1:22">
      <c r="A80" s="3" t="s">
        <v>501</v>
      </c>
      <c r="B80" s="4" t="s">
        <v>71</v>
      </c>
      <c r="C80" s="4" t="s">
        <v>72</v>
      </c>
      <c r="D80" s="4" t="s">
        <v>502</v>
      </c>
      <c r="E80" s="4" t="s">
        <v>503</v>
      </c>
      <c r="F80" s="4" t="s">
        <v>217</v>
      </c>
      <c r="G80" s="4" t="s">
        <v>76</v>
      </c>
      <c r="H80" s="4" t="s">
        <v>504</v>
      </c>
      <c r="I80" s="4" t="s">
        <v>105</v>
      </c>
      <c r="J80" s="4" t="s">
        <v>106</v>
      </c>
      <c r="K80" s="4" t="s">
        <v>46</v>
      </c>
      <c r="L80" s="4" t="s">
        <v>78</v>
      </c>
      <c r="M80" s="4">
        <v>8</v>
      </c>
      <c r="N80" s="4">
        <v>1200</v>
      </c>
      <c r="O80" s="4">
        <v>0</v>
      </c>
      <c r="P80" s="4">
        <v>9600</v>
      </c>
      <c r="Q80" s="4">
        <v>4</v>
      </c>
      <c r="R80" s="4" t="s">
        <v>79</v>
      </c>
      <c r="S80" s="4" t="s">
        <v>49</v>
      </c>
      <c r="T80" s="4" t="s">
        <v>80</v>
      </c>
      <c r="U80" s="6" t="s">
        <v>505</v>
      </c>
      <c r="V80" s="4" t="s">
        <v>64</v>
      </c>
    </row>
    <row r="81" spans="1:22">
      <c r="A81" s="7" t="s">
        <v>506</v>
      </c>
      <c r="B81" s="8" t="s">
        <v>127</v>
      </c>
      <c r="C81" s="8" t="s">
        <v>118</v>
      </c>
      <c r="D81" s="8" t="s">
        <v>507</v>
      </c>
      <c r="E81" s="8" t="s">
        <v>508</v>
      </c>
      <c r="F81" s="8" t="s">
        <v>200</v>
      </c>
      <c r="G81" s="8" t="s">
        <v>76</v>
      </c>
      <c r="H81" s="8" t="s">
        <v>509</v>
      </c>
      <c r="I81" s="8" t="s">
        <v>114</v>
      </c>
      <c r="J81" s="8" t="s">
        <v>106</v>
      </c>
      <c r="K81" s="8" t="s">
        <v>122</v>
      </c>
      <c r="L81" s="8" t="s">
        <v>123</v>
      </c>
      <c r="M81" s="8">
        <v>2</v>
      </c>
      <c r="N81" s="8">
        <v>60</v>
      </c>
      <c r="O81" s="8">
        <v>0</v>
      </c>
      <c r="P81" s="8">
        <v>120</v>
      </c>
      <c r="Q81" s="8">
        <v>2</v>
      </c>
      <c r="R81" s="8" t="s">
        <v>88</v>
      </c>
      <c r="S81" s="8" t="s">
        <v>49</v>
      </c>
      <c r="T81" s="8" t="s">
        <v>132</v>
      </c>
      <c r="U81" s="9" t="s">
        <v>510</v>
      </c>
      <c r="V81" s="8" t="s">
        <v>38</v>
      </c>
    </row>
    <row r="82" spans="1:22">
      <c r="A82" s="3" t="s">
        <v>511</v>
      </c>
      <c r="B82" s="4" t="s">
        <v>327</v>
      </c>
      <c r="C82" s="4" t="s">
        <v>259</v>
      </c>
      <c r="D82" s="4" t="s">
        <v>512</v>
      </c>
      <c r="E82" s="4" t="s">
        <v>513</v>
      </c>
      <c r="F82" s="4" t="s">
        <v>394</v>
      </c>
      <c r="G82" s="4" t="s">
        <v>76</v>
      </c>
      <c r="H82" s="4" t="s">
        <v>514</v>
      </c>
      <c r="I82" s="4" t="s">
        <v>114</v>
      </c>
      <c r="J82" s="4" t="s">
        <v>106</v>
      </c>
      <c r="K82" s="4" t="s">
        <v>122</v>
      </c>
      <c r="L82" s="4" t="s">
        <v>263</v>
      </c>
      <c r="M82" s="4">
        <v>10</v>
      </c>
      <c r="N82" s="4">
        <v>45</v>
      </c>
      <c r="O82" s="4">
        <v>15</v>
      </c>
      <c r="P82" s="4">
        <v>382.5</v>
      </c>
      <c r="Q82" s="4">
        <v>3</v>
      </c>
      <c r="R82" s="4" t="s">
        <v>48</v>
      </c>
      <c r="S82" s="4" t="s">
        <v>35</v>
      </c>
      <c r="T82" s="4" t="s">
        <v>332</v>
      </c>
      <c r="U82" s="6" t="s">
        <v>515</v>
      </c>
      <c r="V82" s="4" t="s">
        <v>69</v>
      </c>
    </row>
    <row r="83" spans="1:22">
      <c r="A83" s="7" t="s">
        <v>516</v>
      </c>
      <c r="B83" s="8" t="s">
        <v>221</v>
      </c>
      <c r="C83" s="8" t="s">
        <v>92</v>
      </c>
      <c r="D83" s="8" t="s">
        <v>517</v>
      </c>
      <c r="E83" s="8" t="s">
        <v>518</v>
      </c>
      <c r="F83" s="8" t="s">
        <v>225</v>
      </c>
      <c r="G83" s="8" t="s">
        <v>76</v>
      </c>
      <c r="H83" s="8" t="s">
        <v>519</v>
      </c>
      <c r="I83" s="8" t="s">
        <v>294</v>
      </c>
      <c r="J83" s="8" t="s">
        <v>295</v>
      </c>
      <c r="K83" s="8" t="s">
        <v>32</v>
      </c>
      <c r="L83" s="8" t="s">
        <v>97</v>
      </c>
      <c r="M83" s="8">
        <v>12</v>
      </c>
      <c r="N83" s="8">
        <v>3500</v>
      </c>
      <c r="O83" s="8">
        <v>5</v>
      </c>
      <c r="P83" s="8">
        <v>39900</v>
      </c>
      <c r="Q83" s="8">
        <v>3</v>
      </c>
      <c r="R83" s="8" t="s">
        <v>48</v>
      </c>
      <c r="S83" s="8" t="s">
        <v>61</v>
      </c>
      <c r="T83" s="8" t="s">
        <v>228</v>
      </c>
      <c r="U83" s="9" t="s">
        <v>520</v>
      </c>
      <c r="V83" s="8" t="s">
        <v>64</v>
      </c>
    </row>
    <row r="84" spans="1:22">
      <c r="A84" s="3" t="s">
        <v>521</v>
      </c>
      <c r="B84" s="4" t="s">
        <v>127</v>
      </c>
      <c r="C84" s="4" t="s">
        <v>118</v>
      </c>
      <c r="D84" s="4" t="s">
        <v>128</v>
      </c>
      <c r="E84" s="4" t="s">
        <v>73</v>
      </c>
      <c r="F84" s="4" t="s">
        <v>200</v>
      </c>
      <c r="G84" s="4" t="s">
        <v>76</v>
      </c>
      <c r="H84" s="4" t="s">
        <v>522</v>
      </c>
      <c r="I84" s="4" t="s">
        <v>105</v>
      </c>
      <c r="J84" s="4" t="s">
        <v>106</v>
      </c>
      <c r="K84" s="4" t="s">
        <v>122</v>
      </c>
      <c r="L84" s="4" t="s">
        <v>123</v>
      </c>
      <c r="M84" s="4">
        <v>2</v>
      </c>
      <c r="N84" s="4">
        <v>60</v>
      </c>
      <c r="O84" s="4">
        <v>15</v>
      </c>
      <c r="P84" s="4">
        <v>102</v>
      </c>
      <c r="Q84" s="4">
        <v>1</v>
      </c>
      <c r="R84" s="4" t="s">
        <v>88</v>
      </c>
      <c r="S84" s="4" t="s">
        <v>115</v>
      </c>
      <c r="T84" s="4" t="s">
        <v>132</v>
      </c>
      <c r="U84" s="6" t="s">
        <v>523</v>
      </c>
      <c r="V84" s="4" t="s">
        <v>38</v>
      </c>
    </row>
    <row r="85" spans="1:22">
      <c r="A85" s="7" t="s">
        <v>524</v>
      </c>
      <c r="B85" s="8" t="s">
        <v>127</v>
      </c>
      <c r="C85" s="8" t="s">
        <v>72</v>
      </c>
      <c r="D85" s="8" t="s">
        <v>525</v>
      </c>
      <c r="E85" s="8" t="s">
        <v>526</v>
      </c>
      <c r="F85" s="8" t="s">
        <v>200</v>
      </c>
      <c r="G85" s="8" t="s">
        <v>76</v>
      </c>
      <c r="H85" s="8" t="s">
        <v>527</v>
      </c>
      <c r="I85" s="8" t="s">
        <v>30</v>
      </c>
      <c r="J85" s="8" t="s">
        <v>31</v>
      </c>
      <c r="K85" s="8" t="s">
        <v>46</v>
      </c>
      <c r="L85" s="8" t="s">
        <v>78</v>
      </c>
      <c r="M85" s="8">
        <v>18</v>
      </c>
      <c r="N85" s="8">
        <v>1200</v>
      </c>
      <c r="O85" s="8">
        <v>15</v>
      </c>
      <c r="P85" s="8">
        <v>18360</v>
      </c>
      <c r="Q85" s="8">
        <v>3</v>
      </c>
      <c r="R85" s="8" t="s">
        <v>79</v>
      </c>
      <c r="S85" s="8" t="s">
        <v>115</v>
      </c>
      <c r="T85" s="8" t="s">
        <v>132</v>
      </c>
      <c r="U85" s="9" t="s">
        <v>528</v>
      </c>
      <c r="V85" s="8" t="s">
        <v>64</v>
      </c>
    </row>
    <row r="86" spans="1:22">
      <c r="A86" s="3" t="s">
        <v>529</v>
      </c>
      <c r="B86" s="4" t="s">
        <v>23</v>
      </c>
      <c r="C86" s="4" t="s">
        <v>40</v>
      </c>
      <c r="D86" s="4" t="s">
        <v>530</v>
      </c>
      <c r="E86" s="4" t="s">
        <v>531</v>
      </c>
      <c r="F86" s="4" t="s">
        <v>27</v>
      </c>
      <c r="G86" s="4" t="s">
        <v>28</v>
      </c>
      <c r="H86" s="4" t="s">
        <v>532</v>
      </c>
      <c r="I86" s="4" t="s">
        <v>105</v>
      </c>
      <c r="J86" s="4" t="s">
        <v>106</v>
      </c>
      <c r="K86" s="4" t="s">
        <v>46</v>
      </c>
      <c r="L86" s="4" t="s">
        <v>47</v>
      </c>
      <c r="M86" s="4">
        <v>18</v>
      </c>
      <c r="N86" s="4">
        <v>12000</v>
      </c>
      <c r="O86" s="4">
        <v>15</v>
      </c>
      <c r="P86" s="4">
        <v>183600</v>
      </c>
      <c r="Q86" s="4">
        <v>2</v>
      </c>
      <c r="R86" s="4" t="s">
        <v>34</v>
      </c>
      <c r="S86" s="4" t="s">
        <v>49</v>
      </c>
      <c r="T86" s="4" t="s">
        <v>50</v>
      </c>
      <c r="U86" s="6" t="s">
        <v>533</v>
      </c>
      <c r="V86" s="4" t="s">
        <v>38</v>
      </c>
    </row>
    <row r="87" spans="1:22">
      <c r="A87" s="7" t="s">
        <v>534</v>
      </c>
      <c r="B87" s="8" t="s">
        <v>83</v>
      </c>
      <c r="C87" s="8" t="s">
        <v>222</v>
      </c>
      <c r="D87" s="8" t="s">
        <v>531</v>
      </c>
      <c r="E87" s="8" t="s">
        <v>535</v>
      </c>
      <c r="F87" s="8" t="s">
        <v>180</v>
      </c>
      <c r="G87" s="8" t="s">
        <v>76</v>
      </c>
      <c r="H87" s="8" t="s">
        <v>536</v>
      </c>
      <c r="I87" s="8" t="s">
        <v>138</v>
      </c>
      <c r="J87" s="8" t="s">
        <v>106</v>
      </c>
      <c r="K87" s="8" t="s">
        <v>122</v>
      </c>
      <c r="L87" s="8" t="s">
        <v>227</v>
      </c>
      <c r="M87" s="8">
        <v>7</v>
      </c>
      <c r="N87" s="8">
        <v>20</v>
      </c>
      <c r="O87" s="8">
        <v>0</v>
      </c>
      <c r="P87" s="8">
        <v>140</v>
      </c>
      <c r="Q87" s="8">
        <v>2</v>
      </c>
      <c r="R87" s="8" t="s">
        <v>79</v>
      </c>
      <c r="S87" s="8" t="s">
        <v>35</v>
      </c>
      <c r="T87" s="8" t="s">
        <v>89</v>
      </c>
      <c r="U87" s="9" t="s">
        <v>537</v>
      </c>
      <c r="V87" s="8" t="s">
        <v>69</v>
      </c>
    </row>
    <row r="88" spans="1:22">
      <c r="A88" s="3" t="s">
        <v>538</v>
      </c>
      <c r="B88" s="4" t="s">
        <v>251</v>
      </c>
      <c r="C88" s="4" t="s">
        <v>92</v>
      </c>
      <c r="D88" s="4" t="s">
        <v>459</v>
      </c>
      <c r="E88" s="4" t="s">
        <v>539</v>
      </c>
      <c r="F88" s="4" t="s">
        <v>254</v>
      </c>
      <c r="G88" s="4" t="s">
        <v>28</v>
      </c>
      <c r="H88" s="4" t="s">
        <v>540</v>
      </c>
      <c r="I88" s="4" t="s">
        <v>114</v>
      </c>
      <c r="J88" s="4" t="s">
        <v>106</v>
      </c>
      <c r="K88" s="4" t="s">
        <v>32</v>
      </c>
      <c r="L88" s="4" t="s">
        <v>97</v>
      </c>
      <c r="M88" s="4">
        <v>20</v>
      </c>
      <c r="N88" s="4">
        <v>3500</v>
      </c>
      <c r="O88" s="4">
        <v>20</v>
      </c>
      <c r="P88" s="4">
        <v>56000</v>
      </c>
      <c r="Q88" s="4">
        <v>4</v>
      </c>
      <c r="R88" s="4" t="s">
        <v>79</v>
      </c>
      <c r="S88" s="4" t="s">
        <v>115</v>
      </c>
      <c r="T88" s="4" t="s">
        <v>256</v>
      </c>
      <c r="U88" s="6" t="s">
        <v>541</v>
      </c>
      <c r="V88" s="4" t="s">
        <v>64</v>
      </c>
    </row>
    <row r="89" spans="1:22">
      <c r="A89" s="7" t="s">
        <v>542</v>
      </c>
      <c r="B89" s="8" t="s">
        <v>100</v>
      </c>
      <c r="C89" s="8" t="s">
        <v>169</v>
      </c>
      <c r="D89" s="8" t="s">
        <v>543</v>
      </c>
      <c r="E89" s="8" t="s">
        <v>544</v>
      </c>
      <c r="F89" s="8" t="s">
        <v>103</v>
      </c>
      <c r="G89" s="8" t="s">
        <v>28</v>
      </c>
      <c r="H89" s="8" t="s">
        <v>545</v>
      </c>
      <c r="I89" s="8" t="s">
        <v>138</v>
      </c>
      <c r="J89" s="8" t="s">
        <v>106</v>
      </c>
      <c r="K89" s="8" t="s">
        <v>32</v>
      </c>
      <c r="L89" s="8" t="s">
        <v>174</v>
      </c>
      <c r="M89" s="8">
        <v>8</v>
      </c>
      <c r="N89" s="8">
        <v>8500</v>
      </c>
      <c r="O89" s="8">
        <v>20</v>
      </c>
      <c r="P89" s="8">
        <v>54400</v>
      </c>
      <c r="Q89" s="8">
        <v>3</v>
      </c>
      <c r="R89" s="8" t="s">
        <v>79</v>
      </c>
      <c r="S89" s="8" t="s">
        <v>115</v>
      </c>
      <c r="T89" s="8" t="s">
        <v>144</v>
      </c>
      <c r="U89" s="9" t="s">
        <v>546</v>
      </c>
      <c r="V89" s="8" t="s">
        <v>64</v>
      </c>
    </row>
    <row r="90" spans="1:22">
      <c r="A90" s="3" t="s">
        <v>547</v>
      </c>
      <c r="B90" s="4" t="s">
        <v>327</v>
      </c>
      <c r="C90" s="4" t="s">
        <v>40</v>
      </c>
      <c r="D90" s="4" t="s">
        <v>548</v>
      </c>
      <c r="E90" s="4" t="s">
        <v>549</v>
      </c>
      <c r="F90" s="4" t="s">
        <v>394</v>
      </c>
      <c r="G90" s="4" t="s">
        <v>76</v>
      </c>
      <c r="H90" s="4" t="s">
        <v>550</v>
      </c>
      <c r="I90" s="4" t="s">
        <v>138</v>
      </c>
      <c r="J90" s="4" t="s">
        <v>551</v>
      </c>
      <c r="K90" s="4" t="s">
        <v>46</v>
      </c>
      <c r="L90" s="4" t="s">
        <v>47</v>
      </c>
      <c r="M90" s="4">
        <v>6</v>
      </c>
      <c r="N90" s="4">
        <v>12000</v>
      </c>
      <c r="O90" s="4">
        <v>5</v>
      </c>
      <c r="P90" s="4">
        <v>68400</v>
      </c>
      <c r="Q90" s="4">
        <v>4</v>
      </c>
      <c r="R90" s="4" t="s">
        <v>48</v>
      </c>
      <c r="S90" s="4" t="s">
        <v>35</v>
      </c>
      <c r="T90" s="4" t="s">
        <v>332</v>
      </c>
      <c r="U90" s="6" t="s">
        <v>552</v>
      </c>
      <c r="V90" s="4" t="s">
        <v>38</v>
      </c>
    </row>
    <row r="91" spans="1:22">
      <c r="A91" s="7" t="s">
        <v>553</v>
      </c>
      <c r="B91" s="8" t="s">
        <v>23</v>
      </c>
      <c r="C91" s="8" t="s">
        <v>169</v>
      </c>
      <c r="D91" s="8" t="s">
        <v>554</v>
      </c>
      <c r="E91" s="8" t="s">
        <v>404</v>
      </c>
      <c r="F91" s="8" t="s">
        <v>27</v>
      </c>
      <c r="G91" s="8" t="s">
        <v>28</v>
      </c>
      <c r="H91" s="8" t="s">
        <v>555</v>
      </c>
      <c r="I91" s="8" t="s">
        <v>114</v>
      </c>
      <c r="J91" s="8" t="s">
        <v>106</v>
      </c>
      <c r="K91" s="8" t="s">
        <v>32</v>
      </c>
      <c r="L91" s="8" t="s">
        <v>174</v>
      </c>
      <c r="M91" s="8">
        <v>15</v>
      </c>
      <c r="N91" s="8">
        <v>8500</v>
      </c>
      <c r="O91" s="8">
        <v>0</v>
      </c>
      <c r="P91" s="8">
        <v>127500</v>
      </c>
      <c r="Q91" s="8">
        <v>4</v>
      </c>
      <c r="R91" s="8" t="s">
        <v>48</v>
      </c>
      <c r="S91" s="8" t="s">
        <v>35</v>
      </c>
      <c r="T91" s="8" t="s">
        <v>50</v>
      </c>
      <c r="U91" s="9" t="s">
        <v>556</v>
      </c>
      <c r="V91" s="8" t="s">
        <v>69</v>
      </c>
    </row>
    <row r="92" spans="1:22">
      <c r="A92" s="3" t="s">
        <v>557</v>
      </c>
      <c r="B92" s="4" t="s">
        <v>53</v>
      </c>
      <c r="C92" s="4" t="s">
        <v>72</v>
      </c>
      <c r="D92" s="4" t="s">
        <v>558</v>
      </c>
      <c r="E92" s="4" t="s">
        <v>377</v>
      </c>
      <c r="F92" s="4" t="s">
        <v>163</v>
      </c>
      <c r="G92" s="4" t="s">
        <v>28</v>
      </c>
      <c r="H92" s="4" t="s">
        <v>559</v>
      </c>
      <c r="I92" s="4" t="s">
        <v>212</v>
      </c>
      <c r="J92" s="4" t="s">
        <v>45</v>
      </c>
      <c r="K92" s="4" t="s">
        <v>46</v>
      </c>
      <c r="L92" s="4" t="s">
        <v>78</v>
      </c>
      <c r="M92" s="4">
        <v>5</v>
      </c>
      <c r="N92" s="4">
        <v>1200</v>
      </c>
      <c r="O92" s="4">
        <v>15</v>
      </c>
      <c r="P92" s="4">
        <v>5100</v>
      </c>
      <c r="Q92" s="4">
        <v>1</v>
      </c>
      <c r="R92" s="4" t="s">
        <v>48</v>
      </c>
      <c r="S92" s="4" t="s">
        <v>35</v>
      </c>
      <c r="T92" s="4" t="s">
        <v>62</v>
      </c>
      <c r="U92" s="6" t="s">
        <v>560</v>
      </c>
      <c r="V92" s="4" t="s">
        <v>69</v>
      </c>
    </row>
    <row r="93" spans="1:22">
      <c r="A93" s="7" t="s">
        <v>561</v>
      </c>
      <c r="B93" s="8" t="s">
        <v>53</v>
      </c>
      <c r="C93" s="8" t="s">
        <v>222</v>
      </c>
      <c r="D93" s="8" t="s">
        <v>562</v>
      </c>
      <c r="E93" s="8" t="s">
        <v>563</v>
      </c>
      <c r="F93" s="8" t="s">
        <v>163</v>
      </c>
      <c r="G93" s="8" t="s">
        <v>28</v>
      </c>
      <c r="H93" s="8" t="s">
        <v>564</v>
      </c>
      <c r="I93" s="8" t="s">
        <v>30</v>
      </c>
      <c r="J93" s="8" t="s">
        <v>31</v>
      </c>
      <c r="K93" s="8" t="s">
        <v>122</v>
      </c>
      <c r="L93" s="8" t="s">
        <v>227</v>
      </c>
      <c r="M93" s="8">
        <v>4</v>
      </c>
      <c r="N93" s="8">
        <v>20</v>
      </c>
      <c r="O93" s="8">
        <v>0</v>
      </c>
      <c r="P93" s="8">
        <v>80</v>
      </c>
      <c r="Q93" s="8">
        <v>4</v>
      </c>
      <c r="R93" s="8" t="s">
        <v>48</v>
      </c>
      <c r="S93" s="8" t="s">
        <v>49</v>
      </c>
      <c r="T93" s="8" t="s">
        <v>62</v>
      </c>
      <c r="U93" s="9" t="s">
        <v>565</v>
      </c>
      <c r="V93" s="8" t="s">
        <v>38</v>
      </c>
    </row>
    <row r="94" spans="1:22">
      <c r="A94" s="3" t="s">
        <v>566</v>
      </c>
      <c r="B94" s="4" t="s">
        <v>23</v>
      </c>
      <c r="C94" s="4" t="s">
        <v>222</v>
      </c>
      <c r="D94" s="4" t="s">
        <v>567</v>
      </c>
      <c r="E94" s="4" t="s">
        <v>568</v>
      </c>
      <c r="F94" s="4" t="s">
        <v>27</v>
      </c>
      <c r="G94" s="4" t="s">
        <v>28</v>
      </c>
      <c r="H94" s="4" t="s">
        <v>569</v>
      </c>
      <c r="I94" s="4" t="s">
        <v>59</v>
      </c>
      <c r="J94" s="4" t="s">
        <v>31</v>
      </c>
      <c r="K94" s="4" t="s">
        <v>122</v>
      </c>
      <c r="L94" s="4" t="s">
        <v>227</v>
      </c>
      <c r="M94" s="4">
        <v>10</v>
      </c>
      <c r="N94" s="4">
        <v>20</v>
      </c>
      <c r="O94" s="4">
        <v>0</v>
      </c>
      <c r="P94" s="4">
        <v>200</v>
      </c>
      <c r="Q94" s="4">
        <v>3</v>
      </c>
      <c r="R94" s="4" t="s">
        <v>34</v>
      </c>
      <c r="S94" s="4" t="s">
        <v>151</v>
      </c>
      <c r="T94" s="4" t="s">
        <v>50</v>
      </c>
      <c r="U94" s="6" t="s">
        <v>570</v>
      </c>
      <c r="V94" s="4" t="s">
        <v>64</v>
      </c>
    </row>
    <row r="95" spans="1:22">
      <c r="A95" s="7" t="s">
        <v>571</v>
      </c>
      <c r="B95" s="8" t="s">
        <v>168</v>
      </c>
      <c r="C95" s="8" t="s">
        <v>24</v>
      </c>
      <c r="D95" s="8" t="s">
        <v>572</v>
      </c>
      <c r="E95" s="8" t="s">
        <v>573</v>
      </c>
      <c r="F95" s="8" t="s">
        <v>361</v>
      </c>
      <c r="G95" s="8" t="s">
        <v>28</v>
      </c>
      <c r="H95" s="8" t="s">
        <v>574</v>
      </c>
      <c r="I95" s="8" t="s">
        <v>44</v>
      </c>
      <c r="J95" s="8" t="s">
        <v>45</v>
      </c>
      <c r="K95" s="8" t="s">
        <v>32</v>
      </c>
      <c r="L95" s="8" t="s">
        <v>33</v>
      </c>
      <c r="M95" s="8">
        <v>18</v>
      </c>
      <c r="N95" s="8">
        <v>2200</v>
      </c>
      <c r="O95" s="8">
        <v>10</v>
      </c>
      <c r="P95" s="8">
        <v>35640</v>
      </c>
      <c r="Q95" s="8">
        <v>3</v>
      </c>
      <c r="R95" s="8" t="s">
        <v>34</v>
      </c>
      <c r="S95" s="8" t="s">
        <v>35</v>
      </c>
      <c r="T95" s="8" t="s">
        <v>175</v>
      </c>
      <c r="U95" s="9" t="s">
        <v>575</v>
      </c>
      <c r="V95" s="8" t="s">
        <v>69</v>
      </c>
    </row>
    <row r="96" spans="1:22">
      <c r="A96" s="3" t="s">
        <v>576</v>
      </c>
      <c r="B96" s="4" t="s">
        <v>327</v>
      </c>
      <c r="C96" s="4" t="s">
        <v>92</v>
      </c>
      <c r="D96" s="4" t="s">
        <v>577</v>
      </c>
      <c r="E96" s="4" t="s">
        <v>578</v>
      </c>
      <c r="F96" s="4" t="s">
        <v>394</v>
      </c>
      <c r="G96" s="4" t="s">
        <v>76</v>
      </c>
      <c r="H96" s="4" t="s">
        <v>579</v>
      </c>
      <c r="I96" s="4" t="s">
        <v>44</v>
      </c>
      <c r="J96" s="4" t="s">
        <v>45</v>
      </c>
      <c r="K96" s="4" t="s">
        <v>32</v>
      </c>
      <c r="L96" s="4" t="s">
        <v>97</v>
      </c>
      <c r="M96" s="4">
        <v>7</v>
      </c>
      <c r="N96" s="4">
        <v>3500</v>
      </c>
      <c r="O96" s="4">
        <v>15</v>
      </c>
      <c r="P96" s="4">
        <v>20825</v>
      </c>
      <c r="Q96" s="4">
        <v>3</v>
      </c>
      <c r="R96" s="4" t="s">
        <v>48</v>
      </c>
      <c r="S96" s="4" t="s">
        <v>49</v>
      </c>
      <c r="T96" s="4" t="s">
        <v>332</v>
      </c>
      <c r="U96" s="6" t="s">
        <v>580</v>
      </c>
      <c r="V96" s="4" t="s">
        <v>38</v>
      </c>
    </row>
    <row r="97" spans="1:22">
      <c r="A97" s="7" t="s">
        <v>581</v>
      </c>
      <c r="B97" s="8" t="s">
        <v>100</v>
      </c>
      <c r="C97" s="8" t="s">
        <v>169</v>
      </c>
      <c r="D97" s="8" t="s">
        <v>582</v>
      </c>
      <c r="E97" s="8" t="s">
        <v>583</v>
      </c>
      <c r="F97" s="8" t="s">
        <v>103</v>
      </c>
      <c r="G97" s="8" t="s">
        <v>28</v>
      </c>
      <c r="H97" s="8" t="s">
        <v>584</v>
      </c>
      <c r="I97" s="8" t="s">
        <v>294</v>
      </c>
      <c r="J97" s="8" t="s">
        <v>295</v>
      </c>
      <c r="K97" s="8" t="s">
        <v>32</v>
      </c>
      <c r="L97" s="8" t="s">
        <v>174</v>
      </c>
      <c r="M97" s="8">
        <v>19</v>
      </c>
      <c r="N97" s="8">
        <v>8500</v>
      </c>
      <c r="O97" s="8">
        <v>15</v>
      </c>
      <c r="P97" s="8">
        <v>137275</v>
      </c>
      <c r="Q97" s="8">
        <v>4</v>
      </c>
      <c r="R97" s="8" t="s">
        <v>79</v>
      </c>
      <c r="S97" s="8" t="s">
        <v>151</v>
      </c>
      <c r="T97" s="8" t="s">
        <v>144</v>
      </c>
      <c r="U97" s="9" t="s">
        <v>585</v>
      </c>
      <c r="V97" s="8" t="s">
        <v>64</v>
      </c>
    </row>
    <row r="98" spans="1:22">
      <c r="A98" s="3" t="s">
        <v>586</v>
      </c>
      <c r="B98" s="4" t="s">
        <v>251</v>
      </c>
      <c r="C98" s="4" t="s">
        <v>40</v>
      </c>
      <c r="D98" s="4" t="s">
        <v>587</v>
      </c>
      <c r="E98" s="4" t="s">
        <v>588</v>
      </c>
      <c r="F98" s="4" t="s">
        <v>254</v>
      </c>
      <c r="G98" s="4" t="s">
        <v>28</v>
      </c>
      <c r="H98" s="4" t="s">
        <v>589</v>
      </c>
      <c r="I98" s="4" t="s">
        <v>138</v>
      </c>
      <c r="J98" s="4" t="s">
        <v>106</v>
      </c>
      <c r="K98" s="4" t="s">
        <v>46</v>
      </c>
      <c r="L98" s="4" t="s">
        <v>47</v>
      </c>
      <c r="M98" s="4">
        <v>13</v>
      </c>
      <c r="N98" s="4">
        <v>12000</v>
      </c>
      <c r="O98" s="4">
        <v>15</v>
      </c>
      <c r="P98" s="4">
        <v>132600</v>
      </c>
      <c r="Q98" s="4">
        <v>4</v>
      </c>
      <c r="R98" s="4" t="s">
        <v>34</v>
      </c>
      <c r="S98" s="4" t="s">
        <v>49</v>
      </c>
      <c r="T98" s="4" t="s">
        <v>256</v>
      </c>
      <c r="U98" s="6" t="s">
        <v>590</v>
      </c>
      <c r="V98" s="4" t="s">
        <v>38</v>
      </c>
    </row>
    <row r="99" spans="1:22">
      <c r="A99" s="7" t="s">
        <v>591</v>
      </c>
      <c r="B99" s="8" t="s">
        <v>327</v>
      </c>
      <c r="C99" s="8" t="s">
        <v>222</v>
      </c>
      <c r="D99" s="8" t="s">
        <v>592</v>
      </c>
      <c r="E99" s="8" t="s">
        <v>398</v>
      </c>
      <c r="F99" s="8" t="s">
        <v>394</v>
      </c>
      <c r="G99" s="8" t="s">
        <v>76</v>
      </c>
      <c r="H99" s="8" t="s">
        <v>593</v>
      </c>
      <c r="I99" s="8" t="s">
        <v>114</v>
      </c>
      <c r="J99" s="8" t="s">
        <v>106</v>
      </c>
      <c r="K99" s="8" t="s">
        <v>122</v>
      </c>
      <c r="L99" s="8" t="s">
        <v>227</v>
      </c>
      <c r="M99" s="8">
        <v>7</v>
      </c>
      <c r="N99" s="8">
        <v>20</v>
      </c>
      <c r="O99" s="8">
        <v>0</v>
      </c>
      <c r="P99" s="8">
        <v>140</v>
      </c>
      <c r="Q99" s="8">
        <v>1</v>
      </c>
      <c r="R99" s="8" t="s">
        <v>79</v>
      </c>
      <c r="S99" s="8" t="s">
        <v>151</v>
      </c>
      <c r="T99" s="8" t="s">
        <v>332</v>
      </c>
      <c r="U99" s="9" t="s">
        <v>594</v>
      </c>
      <c r="V99" s="8" t="s">
        <v>69</v>
      </c>
    </row>
    <row r="100" spans="1:22">
      <c r="A100" s="3" t="s">
        <v>595</v>
      </c>
      <c r="B100" s="4" t="s">
        <v>168</v>
      </c>
      <c r="C100" s="4" t="s">
        <v>184</v>
      </c>
      <c r="D100" s="4" t="s">
        <v>596</v>
      </c>
      <c r="E100" s="4" t="s">
        <v>597</v>
      </c>
      <c r="F100" s="4" t="s">
        <v>361</v>
      </c>
      <c r="G100" s="4" t="s">
        <v>28</v>
      </c>
      <c r="H100" s="4" t="s">
        <v>598</v>
      </c>
      <c r="I100" s="4" t="s">
        <v>44</v>
      </c>
      <c r="J100" s="4" t="s">
        <v>45</v>
      </c>
      <c r="K100" s="4" t="s">
        <v>46</v>
      </c>
      <c r="L100" s="4" t="s">
        <v>189</v>
      </c>
      <c r="M100" s="4">
        <v>5</v>
      </c>
      <c r="N100" s="4">
        <v>700</v>
      </c>
      <c r="O100" s="4">
        <v>15</v>
      </c>
      <c r="P100" s="4">
        <v>999999</v>
      </c>
      <c r="Q100" s="4">
        <v>4</v>
      </c>
      <c r="R100" s="4" t="s">
        <v>79</v>
      </c>
      <c r="S100" s="4" t="s">
        <v>35</v>
      </c>
      <c r="T100" s="4" t="s">
        <v>175</v>
      </c>
      <c r="U100" s="6" t="s">
        <v>599</v>
      </c>
      <c r="V100" s="4" t="s">
        <v>64</v>
      </c>
    </row>
    <row r="101" spans="1:22">
      <c r="A101" s="7" t="s">
        <v>600</v>
      </c>
      <c r="B101" s="8" t="s">
        <v>83</v>
      </c>
      <c r="C101" s="8" t="s">
        <v>259</v>
      </c>
      <c r="D101" s="8" t="s">
        <v>583</v>
      </c>
      <c r="E101" s="8" t="s">
        <v>601</v>
      </c>
      <c r="F101" s="8" t="s">
        <v>180</v>
      </c>
      <c r="G101" s="8" t="s">
        <v>76</v>
      </c>
      <c r="H101" s="8" t="s">
        <v>602</v>
      </c>
      <c r="I101" s="8" t="s">
        <v>59</v>
      </c>
      <c r="J101" s="8" t="s">
        <v>31</v>
      </c>
      <c r="K101" s="8" t="s">
        <v>122</v>
      </c>
      <c r="L101" s="8" t="s">
        <v>263</v>
      </c>
      <c r="M101" s="8">
        <v>9</v>
      </c>
      <c r="N101" s="8">
        <v>45</v>
      </c>
      <c r="O101" s="8">
        <v>5</v>
      </c>
      <c r="P101" s="8">
        <v>384.75</v>
      </c>
      <c r="Q101" s="8">
        <v>3</v>
      </c>
      <c r="R101" s="8" t="s">
        <v>34</v>
      </c>
      <c r="S101" s="8" t="s">
        <v>35</v>
      </c>
      <c r="T101" s="8" t="s">
        <v>89</v>
      </c>
      <c r="U101" s="9" t="s">
        <v>603</v>
      </c>
      <c r="V101" s="8" t="s">
        <v>38</v>
      </c>
    </row>
    <row r="102" spans="1:22">
      <c r="A102" s="3" t="s">
        <v>604</v>
      </c>
      <c r="B102" s="4" t="s">
        <v>127</v>
      </c>
      <c r="C102" s="4" t="s">
        <v>118</v>
      </c>
      <c r="D102" s="4" t="s">
        <v>605</v>
      </c>
      <c r="E102" s="4" t="s">
        <v>606</v>
      </c>
      <c r="F102" s="4" t="s">
        <v>200</v>
      </c>
      <c r="G102" s="4" t="s">
        <v>76</v>
      </c>
      <c r="H102" s="4" t="s">
        <v>607</v>
      </c>
      <c r="I102" s="4" t="s">
        <v>294</v>
      </c>
      <c r="J102" s="4" t="s">
        <v>295</v>
      </c>
      <c r="K102" s="4" t="s">
        <v>122</v>
      </c>
      <c r="L102" s="4" t="s">
        <v>123</v>
      </c>
      <c r="M102" s="4">
        <v>19</v>
      </c>
      <c r="N102" s="4">
        <v>60</v>
      </c>
      <c r="O102" s="4">
        <v>10</v>
      </c>
      <c r="P102" s="4">
        <v>1026</v>
      </c>
      <c r="Q102" s="4">
        <v>5</v>
      </c>
      <c r="R102" s="4" t="s">
        <v>48</v>
      </c>
      <c r="S102" s="4" t="s">
        <v>115</v>
      </c>
      <c r="T102" s="4" t="s">
        <v>132</v>
      </c>
      <c r="U102" s="6" t="s">
        <v>608</v>
      </c>
      <c r="V102" s="4" t="s">
        <v>38</v>
      </c>
    </row>
    <row r="103" spans="1:22">
      <c r="A103" s="7" t="s">
        <v>609</v>
      </c>
      <c r="B103" s="8" t="s">
        <v>327</v>
      </c>
      <c r="C103" s="8" t="s">
        <v>184</v>
      </c>
      <c r="D103" s="8" t="s">
        <v>610</v>
      </c>
      <c r="E103" s="8" t="s">
        <v>611</v>
      </c>
      <c r="F103" s="8" t="s">
        <v>394</v>
      </c>
      <c r="G103" s="8" t="s">
        <v>76</v>
      </c>
      <c r="H103" s="8" t="s">
        <v>612</v>
      </c>
      <c r="I103" s="8" t="s">
        <v>138</v>
      </c>
      <c r="J103" s="8" t="s">
        <v>106</v>
      </c>
      <c r="K103" s="8" t="s">
        <v>46</v>
      </c>
      <c r="L103" s="8" t="s">
        <v>189</v>
      </c>
      <c r="M103" s="8">
        <v>4</v>
      </c>
      <c r="N103" s="8">
        <v>700</v>
      </c>
      <c r="O103" s="8">
        <v>5</v>
      </c>
      <c r="P103" s="8">
        <v>2660</v>
      </c>
      <c r="Q103" s="8">
        <v>3</v>
      </c>
      <c r="R103" s="8" t="s">
        <v>48</v>
      </c>
      <c r="S103" s="8" t="s">
        <v>61</v>
      </c>
      <c r="T103" s="8" t="s">
        <v>332</v>
      </c>
      <c r="U103" s="9" t="s">
        <v>613</v>
      </c>
      <c r="V103" s="8" t="s">
        <v>38</v>
      </c>
    </row>
    <row r="104" spans="1:22">
      <c r="A104" s="3" t="s">
        <v>614</v>
      </c>
      <c r="B104" s="4" t="s">
        <v>327</v>
      </c>
      <c r="C104" s="4" t="s">
        <v>92</v>
      </c>
      <c r="D104" s="4" t="s">
        <v>583</v>
      </c>
      <c r="E104" s="4" t="s">
        <v>615</v>
      </c>
      <c r="F104" s="4" t="s">
        <v>394</v>
      </c>
      <c r="G104" s="4" t="s">
        <v>76</v>
      </c>
      <c r="H104" s="4" t="s">
        <v>616</v>
      </c>
      <c r="I104" s="4" t="s">
        <v>114</v>
      </c>
      <c r="J104" s="4" t="s">
        <v>106</v>
      </c>
      <c r="K104" s="4" t="s">
        <v>32</v>
      </c>
      <c r="L104" s="4" t="s">
        <v>97</v>
      </c>
      <c r="M104" s="4">
        <v>16</v>
      </c>
      <c r="N104" s="4">
        <v>3500</v>
      </c>
      <c r="O104" s="4">
        <v>0</v>
      </c>
      <c r="P104" s="4">
        <v>56000</v>
      </c>
      <c r="Q104" s="4">
        <v>2</v>
      </c>
      <c r="R104" s="4" t="s">
        <v>79</v>
      </c>
      <c r="S104" s="4" t="s">
        <v>49</v>
      </c>
      <c r="T104" s="4" t="s">
        <v>332</v>
      </c>
      <c r="U104" s="6" t="s">
        <v>617</v>
      </c>
      <c r="V104" s="4" t="s">
        <v>38</v>
      </c>
    </row>
    <row r="105" spans="1:22">
      <c r="A105" s="7" t="s">
        <v>618</v>
      </c>
      <c r="B105" s="8" t="s">
        <v>251</v>
      </c>
      <c r="C105" s="8" t="s">
        <v>259</v>
      </c>
      <c r="D105" s="8" t="s">
        <v>619</v>
      </c>
      <c r="E105" s="8" t="s">
        <v>620</v>
      </c>
      <c r="F105" s="8" t="s">
        <v>254</v>
      </c>
      <c r="G105" s="8" t="s">
        <v>28</v>
      </c>
      <c r="H105" s="8" t="s">
        <v>621</v>
      </c>
      <c r="I105" s="8" t="s">
        <v>59</v>
      </c>
      <c r="J105" s="8" t="s">
        <v>31</v>
      </c>
      <c r="K105" s="8" t="s">
        <v>122</v>
      </c>
      <c r="L105" s="8" t="s">
        <v>263</v>
      </c>
      <c r="M105" s="8">
        <v>5</v>
      </c>
      <c r="N105" s="8">
        <v>45</v>
      </c>
      <c r="O105" s="8">
        <v>20</v>
      </c>
      <c r="P105" s="8">
        <v>180</v>
      </c>
      <c r="Q105" s="8">
        <v>3</v>
      </c>
      <c r="R105" s="8" t="s">
        <v>79</v>
      </c>
      <c r="S105" s="8" t="s">
        <v>35</v>
      </c>
      <c r="T105" s="8" t="s">
        <v>256</v>
      </c>
      <c r="U105" s="9" t="s">
        <v>622</v>
      </c>
      <c r="V105" s="8" t="s">
        <v>38</v>
      </c>
    </row>
    <row r="106" spans="1:22">
      <c r="A106" s="3" t="s">
        <v>623</v>
      </c>
      <c r="B106" s="4" t="s">
        <v>83</v>
      </c>
      <c r="C106" s="4" t="s">
        <v>222</v>
      </c>
      <c r="D106" s="4" t="s">
        <v>624</v>
      </c>
      <c r="E106" s="4" t="s">
        <v>525</v>
      </c>
      <c r="F106" s="4" t="s">
        <v>180</v>
      </c>
      <c r="G106" s="4" t="s">
        <v>76</v>
      </c>
      <c r="H106" s="4" t="s">
        <v>625</v>
      </c>
      <c r="I106" s="4" t="s">
        <v>105</v>
      </c>
      <c r="J106" s="4" t="s">
        <v>106</v>
      </c>
      <c r="K106" s="4" t="s">
        <v>122</v>
      </c>
      <c r="L106" s="4" t="s">
        <v>227</v>
      </c>
      <c r="M106" s="4">
        <v>9</v>
      </c>
      <c r="N106" s="4">
        <v>20</v>
      </c>
      <c r="O106" s="4">
        <v>10</v>
      </c>
      <c r="P106" s="4">
        <v>162</v>
      </c>
      <c r="Q106" s="4">
        <v>4</v>
      </c>
      <c r="R106" s="4" t="s">
        <v>79</v>
      </c>
      <c r="S106" s="4" t="s">
        <v>35</v>
      </c>
      <c r="T106" s="4" t="s">
        <v>89</v>
      </c>
      <c r="U106" s="6" t="s">
        <v>626</v>
      </c>
      <c r="V106" s="4" t="s">
        <v>64</v>
      </c>
    </row>
    <row r="107" spans="1:22">
      <c r="A107" s="7" t="s">
        <v>627</v>
      </c>
      <c r="B107" s="8" t="s">
        <v>53</v>
      </c>
      <c r="C107" s="8" t="s">
        <v>72</v>
      </c>
      <c r="D107" s="8" t="s">
        <v>628</v>
      </c>
      <c r="E107" s="8" t="s">
        <v>431</v>
      </c>
      <c r="F107" s="8" t="s">
        <v>163</v>
      </c>
      <c r="G107" s="8" t="s">
        <v>28</v>
      </c>
      <c r="H107" s="8" t="s">
        <v>629</v>
      </c>
      <c r="I107" s="8" t="s">
        <v>44</v>
      </c>
      <c r="J107" s="8" t="s">
        <v>45</v>
      </c>
      <c r="K107" s="8" t="s">
        <v>46</v>
      </c>
      <c r="L107" s="8" t="s">
        <v>78</v>
      </c>
      <c r="M107" s="8">
        <v>9</v>
      </c>
      <c r="N107" s="8">
        <v>1200</v>
      </c>
      <c r="O107" s="8">
        <v>5</v>
      </c>
      <c r="P107" s="8">
        <v>10260</v>
      </c>
      <c r="Q107" s="8">
        <v>3</v>
      </c>
      <c r="R107" s="8" t="s">
        <v>88</v>
      </c>
      <c r="S107" s="8" t="s">
        <v>35</v>
      </c>
      <c r="T107" s="8" t="s">
        <v>62</v>
      </c>
      <c r="U107" s="9" t="s">
        <v>630</v>
      </c>
      <c r="V107" s="8" t="s">
        <v>64</v>
      </c>
    </row>
    <row r="108" spans="1:22">
      <c r="A108" s="3" t="s">
        <v>631</v>
      </c>
      <c r="B108" s="4" t="s">
        <v>100</v>
      </c>
      <c r="C108" s="4" t="s">
        <v>92</v>
      </c>
      <c r="D108" s="4" t="s">
        <v>387</v>
      </c>
      <c r="E108" s="4" t="s">
        <v>632</v>
      </c>
      <c r="F108" s="4" t="s">
        <v>103</v>
      </c>
      <c r="G108" s="4" t="s">
        <v>28</v>
      </c>
      <c r="H108" s="4" t="s">
        <v>633</v>
      </c>
      <c r="I108" s="4" t="s">
        <v>44</v>
      </c>
      <c r="J108" s="4" t="s">
        <v>45</v>
      </c>
      <c r="K108" s="4" t="s">
        <v>32</v>
      </c>
      <c r="L108" s="4" t="s">
        <v>97</v>
      </c>
      <c r="M108" s="4">
        <v>3</v>
      </c>
      <c r="N108" s="4">
        <v>3500</v>
      </c>
      <c r="O108" s="4">
        <v>10</v>
      </c>
      <c r="P108" s="4">
        <v>9450</v>
      </c>
      <c r="Q108" s="4">
        <v>2</v>
      </c>
      <c r="R108" s="4" t="s">
        <v>79</v>
      </c>
      <c r="S108" s="4" t="s">
        <v>151</v>
      </c>
      <c r="T108" s="4" t="s">
        <v>144</v>
      </c>
      <c r="U108" s="6" t="s">
        <v>634</v>
      </c>
      <c r="V108" s="4" t="s">
        <v>69</v>
      </c>
    </row>
    <row r="109" spans="1:22">
      <c r="A109" s="7" t="s">
        <v>635</v>
      </c>
      <c r="B109" s="8" t="s">
        <v>221</v>
      </c>
      <c r="C109" s="8" t="s">
        <v>72</v>
      </c>
      <c r="D109" s="8" t="s">
        <v>241</v>
      </c>
      <c r="E109" s="8" t="s">
        <v>636</v>
      </c>
      <c r="F109" s="8" t="s">
        <v>225</v>
      </c>
      <c r="G109" s="8" t="s">
        <v>76</v>
      </c>
      <c r="H109" s="8" t="s">
        <v>637</v>
      </c>
      <c r="I109" s="8" t="s">
        <v>105</v>
      </c>
      <c r="J109" s="8" t="s">
        <v>106</v>
      </c>
      <c r="K109" s="8" t="s">
        <v>46</v>
      </c>
      <c r="L109" s="8" t="s">
        <v>78</v>
      </c>
      <c r="M109" s="8">
        <v>6</v>
      </c>
      <c r="N109" s="8">
        <v>1200</v>
      </c>
      <c r="O109" s="8">
        <v>15</v>
      </c>
      <c r="P109" s="8">
        <v>6120</v>
      </c>
      <c r="Q109" s="8">
        <v>4</v>
      </c>
      <c r="R109" s="8" t="s">
        <v>88</v>
      </c>
      <c r="S109" s="8" t="s">
        <v>35</v>
      </c>
      <c r="T109" s="8" t="s">
        <v>228</v>
      </c>
      <c r="U109" s="9" t="s">
        <v>638</v>
      </c>
      <c r="V109" s="8" t="s">
        <v>69</v>
      </c>
    </row>
    <row r="110" spans="1:22">
      <c r="A110" s="3" t="s">
        <v>639</v>
      </c>
      <c r="B110" s="4" t="s">
        <v>83</v>
      </c>
      <c r="C110" s="4" t="s">
        <v>72</v>
      </c>
      <c r="D110" s="4" t="s">
        <v>640</v>
      </c>
      <c r="E110" s="4" t="s">
        <v>641</v>
      </c>
      <c r="F110" s="4" t="s">
        <v>180</v>
      </c>
      <c r="G110" s="4" t="s">
        <v>76</v>
      </c>
      <c r="H110" s="4" t="s">
        <v>642</v>
      </c>
      <c r="I110" s="4" t="s">
        <v>212</v>
      </c>
      <c r="J110" s="4" t="s">
        <v>45</v>
      </c>
      <c r="K110" s="4" t="s">
        <v>46</v>
      </c>
      <c r="L110" s="4" t="s">
        <v>78</v>
      </c>
      <c r="M110" s="4">
        <v>17</v>
      </c>
      <c r="N110" s="4">
        <v>1200</v>
      </c>
      <c r="O110" s="4">
        <v>15</v>
      </c>
      <c r="P110" s="4">
        <v>17340</v>
      </c>
      <c r="Q110" s="4">
        <v>1</v>
      </c>
      <c r="R110" s="4" t="s">
        <v>34</v>
      </c>
      <c r="S110" s="4" t="s">
        <v>61</v>
      </c>
      <c r="T110" s="4" t="s">
        <v>89</v>
      </c>
      <c r="U110" s="6" t="s">
        <v>643</v>
      </c>
      <c r="V110" s="4" t="s">
        <v>38</v>
      </c>
    </row>
    <row r="111" spans="1:22">
      <c r="A111" s="7" t="s">
        <v>644</v>
      </c>
      <c r="B111" s="8" t="s">
        <v>221</v>
      </c>
      <c r="C111" s="8" t="s">
        <v>169</v>
      </c>
      <c r="D111" s="8" t="s">
        <v>645</v>
      </c>
      <c r="E111" s="8" t="s">
        <v>287</v>
      </c>
      <c r="F111" s="8" t="s">
        <v>225</v>
      </c>
      <c r="G111" s="8" t="s">
        <v>76</v>
      </c>
      <c r="H111" s="8" t="s">
        <v>646</v>
      </c>
      <c r="I111" s="8" t="s">
        <v>59</v>
      </c>
      <c r="J111" s="8" t="s">
        <v>31</v>
      </c>
      <c r="K111" s="8" t="s">
        <v>32</v>
      </c>
      <c r="L111" s="8" t="s">
        <v>174</v>
      </c>
      <c r="M111" s="8">
        <v>15</v>
      </c>
      <c r="N111" s="8">
        <v>8500</v>
      </c>
      <c r="O111" s="8">
        <v>0</v>
      </c>
      <c r="P111" s="8">
        <v>127500</v>
      </c>
      <c r="Q111" s="8">
        <v>3</v>
      </c>
      <c r="R111" s="8" t="s">
        <v>34</v>
      </c>
      <c r="S111" s="8" t="s">
        <v>115</v>
      </c>
      <c r="T111" s="8" t="s">
        <v>228</v>
      </c>
      <c r="U111" s="9" t="s">
        <v>647</v>
      </c>
      <c r="V111" s="8" t="s">
        <v>64</v>
      </c>
    </row>
    <row r="112" spans="1:22">
      <c r="A112" s="3" t="s">
        <v>648</v>
      </c>
      <c r="B112" s="4" t="s">
        <v>127</v>
      </c>
      <c r="C112" s="4" t="s">
        <v>72</v>
      </c>
      <c r="D112" s="4" t="s">
        <v>101</v>
      </c>
      <c r="E112" s="4" t="s">
        <v>102</v>
      </c>
      <c r="F112" s="4" t="s">
        <v>200</v>
      </c>
      <c r="G112" s="4" t="s">
        <v>76</v>
      </c>
      <c r="H112" s="4" t="s">
        <v>649</v>
      </c>
      <c r="I112" s="4" t="s">
        <v>30</v>
      </c>
      <c r="J112" s="4" t="s">
        <v>31</v>
      </c>
      <c r="K112" s="4" t="s">
        <v>46</v>
      </c>
      <c r="L112" s="4" t="s">
        <v>78</v>
      </c>
      <c r="M112" s="4">
        <v>1</v>
      </c>
      <c r="N112" s="4">
        <v>1200</v>
      </c>
      <c r="O112" s="4">
        <v>20</v>
      </c>
      <c r="P112" s="4">
        <v>960</v>
      </c>
      <c r="Q112" s="4">
        <v>1</v>
      </c>
      <c r="R112" s="4" t="s">
        <v>88</v>
      </c>
      <c r="S112" s="4" t="s">
        <v>115</v>
      </c>
      <c r="T112" s="4" t="s">
        <v>132</v>
      </c>
      <c r="U112" s="6" t="s">
        <v>650</v>
      </c>
      <c r="V112" s="4" t="s">
        <v>64</v>
      </c>
    </row>
    <row r="113" spans="1:22">
      <c r="A113" s="7" t="s">
        <v>651</v>
      </c>
      <c r="B113" s="8" t="s">
        <v>127</v>
      </c>
      <c r="C113" s="8" t="s">
        <v>169</v>
      </c>
      <c r="D113" s="8" t="s">
        <v>652</v>
      </c>
      <c r="E113" s="8" t="s">
        <v>539</v>
      </c>
      <c r="F113" s="8" t="s">
        <v>200</v>
      </c>
      <c r="G113" s="8" t="s">
        <v>76</v>
      </c>
      <c r="H113" s="8" t="s">
        <v>653</v>
      </c>
      <c r="I113" s="8" t="s">
        <v>294</v>
      </c>
      <c r="J113" s="8" t="s">
        <v>295</v>
      </c>
      <c r="K113" s="8" t="s">
        <v>32</v>
      </c>
      <c r="L113" s="8" t="s">
        <v>174</v>
      </c>
      <c r="M113" s="8">
        <v>5</v>
      </c>
      <c r="N113" s="8">
        <v>8500</v>
      </c>
      <c r="O113" s="8">
        <v>10</v>
      </c>
      <c r="P113" s="8">
        <v>38250</v>
      </c>
      <c r="Q113" s="8">
        <v>1</v>
      </c>
      <c r="R113" s="8" t="s">
        <v>79</v>
      </c>
      <c r="S113" s="8" t="s">
        <v>61</v>
      </c>
      <c r="T113" s="8" t="s">
        <v>132</v>
      </c>
      <c r="U113" s="9" t="s">
        <v>654</v>
      </c>
      <c r="V113" s="8" t="s">
        <v>38</v>
      </c>
    </row>
    <row r="114" spans="1:22">
      <c r="A114" s="3" t="s">
        <v>655</v>
      </c>
      <c r="B114" s="4" t="s">
        <v>53</v>
      </c>
      <c r="C114" s="4" t="s">
        <v>259</v>
      </c>
      <c r="D114" s="4" t="s">
        <v>656</v>
      </c>
      <c r="E114" s="4" t="s">
        <v>657</v>
      </c>
      <c r="F114" s="4" t="s">
        <v>163</v>
      </c>
      <c r="G114" s="4" t="s">
        <v>28</v>
      </c>
      <c r="H114" s="4" t="s">
        <v>658</v>
      </c>
      <c r="I114" s="4" t="s">
        <v>30</v>
      </c>
      <c r="J114" s="4" t="s">
        <v>31</v>
      </c>
      <c r="K114" s="4" t="s">
        <v>122</v>
      </c>
      <c r="L114" s="4" t="s">
        <v>263</v>
      </c>
      <c r="M114" s="4">
        <v>12</v>
      </c>
      <c r="N114" s="4">
        <v>45</v>
      </c>
      <c r="O114" s="4">
        <v>5</v>
      </c>
      <c r="P114" s="4">
        <v>513</v>
      </c>
      <c r="Q114" s="4">
        <v>2</v>
      </c>
      <c r="R114" s="4" t="s">
        <v>48</v>
      </c>
      <c r="S114" s="4" t="s">
        <v>35</v>
      </c>
      <c r="T114" s="4" t="s">
        <v>62</v>
      </c>
      <c r="U114" s="6" t="s">
        <v>659</v>
      </c>
      <c r="V114" s="4" t="s">
        <v>69</v>
      </c>
    </row>
    <row r="115" spans="1:22">
      <c r="A115" s="7" t="s">
        <v>660</v>
      </c>
      <c r="B115" s="8" t="s">
        <v>221</v>
      </c>
      <c r="C115" s="8" t="s">
        <v>118</v>
      </c>
      <c r="D115" s="8" t="s">
        <v>341</v>
      </c>
      <c r="E115" s="8" t="s">
        <v>661</v>
      </c>
      <c r="F115" s="8" t="s">
        <v>225</v>
      </c>
      <c r="G115" s="8" t="s">
        <v>76</v>
      </c>
      <c r="H115" s="8" t="s">
        <v>662</v>
      </c>
      <c r="I115" s="8" t="s">
        <v>114</v>
      </c>
      <c r="J115" s="8" t="s">
        <v>106</v>
      </c>
      <c r="K115" s="8" t="s">
        <v>122</v>
      </c>
      <c r="L115" s="8" t="s">
        <v>123</v>
      </c>
      <c r="M115" s="8">
        <v>5</v>
      </c>
      <c r="N115" s="8">
        <v>60</v>
      </c>
      <c r="O115" s="8">
        <v>5</v>
      </c>
      <c r="P115" s="8">
        <v>285</v>
      </c>
      <c r="Q115" s="8">
        <v>2</v>
      </c>
      <c r="R115" s="8" t="s">
        <v>34</v>
      </c>
      <c r="S115" s="8" t="s">
        <v>61</v>
      </c>
      <c r="T115" s="8" t="s">
        <v>228</v>
      </c>
      <c r="U115" s="9" t="s">
        <v>663</v>
      </c>
      <c r="V115" s="8" t="s">
        <v>38</v>
      </c>
    </row>
    <row r="116" spans="1:22">
      <c r="A116" s="3" t="s">
        <v>664</v>
      </c>
      <c r="B116" s="4" t="s">
        <v>53</v>
      </c>
      <c r="C116" s="4" t="s">
        <v>184</v>
      </c>
      <c r="D116" s="4" t="s">
        <v>665</v>
      </c>
      <c r="E116" s="4" t="s">
        <v>666</v>
      </c>
      <c r="F116" s="4" t="s">
        <v>163</v>
      </c>
      <c r="G116" s="4" t="s">
        <v>28</v>
      </c>
      <c r="H116" s="4" t="s">
        <v>667</v>
      </c>
      <c r="I116" s="4" t="s">
        <v>294</v>
      </c>
      <c r="J116" s="4" t="s">
        <v>295</v>
      </c>
      <c r="K116" s="4" t="s">
        <v>46</v>
      </c>
      <c r="L116" s="4" t="s">
        <v>189</v>
      </c>
      <c r="M116" s="4">
        <v>3</v>
      </c>
      <c r="N116" s="4">
        <v>700</v>
      </c>
      <c r="O116" s="4">
        <v>0</v>
      </c>
      <c r="P116" s="4">
        <v>2100</v>
      </c>
      <c r="Q116" s="4">
        <v>4</v>
      </c>
      <c r="R116" s="4" t="s">
        <v>79</v>
      </c>
      <c r="S116" s="4" t="s">
        <v>61</v>
      </c>
      <c r="T116" s="4" t="s">
        <v>62</v>
      </c>
      <c r="U116" s="6" t="s">
        <v>668</v>
      </c>
      <c r="V116" s="4" t="s">
        <v>38</v>
      </c>
    </row>
    <row r="117" spans="1:22">
      <c r="A117" s="7" t="s">
        <v>669</v>
      </c>
      <c r="B117" s="8" t="s">
        <v>168</v>
      </c>
      <c r="C117" s="8" t="s">
        <v>222</v>
      </c>
      <c r="D117" s="8" t="s">
        <v>335</v>
      </c>
      <c r="E117" s="8" t="s">
        <v>606</v>
      </c>
      <c r="F117" s="8" t="s">
        <v>361</v>
      </c>
      <c r="G117" s="8" t="s">
        <v>28</v>
      </c>
      <c r="H117" s="8" t="s">
        <v>670</v>
      </c>
      <c r="I117" s="8" t="s">
        <v>44</v>
      </c>
      <c r="J117" s="8" t="s">
        <v>45</v>
      </c>
      <c r="K117" s="8" t="s">
        <v>122</v>
      </c>
      <c r="L117" s="8" t="s">
        <v>227</v>
      </c>
      <c r="M117" s="8">
        <v>6</v>
      </c>
      <c r="N117" s="8">
        <v>20</v>
      </c>
      <c r="O117" s="8">
        <v>15</v>
      </c>
      <c r="P117" s="8">
        <v>102</v>
      </c>
      <c r="Q117" s="8">
        <v>5</v>
      </c>
      <c r="R117" s="8" t="s">
        <v>79</v>
      </c>
      <c r="S117" s="8" t="s">
        <v>151</v>
      </c>
      <c r="T117" s="8" t="s">
        <v>175</v>
      </c>
      <c r="U117" s="9" t="s">
        <v>671</v>
      </c>
      <c r="V117" s="8" t="s">
        <v>38</v>
      </c>
    </row>
    <row r="118" spans="1:22">
      <c r="A118" s="3" t="s">
        <v>672</v>
      </c>
      <c r="B118" s="4" t="s">
        <v>100</v>
      </c>
      <c r="C118" s="4" t="s">
        <v>184</v>
      </c>
      <c r="D118" s="4" t="s">
        <v>673</v>
      </c>
      <c r="E118" s="4" t="s">
        <v>674</v>
      </c>
      <c r="F118" s="4" t="s">
        <v>103</v>
      </c>
      <c r="G118" s="4" t="s">
        <v>28</v>
      </c>
      <c r="H118" s="4" t="s">
        <v>675</v>
      </c>
      <c r="I118" s="4" t="s">
        <v>59</v>
      </c>
      <c r="J118" s="4" t="s">
        <v>31</v>
      </c>
      <c r="K118" s="4" t="s">
        <v>46</v>
      </c>
      <c r="L118" s="4" t="s">
        <v>189</v>
      </c>
      <c r="M118" s="4">
        <v>2</v>
      </c>
      <c r="N118" s="4">
        <v>700</v>
      </c>
      <c r="O118" s="4">
        <v>15</v>
      </c>
      <c r="P118" s="4">
        <v>1190</v>
      </c>
      <c r="Q118" s="4">
        <v>4</v>
      </c>
      <c r="R118" s="4" t="s">
        <v>34</v>
      </c>
      <c r="S118" s="4" t="s">
        <v>151</v>
      </c>
      <c r="T118" s="4" t="s">
        <v>144</v>
      </c>
      <c r="U118" s="6" t="s">
        <v>676</v>
      </c>
      <c r="V118" s="4" t="s">
        <v>64</v>
      </c>
    </row>
    <row r="119" spans="1:22">
      <c r="A119" s="7" t="s">
        <v>677</v>
      </c>
      <c r="B119" s="8" t="s">
        <v>327</v>
      </c>
      <c r="C119" s="8" t="s">
        <v>259</v>
      </c>
      <c r="D119" s="8" t="s">
        <v>678</v>
      </c>
      <c r="E119" s="8" t="s">
        <v>679</v>
      </c>
      <c r="F119" s="8" t="s">
        <v>394</v>
      </c>
      <c r="G119" s="8" t="s">
        <v>76</v>
      </c>
      <c r="H119" s="8" t="s">
        <v>680</v>
      </c>
      <c r="I119" s="8" t="s">
        <v>114</v>
      </c>
      <c r="J119" s="8" t="s">
        <v>106</v>
      </c>
      <c r="K119" s="8" t="s">
        <v>122</v>
      </c>
      <c r="L119" s="8" t="s">
        <v>263</v>
      </c>
      <c r="M119" s="8">
        <v>16</v>
      </c>
      <c r="N119" s="8">
        <v>45</v>
      </c>
      <c r="O119" s="8">
        <v>0</v>
      </c>
      <c r="P119" s="8">
        <v>720</v>
      </c>
      <c r="Q119" s="8">
        <v>1</v>
      </c>
      <c r="R119" s="8" t="s">
        <v>48</v>
      </c>
      <c r="S119" s="8" t="s">
        <v>61</v>
      </c>
      <c r="T119" s="8" t="s">
        <v>332</v>
      </c>
      <c r="U119" s="9" t="s">
        <v>681</v>
      </c>
      <c r="V119" s="8" t="s">
        <v>38</v>
      </c>
    </row>
    <row r="120" spans="1:22">
      <c r="A120" s="3" t="s">
        <v>682</v>
      </c>
      <c r="B120" s="4" t="s">
        <v>71</v>
      </c>
      <c r="C120" s="4" t="s">
        <v>72</v>
      </c>
      <c r="D120" s="4" t="s">
        <v>683</v>
      </c>
      <c r="E120" s="4" t="s">
        <v>684</v>
      </c>
      <c r="F120" s="4" t="s">
        <v>217</v>
      </c>
      <c r="G120" s="4" t="s">
        <v>76</v>
      </c>
      <c r="H120" s="4" t="s">
        <v>685</v>
      </c>
      <c r="I120" s="4" t="s">
        <v>138</v>
      </c>
      <c r="J120" s="4" t="s">
        <v>106</v>
      </c>
      <c r="K120" s="4" t="s">
        <v>46</v>
      </c>
      <c r="L120" s="4" t="s">
        <v>78</v>
      </c>
      <c r="M120" s="4" t="s">
        <v>686</v>
      </c>
      <c r="N120" s="4">
        <v>1200</v>
      </c>
      <c r="O120" s="4">
        <v>15</v>
      </c>
      <c r="P120" s="4">
        <v>7140</v>
      </c>
      <c r="Q120" s="4">
        <v>4</v>
      </c>
      <c r="R120" s="4" t="s">
        <v>88</v>
      </c>
      <c r="S120" s="4" t="s">
        <v>151</v>
      </c>
      <c r="T120" s="4" t="s">
        <v>80</v>
      </c>
      <c r="U120" s="6" t="s">
        <v>687</v>
      </c>
      <c r="V120" s="4" t="s">
        <v>64</v>
      </c>
    </row>
    <row r="121" spans="1:22">
      <c r="A121" s="7" t="s">
        <v>688</v>
      </c>
      <c r="B121" s="8" t="s">
        <v>100</v>
      </c>
      <c r="C121" s="8" t="s">
        <v>40</v>
      </c>
      <c r="D121" s="8" t="s">
        <v>376</v>
      </c>
      <c r="E121" s="8" t="s">
        <v>469</v>
      </c>
      <c r="F121" s="8" t="s">
        <v>103</v>
      </c>
      <c r="G121" s="8" t="s">
        <v>28</v>
      </c>
      <c r="H121" s="8" t="s">
        <v>689</v>
      </c>
      <c r="I121" s="8" t="s">
        <v>212</v>
      </c>
      <c r="J121" s="8" t="s">
        <v>45</v>
      </c>
      <c r="K121" s="8" t="s">
        <v>46</v>
      </c>
      <c r="L121" s="8" t="s">
        <v>47</v>
      </c>
      <c r="M121" s="8">
        <v>14</v>
      </c>
      <c r="N121" s="8">
        <v>12000</v>
      </c>
      <c r="O121" s="8">
        <v>15</v>
      </c>
      <c r="P121" s="8">
        <v>142800</v>
      </c>
      <c r="Q121" s="8">
        <v>2</v>
      </c>
      <c r="R121" s="8" t="s">
        <v>48</v>
      </c>
      <c r="S121" s="8" t="s">
        <v>61</v>
      </c>
      <c r="T121" s="8" t="s">
        <v>144</v>
      </c>
      <c r="U121" s="9" t="s">
        <v>690</v>
      </c>
      <c r="V121" s="8" t="s">
        <v>64</v>
      </c>
    </row>
    <row r="122" spans="1:22">
      <c r="A122" s="3" t="s">
        <v>691</v>
      </c>
      <c r="B122" s="4" t="s">
        <v>127</v>
      </c>
      <c r="C122" s="4" t="s">
        <v>169</v>
      </c>
      <c r="D122" s="4" t="s">
        <v>454</v>
      </c>
      <c r="E122" s="4" t="s">
        <v>692</v>
      </c>
      <c r="F122" s="4" t="s">
        <v>200</v>
      </c>
      <c r="G122" s="4" t="s">
        <v>76</v>
      </c>
      <c r="H122" s="4" t="s">
        <v>693</v>
      </c>
      <c r="I122" s="4" t="s">
        <v>114</v>
      </c>
      <c r="J122" s="4" t="s">
        <v>106</v>
      </c>
      <c r="K122" s="4" t="s">
        <v>32</v>
      </c>
      <c r="L122" s="4" t="s">
        <v>174</v>
      </c>
      <c r="M122" s="4">
        <v>8</v>
      </c>
      <c r="N122" s="4">
        <v>8500</v>
      </c>
      <c r="O122" s="4">
        <v>20</v>
      </c>
      <c r="P122" s="4">
        <v>54400</v>
      </c>
      <c r="Q122" s="4">
        <v>3</v>
      </c>
      <c r="R122" s="4" t="s">
        <v>79</v>
      </c>
      <c r="S122" s="4" t="s">
        <v>49</v>
      </c>
      <c r="T122" s="4" t="s">
        <v>132</v>
      </c>
      <c r="U122" s="6" t="s">
        <v>694</v>
      </c>
      <c r="V122" s="4" t="s">
        <v>38</v>
      </c>
    </row>
    <row r="123" spans="1:22">
      <c r="A123" s="7" t="s">
        <v>695</v>
      </c>
      <c r="B123" s="8" t="s">
        <v>83</v>
      </c>
      <c r="C123" s="8" t="s">
        <v>259</v>
      </c>
      <c r="D123" s="8" t="s">
        <v>110</v>
      </c>
      <c r="E123" s="8" t="s">
        <v>313</v>
      </c>
      <c r="F123" s="8" t="s">
        <v>180</v>
      </c>
      <c r="G123" s="8" t="s">
        <v>76</v>
      </c>
      <c r="H123" s="8" t="s">
        <v>696</v>
      </c>
      <c r="I123" s="8" t="s">
        <v>59</v>
      </c>
      <c r="J123" s="8" t="s">
        <v>31</v>
      </c>
      <c r="K123" s="8" t="s">
        <v>122</v>
      </c>
      <c r="L123" s="8" t="s">
        <v>263</v>
      </c>
      <c r="M123" s="8">
        <v>3</v>
      </c>
      <c r="N123" s="8">
        <v>45</v>
      </c>
      <c r="O123" s="8">
        <v>0</v>
      </c>
      <c r="P123" s="8">
        <v>135</v>
      </c>
      <c r="Q123" s="8">
        <v>4</v>
      </c>
      <c r="R123" s="8" t="s">
        <v>88</v>
      </c>
      <c r="S123" s="8" t="s">
        <v>61</v>
      </c>
      <c r="T123" s="8" t="s">
        <v>89</v>
      </c>
      <c r="U123" s="9" t="s">
        <v>697</v>
      </c>
      <c r="V123" s="8" t="s">
        <v>69</v>
      </c>
    </row>
    <row r="124" spans="1:22">
      <c r="A124" s="3" t="s">
        <v>698</v>
      </c>
      <c r="B124" s="4" t="s">
        <v>327</v>
      </c>
      <c r="C124" s="4" t="s">
        <v>184</v>
      </c>
      <c r="D124" s="4" t="s">
        <v>464</v>
      </c>
      <c r="E124" s="4" t="s">
        <v>84</v>
      </c>
      <c r="F124" s="4" t="s">
        <v>394</v>
      </c>
      <c r="G124" s="4" t="s">
        <v>76</v>
      </c>
      <c r="H124" s="4" t="s">
        <v>699</v>
      </c>
      <c r="I124" s="4" t="s">
        <v>212</v>
      </c>
      <c r="J124" s="4" t="s">
        <v>45</v>
      </c>
      <c r="K124" s="4" t="s">
        <v>46</v>
      </c>
      <c r="L124" s="4" t="s">
        <v>189</v>
      </c>
      <c r="M124" s="4">
        <v>13</v>
      </c>
      <c r="N124" s="4">
        <v>700</v>
      </c>
      <c r="O124" s="4">
        <v>5</v>
      </c>
      <c r="P124" s="4">
        <v>8645</v>
      </c>
      <c r="Q124" s="4">
        <v>3</v>
      </c>
      <c r="R124" s="4" t="s">
        <v>79</v>
      </c>
      <c r="S124" s="4" t="s">
        <v>115</v>
      </c>
      <c r="T124" s="4" t="s">
        <v>332</v>
      </c>
      <c r="U124" s="6" t="s">
        <v>700</v>
      </c>
      <c r="V124" s="4" t="s">
        <v>64</v>
      </c>
    </row>
    <row r="125" spans="1:22">
      <c r="A125" s="7" t="s">
        <v>701</v>
      </c>
      <c r="B125" s="8" t="s">
        <v>168</v>
      </c>
      <c r="C125" s="8" t="s">
        <v>72</v>
      </c>
      <c r="D125" s="8" t="s">
        <v>702</v>
      </c>
      <c r="E125" s="8" t="s">
        <v>703</v>
      </c>
      <c r="F125" s="8" t="s">
        <v>361</v>
      </c>
      <c r="G125" s="8" t="s">
        <v>28</v>
      </c>
      <c r="H125" s="8" t="s">
        <v>704</v>
      </c>
      <c r="I125" s="8" t="s">
        <v>105</v>
      </c>
      <c r="J125" s="8" t="s">
        <v>106</v>
      </c>
      <c r="K125" s="8" t="s">
        <v>46</v>
      </c>
      <c r="L125" s="8" t="s">
        <v>78</v>
      </c>
      <c r="M125" s="8">
        <v>14</v>
      </c>
      <c r="N125" s="8">
        <v>1200</v>
      </c>
      <c r="O125" s="8">
        <v>20</v>
      </c>
      <c r="P125" s="8">
        <v>13440</v>
      </c>
      <c r="Q125" s="8">
        <v>5</v>
      </c>
      <c r="R125" s="8" t="s">
        <v>48</v>
      </c>
      <c r="S125" s="8" t="s">
        <v>61</v>
      </c>
      <c r="T125" s="8" t="s">
        <v>175</v>
      </c>
      <c r="U125" s="9" t="s">
        <v>705</v>
      </c>
      <c r="V125" s="8" t="s">
        <v>38</v>
      </c>
    </row>
    <row r="126" spans="1:22">
      <c r="A126" s="3" t="s">
        <v>706</v>
      </c>
      <c r="B126" s="4" t="s">
        <v>100</v>
      </c>
      <c r="C126" s="4" t="s">
        <v>259</v>
      </c>
      <c r="D126" s="4" t="s">
        <v>597</v>
      </c>
      <c r="E126" s="4" t="s">
        <v>707</v>
      </c>
      <c r="F126" s="4" t="s">
        <v>103</v>
      </c>
      <c r="G126" s="4" t="s">
        <v>28</v>
      </c>
      <c r="H126" s="4" t="s">
        <v>708</v>
      </c>
      <c r="I126" s="4" t="s">
        <v>44</v>
      </c>
      <c r="J126" s="4" t="s">
        <v>45</v>
      </c>
      <c r="K126" s="4" t="s">
        <v>122</v>
      </c>
      <c r="L126" s="4" t="s">
        <v>263</v>
      </c>
      <c r="M126" s="4">
        <v>2</v>
      </c>
      <c r="N126" s="4">
        <v>45</v>
      </c>
      <c r="O126" s="4">
        <v>5</v>
      </c>
      <c r="P126" s="4">
        <v>85.5</v>
      </c>
      <c r="Q126" s="4">
        <v>3</v>
      </c>
      <c r="R126" s="4" t="s">
        <v>88</v>
      </c>
      <c r="S126" s="4" t="s">
        <v>35</v>
      </c>
      <c r="T126" s="4" t="s">
        <v>144</v>
      </c>
      <c r="U126" s="6" t="s">
        <v>709</v>
      </c>
      <c r="V126" s="4" t="s">
        <v>69</v>
      </c>
    </row>
    <row r="127" spans="1:22">
      <c r="A127" s="7" t="s">
        <v>710</v>
      </c>
      <c r="B127" s="8" t="s">
        <v>168</v>
      </c>
      <c r="C127" s="8" t="s">
        <v>72</v>
      </c>
      <c r="D127" s="8" t="s">
        <v>711</v>
      </c>
      <c r="E127" s="8" t="s">
        <v>712</v>
      </c>
      <c r="F127" s="8" t="s">
        <v>361</v>
      </c>
      <c r="G127" s="8" t="s">
        <v>28</v>
      </c>
      <c r="H127" s="8" t="s">
        <v>713</v>
      </c>
      <c r="I127" s="8" t="s">
        <v>59</v>
      </c>
      <c r="J127" s="8" t="s">
        <v>31</v>
      </c>
      <c r="K127" s="8" t="s">
        <v>46</v>
      </c>
      <c r="L127" s="8" t="s">
        <v>78</v>
      </c>
      <c r="M127" s="8">
        <v>2</v>
      </c>
      <c r="N127" s="8">
        <v>1200</v>
      </c>
      <c r="O127" s="8">
        <v>20</v>
      </c>
      <c r="P127" s="8">
        <v>1920</v>
      </c>
      <c r="Q127" s="8">
        <v>3</v>
      </c>
      <c r="R127" s="8" t="s">
        <v>79</v>
      </c>
      <c r="S127" s="8" t="s">
        <v>115</v>
      </c>
      <c r="T127" s="8" t="s">
        <v>175</v>
      </c>
      <c r="U127" s="9" t="s">
        <v>714</v>
      </c>
      <c r="V127" s="8" t="s">
        <v>38</v>
      </c>
    </row>
    <row r="128" spans="1:22">
      <c r="A128" s="3" t="s">
        <v>715</v>
      </c>
      <c r="B128" s="4" t="s">
        <v>127</v>
      </c>
      <c r="C128" s="4" t="s">
        <v>54</v>
      </c>
      <c r="D128" s="4" t="s">
        <v>224</v>
      </c>
      <c r="E128" s="4" t="s">
        <v>716</v>
      </c>
      <c r="F128" s="4" t="s">
        <v>200</v>
      </c>
      <c r="G128" s="4" t="s">
        <v>76</v>
      </c>
      <c r="H128" s="4" t="s">
        <v>717</v>
      </c>
      <c r="I128" s="4" t="s">
        <v>59</v>
      </c>
      <c r="J128" s="4" t="s">
        <v>31</v>
      </c>
      <c r="K128" s="4" t="s">
        <v>46</v>
      </c>
      <c r="L128" s="4" t="s">
        <v>60</v>
      </c>
      <c r="M128" s="4">
        <v>10</v>
      </c>
      <c r="N128" s="4">
        <v>55000</v>
      </c>
      <c r="O128" s="4">
        <v>5</v>
      </c>
      <c r="P128" s="4">
        <v>522500</v>
      </c>
      <c r="Q128" s="4">
        <v>5</v>
      </c>
      <c r="R128" s="4" t="s">
        <v>88</v>
      </c>
      <c r="S128" s="4" t="s">
        <v>61</v>
      </c>
      <c r="T128" s="4" t="s">
        <v>132</v>
      </c>
      <c r="U128" s="6" t="s">
        <v>718</v>
      </c>
      <c r="V128" s="4" t="s">
        <v>64</v>
      </c>
    </row>
    <row r="129" spans="1:22">
      <c r="A129" s="7" t="s">
        <v>719</v>
      </c>
      <c r="B129" s="8" t="s">
        <v>251</v>
      </c>
      <c r="C129" s="8" t="s">
        <v>92</v>
      </c>
      <c r="D129" s="8" t="s">
        <v>720</v>
      </c>
      <c r="E129" s="8" t="s">
        <v>382</v>
      </c>
      <c r="F129" s="8" t="s">
        <v>254</v>
      </c>
      <c r="G129" s="8" t="s">
        <v>28</v>
      </c>
      <c r="H129" s="8" t="s">
        <v>721</v>
      </c>
      <c r="I129" s="8" t="s">
        <v>212</v>
      </c>
      <c r="J129" s="8" t="s">
        <v>45</v>
      </c>
      <c r="K129" s="8" t="s">
        <v>32</v>
      </c>
      <c r="L129" s="8" t="s">
        <v>97</v>
      </c>
      <c r="M129" s="8">
        <v>15</v>
      </c>
      <c r="N129" s="8">
        <v>3500</v>
      </c>
      <c r="O129" s="8">
        <v>10</v>
      </c>
      <c r="P129" s="8">
        <v>47250</v>
      </c>
      <c r="Q129" s="8">
        <v>3</v>
      </c>
      <c r="R129" s="8" t="s">
        <v>48</v>
      </c>
      <c r="S129" s="8" t="s">
        <v>115</v>
      </c>
      <c r="T129" s="8" t="s">
        <v>256</v>
      </c>
      <c r="U129" s="9" t="s">
        <v>722</v>
      </c>
      <c r="V129" s="8" t="s">
        <v>38</v>
      </c>
    </row>
    <row r="130" spans="1:22">
      <c r="A130" s="3" t="s">
        <v>723</v>
      </c>
      <c r="B130" s="4" t="s">
        <v>100</v>
      </c>
      <c r="C130" s="4" t="s">
        <v>24</v>
      </c>
      <c r="D130" s="4" t="s">
        <v>562</v>
      </c>
      <c r="E130" s="4" t="s">
        <v>724</v>
      </c>
      <c r="F130" s="4" t="s">
        <v>103</v>
      </c>
      <c r="G130" s="4" t="s">
        <v>28</v>
      </c>
      <c r="H130" s="4" t="s">
        <v>725</v>
      </c>
      <c r="I130" s="4" t="s">
        <v>59</v>
      </c>
      <c r="J130" s="4" t="s">
        <v>31</v>
      </c>
      <c r="K130" s="4" t="s">
        <v>32</v>
      </c>
      <c r="L130" s="4" t="s">
        <v>33</v>
      </c>
      <c r="M130" s="4">
        <v>10</v>
      </c>
      <c r="N130" s="4">
        <v>2200</v>
      </c>
      <c r="O130" s="4">
        <v>15</v>
      </c>
      <c r="P130" s="4">
        <v>18700</v>
      </c>
      <c r="Q130" s="4">
        <v>4</v>
      </c>
      <c r="R130" s="4" t="s">
        <v>79</v>
      </c>
      <c r="S130" s="4" t="s">
        <v>49</v>
      </c>
      <c r="T130" s="4" t="s">
        <v>144</v>
      </c>
      <c r="U130" s="6" t="s">
        <v>726</v>
      </c>
      <c r="V130" s="4" t="s">
        <v>64</v>
      </c>
    </row>
    <row r="131" spans="1:22">
      <c r="A131" s="7" t="s">
        <v>727</v>
      </c>
      <c r="B131" s="8" t="s">
        <v>251</v>
      </c>
      <c r="C131" s="8" t="s">
        <v>92</v>
      </c>
      <c r="D131" s="8" t="s">
        <v>260</v>
      </c>
      <c r="E131" s="8" t="s">
        <v>231</v>
      </c>
      <c r="F131" s="8" t="s">
        <v>254</v>
      </c>
      <c r="G131" s="8" t="s">
        <v>28</v>
      </c>
      <c r="H131" s="8" t="s">
        <v>728</v>
      </c>
      <c r="I131" s="8" t="s">
        <v>114</v>
      </c>
      <c r="J131" s="8" t="s">
        <v>106</v>
      </c>
      <c r="K131" s="8" t="s">
        <v>32</v>
      </c>
      <c r="L131" s="8" t="s">
        <v>97</v>
      </c>
      <c r="M131" s="8">
        <v>11</v>
      </c>
      <c r="N131" s="8">
        <v>3500</v>
      </c>
      <c r="O131" s="8">
        <v>5</v>
      </c>
      <c r="P131" s="8">
        <v>36575</v>
      </c>
      <c r="Q131" s="8">
        <v>5</v>
      </c>
      <c r="R131" s="8" t="s">
        <v>34</v>
      </c>
      <c r="S131" s="8" t="s">
        <v>35</v>
      </c>
      <c r="T131" s="8" t="s">
        <v>256</v>
      </c>
      <c r="U131" s="9" t="s">
        <v>729</v>
      </c>
      <c r="V131" s="8" t="s">
        <v>69</v>
      </c>
    </row>
    <row r="132" spans="1:22">
      <c r="A132" s="3" t="s">
        <v>730</v>
      </c>
      <c r="B132" s="4" t="s">
        <v>168</v>
      </c>
      <c r="C132" s="4" t="s">
        <v>72</v>
      </c>
      <c r="D132" s="4" t="s">
        <v>731</v>
      </c>
      <c r="E132" s="4" t="s">
        <v>732</v>
      </c>
      <c r="F132" s="4" t="s">
        <v>361</v>
      </c>
      <c r="G132" s="4" t="s">
        <v>28</v>
      </c>
      <c r="H132" s="4" t="s">
        <v>733</v>
      </c>
      <c r="I132" s="4" t="s">
        <v>59</v>
      </c>
      <c r="J132" s="4" t="s">
        <v>31</v>
      </c>
      <c r="K132" s="4" t="s">
        <v>46</v>
      </c>
      <c r="L132" s="4" t="s">
        <v>78</v>
      </c>
      <c r="M132" s="4">
        <v>14</v>
      </c>
      <c r="N132" s="4">
        <v>1200</v>
      </c>
      <c r="O132" s="4">
        <v>0</v>
      </c>
      <c r="P132" s="4">
        <v>16800</v>
      </c>
      <c r="Q132" s="4">
        <v>5</v>
      </c>
      <c r="R132" s="4" t="s">
        <v>34</v>
      </c>
      <c r="S132" s="4" t="s">
        <v>49</v>
      </c>
      <c r="T132" s="4" t="s">
        <v>175</v>
      </c>
      <c r="U132" s="6" t="s">
        <v>734</v>
      </c>
      <c r="V132" s="4" t="s">
        <v>69</v>
      </c>
    </row>
    <row r="133" spans="1:22">
      <c r="A133" s="7" t="s">
        <v>735</v>
      </c>
      <c r="B133" s="8" t="s">
        <v>100</v>
      </c>
      <c r="C133" s="8" t="s">
        <v>222</v>
      </c>
      <c r="D133" s="8" t="s">
        <v>736</v>
      </c>
      <c r="E133" s="8" t="s">
        <v>170</v>
      </c>
      <c r="F133" s="8" t="s">
        <v>103</v>
      </c>
      <c r="G133" s="8" t="s">
        <v>28</v>
      </c>
      <c r="H133" s="8" t="s">
        <v>737</v>
      </c>
      <c r="I133" s="8" t="s">
        <v>44</v>
      </c>
      <c r="J133" s="8" t="s">
        <v>45</v>
      </c>
      <c r="K133" s="8" t="s">
        <v>122</v>
      </c>
      <c r="L133" s="8" t="s">
        <v>227</v>
      </c>
      <c r="M133" s="8">
        <v>11</v>
      </c>
      <c r="N133" s="8">
        <v>20</v>
      </c>
      <c r="O133" s="8">
        <v>20</v>
      </c>
      <c r="P133" s="8">
        <v>176</v>
      </c>
      <c r="Q133" s="8">
        <v>4</v>
      </c>
      <c r="R133" s="8" t="s">
        <v>48</v>
      </c>
      <c r="S133" s="8" t="s">
        <v>35</v>
      </c>
      <c r="T133" s="8" t="s">
        <v>144</v>
      </c>
      <c r="U133" s="9" t="s">
        <v>738</v>
      </c>
      <c r="V133" s="8" t="s">
        <v>38</v>
      </c>
    </row>
    <row r="134" spans="1:22">
      <c r="A134" s="3" t="s">
        <v>739</v>
      </c>
      <c r="B134" s="4" t="s">
        <v>71</v>
      </c>
      <c r="C134" s="4" t="s">
        <v>40</v>
      </c>
      <c r="D134" s="4" t="s">
        <v>740</v>
      </c>
      <c r="E134" s="4" t="s">
        <v>657</v>
      </c>
      <c r="F134" s="4" t="s">
        <v>217</v>
      </c>
      <c r="G134" s="4" t="s">
        <v>76</v>
      </c>
      <c r="H134" s="4" t="s">
        <v>741</v>
      </c>
      <c r="I134" s="4" t="s">
        <v>114</v>
      </c>
      <c r="J134" s="4" t="s">
        <v>106</v>
      </c>
      <c r="K134" s="4" t="s">
        <v>46</v>
      </c>
      <c r="L134" s="4" t="s">
        <v>47</v>
      </c>
      <c r="M134" s="4">
        <v>6</v>
      </c>
      <c r="N134" s="4">
        <v>12000</v>
      </c>
      <c r="O134" s="4">
        <v>10</v>
      </c>
      <c r="P134" s="4">
        <v>64800</v>
      </c>
      <c r="Q134" s="4">
        <v>5</v>
      </c>
      <c r="R134" s="4" t="s">
        <v>88</v>
      </c>
      <c r="S134" s="4" t="s">
        <v>151</v>
      </c>
      <c r="T134" s="4" t="s">
        <v>80</v>
      </c>
      <c r="U134" s="6" t="s">
        <v>742</v>
      </c>
      <c r="V134" s="4" t="s">
        <v>38</v>
      </c>
    </row>
    <row r="135" spans="1:22">
      <c r="A135" s="7" t="s">
        <v>743</v>
      </c>
      <c r="B135" s="8" t="s">
        <v>71</v>
      </c>
      <c r="C135" s="8" t="s">
        <v>24</v>
      </c>
      <c r="D135" s="8" t="s">
        <v>652</v>
      </c>
      <c r="E135" s="8" t="s">
        <v>539</v>
      </c>
      <c r="F135" s="8" t="s">
        <v>217</v>
      </c>
      <c r="G135" s="8" t="s">
        <v>76</v>
      </c>
      <c r="H135" s="8" t="s">
        <v>744</v>
      </c>
      <c r="I135" s="8" t="s">
        <v>30</v>
      </c>
      <c r="J135" s="8" t="s">
        <v>31</v>
      </c>
      <c r="K135" s="8" t="s">
        <v>32</v>
      </c>
      <c r="L135" s="8" t="s">
        <v>33</v>
      </c>
      <c r="M135" s="8">
        <v>6</v>
      </c>
      <c r="N135" s="8">
        <v>2200</v>
      </c>
      <c r="O135" s="8">
        <v>5</v>
      </c>
      <c r="P135" s="8">
        <v>12540</v>
      </c>
      <c r="Q135" s="8">
        <v>4</v>
      </c>
      <c r="R135" s="8" t="s">
        <v>34</v>
      </c>
      <c r="S135" s="8" t="s">
        <v>49</v>
      </c>
      <c r="T135" s="8" t="s">
        <v>80</v>
      </c>
      <c r="U135" s="9" t="s">
        <v>745</v>
      </c>
      <c r="V135" s="8" t="s">
        <v>38</v>
      </c>
    </row>
    <row r="136" spans="1:22">
      <c r="A136" s="3" t="s">
        <v>746</v>
      </c>
      <c r="B136" s="4" t="s">
        <v>53</v>
      </c>
      <c r="C136" s="4" t="s">
        <v>92</v>
      </c>
      <c r="D136" s="4" t="s">
        <v>408</v>
      </c>
      <c r="E136" s="4" t="s">
        <v>488</v>
      </c>
      <c r="F136" s="4" t="s">
        <v>163</v>
      </c>
      <c r="G136" s="4" t="s">
        <v>28</v>
      </c>
      <c r="H136" s="4" t="s">
        <v>747</v>
      </c>
      <c r="I136" s="4" t="s">
        <v>44</v>
      </c>
      <c r="J136" s="4" t="s">
        <v>45</v>
      </c>
      <c r="K136" s="4" t="s">
        <v>32</v>
      </c>
      <c r="L136" s="4" t="s">
        <v>97</v>
      </c>
      <c r="M136" s="4">
        <v>3</v>
      </c>
      <c r="N136" s="4">
        <v>3500</v>
      </c>
      <c r="O136" s="4">
        <v>5</v>
      </c>
      <c r="P136" s="4">
        <v>9975</v>
      </c>
      <c r="Q136" s="4">
        <v>4</v>
      </c>
      <c r="R136" s="4" t="s">
        <v>48</v>
      </c>
      <c r="S136" s="4" t="s">
        <v>49</v>
      </c>
      <c r="T136" s="4" t="s">
        <v>62</v>
      </c>
      <c r="U136" s="6" t="s">
        <v>748</v>
      </c>
      <c r="V136" s="4" t="s">
        <v>64</v>
      </c>
    </row>
    <row r="137" spans="1:22">
      <c r="A137" s="7" t="s">
        <v>749</v>
      </c>
      <c r="B137" s="8" t="s">
        <v>71</v>
      </c>
      <c r="C137" s="8" t="s">
        <v>169</v>
      </c>
      <c r="D137" s="8" t="s">
        <v>750</v>
      </c>
      <c r="E137" s="8" t="s">
        <v>751</v>
      </c>
      <c r="F137" s="8" t="s">
        <v>217</v>
      </c>
      <c r="G137" s="8" t="s">
        <v>76</v>
      </c>
      <c r="H137" s="8" t="s">
        <v>752</v>
      </c>
      <c r="I137" s="8" t="s">
        <v>30</v>
      </c>
      <c r="J137" s="8" t="s">
        <v>31</v>
      </c>
      <c r="K137" s="8" t="s">
        <v>32</v>
      </c>
      <c r="L137" s="8" t="s">
        <v>174</v>
      </c>
      <c r="M137" s="8">
        <v>5</v>
      </c>
      <c r="N137" s="8">
        <v>8500</v>
      </c>
      <c r="O137" s="8">
        <v>20</v>
      </c>
      <c r="P137" s="8">
        <v>34000</v>
      </c>
      <c r="Q137" s="8">
        <v>5</v>
      </c>
      <c r="R137" s="8" t="s">
        <v>34</v>
      </c>
      <c r="S137" s="8" t="s">
        <v>61</v>
      </c>
      <c r="T137" s="8" t="s">
        <v>80</v>
      </c>
      <c r="U137" s="9" t="s">
        <v>753</v>
      </c>
      <c r="V137" s="8" t="s">
        <v>64</v>
      </c>
    </row>
    <row r="138" spans="1:22">
      <c r="A138" s="3" t="s">
        <v>754</v>
      </c>
      <c r="B138" s="4" t="s">
        <v>23</v>
      </c>
      <c r="C138" s="4" t="s">
        <v>92</v>
      </c>
      <c r="D138" s="4" t="s">
        <v>755</v>
      </c>
      <c r="E138" s="4" t="s">
        <v>756</v>
      </c>
      <c r="F138" s="4" t="s">
        <v>27</v>
      </c>
      <c r="G138" s="4" t="s">
        <v>28</v>
      </c>
      <c r="H138" s="4" t="s">
        <v>757</v>
      </c>
      <c r="I138" s="4" t="s">
        <v>59</v>
      </c>
      <c r="J138" s="4" t="s">
        <v>31</v>
      </c>
      <c r="K138" s="4" t="s">
        <v>32</v>
      </c>
      <c r="L138" s="4" t="s">
        <v>97</v>
      </c>
      <c r="M138" s="4">
        <v>14</v>
      </c>
      <c r="N138" s="4">
        <v>3500</v>
      </c>
      <c r="O138" s="4">
        <v>10</v>
      </c>
      <c r="P138" s="4">
        <v>44100</v>
      </c>
      <c r="Q138" s="4">
        <v>4</v>
      </c>
      <c r="R138" s="4" t="s">
        <v>88</v>
      </c>
      <c r="S138" s="4" t="s">
        <v>35</v>
      </c>
      <c r="T138" s="4" t="s">
        <v>50</v>
      </c>
      <c r="U138" s="6" t="s">
        <v>758</v>
      </c>
      <c r="V138" s="4" t="s">
        <v>69</v>
      </c>
    </row>
    <row r="139" spans="1:22">
      <c r="A139" s="7" t="s">
        <v>759</v>
      </c>
      <c r="B139" s="8" t="s">
        <v>327</v>
      </c>
      <c r="C139" s="8" t="s">
        <v>259</v>
      </c>
      <c r="D139" s="8" t="s">
        <v>760</v>
      </c>
      <c r="E139" s="8" t="s">
        <v>761</v>
      </c>
      <c r="F139" s="8" t="s">
        <v>394</v>
      </c>
      <c r="G139" s="8" t="s">
        <v>76</v>
      </c>
      <c r="H139" s="8" t="s">
        <v>762</v>
      </c>
      <c r="I139" s="8" t="s">
        <v>138</v>
      </c>
      <c r="J139" s="8" t="s">
        <v>106</v>
      </c>
      <c r="K139" s="8" t="s">
        <v>122</v>
      </c>
      <c r="L139" s="8" t="s">
        <v>263</v>
      </c>
      <c r="M139" s="8">
        <v>8</v>
      </c>
      <c r="N139" s="8">
        <v>45</v>
      </c>
      <c r="O139" s="8">
        <v>0</v>
      </c>
      <c r="P139" s="8">
        <v>360</v>
      </c>
      <c r="Q139" s="8">
        <v>1</v>
      </c>
      <c r="R139" s="8" t="s">
        <v>79</v>
      </c>
      <c r="S139" s="8" t="s">
        <v>151</v>
      </c>
      <c r="T139" s="8" t="s">
        <v>332</v>
      </c>
      <c r="U139" s="9" t="s">
        <v>763</v>
      </c>
      <c r="V139" s="8" t="s">
        <v>69</v>
      </c>
    </row>
    <row r="140" spans="1:22">
      <c r="A140" s="3" t="s">
        <v>764</v>
      </c>
      <c r="B140" s="4" t="s">
        <v>221</v>
      </c>
      <c r="C140" s="4" t="s">
        <v>259</v>
      </c>
      <c r="D140" s="4" t="s">
        <v>765</v>
      </c>
      <c r="E140" s="4" t="s">
        <v>766</v>
      </c>
      <c r="F140" s="4" t="s">
        <v>225</v>
      </c>
      <c r="G140" s="4" t="s">
        <v>76</v>
      </c>
      <c r="H140" s="4" t="s">
        <v>767</v>
      </c>
      <c r="I140" s="4" t="s">
        <v>44</v>
      </c>
      <c r="J140" s="4" t="s">
        <v>45</v>
      </c>
      <c r="K140" s="4" t="s">
        <v>122</v>
      </c>
      <c r="L140" s="4" t="s">
        <v>263</v>
      </c>
      <c r="M140" s="4">
        <v>11</v>
      </c>
      <c r="N140" s="4">
        <v>45</v>
      </c>
      <c r="O140" s="4">
        <v>5</v>
      </c>
      <c r="P140" s="4">
        <v>470.25</v>
      </c>
      <c r="Q140" s="4">
        <v>3</v>
      </c>
      <c r="R140" s="4" t="s">
        <v>79</v>
      </c>
      <c r="S140" s="4" t="s">
        <v>49</v>
      </c>
      <c r="T140" s="4" t="s">
        <v>228</v>
      </c>
      <c r="U140" s="6" t="s">
        <v>768</v>
      </c>
      <c r="V140" s="4" t="s">
        <v>38</v>
      </c>
    </row>
    <row r="141" spans="1:22">
      <c r="A141" s="7" t="s">
        <v>769</v>
      </c>
      <c r="B141" s="8" t="s">
        <v>83</v>
      </c>
      <c r="C141" s="8" t="s">
        <v>54</v>
      </c>
      <c r="D141" s="8" t="s">
        <v>770</v>
      </c>
      <c r="E141" s="8" t="s">
        <v>771</v>
      </c>
      <c r="F141" s="8" t="s">
        <v>180</v>
      </c>
      <c r="G141" s="8" t="s">
        <v>76</v>
      </c>
      <c r="H141" s="8" t="s">
        <v>772</v>
      </c>
      <c r="I141" s="8" t="s">
        <v>138</v>
      </c>
      <c r="J141" s="8" t="s">
        <v>106</v>
      </c>
      <c r="K141" s="8" t="s">
        <v>46</v>
      </c>
      <c r="L141" s="8" t="s">
        <v>60</v>
      </c>
      <c r="M141" s="8">
        <v>19</v>
      </c>
      <c r="N141" s="8">
        <v>55000</v>
      </c>
      <c r="O141" s="8">
        <v>0</v>
      </c>
      <c r="P141" s="8">
        <v>1045000</v>
      </c>
      <c r="Q141" s="8">
        <v>2</v>
      </c>
      <c r="R141" s="8" t="s">
        <v>79</v>
      </c>
      <c r="S141" s="8" t="s">
        <v>35</v>
      </c>
      <c r="T141" s="8" t="s">
        <v>89</v>
      </c>
      <c r="U141" s="9" t="s">
        <v>773</v>
      </c>
      <c r="V141" s="8" t="s">
        <v>69</v>
      </c>
    </row>
    <row r="142" spans="1:22">
      <c r="A142" s="3" t="s">
        <v>774</v>
      </c>
      <c r="B142" s="4" t="s">
        <v>53</v>
      </c>
      <c r="C142" s="4" t="s">
        <v>92</v>
      </c>
      <c r="D142" s="4" t="s">
        <v>775</v>
      </c>
      <c r="E142" s="4" t="s">
        <v>539</v>
      </c>
      <c r="F142" s="4" t="s">
        <v>163</v>
      </c>
      <c r="G142" s="4" t="s">
        <v>28</v>
      </c>
      <c r="H142" s="4" t="s">
        <v>776</v>
      </c>
      <c r="I142" s="4" t="s">
        <v>114</v>
      </c>
      <c r="J142" s="4" t="s">
        <v>106</v>
      </c>
      <c r="K142" s="4" t="s">
        <v>32</v>
      </c>
      <c r="L142" s="4" t="s">
        <v>97</v>
      </c>
      <c r="M142" s="4">
        <v>20</v>
      </c>
      <c r="N142" s="4">
        <v>3500</v>
      </c>
      <c r="O142" s="4">
        <v>20</v>
      </c>
      <c r="P142" s="4">
        <v>56000</v>
      </c>
      <c r="Q142" s="4">
        <v>4</v>
      </c>
      <c r="R142" s="4" t="s">
        <v>48</v>
      </c>
      <c r="S142" s="4" t="s">
        <v>49</v>
      </c>
      <c r="T142" s="4" t="s">
        <v>62</v>
      </c>
      <c r="U142" s="6" t="s">
        <v>777</v>
      </c>
      <c r="V142" s="4" t="s">
        <v>38</v>
      </c>
    </row>
    <row r="143" spans="1:22">
      <c r="A143" s="7" t="s">
        <v>778</v>
      </c>
      <c r="B143" s="8" t="s">
        <v>83</v>
      </c>
      <c r="C143" s="8" t="s">
        <v>24</v>
      </c>
      <c r="D143" s="8" t="s">
        <v>276</v>
      </c>
      <c r="E143" s="8" t="s">
        <v>779</v>
      </c>
      <c r="F143" s="8" t="s">
        <v>180</v>
      </c>
      <c r="G143" s="8" t="s">
        <v>76</v>
      </c>
      <c r="H143" s="8" t="s">
        <v>780</v>
      </c>
      <c r="I143" s="8" t="s">
        <v>114</v>
      </c>
      <c r="J143" s="8" t="s">
        <v>106</v>
      </c>
      <c r="K143" s="8" t="s">
        <v>32</v>
      </c>
      <c r="L143" s="8" t="s">
        <v>33</v>
      </c>
      <c r="M143" s="8">
        <v>17</v>
      </c>
      <c r="N143" s="8">
        <v>2200</v>
      </c>
      <c r="O143" s="8">
        <v>0</v>
      </c>
      <c r="P143" s="8">
        <v>37400</v>
      </c>
      <c r="Q143" s="8">
        <v>5</v>
      </c>
      <c r="R143" s="8" t="s">
        <v>48</v>
      </c>
      <c r="S143" s="8" t="s">
        <v>35</v>
      </c>
      <c r="T143" s="8" t="s">
        <v>89</v>
      </c>
      <c r="U143" s="9" t="s">
        <v>781</v>
      </c>
      <c r="V143" s="8" t="s">
        <v>64</v>
      </c>
    </row>
    <row r="144" spans="1:22">
      <c r="A144" s="3" t="s">
        <v>782</v>
      </c>
      <c r="B144" s="4" t="s">
        <v>83</v>
      </c>
      <c r="C144" s="4" t="s">
        <v>72</v>
      </c>
      <c r="D144" s="4" t="s">
        <v>770</v>
      </c>
      <c r="E144" s="4" t="s">
        <v>783</v>
      </c>
      <c r="F144" s="4" t="s">
        <v>180</v>
      </c>
      <c r="G144" s="4" t="s">
        <v>76</v>
      </c>
      <c r="H144" s="4" t="s">
        <v>784</v>
      </c>
      <c r="I144" s="4" t="s">
        <v>114</v>
      </c>
      <c r="J144" s="4" t="s">
        <v>106</v>
      </c>
      <c r="K144" s="4" t="s">
        <v>46</v>
      </c>
      <c r="L144" s="4" t="s">
        <v>78</v>
      </c>
      <c r="M144" s="4">
        <v>10</v>
      </c>
      <c r="N144" s="4">
        <v>1200</v>
      </c>
      <c r="O144" s="4">
        <v>5</v>
      </c>
      <c r="P144" s="4">
        <v>11400</v>
      </c>
      <c r="Q144" s="4">
        <v>2</v>
      </c>
      <c r="R144" s="4" t="s">
        <v>34</v>
      </c>
      <c r="S144" s="4" t="s">
        <v>49</v>
      </c>
      <c r="T144" s="4" t="s">
        <v>89</v>
      </c>
      <c r="U144" s="6" t="s">
        <v>785</v>
      </c>
      <c r="V144" s="4" t="s">
        <v>69</v>
      </c>
    </row>
    <row r="145" spans="1:22">
      <c r="A145" s="7" t="s">
        <v>786</v>
      </c>
      <c r="B145" s="8" t="s">
        <v>221</v>
      </c>
      <c r="C145" s="8" t="s">
        <v>118</v>
      </c>
      <c r="D145" s="8" t="s">
        <v>787</v>
      </c>
      <c r="E145" s="8" t="s">
        <v>788</v>
      </c>
      <c r="F145" s="8" t="s">
        <v>225</v>
      </c>
      <c r="G145" s="8" t="s">
        <v>76</v>
      </c>
      <c r="H145" s="8" t="s">
        <v>789</v>
      </c>
      <c r="I145" s="8" t="s">
        <v>30</v>
      </c>
      <c r="J145" s="8" t="s">
        <v>31</v>
      </c>
      <c r="K145" s="8" t="s">
        <v>122</v>
      </c>
      <c r="L145" s="8" t="s">
        <v>123</v>
      </c>
      <c r="M145" s="8">
        <v>3</v>
      </c>
      <c r="N145" s="8">
        <v>60</v>
      </c>
      <c r="O145" s="8">
        <v>0</v>
      </c>
      <c r="P145" s="8">
        <v>180</v>
      </c>
      <c r="Q145" s="8">
        <v>4</v>
      </c>
      <c r="R145" s="8" t="s">
        <v>48</v>
      </c>
      <c r="S145" s="8" t="s">
        <v>151</v>
      </c>
      <c r="T145" s="8" t="s">
        <v>228</v>
      </c>
      <c r="U145" s="9" t="s">
        <v>790</v>
      </c>
      <c r="V145" s="8" t="s">
        <v>38</v>
      </c>
    </row>
    <row r="146" spans="1:22">
      <c r="A146" s="3" t="s">
        <v>791</v>
      </c>
      <c r="B146" s="4" t="s">
        <v>53</v>
      </c>
      <c r="C146" s="4" t="s">
        <v>24</v>
      </c>
      <c r="D146" s="4" t="s">
        <v>792</v>
      </c>
      <c r="E146" s="4" t="s">
        <v>793</v>
      </c>
      <c r="F146" s="4" t="s">
        <v>163</v>
      </c>
      <c r="G146" s="4" t="s">
        <v>28</v>
      </c>
      <c r="H146" s="4" t="s">
        <v>794</v>
      </c>
      <c r="I146" s="4" t="s">
        <v>105</v>
      </c>
      <c r="J146" s="4" t="s">
        <v>106</v>
      </c>
      <c r="K146" s="4" t="s">
        <v>32</v>
      </c>
      <c r="L146" s="4" t="s">
        <v>33</v>
      </c>
      <c r="M146" s="4">
        <v>18</v>
      </c>
      <c r="N146" s="4">
        <v>2200</v>
      </c>
      <c r="O146" s="4">
        <v>10</v>
      </c>
      <c r="P146" s="4">
        <v>35640</v>
      </c>
      <c r="Q146" s="4">
        <v>1</v>
      </c>
      <c r="R146" s="4" t="s">
        <v>79</v>
      </c>
      <c r="S146" s="4" t="s">
        <v>151</v>
      </c>
      <c r="T146" s="4" t="s">
        <v>62</v>
      </c>
      <c r="U146" s="6" t="s">
        <v>795</v>
      </c>
      <c r="V146" s="4" t="s">
        <v>69</v>
      </c>
    </row>
    <row r="147" spans="1:22">
      <c r="A147" s="7" t="s">
        <v>796</v>
      </c>
      <c r="B147" s="8" t="s">
        <v>71</v>
      </c>
      <c r="C147" s="8" t="s">
        <v>118</v>
      </c>
      <c r="D147" s="8" t="s">
        <v>797</v>
      </c>
      <c r="E147" s="8" t="s">
        <v>798</v>
      </c>
      <c r="F147" s="8" t="s">
        <v>217</v>
      </c>
      <c r="G147" s="8" t="s">
        <v>76</v>
      </c>
      <c r="H147" s="8" t="s">
        <v>799</v>
      </c>
      <c r="I147" s="8" t="s">
        <v>44</v>
      </c>
      <c r="J147" s="8" t="s">
        <v>45</v>
      </c>
      <c r="K147" s="8" t="s">
        <v>122</v>
      </c>
      <c r="L147" s="8" t="s">
        <v>123</v>
      </c>
      <c r="M147" s="8">
        <v>18</v>
      </c>
      <c r="N147" s="8">
        <v>60</v>
      </c>
      <c r="O147" s="8">
        <v>5</v>
      </c>
      <c r="P147" s="8">
        <v>1026</v>
      </c>
      <c r="Q147" s="8">
        <v>3</v>
      </c>
      <c r="R147" s="8" t="s">
        <v>79</v>
      </c>
      <c r="S147" s="8" t="s">
        <v>49</v>
      </c>
      <c r="T147" s="8" t="s">
        <v>80</v>
      </c>
      <c r="U147" s="9" t="s">
        <v>800</v>
      </c>
      <c r="V147" s="8" t="s">
        <v>64</v>
      </c>
    </row>
    <row r="148" spans="1:22">
      <c r="A148" s="3" t="s">
        <v>801</v>
      </c>
      <c r="B148" s="4" t="s">
        <v>127</v>
      </c>
      <c r="C148" s="4" t="s">
        <v>54</v>
      </c>
      <c r="D148" s="4" t="s">
        <v>422</v>
      </c>
      <c r="E148" s="4" t="s">
        <v>377</v>
      </c>
      <c r="F148" s="4" t="s">
        <v>200</v>
      </c>
      <c r="G148" s="4" t="s">
        <v>76</v>
      </c>
      <c r="H148" s="4" t="s">
        <v>802</v>
      </c>
      <c r="I148" s="4" t="s">
        <v>114</v>
      </c>
      <c r="J148" s="4" t="s">
        <v>106</v>
      </c>
      <c r="K148" s="4" t="s">
        <v>46</v>
      </c>
      <c r="L148" s="4" t="s">
        <v>60</v>
      </c>
      <c r="M148" s="4">
        <v>11</v>
      </c>
      <c r="N148" s="4">
        <v>55000</v>
      </c>
      <c r="O148" s="4">
        <v>15</v>
      </c>
      <c r="P148" s="4">
        <v>514250</v>
      </c>
      <c r="Q148" s="4">
        <v>4</v>
      </c>
      <c r="R148" s="4" t="s">
        <v>88</v>
      </c>
      <c r="S148" s="4" t="s">
        <v>115</v>
      </c>
      <c r="T148" s="4" t="s">
        <v>132</v>
      </c>
      <c r="U148" s="6" t="s">
        <v>803</v>
      </c>
      <c r="V148" s="4" t="s">
        <v>69</v>
      </c>
    </row>
    <row r="149" spans="1:22">
      <c r="A149" s="7" t="s">
        <v>804</v>
      </c>
      <c r="B149" s="8" t="s">
        <v>251</v>
      </c>
      <c r="C149" s="8" t="s">
        <v>169</v>
      </c>
      <c r="D149" s="8" t="s">
        <v>474</v>
      </c>
      <c r="E149" s="8" t="s">
        <v>464</v>
      </c>
      <c r="F149" s="8" t="s">
        <v>254</v>
      </c>
      <c r="G149" s="8" t="s">
        <v>28</v>
      </c>
      <c r="H149" s="8" t="s">
        <v>805</v>
      </c>
      <c r="I149" s="8" t="s">
        <v>294</v>
      </c>
      <c r="J149" s="8" t="s">
        <v>295</v>
      </c>
      <c r="K149" s="8" t="s">
        <v>32</v>
      </c>
      <c r="L149" s="8" t="s">
        <v>174</v>
      </c>
      <c r="M149" s="8">
        <v>5</v>
      </c>
      <c r="N149" s="8">
        <v>8500</v>
      </c>
      <c r="O149" s="8">
        <v>5</v>
      </c>
      <c r="P149" s="8">
        <v>40375</v>
      </c>
      <c r="Q149" s="8">
        <v>4</v>
      </c>
      <c r="R149" s="8" t="s">
        <v>34</v>
      </c>
      <c r="S149" s="8" t="s">
        <v>151</v>
      </c>
      <c r="T149" s="8" t="s">
        <v>256</v>
      </c>
      <c r="U149" s="9" t="s">
        <v>806</v>
      </c>
      <c r="V149" s="8" t="s">
        <v>38</v>
      </c>
    </row>
    <row r="150" spans="1:22">
      <c r="A150" s="3" t="s">
        <v>192</v>
      </c>
      <c r="B150" s="4" t="s">
        <v>100</v>
      </c>
      <c r="C150" s="4" t="s">
        <v>184</v>
      </c>
      <c r="D150" s="4" t="s">
        <v>246</v>
      </c>
      <c r="E150" s="4" t="s">
        <v>128</v>
      </c>
      <c r="F150" s="4" t="s">
        <v>103</v>
      </c>
      <c r="G150" s="4" t="s">
        <v>28</v>
      </c>
      <c r="H150" s="4" t="s">
        <v>807</v>
      </c>
      <c r="I150" s="4" t="s">
        <v>212</v>
      </c>
      <c r="J150" s="4" t="s">
        <v>45</v>
      </c>
      <c r="K150" s="4" t="s">
        <v>46</v>
      </c>
      <c r="L150" s="4" t="s">
        <v>189</v>
      </c>
      <c r="M150" s="4">
        <v>16</v>
      </c>
      <c r="N150" s="4">
        <v>700</v>
      </c>
      <c r="O150" s="4">
        <v>15</v>
      </c>
      <c r="P150" s="4">
        <v>9520</v>
      </c>
      <c r="Q150" s="4">
        <v>4</v>
      </c>
      <c r="R150" s="4" t="s">
        <v>79</v>
      </c>
      <c r="S150" s="4" t="s">
        <v>61</v>
      </c>
      <c r="T150" s="4" t="s">
        <v>144</v>
      </c>
      <c r="U150" s="6" t="s">
        <v>808</v>
      </c>
      <c r="V150" s="4" t="s">
        <v>38</v>
      </c>
    </row>
    <row r="151" spans="1:22">
      <c r="A151" s="7" t="s">
        <v>809</v>
      </c>
      <c r="B151" s="8" t="s">
        <v>127</v>
      </c>
      <c r="C151" s="8" t="s">
        <v>184</v>
      </c>
      <c r="D151" s="8" t="s">
        <v>489</v>
      </c>
      <c r="E151" s="8" t="s">
        <v>267</v>
      </c>
      <c r="F151" s="8" t="s">
        <v>200</v>
      </c>
      <c r="G151" s="8" t="s">
        <v>76</v>
      </c>
      <c r="H151" s="8" t="s">
        <v>810</v>
      </c>
      <c r="I151" s="8" t="s">
        <v>114</v>
      </c>
      <c r="J151" s="8" t="s">
        <v>106</v>
      </c>
      <c r="K151" s="8" t="s">
        <v>46</v>
      </c>
      <c r="L151" s="8" t="s">
        <v>189</v>
      </c>
      <c r="M151" s="8">
        <v>6</v>
      </c>
      <c r="N151" s="8">
        <v>700</v>
      </c>
      <c r="O151" s="8">
        <v>10</v>
      </c>
      <c r="P151" s="8">
        <v>3780</v>
      </c>
      <c r="Q151" s="8">
        <v>4</v>
      </c>
      <c r="R151" s="8" t="s">
        <v>34</v>
      </c>
      <c r="S151" s="8" t="s">
        <v>49</v>
      </c>
      <c r="T151" s="8" t="s">
        <v>132</v>
      </c>
      <c r="U151" s="9" t="s">
        <v>811</v>
      </c>
      <c r="V151" s="8" t="s">
        <v>69</v>
      </c>
    </row>
    <row r="152" spans="1:22">
      <c r="A152" s="3" t="s">
        <v>812</v>
      </c>
      <c r="B152" s="4" t="s">
        <v>53</v>
      </c>
      <c r="C152" s="4" t="s">
        <v>92</v>
      </c>
      <c r="D152" s="4" t="s">
        <v>518</v>
      </c>
      <c r="E152" s="4" t="s">
        <v>615</v>
      </c>
      <c r="F152" s="4" t="s">
        <v>163</v>
      </c>
      <c r="G152" s="4" t="s">
        <v>28</v>
      </c>
      <c r="H152" s="4" t="s">
        <v>813</v>
      </c>
      <c r="I152" s="4" t="s">
        <v>44</v>
      </c>
      <c r="J152" s="4" t="s">
        <v>45</v>
      </c>
      <c r="K152" s="4" t="s">
        <v>32</v>
      </c>
      <c r="L152" s="4" t="s">
        <v>97</v>
      </c>
      <c r="M152" s="4">
        <v>20</v>
      </c>
      <c r="N152" s="4">
        <v>3500</v>
      </c>
      <c r="O152" s="4">
        <v>10</v>
      </c>
      <c r="P152" s="4">
        <v>63000</v>
      </c>
      <c r="Q152" s="4">
        <v>4</v>
      </c>
      <c r="R152" s="4" t="s">
        <v>88</v>
      </c>
      <c r="S152" s="4" t="s">
        <v>49</v>
      </c>
      <c r="T152" s="4" t="s">
        <v>62</v>
      </c>
      <c r="U152" s="6" t="s">
        <v>814</v>
      </c>
      <c r="V152" s="4" t="s">
        <v>64</v>
      </c>
    </row>
    <row r="153" spans="1:22">
      <c r="A153" s="7" t="s">
        <v>815</v>
      </c>
      <c r="B153" s="8" t="s">
        <v>23</v>
      </c>
      <c r="C153" s="8" t="s">
        <v>222</v>
      </c>
      <c r="D153" s="8" t="s">
        <v>816</v>
      </c>
      <c r="E153" s="8" t="s">
        <v>817</v>
      </c>
      <c r="F153" s="8" t="s">
        <v>27</v>
      </c>
      <c r="G153" s="8" t="s">
        <v>28</v>
      </c>
      <c r="H153" s="8" t="s">
        <v>818</v>
      </c>
      <c r="I153" s="8" t="s">
        <v>59</v>
      </c>
      <c r="J153" s="8" t="s">
        <v>31</v>
      </c>
      <c r="K153" s="8" t="s">
        <v>122</v>
      </c>
      <c r="L153" s="8" t="s">
        <v>227</v>
      </c>
      <c r="M153" s="8">
        <v>2</v>
      </c>
      <c r="N153" s="8">
        <v>20</v>
      </c>
      <c r="O153" s="8">
        <v>10</v>
      </c>
      <c r="P153" s="8">
        <v>36</v>
      </c>
      <c r="Q153" s="8">
        <v>1</v>
      </c>
      <c r="R153" s="8" t="s">
        <v>48</v>
      </c>
      <c r="S153" s="8" t="s">
        <v>115</v>
      </c>
      <c r="T153" s="8" t="s">
        <v>50</v>
      </c>
      <c r="U153" s="9" t="s">
        <v>819</v>
      </c>
      <c r="V153" s="8" t="s">
        <v>64</v>
      </c>
    </row>
    <row r="154" spans="1:22">
      <c r="A154" s="3" t="s">
        <v>820</v>
      </c>
      <c r="B154" s="4" t="s">
        <v>100</v>
      </c>
      <c r="C154" s="4" t="s">
        <v>24</v>
      </c>
      <c r="D154" s="4" t="s">
        <v>779</v>
      </c>
      <c r="E154" s="4" t="s">
        <v>821</v>
      </c>
      <c r="F154" s="4" t="s">
        <v>103</v>
      </c>
      <c r="G154" s="4" t="s">
        <v>28</v>
      </c>
      <c r="H154" s="4" t="s">
        <v>822</v>
      </c>
      <c r="I154" s="4" t="s">
        <v>114</v>
      </c>
      <c r="J154" s="4" t="s">
        <v>106</v>
      </c>
      <c r="K154" s="4" t="s">
        <v>32</v>
      </c>
      <c r="L154" s="4" t="s">
        <v>33</v>
      </c>
      <c r="M154" s="4">
        <v>16</v>
      </c>
      <c r="N154" s="4">
        <v>2200</v>
      </c>
      <c r="O154" s="4">
        <v>20</v>
      </c>
      <c r="P154" s="4">
        <v>28160</v>
      </c>
      <c r="Q154" s="4">
        <v>2</v>
      </c>
      <c r="R154" s="4" t="s">
        <v>88</v>
      </c>
      <c r="S154" s="4" t="s">
        <v>151</v>
      </c>
      <c r="T154" s="4" t="s">
        <v>144</v>
      </c>
      <c r="U154" s="6" t="s">
        <v>823</v>
      </c>
      <c r="V154" s="4" t="s">
        <v>64</v>
      </c>
    </row>
    <row r="155" spans="1:22">
      <c r="A155" s="7" t="s">
        <v>824</v>
      </c>
      <c r="B155" s="8" t="s">
        <v>221</v>
      </c>
      <c r="C155" s="8" t="s">
        <v>40</v>
      </c>
      <c r="D155" s="8" t="s">
        <v>148</v>
      </c>
      <c r="E155" s="8" t="s">
        <v>825</v>
      </c>
      <c r="F155" s="8" t="s">
        <v>225</v>
      </c>
      <c r="G155" s="8" t="s">
        <v>76</v>
      </c>
      <c r="H155" s="8" t="s">
        <v>826</v>
      </c>
      <c r="I155" s="8" t="s">
        <v>114</v>
      </c>
      <c r="J155" s="8" t="s">
        <v>106</v>
      </c>
      <c r="K155" s="8" t="s">
        <v>46</v>
      </c>
      <c r="L155" s="8" t="s">
        <v>47</v>
      </c>
      <c r="M155" s="8">
        <v>15</v>
      </c>
      <c r="N155" s="8">
        <v>12000</v>
      </c>
      <c r="O155" s="8">
        <v>0</v>
      </c>
      <c r="P155" s="8">
        <v>180000</v>
      </c>
      <c r="Q155" s="8">
        <v>1</v>
      </c>
      <c r="R155" s="8" t="s">
        <v>79</v>
      </c>
      <c r="S155" s="8" t="s">
        <v>61</v>
      </c>
      <c r="T155" s="8" t="s">
        <v>228</v>
      </c>
      <c r="U155" s="9" t="s">
        <v>827</v>
      </c>
      <c r="V155" s="8" t="s">
        <v>64</v>
      </c>
    </row>
    <row r="156" spans="1:22">
      <c r="A156" s="3" t="s">
        <v>828</v>
      </c>
      <c r="B156" s="4" t="s">
        <v>23</v>
      </c>
      <c r="C156" s="4" t="s">
        <v>118</v>
      </c>
      <c r="D156" s="4" t="s">
        <v>829</v>
      </c>
      <c r="E156" s="4" t="s">
        <v>830</v>
      </c>
      <c r="F156" s="4" t="s">
        <v>27</v>
      </c>
      <c r="G156" s="4" t="s">
        <v>28</v>
      </c>
      <c r="H156" s="4" t="s">
        <v>831</v>
      </c>
      <c r="I156" s="4" t="s">
        <v>44</v>
      </c>
      <c r="J156" s="4" t="s">
        <v>45</v>
      </c>
      <c r="K156" s="4" t="s">
        <v>122</v>
      </c>
      <c r="L156" s="4" t="s">
        <v>123</v>
      </c>
      <c r="M156" s="4">
        <v>14</v>
      </c>
      <c r="N156" s="4">
        <v>60</v>
      </c>
      <c r="O156" s="4">
        <v>15</v>
      </c>
      <c r="P156" s="4">
        <v>714</v>
      </c>
      <c r="Q156" s="4">
        <v>4</v>
      </c>
      <c r="R156" s="4" t="s">
        <v>88</v>
      </c>
      <c r="S156" s="4" t="s">
        <v>49</v>
      </c>
      <c r="T156" s="4" t="s">
        <v>50</v>
      </c>
      <c r="U156" s="6" t="s">
        <v>832</v>
      </c>
      <c r="V156" s="4" t="s">
        <v>38</v>
      </c>
    </row>
    <row r="157" spans="1:22">
      <c r="A157" s="7" t="s">
        <v>833</v>
      </c>
      <c r="B157" s="8" t="s">
        <v>53</v>
      </c>
      <c r="C157" s="8" t="s">
        <v>72</v>
      </c>
      <c r="D157" s="8" t="s">
        <v>834</v>
      </c>
      <c r="E157" s="8" t="s">
        <v>835</v>
      </c>
      <c r="F157" s="8" t="s">
        <v>163</v>
      </c>
      <c r="G157" s="8" t="s">
        <v>28</v>
      </c>
      <c r="H157" s="8" t="s">
        <v>836</v>
      </c>
      <c r="I157" s="8" t="s">
        <v>30</v>
      </c>
      <c r="J157" s="8" t="s">
        <v>31</v>
      </c>
      <c r="K157" s="8" t="s">
        <v>46</v>
      </c>
      <c r="L157" s="8" t="s">
        <v>78</v>
      </c>
      <c r="M157" s="8">
        <v>9</v>
      </c>
      <c r="N157" s="8">
        <v>1200</v>
      </c>
      <c r="O157" s="8">
        <v>5</v>
      </c>
      <c r="P157" s="8">
        <v>10260</v>
      </c>
      <c r="Q157" s="8">
        <v>5</v>
      </c>
      <c r="R157" s="8" t="s">
        <v>48</v>
      </c>
      <c r="S157" s="8" t="s">
        <v>61</v>
      </c>
      <c r="T157" s="8" t="s">
        <v>62</v>
      </c>
      <c r="U157" s="9" t="s">
        <v>837</v>
      </c>
      <c r="V157" s="8" t="s">
        <v>64</v>
      </c>
    </row>
    <row r="158" spans="1:22">
      <c r="A158" s="3" t="s">
        <v>838</v>
      </c>
      <c r="B158" s="4" t="s">
        <v>221</v>
      </c>
      <c r="C158" s="4" t="s">
        <v>72</v>
      </c>
      <c r="D158" s="4" t="s">
        <v>821</v>
      </c>
      <c r="E158" s="4" t="s">
        <v>839</v>
      </c>
      <c r="F158" s="4" t="s">
        <v>225</v>
      </c>
      <c r="G158" s="4" t="s">
        <v>76</v>
      </c>
      <c r="H158" s="4" t="s">
        <v>840</v>
      </c>
      <c r="I158" s="4" t="s">
        <v>294</v>
      </c>
      <c r="J158" s="4" t="s">
        <v>295</v>
      </c>
      <c r="K158" s="4" t="s">
        <v>46</v>
      </c>
      <c r="L158" s="4" t="s">
        <v>78</v>
      </c>
      <c r="M158" s="4">
        <v>3</v>
      </c>
      <c r="N158" s="4">
        <v>1200</v>
      </c>
      <c r="O158" s="4">
        <v>10</v>
      </c>
      <c r="P158" s="4">
        <v>3240</v>
      </c>
      <c r="Q158" s="4">
        <v>2</v>
      </c>
      <c r="R158" s="4" t="s">
        <v>79</v>
      </c>
      <c r="S158" s="4" t="s">
        <v>151</v>
      </c>
      <c r="T158" s="4" t="s">
        <v>228</v>
      </c>
      <c r="U158" s="6" t="s">
        <v>841</v>
      </c>
      <c r="V158" s="4" t="s">
        <v>69</v>
      </c>
    </row>
    <row r="159" spans="1:22">
      <c r="A159" s="7" t="s">
        <v>842</v>
      </c>
      <c r="B159" s="8" t="s">
        <v>327</v>
      </c>
      <c r="C159" s="8" t="s">
        <v>118</v>
      </c>
      <c r="D159" s="8" t="s">
        <v>459</v>
      </c>
      <c r="E159" s="8" t="s">
        <v>577</v>
      </c>
      <c r="F159" s="8" t="s">
        <v>394</v>
      </c>
      <c r="G159" s="8" t="s">
        <v>76</v>
      </c>
      <c r="H159" s="8" t="s">
        <v>843</v>
      </c>
      <c r="I159" s="8" t="s">
        <v>30</v>
      </c>
      <c r="J159" s="8" t="s">
        <v>31</v>
      </c>
      <c r="K159" s="8" t="s">
        <v>122</v>
      </c>
      <c r="L159" s="8" t="s">
        <v>123</v>
      </c>
      <c r="M159" s="8">
        <v>2</v>
      </c>
      <c r="N159" s="8">
        <v>60</v>
      </c>
      <c r="O159" s="8">
        <v>10</v>
      </c>
      <c r="P159" s="8">
        <v>108</v>
      </c>
      <c r="Q159" s="8">
        <v>2</v>
      </c>
      <c r="R159" s="8" t="s">
        <v>88</v>
      </c>
      <c r="S159" s="8" t="s">
        <v>61</v>
      </c>
      <c r="T159" s="8" t="s">
        <v>332</v>
      </c>
      <c r="U159" s="9" t="s">
        <v>844</v>
      </c>
      <c r="V159" s="8" t="s">
        <v>38</v>
      </c>
    </row>
    <row r="160" spans="1:22">
      <c r="A160" s="3" t="s">
        <v>845</v>
      </c>
      <c r="B160" s="4" t="s">
        <v>71</v>
      </c>
      <c r="C160" s="4" t="s">
        <v>92</v>
      </c>
      <c r="D160" s="4" t="s">
        <v>426</v>
      </c>
      <c r="E160" s="4" t="s">
        <v>846</v>
      </c>
      <c r="F160" s="4" t="s">
        <v>217</v>
      </c>
      <c r="G160" s="4" t="s">
        <v>76</v>
      </c>
      <c r="H160" s="4" t="s">
        <v>847</v>
      </c>
      <c r="I160" s="4" t="s">
        <v>44</v>
      </c>
      <c r="J160" s="4" t="s">
        <v>45</v>
      </c>
      <c r="K160" s="4" t="s">
        <v>32</v>
      </c>
      <c r="L160" s="4" t="s">
        <v>97</v>
      </c>
      <c r="M160" s="4">
        <v>9</v>
      </c>
      <c r="N160" s="4">
        <v>3500</v>
      </c>
      <c r="O160" s="4">
        <v>20</v>
      </c>
      <c r="P160" s="4">
        <v>25200</v>
      </c>
      <c r="Q160" s="4">
        <v>1</v>
      </c>
      <c r="R160" s="4" t="s">
        <v>48</v>
      </c>
      <c r="S160" s="4" t="s">
        <v>35</v>
      </c>
      <c r="T160" s="4" t="s">
        <v>80</v>
      </c>
      <c r="U160" s="6" t="s">
        <v>848</v>
      </c>
      <c r="V160" s="4" t="s">
        <v>38</v>
      </c>
    </row>
    <row r="161" spans="1:22">
      <c r="A161" s="7" t="s">
        <v>849</v>
      </c>
      <c r="B161" s="8" t="s">
        <v>221</v>
      </c>
      <c r="C161" s="8" t="s">
        <v>54</v>
      </c>
      <c r="D161" s="8" t="s">
        <v>241</v>
      </c>
      <c r="E161" s="8" t="s">
        <v>543</v>
      </c>
      <c r="F161" s="8" t="s">
        <v>225</v>
      </c>
      <c r="G161" s="8" t="s">
        <v>76</v>
      </c>
      <c r="H161" s="8" t="s">
        <v>850</v>
      </c>
      <c r="I161" s="8" t="s">
        <v>212</v>
      </c>
      <c r="J161" s="8" t="s">
        <v>45</v>
      </c>
      <c r="K161" s="8" t="s">
        <v>46</v>
      </c>
      <c r="L161" s="8" t="s">
        <v>60</v>
      </c>
      <c r="M161" s="8">
        <v>4</v>
      </c>
      <c r="N161" s="8">
        <v>55000</v>
      </c>
      <c r="O161" s="8">
        <v>5</v>
      </c>
      <c r="P161" s="8">
        <v>209000</v>
      </c>
      <c r="Q161" s="8">
        <v>2</v>
      </c>
      <c r="R161" s="8" t="s">
        <v>34</v>
      </c>
      <c r="S161" s="8" t="s">
        <v>151</v>
      </c>
      <c r="T161" s="8" t="s">
        <v>228</v>
      </c>
      <c r="U161" s="9" t="s">
        <v>851</v>
      </c>
      <c r="V161" s="8" t="s">
        <v>64</v>
      </c>
    </row>
    <row r="162" spans="1:22">
      <c r="A162" s="3" t="s">
        <v>852</v>
      </c>
      <c r="B162" s="4" t="s">
        <v>327</v>
      </c>
      <c r="C162" s="4" t="s">
        <v>184</v>
      </c>
      <c r="D162" s="4" t="s">
        <v>488</v>
      </c>
      <c r="E162" s="4" t="s">
        <v>266</v>
      </c>
      <c r="F162" s="4" t="s">
        <v>853</v>
      </c>
      <c r="G162" s="4" t="s">
        <v>76</v>
      </c>
      <c r="H162" s="4" t="s">
        <v>854</v>
      </c>
      <c r="I162" s="4" t="s">
        <v>44</v>
      </c>
      <c r="J162" s="4" t="s">
        <v>45</v>
      </c>
      <c r="K162" s="4" t="s">
        <v>46</v>
      </c>
      <c r="L162" s="4" t="s">
        <v>189</v>
      </c>
      <c r="M162" s="4">
        <v>11</v>
      </c>
      <c r="N162" s="4">
        <v>700</v>
      </c>
      <c r="O162" s="4">
        <v>20</v>
      </c>
      <c r="P162" s="4">
        <v>6160</v>
      </c>
      <c r="Q162" s="4">
        <v>4</v>
      </c>
      <c r="R162" s="4" t="s">
        <v>34</v>
      </c>
      <c r="S162" s="4" t="s">
        <v>151</v>
      </c>
      <c r="T162" s="4" t="s">
        <v>332</v>
      </c>
      <c r="U162" s="6" t="s">
        <v>855</v>
      </c>
      <c r="V162" s="4" t="s">
        <v>69</v>
      </c>
    </row>
    <row r="163" spans="1:22">
      <c r="A163" s="7" t="s">
        <v>856</v>
      </c>
      <c r="B163" s="8" t="s">
        <v>168</v>
      </c>
      <c r="C163" s="8" t="s">
        <v>72</v>
      </c>
      <c r="D163" s="8" t="s">
        <v>286</v>
      </c>
      <c r="E163" s="8" t="s">
        <v>816</v>
      </c>
      <c r="F163" s="8" t="s">
        <v>361</v>
      </c>
      <c r="G163" s="8" t="s">
        <v>28</v>
      </c>
      <c r="H163" s="8" t="s">
        <v>857</v>
      </c>
      <c r="I163" s="8" t="s">
        <v>294</v>
      </c>
      <c r="J163" s="8" t="s">
        <v>295</v>
      </c>
      <c r="K163" s="8" t="s">
        <v>46</v>
      </c>
      <c r="L163" s="8" t="s">
        <v>78</v>
      </c>
      <c r="M163" s="8">
        <v>16</v>
      </c>
      <c r="N163" s="8">
        <v>1200</v>
      </c>
      <c r="O163" s="8">
        <v>5</v>
      </c>
      <c r="P163" s="8">
        <v>18240</v>
      </c>
      <c r="Q163" s="8">
        <v>1</v>
      </c>
      <c r="R163" s="8" t="s">
        <v>79</v>
      </c>
      <c r="S163" s="8" t="s">
        <v>35</v>
      </c>
      <c r="T163" s="8" t="s">
        <v>175</v>
      </c>
      <c r="U163" s="9" t="s">
        <v>858</v>
      </c>
      <c r="V163" s="8" t="s">
        <v>64</v>
      </c>
    </row>
    <row r="164" spans="1:22">
      <c r="A164" s="3" t="s">
        <v>859</v>
      </c>
      <c r="B164" s="4" t="s">
        <v>168</v>
      </c>
      <c r="C164" s="4" t="s">
        <v>72</v>
      </c>
      <c r="D164" s="4" t="s">
        <v>548</v>
      </c>
      <c r="E164" s="4" t="s">
        <v>860</v>
      </c>
      <c r="F164" s="4" t="s">
        <v>361</v>
      </c>
      <c r="G164" s="4" t="s">
        <v>28</v>
      </c>
      <c r="H164" s="4" t="s">
        <v>861</v>
      </c>
      <c r="I164" s="4" t="s">
        <v>114</v>
      </c>
      <c r="J164" s="4" t="s">
        <v>106</v>
      </c>
      <c r="K164" s="4" t="s">
        <v>46</v>
      </c>
      <c r="L164" s="4" t="s">
        <v>78</v>
      </c>
      <c r="M164" s="4">
        <v>1</v>
      </c>
      <c r="N164" s="4">
        <v>1200</v>
      </c>
      <c r="O164" s="4">
        <v>5</v>
      </c>
      <c r="P164" s="4">
        <v>1140</v>
      </c>
      <c r="Q164" s="4">
        <v>4</v>
      </c>
      <c r="R164" s="4" t="s">
        <v>79</v>
      </c>
      <c r="S164" s="4" t="s">
        <v>35</v>
      </c>
      <c r="T164" s="4" t="s">
        <v>175</v>
      </c>
      <c r="U164" s="6" t="s">
        <v>862</v>
      </c>
      <c r="V164" s="4" t="s">
        <v>38</v>
      </c>
    </row>
    <row r="165" spans="1:22">
      <c r="A165" s="7" t="s">
        <v>863</v>
      </c>
      <c r="B165" s="8" t="s">
        <v>327</v>
      </c>
      <c r="C165" s="8" t="s">
        <v>118</v>
      </c>
      <c r="D165" s="8" t="s">
        <v>864</v>
      </c>
      <c r="E165" s="8" t="s">
        <v>865</v>
      </c>
      <c r="F165" s="8" t="s">
        <v>853</v>
      </c>
      <c r="G165" s="8" t="s">
        <v>76</v>
      </c>
      <c r="H165" s="8" t="s">
        <v>866</v>
      </c>
      <c r="I165" s="8" t="s">
        <v>212</v>
      </c>
      <c r="J165" s="8" t="s">
        <v>45</v>
      </c>
      <c r="K165" s="8" t="s">
        <v>122</v>
      </c>
      <c r="L165" s="8" t="s">
        <v>123</v>
      </c>
      <c r="M165" s="8">
        <v>7</v>
      </c>
      <c r="N165" s="8">
        <v>60</v>
      </c>
      <c r="O165" s="8">
        <v>0</v>
      </c>
      <c r="P165" s="8">
        <v>420</v>
      </c>
      <c r="Q165" s="8">
        <v>2</v>
      </c>
      <c r="R165" s="8" t="s">
        <v>88</v>
      </c>
      <c r="S165" s="8" t="s">
        <v>151</v>
      </c>
      <c r="T165" s="8" t="s">
        <v>332</v>
      </c>
      <c r="U165" s="9" t="s">
        <v>867</v>
      </c>
      <c r="V165" s="8" t="s">
        <v>38</v>
      </c>
    </row>
    <row r="166" spans="1:22">
      <c r="A166" s="3" t="s">
        <v>868</v>
      </c>
      <c r="B166" s="4" t="s">
        <v>168</v>
      </c>
      <c r="C166" s="4" t="s">
        <v>24</v>
      </c>
      <c r="D166" s="4" t="s">
        <v>205</v>
      </c>
      <c r="E166" s="4" t="s">
        <v>513</v>
      </c>
      <c r="F166" s="4" t="s">
        <v>361</v>
      </c>
      <c r="G166" s="4" t="s">
        <v>28</v>
      </c>
      <c r="H166" s="4" t="s">
        <v>869</v>
      </c>
      <c r="I166" s="4" t="s">
        <v>114</v>
      </c>
      <c r="J166" s="4" t="s">
        <v>106</v>
      </c>
      <c r="K166" s="4" t="s">
        <v>32</v>
      </c>
      <c r="L166" s="4" t="s">
        <v>33</v>
      </c>
      <c r="M166" s="4">
        <v>14</v>
      </c>
      <c r="N166" s="4">
        <v>2200</v>
      </c>
      <c r="O166" s="4">
        <v>0</v>
      </c>
      <c r="P166" s="4">
        <v>30800</v>
      </c>
      <c r="Q166" s="4">
        <v>2</v>
      </c>
      <c r="R166" s="4" t="s">
        <v>88</v>
      </c>
      <c r="S166" s="4" t="s">
        <v>35</v>
      </c>
      <c r="T166" s="4" t="s">
        <v>175</v>
      </c>
      <c r="U166" s="6" t="s">
        <v>870</v>
      </c>
      <c r="V166" s="4" t="s">
        <v>69</v>
      </c>
    </row>
    <row r="167" spans="1:22">
      <c r="A167" s="7" t="s">
        <v>871</v>
      </c>
      <c r="B167" s="8" t="s">
        <v>168</v>
      </c>
      <c r="C167" s="8" t="s">
        <v>92</v>
      </c>
      <c r="D167" s="8" t="s">
        <v>872</v>
      </c>
      <c r="E167" s="8" t="s">
        <v>488</v>
      </c>
      <c r="F167" s="8" t="s">
        <v>361</v>
      </c>
      <c r="G167" s="8" t="s">
        <v>28</v>
      </c>
      <c r="H167" s="8" t="s">
        <v>873</v>
      </c>
      <c r="I167" s="8" t="s">
        <v>138</v>
      </c>
      <c r="J167" s="8" t="s">
        <v>106</v>
      </c>
      <c r="K167" s="8" t="s">
        <v>32</v>
      </c>
      <c r="L167" s="8" t="s">
        <v>97</v>
      </c>
      <c r="M167" s="8">
        <v>15</v>
      </c>
      <c r="N167" s="8">
        <v>3500</v>
      </c>
      <c r="O167" s="8">
        <v>15</v>
      </c>
      <c r="P167" s="8">
        <v>44625</v>
      </c>
      <c r="Q167" s="8">
        <v>2</v>
      </c>
      <c r="R167" s="8" t="s">
        <v>88</v>
      </c>
      <c r="S167" s="8" t="s">
        <v>61</v>
      </c>
      <c r="T167" s="8" t="s">
        <v>175</v>
      </c>
      <c r="U167" s="9" t="s">
        <v>874</v>
      </c>
      <c r="V167" s="8" t="s">
        <v>64</v>
      </c>
    </row>
    <row r="168" spans="1:22">
      <c r="A168" s="3" t="s">
        <v>875</v>
      </c>
      <c r="B168" s="4" t="s">
        <v>127</v>
      </c>
      <c r="C168" s="4" t="s">
        <v>92</v>
      </c>
      <c r="D168" s="4" t="s">
        <v>876</v>
      </c>
      <c r="E168" s="4" t="s">
        <v>877</v>
      </c>
      <c r="F168" s="4" t="s">
        <v>200</v>
      </c>
      <c r="G168" s="4" t="s">
        <v>76</v>
      </c>
      <c r="H168" s="4" t="s">
        <v>878</v>
      </c>
      <c r="I168" s="4" t="s">
        <v>294</v>
      </c>
      <c r="J168" s="4" t="s">
        <v>295</v>
      </c>
      <c r="K168" s="4" t="s">
        <v>32</v>
      </c>
      <c r="L168" s="4" t="s">
        <v>97</v>
      </c>
      <c r="M168" s="4">
        <v>19</v>
      </c>
      <c r="N168" s="4">
        <v>3500</v>
      </c>
      <c r="O168" s="4">
        <v>5</v>
      </c>
      <c r="P168" s="4">
        <v>63175</v>
      </c>
      <c r="Q168" s="4">
        <v>2</v>
      </c>
      <c r="R168" s="4" t="s">
        <v>34</v>
      </c>
      <c r="S168" s="4" t="s">
        <v>115</v>
      </c>
      <c r="T168" s="4" t="s">
        <v>132</v>
      </c>
      <c r="U168" s="6" t="s">
        <v>879</v>
      </c>
      <c r="V168" s="4" t="s">
        <v>69</v>
      </c>
    </row>
    <row r="169" spans="1:22">
      <c r="A169" s="7" t="s">
        <v>880</v>
      </c>
      <c r="B169" s="8" t="s">
        <v>327</v>
      </c>
      <c r="C169" s="8" t="s">
        <v>54</v>
      </c>
      <c r="D169" s="8" t="s">
        <v>881</v>
      </c>
      <c r="E169" s="8" t="s">
        <v>640</v>
      </c>
      <c r="F169" s="8" t="s">
        <v>394</v>
      </c>
      <c r="G169" s="8" t="s">
        <v>76</v>
      </c>
      <c r="H169" s="8" t="s">
        <v>882</v>
      </c>
      <c r="I169" s="8" t="s">
        <v>59</v>
      </c>
      <c r="J169" s="8" t="s">
        <v>31</v>
      </c>
      <c r="K169" s="8" t="s">
        <v>46</v>
      </c>
      <c r="L169" s="8" t="s">
        <v>60</v>
      </c>
      <c r="M169" s="8">
        <v>12</v>
      </c>
      <c r="N169" s="8">
        <v>55000</v>
      </c>
      <c r="O169" s="8">
        <v>5</v>
      </c>
      <c r="P169" s="8">
        <v>627000</v>
      </c>
      <c r="Q169" s="8">
        <v>4</v>
      </c>
      <c r="R169" s="8" t="s">
        <v>79</v>
      </c>
      <c r="S169" s="8" t="s">
        <v>61</v>
      </c>
      <c r="T169" s="8" t="s">
        <v>332</v>
      </c>
      <c r="U169" s="9" t="s">
        <v>883</v>
      </c>
      <c r="V169" s="8" t="s">
        <v>69</v>
      </c>
    </row>
    <row r="170" spans="1:22">
      <c r="A170" s="3" t="s">
        <v>884</v>
      </c>
      <c r="B170" s="4" t="s">
        <v>53</v>
      </c>
      <c r="C170" s="4" t="s">
        <v>72</v>
      </c>
      <c r="D170" s="4" t="s">
        <v>587</v>
      </c>
      <c r="E170" s="4" t="s">
        <v>483</v>
      </c>
      <c r="F170" s="4" t="s">
        <v>163</v>
      </c>
      <c r="G170" s="4" t="s">
        <v>28</v>
      </c>
      <c r="H170" s="4" t="s">
        <v>885</v>
      </c>
      <c r="I170" s="4" t="s">
        <v>105</v>
      </c>
      <c r="J170" s="4" t="s">
        <v>106</v>
      </c>
      <c r="K170" s="4" t="s">
        <v>46</v>
      </c>
      <c r="L170" s="4" t="s">
        <v>78</v>
      </c>
      <c r="M170" s="4">
        <v>6</v>
      </c>
      <c r="N170" s="4">
        <v>1200</v>
      </c>
      <c r="O170" s="4">
        <v>10</v>
      </c>
      <c r="P170" s="4">
        <v>6480</v>
      </c>
      <c r="Q170" s="4">
        <v>5</v>
      </c>
      <c r="R170" s="4" t="s">
        <v>48</v>
      </c>
      <c r="S170" s="4" t="s">
        <v>115</v>
      </c>
      <c r="T170" s="4" t="s">
        <v>62</v>
      </c>
      <c r="U170" s="6" t="s">
        <v>886</v>
      </c>
      <c r="V170" s="4" t="s">
        <v>69</v>
      </c>
    </row>
    <row r="171" spans="1:22">
      <c r="A171" s="7" t="s">
        <v>887</v>
      </c>
      <c r="B171" s="8" t="s">
        <v>251</v>
      </c>
      <c r="C171" s="8" t="s">
        <v>169</v>
      </c>
      <c r="D171" s="8" t="s">
        <v>128</v>
      </c>
      <c r="E171" s="8" t="s">
        <v>247</v>
      </c>
      <c r="F171" s="8" t="s">
        <v>254</v>
      </c>
      <c r="G171" s="8" t="s">
        <v>28</v>
      </c>
      <c r="H171" s="8" t="s">
        <v>888</v>
      </c>
      <c r="I171" s="8" t="s">
        <v>30</v>
      </c>
      <c r="J171" s="8" t="s">
        <v>31</v>
      </c>
      <c r="K171" s="8" t="s">
        <v>32</v>
      </c>
      <c r="L171" s="8" t="s">
        <v>174</v>
      </c>
      <c r="M171" s="8">
        <v>1</v>
      </c>
      <c r="N171" s="8">
        <v>8500</v>
      </c>
      <c r="O171" s="8">
        <v>0</v>
      </c>
      <c r="P171" s="8">
        <v>8500</v>
      </c>
      <c r="Q171" s="8">
        <v>1</v>
      </c>
      <c r="R171" s="8" t="s">
        <v>88</v>
      </c>
      <c r="S171" s="8" t="s">
        <v>151</v>
      </c>
      <c r="T171" s="8" t="s">
        <v>256</v>
      </c>
      <c r="U171" s="9" t="s">
        <v>889</v>
      </c>
      <c r="V171" s="8" t="s">
        <v>69</v>
      </c>
    </row>
    <row r="172" spans="1:22">
      <c r="A172" s="3" t="s">
        <v>890</v>
      </c>
      <c r="B172" s="4" t="s">
        <v>127</v>
      </c>
      <c r="C172" s="4" t="s">
        <v>54</v>
      </c>
      <c r="D172" s="4" t="s">
        <v>891</v>
      </c>
      <c r="E172" s="4" t="s">
        <v>892</v>
      </c>
      <c r="F172" s="4" t="s">
        <v>200</v>
      </c>
      <c r="G172" s="4" t="s">
        <v>76</v>
      </c>
      <c r="H172" s="4" t="s">
        <v>893</v>
      </c>
      <c r="I172" s="4" t="s">
        <v>138</v>
      </c>
      <c r="J172" s="4" t="s">
        <v>106</v>
      </c>
      <c r="K172" s="4" t="s">
        <v>46</v>
      </c>
      <c r="L172" s="4" t="s">
        <v>60</v>
      </c>
      <c r="M172" s="4">
        <v>20</v>
      </c>
      <c r="N172" s="4">
        <v>55000</v>
      </c>
      <c r="O172" s="4">
        <v>10</v>
      </c>
      <c r="P172" s="4">
        <v>990000</v>
      </c>
      <c r="Q172" s="4">
        <v>5</v>
      </c>
      <c r="R172" s="4" t="s">
        <v>48</v>
      </c>
      <c r="S172" s="4" t="s">
        <v>151</v>
      </c>
      <c r="T172" s="4" t="s">
        <v>132</v>
      </c>
      <c r="U172" s="6" t="s">
        <v>894</v>
      </c>
      <c r="V172" s="4" t="s">
        <v>38</v>
      </c>
    </row>
    <row r="173" spans="1:22">
      <c r="A173" s="7" t="s">
        <v>895</v>
      </c>
      <c r="B173" s="8" t="s">
        <v>221</v>
      </c>
      <c r="C173" s="8" t="s">
        <v>72</v>
      </c>
      <c r="D173" s="8" t="s">
        <v>661</v>
      </c>
      <c r="E173" s="8" t="s">
        <v>896</v>
      </c>
      <c r="F173" s="8" t="s">
        <v>225</v>
      </c>
      <c r="G173" s="8" t="s">
        <v>76</v>
      </c>
      <c r="H173" s="8" t="s">
        <v>897</v>
      </c>
      <c r="I173" s="8" t="s">
        <v>138</v>
      </c>
      <c r="J173" s="8" t="s">
        <v>106</v>
      </c>
      <c r="K173" s="8" t="s">
        <v>46</v>
      </c>
      <c r="L173" s="8" t="s">
        <v>78</v>
      </c>
      <c r="M173" s="8">
        <v>8</v>
      </c>
      <c r="N173" s="8">
        <v>1200</v>
      </c>
      <c r="O173" s="8">
        <v>15</v>
      </c>
      <c r="P173" s="8">
        <v>8160</v>
      </c>
      <c r="Q173" s="8">
        <v>2</v>
      </c>
      <c r="R173" s="8" t="s">
        <v>88</v>
      </c>
      <c r="S173" s="8" t="s">
        <v>115</v>
      </c>
      <c r="T173" s="8" t="s">
        <v>228</v>
      </c>
      <c r="U173" s="9" t="s">
        <v>898</v>
      </c>
      <c r="V173" s="8" t="s">
        <v>69</v>
      </c>
    </row>
    <row r="174" spans="1:22">
      <c r="A174" s="3" t="s">
        <v>899</v>
      </c>
      <c r="B174" s="4" t="s">
        <v>23</v>
      </c>
      <c r="C174" s="4" t="s">
        <v>92</v>
      </c>
      <c r="D174" s="4" t="s">
        <v>900</v>
      </c>
      <c r="E174" s="4" t="s">
        <v>901</v>
      </c>
      <c r="F174" s="4" t="s">
        <v>27</v>
      </c>
      <c r="G174" s="4" t="s">
        <v>28</v>
      </c>
      <c r="H174" s="4" t="s">
        <v>902</v>
      </c>
      <c r="I174" s="4" t="s">
        <v>212</v>
      </c>
      <c r="J174" s="4" t="s">
        <v>45</v>
      </c>
      <c r="K174" s="4" t="s">
        <v>32</v>
      </c>
      <c r="L174" s="4" t="s">
        <v>97</v>
      </c>
      <c r="M174" s="4">
        <v>19</v>
      </c>
      <c r="N174" s="4">
        <v>3500</v>
      </c>
      <c r="O174" s="4">
        <v>5</v>
      </c>
      <c r="P174" s="4">
        <v>63175</v>
      </c>
      <c r="Q174" s="4">
        <v>4</v>
      </c>
      <c r="R174" s="4" t="s">
        <v>88</v>
      </c>
      <c r="S174" s="4" t="s">
        <v>49</v>
      </c>
      <c r="T174" s="4" t="s">
        <v>50</v>
      </c>
      <c r="U174" s="6" t="s">
        <v>903</v>
      </c>
      <c r="V174" s="4" t="s">
        <v>64</v>
      </c>
    </row>
    <row r="175" spans="1:22">
      <c r="A175" s="7" t="s">
        <v>904</v>
      </c>
      <c r="B175" s="8" t="s">
        <v>221</v>
      </c>
      <c r="C175" s="8" t="s">
        <v>259</v>
      </c>
      <c r="D175" s="8" t="s">
        <v>41</v>
      </c>
      <c r="E175" s="8" t="s">
        <v>606</v>
      </c>
      <c r="F175" s="8" t="s">
        <v>905</v>
      </c>
      <c r="G175" s="8" t="s">
        <v>76</v>
      </c>
      <c r="H175" s="8" t="s">
        <v>906</v>
      </c>
      <c r="I175" s="8" t="s">
        <v>212</v>
      </c>
      <c r="J175" s="8" t="s">
        <v>45</v>
      </c>
      <c r="K175" s="8" t="s">
        <v>122</v>
      </c>
      <c r="L175" s="8" t="s">
        <v>263</v>
      </c>
      <c r="M175" s="8">
        <v>6</v>
      </c>
      <c r="N175" s="8">
        <v>45</v>
      </c>
      <c r="O175" s="8">
        <v>20</v>
      </c>
      <c r="P175" s="8">
        <v>216</v>
      </c>
      <c r="Q175" s="8">
        <v>1</v>
      </c>
      <c r="R175" s="8" t="s">
        <v>79</v>
      </c>
      <c r="S175" s="8" t="s">
        <v>49</v>
      </c>
      <c r="T175" s="8" t="s">
        <v>907</v>
      </c>
      <c r="U175" s="9" t="s">
        <v>908</v>
      </c>
      <c r="V175" s="8" t="s">
        <v>64</v>
      </c>
    </row>
    <row r="176" spans="1:22">
      <c r="A176" s="3" t="s">
        <v>909</v>
      </c>
      <c r="B176" s="4" t="s">
        <v>251</v>
      </c>
      <c r="C176" s="4" t="s">
        <v>259</v>
      </c>
      <c r="D176" s="4" t="s">
        <v>910</v>
      </c>
      <c r="E176" s="4" t="s">
        <v>119</v>
      </c>
      <c r="F176" s="4" t="s">
        <v>254</v>
      </c>
      <c r="G176" s="4" t="s">
        <v>28</v>
      </c>
      <c r="H176" s="4" t="s">
        <v>911</v>
      </c>
      <c r="I176" s="4" t="s">
        <v>114</v>
      </c>
      <c r="J176" s="4" t="s">
        <v>106</v>
      </c>
      <c r="K176" s="4" t="s">
        <v>122</v>
      </c>
      <c r="L176" s="4" t="s">
        <v>263</v>
      </c>
      <c r="M176" s="4">
        <v>17</v>
      </c>
      <c r="N176" s="4">
        <v>45</v>
      </c>
      <c r="O176" s="4">
        <v>15</v>
      </c>
      <c r="P176" s="4">
        <v>650.25</v>
      </c>
      <c r="Q176" s="4">
        <v>5</v>
      </c>
      <c r="R176" s="4" t="s">
        <v>34</v>
      </c>
      <c r="S176" s="4" t="s">
        <v>115</v>
      </c>
      <c r="T176" s="4" t="s">
        <v>256</v>
      </c>
      <c r="U176" s="6" t="s">
        <v>912</v>
      </c>
      <c r="V176" s="4" t="s">
        <v>64</v>
      </c>
    </row>
    <row r="177" spans="1:22">
      <c r="A177" s="7" t="s">
        <v>913</v>
      </c>
      <c r="B177" s="8" t="s">
        <v>23</v>
      </c>
      <c r="C177" s="8" t="s">
        <v>222</v>
      </c>
      <c r="D177" s="8" t="s">
        <v>276</v>
      </c>
      <c r="E177" s="8" t="s">
        <v>914</v>
      </c>
      <c r="F177" s="8" t="s">
        <v>27</v>
      </c>
      <c r="G177" s="8" t="s">
        <v>28</v>
      </c>
      <c r="H177" s="8" t="s">
        <v>915</v>
      </c>
      <c r="I177" s="8" t="s">
        <v>114</v>
      </c>
      <c r="J177" s="8" t="s">
        <v>106</v>
      </c>
      <c r="K177" s="8" t="s">
        <v>122</v>
      </c>
      <c r="L177" s="8" t="s">
        <v>227</v>
      </c>
      <c r="M177" s="8">
        <v>19</v>
      </c>
      <c r="N177" s="8">
        <v>20</v>
      </c>
      <c r="O177" s="8">
        <v>5</v>
      </c>
      <c r="P177" s="8">
        <v>361</v>
      </c>
      <c r="Q177" s="8">
        <v>4</v>
      </c>
      <c r="R177" s="8" t="s">
        <v>34</v>
      </c>
      <c r="S177" s="8" t="s">
        <v>35</v>
      </c>
      <c r="T177" s="8" t="s">
        <v>50</v>
      </c>
      <c r="U177" s="9" t="s">
        <v>916</v>
      </c>
      <c r="V177" s="8" t="s">
        <v>64</v>
      </c>
    </row>
    <row r="178" spans="1:22">
      <c r="A178" s="3" t="s">
        <v>917</v>
      </c>
      <c r="B178" s="4" t="s">
        <v>251</v>
      </c>
      <c r="C178" s="4" t="s">
        <v>222</v>
      </c>
      <c r="D178" s="4" t="s">
        <v>918</v>
      </c>
      <c r="E178" s="4" t="s">
        <v>352</v>
      </c>
      <c r="F178" s="4" t="s">
        <v>919</v>
      </c>
      <c r="G178" s="4" t="s">
        <v>28</v>
      </c>
      <c r="H178" s="4" t="s">
        <v>920</v>
      </c>
      <c r="I178" s="4" t="s">
        <v>138</v>
      </c>
      <c r="J178" s="4" t="s">
        <v>106</v>
      </c>
      <c r="K178" s="4" t="s">
        <v>122</v>
      </c>
      <c r="L178" s="4" t="s">
        <v>227</v>
      </c>
      <c r="M178" s="4">
        <v>11</v>
      </c>
      <c r="N178" s="4">
        <v>20</v>
      </c>
      <c r="O178" s="4">
        <v>0</v>
      </c>
      <c r="P178" s="4">
        <v>220</v>
      </c>
      <c r="Q178" s="4">
        <v>3</v>
      </c>
      <c r="R178" s="4" t="s">
        <v>48</v>
      </c>
      <c r="S178" s="4" t="s">
        <v>49</v>
      </c>
      <c r="T178" s="4" t="s">
        <v>256</v>
      </c>
      <c r="U178" s="6" t="s">
        <v>921</v>
      </c>
      <c r="V178" s="4" t="s">
        <v>38</v>
      </c>
    </row>
    <row r="179" spans="1:22">
      <c r="A179" s="7" t="s">
        <v>922</v>
      </c>
      <c r="B179" s="8" t="s">
        <v>168</v>
      </c>
      <c r="C179" s="8" t="s">
        <v>118</v>
      </c>
      <c r="D179" s="8" t="s">
        <v>323</v>
      </c>
      <c r="E179" s="8" t="s">
        <v>923</v>
      </c>
      <c r="F179" s="8" t="s">
        <v>361</v>
      </c>
      <c r="G179" s="8" t="s">
        <v>28</v>
      </c>
      <c r="H179" s="8" t="s">
        <v>924</v>
      </c>
      <c r="I179" s="8" t="s">
        <v>44</v>
      </c>
      <c r="J179" s="8" t="s">
        <v>45</v>
      </c>
      <c r="K179" s="8" t="s">
        <v>122</v>
      </c>
      <c r="L179" s="8" t="s">
        <v>123</v>
      </c>
      <c r="M179" s="8">
        <v>12</v>
      </c>
      <c r="N179" s="8">
        <v>60</v>
      </c>
      <c r="O179" s="8">
        <v>0</v>
      </c>
      <c r="P179" s="8">
        <v>720</v>
      </c>
      <c r="Q179" s="8">
        <v>2</v>
      </c>
      <c r="R179" s="8" t="s">
        <v>48</v>
      </c>
      <c r="S179" s="8" t="s">
        <v>49</v>
      </c>
      <c r="T179" s="8" t="s">
        <v>175</v>
      </c>
      <c r="U179" s="9" t="s">
        <v>925</v>
      </c>
      <c r="V179" s="8" t="s">
        <v>38</v>
      </c>
    </row>
    <row r="180" spans="1:22">
      <c r="A180" s="3" t="s">
        <v>926</v>
      </c>
      <c r="B180" s="4" t="s">
        <v>221</v>
      </c>
      <c r="C180" s="4" t="s">
        <v>259</v>
      </c>
      <c r="D180" s="4" t="s">
        <v>927</v>
      </c>
      <c r="E180" s="4" t="s">
        <v>865</v>
      </c>
      <c r="F180" s="4" t="s">
        <v>928</v>
      </c>
      <c r="G180" s="4" t="s">
        <v>76</v>
      </c>
      <c r="H180" s="4" t="s">
        <v>929</v>
      </c>
      <c r="I180" s="4" t="s">
        <v>294</v>
      </c>
      <c r="J180" s="4" t="s">
        <v>295</v>
      </c>
      <c r="K180" s="4" t="s">
        <v>122</v>
      </c>
      <c r="L180" s="4" t="s">
        <v>263</v>
      </c>
      <c r="M180" s="4">
        <v>14</v>
      </c>
      <c r="N180" s="4">
        <v>45</v>
      </c>
      <c r="O180" s="4">
        <v>15</v>
      </c>
      <c r="P180" s="4">
        <v>535.5</v>
      </c>
      <c r="Q180" s="4">
        <v>5</v>
      </c>
      <c r="R180" s="4" t="s">
        <v>88</v>
      </c>
      <c r="S180" s="4" t="s">
        <v>115</v>
      </c>
      <c r="T180" s="4" t="s">
        <v>228</v>
      </c>
      <c r="U180" s="6" t="s">
        <v>930</v>
      </c>
      <c r="V180" s="4" t="s">
        <v>64</v>
      </c>
    </row>
    <row r="181" spans="1:22">
      <c r="A181" s="7" t="s">
        <v>931</v>
      </c>
      <c r="B181" s="8" t="s">
        <v>23</v>
      </c>
      <c r="C181" s="8" t="s">
        <v>184</v>
      </c>
      <c r="D181" s="8" t="s">
        <v>932</v>
      </c>
      <c r="E181" s="8" t="s">
        <v>303</v>
      </c>
      <c r="F181" s="8" t="s">
        <v>27</v>
      </c>
      <c r="G181" s="8" t="s">
        <v>28</v>
      </c>
      <c r="H181" s="8" t="s">
        <v>933</v>
      </c>
      <c r="I181" s="8" t="s">
        <v>30</v>
      </c>
      <c r="J181" s="8" t="s">
        <v>31</v>
      </c>
      <c r="K181" s="8" t="s">
        <v>46</v>
      </c>
      <c r="L181" s="8" t="s">
        <v>189</v>
      </c>
      <c r="M181" s="8">
        <v>15</v>
      </c>
      <c r="N181" s="8">
        <v>700</v>
      </c>
      <c r="O181" s="8">
        <v>10</v>
      </c>
      <c r="P181" s="8">
        <v>9450</v>
      </c>
      <c r="Q181" s="8">
        <v>3</v>
      </c>
      <c r="R181" s="8" t="s">
        <v>48</v>
      </c>
      <c r="S181" s="8" t="s">
        <v>49</v>
      </c>
      <c r="T181" s="8" t="s">
        <v>50</v>
      </c>
      <c r="U181" s="9" t="s">
        <v>934</v>
      </c>
      <c r="V181" s="8" t="s">
        <v>64</v>
      </c>
    </row>
    <row r="182" spans="1:22">
      <c r="A182" s="3" t="s">
        <v>935</v>
      </c>
      <c r="B182" s="4" t="s">
        <v>100</v>
      </c>
      <c r="C182" s="4" t="s">
        <v>169</v>
      </c>
      <c r="D182" s="4" t="s">
        <v>936</v>
      </c>
      <c r="E182" s="4" t="s">
        <v>683</v>
      </c>
      <c r="F182" s="4" t="s">
        <v>103</v>
      </c>
      <c r="G182" s="4" t="s">
        <v>28</v>
      </c>
      <c r="H182" s="4" t="s">
        <v>937</v>
      </c>
      <c r="I182" s="4" t="s">
        <v>138</v>
      </c>
      <c r="J182" s="4" t="s">
        <v>106</v>
      </c>
      <c r="K182" s="4" t="s">
        <v>32</v>
      </c>
      <c r="L182" s="4" t="s">
        <v>174</v>
      </c>
      <c r="M182" s="4">
        <v>19</v>
      </c>
      <c r="N182" s="4">
        <v>8500</v>
      </c>
      <c r="O182" s="4">
        <v>15</v>
      </c>
      <c r="P182" s="4">
        <v>137275</v>
      </c>
      <c r="Q182" s="4">
        <v>2</v>
      </c>
      <c r="R182" s="4" t="s">
        <v>34</v>
      </c>
      <c r="S182" s="4" t="s">
        <v>35</v>
      </c>
      <c r="T182" s="4" t="s">
        <v>144</v>
      </c>
      <c r="U182" s="6" t="s">
        <v>938</v>
      </c>
      <c r="V182" s="4" t="s">
        <v>69</v>
      </c>
    </row>
    <row r="183" spans="1:22">
      <c r="A183" s="7" t="s">
        <v>939</v>
      </c>
      <c r="B183" s="8" t="s">
        <v>251</v>
      </c>
      <c r="C183" s="8" t="s">
        <v>118</v>
      </c>
      <c r="D183" s="8" t="s">
        <v>940</v>
      </c>
      <c r="E183" s="8" t="s">
        <v>941</v>
      </c>
      <c r="F183" s="8" t="s">
        <v>254</v>
      </c>
      <c r="G183" s="8" t="s">
        <v>28</v>
      </c>
      <c r="H183" s="8" t="s">
        <v>911</v>
      </c>
      <c r="I183" s="8" t="s">
        <v>212</v>
      </c>
      <c r="J183" s="8" t="s">
        <v>45</v>
      </c>
      <c r="K183" s="8" t="s">
        <v>122</v>
      </c>
      <c r="L183" s="8" t="s">
        <v>123</v>
      </c>
      <c r="M183" s="8">
        <v>19</v>
      </c>
      <c r="N183" s="8">
        <v>60</v>
      </c>
      <c r="O183" s="8">
        <v>20</v>
      </c>
      <c r="P183" s="8">
        <v>912</v>
      </c>
      <c r="Q183" s="8">
        <v>4</v>
      </c>
      <c r="R183" s="8" t="s">
        <v>79</v>
      </c>
      <c r="S183" s="8" t="s">
        <v>49</v>
      </c>
      <c r="T183" s="8" t="s">
        <v>256</v>
      </c>
      <c r="U183" s="9" t="s">
        <v>942</v>
      </c>
      <c r="V183" s="8" t="s">
        <v>64</v>
      </c>
    </row>
    <row r="184" spans="1:22">
      <c r="A184" s="3" t="s">
        <v>943</v>
      </c>
      <c r="B184" s="4" t="s">
        <v>100</v>
      </c>
      <c r="C184" s="4" t="s">
        <v>259</v>
      </c>
      <c r="D184" s="4" t="s">
        <v>944</v>
      </c>
      <c r="E184" s="4" t="s">
        <v>936</v>
      </c>
      <c r="F184" s="4" t="s">
        <v>103</v>
      </c>
      <c r="G184" s="4" t="s">
        <v>28</v>
      </c>
      <c r="H184" s="4" t="s">
        <v>945</v>
      </c>
      <c r="I184" s="4" t="s">
        <v>59</v>
      </c>
      <c r="J184" s="4" t="s">
        <v>31</v>
      </c>
      <c r="K184" s="4" t="s">
        <v>122</v>
      </c>
      <c r="L184" s="4" t="s">
        <v>263</v>
      </c>
      <c r="M184" s="4">
        <v>10</v>
      </c>
      <c r="N184" s="4">
        <v>45</v>
      </c>
      <c r="O184" s="4">
        <v>15</v>
      </c>
      <c r="P184" s="4">
        <v>382.5</v>
      </c>
      <c r="Q184" s="4">
        <v>4</v>
      </c>
      <c r="R184" s="4" t="s">
        <v>34</v>
      </c>
      <c r="S184" s="4" t="s">
        <v>151</v>
      </c>
      <c r="T184" s="4" t="s">
        <v>144</v>
      </c>
      <c r="U184" s="6" t="s">
        <v>946</v>
      </c>
      <c r="V184" s="4" t="s">
        <v>38</v>
      </c>
    </row>
    <row r="185" spans="1:22">
      <c r="A185" s="7" t="s">
        <v>947</v>
      </c>
      <c r="B185" s="8" t="s">
        <v>71</v>
      </c>
      <c r="C185" s="8" t="s">
        <v>24</v>
      </c>
      <c r="D185" s="8" t="s">
        <v>948</v>
      </c>
      <c r="E185" s="8" t="s">
        <v>949</v>
      </c>
      <c r="F185" s="8" t="s">
        <v>217</v>
      </c>
      <c r="G185" s="8" t="s">
        <v>76</v>
      </c>
      <c r="H185" s="8" t="s">
        <v>950</v>
      </c>
      <c r="I185" s="8" t="s">
        <v>44</v>
      </c>
      <c r="J185" s="8" t="s">
        <v>45</v>
      </c>
      <c r="K185" s="8" t="s">
        <v>32</v>
      </c>
      <c r="L185" s="8" t="s">
        <v>33</v>
      </c>
      <c r="M185" s="8">
        <v>7</v>
      </c>
      <c r="N185" s="8">
        <v>2200</v>
      </c>
      <c r="O185" s="8">
        <v>20</v>
      </c>
      <c r="P185" s="8">
        <v>12320</v>
      </c>
      <c r="Q185" s="8">
        <v>5</v>
      </c>
      <c r="R185" s="8" t="s">
        <v>88</v>
      </c>
      <c r="S185" s="8" t="s">
        <v>49</v>
      </c>
      <c r="T185" s="8" t="s">
        <v>80</v>
      </c>
      <c r="U185" s="9" t="s">
        <v>951</v>
      </c>
      <c r="V185" s="8" t="s">
        <v>64</v>
      </c>
    </row>
    <row r="186" spans="1:22">
      <c r="A186" s="3" t="s">
        <v>952</v>
      </c>
      <c r="B186" s="4" t="s">
        <v>100</v>
      </c>
      <c r="C186" s="4" t="s">
        <v>169</v>
      </c>
      <c r="D186" s="4" t="s">
        <v>953</v>
      </c>
      <c r="E186" s="4" t="s">
        <v>42</v>
      </c>
      <c r="F186" s="4" t="s">
        <v>103</v>
      </c>
      <c r="G186" s="4" t="s">
        <v>28</v>
      </c>
      <c r="H186" s="4" t="s">
        <v>954</v>
      </c>
      <c r="I186" s="4" t="s">
        <v>294</v>
      </c>
      <c r="J186" s="4" t="s">
        <v>295</v>
      </c>
      <c r="K186" s="4" t="s">
        <v>32</v>
      </c>
      <c r="L186" s="4" t="s">
        <v>174</v>
      </c>
      <c r="M186" s="4">
        <v>20</v>
      </c>
      <c r="N186" s="4">
        <v>8500</v>
      </c>
      <c r="O186" s="4">
        <v>20</v>
      </c>
      <c r="P186" s="4">
        <v>136000</v>
      </c>
      <c r="Q186" s="4">
        <v>4</v>
      </c>
      <c r="R186" s="4" t="s">
        <v>48</v>
      </c>
      <c r="S186" s="4" t="s">
        <v>35</v>
      </c>
      <c r="T186" s="4" t="s">
        <v>144</v>
      </c>
      <c r="U186" s="6" t="s">
        <v>955</v>
      </c>
      <c r="V186" s="4" t="s">
        <v>38</v>
      </c>
    </row>
    <row r="187" spans="1:22">
      <c r="A187" s="7" t="s">
        <v>956</v>
      </c>
      <c r="B187" s="8" t="s">
        <v>251</v>
      </c>
      <c r="C187" s="8" t="s">
        <v>24</v>
      </c>
      <c r="D187" s="8" t="s">
        <v>770</v>
      </c>
      <c r="E187" s="8" t="s">
        <v>957</v>
      </c>
      <c r="F187" s="8" t="s">
        <v>254</v>
      </c>
      <c r="G187" s="8" t="s">
        <v>28</v>
      </c>
      <c r="H187" s="8" t="s">
        <v>958</v>
      </c>
      <c r="I187" s="8" t="s">
        <v>30</v>
      </c>
      <c r="J187" s="8" t="s">
        <v>31</v>
      </c>
      <c r="K187" s="8" t="s">
        <v>32</v>
      </c>
      <c r="L187" s="8" t="s">
        <v>33</v>
      </c>
      <c r="M187" s="8">
        <v>10</v>
      </c>
      <c r="N187" s="8">
        <v>2200</v>
      </c>
      <c r="O187" s="8">
        <v>5</v>
      </c>
      <c r="P187" s="8">
        <v>20900</v>
      </c>
      <c r="Q187" s="8">
        <v>2</v>
      </c>
      <c r="R187" s="8" t="s">
        <v>48</v>
      </c>
      <c r="S187" s="8" t="s">
        <v>49</v>
      </c>
      <c r="T187" s="8" t="s">
        <v>256</v>
      </c>
      <c r="U187" s="9" t="s">
        <v>959</v>
      </c>
      <c r="V187" s="8" t="s">
        <v>38</v>
      </c>
    </row>
    <row r="188" spans="1:22">
      <c r="A188" s="3" t="s">
        <v>960</v>
      </c>
      <c r="B188" s="4" t="s">
        <v>127</v>
      </c>
      <c r="C188" s="4" t="s">
        <v>118</v>
      </c>
      <c r="D188" s="4" t="s">
        <v>692</v>
      </c>
      <c r="E188" s="4" t="s">
        <v>961</v>
      </c>
      <c r="F188" s="4" t="s">
        <v>200</v>
      </c>
      <c r="G188" s="4" t="s">
        <v>76</v>
      </c>
      <c r="H188" s="4" t="s">
        <v>962</v>
      </c>
      <c r="I188" s="4" t="s">
        <v>114</v>
      </c>
      <c r="J188" s="4" t="s">
        <v>106</v>
      </c>
      <c r="K188" s="4" t="s">
        <v>122</v>
      </c>
      <c r="L188" s="4" t="s">
        <v>123</v>
      </c>
      <c r="M188" s="4">
        <v>15</v>
      </c>
      <c r="N188" s="4">
        <v>60</v>
      </c>
      <c r="O188" s="4">
        <v>20</v>
      </c>
      <c r="P188" s="4">
        <v>720</v>
      </c>
      <c r="Q188" s="4">
        <v>1</v>
      </c>
      <c r="R188" s="4" t="s">
        <v>79</v>
      </c>
      <c r="S188" s="4" t="s">
        <v>35</v>
      </c>
      <c r="T188" s="4" t="s">
        <v>132</v>
      </c>
      <c r="U188" s="6" t="s">
        <v>963</v>
      </c>
      <c r="V188" s="4" t="s">
        <v>38</v>
      </c>
    </row>
    <row r="189" spans="1:22">
      <c r="A189" s="7" t="s">
        <v>964</v>
      </c>
      <c r="B189" s="8" t="s">
        <v>221</v>
      </c>
      <c r="C189" s="8" t="s">
        <v>92</v>
      </c>
      <c r="D189" s="8" t="s">
        <v>231</v>
      </c>
      <c r="E189" s="8" t="s">
        <v>965</v>
      </c>
      <c r="F189" s="8" t="s">
        <v>225</v>
      </c>
      <c r="G189" s="8" t="s">
        <v>76</v>
      </c>
      <c r="H189" s="8" t="s">
        <v>966</v>
      </c>
      <c r="I189" s="8" t="s">
        <v>30</v>
      </c>
      <c r="J189" s="8" t="s">
        <v>31</v>
      </c>
      <c r="K189" s="8" t="s">
        <v>32</v>
      </c>
      <c r="L189" s="8" t="s">
        <v>97</v>
      </c>
      <c r="M189" s="8">
        <v>18</v>
      </c>
      <c r="N189" s="8">
        <v>3500</v>
      </c>
      <c r="O189" s="8">
        <v>5</v>
      </c>
      <c r="P189" s="8">
        <v>59850</v>
      </c>
      <c r="Q189" s="8">
        <v>1</v>
      </c>
      <c r="R189" s="8" t="s">
        <v>79</v>
      </c>
      <c r="S189" s="8" t="s">
        <v>49</v>
      </c>
      <c r="T189" s="8" t="s">
        <v>228</v>
      </c>
      <c r="U189" s="9" t="s">
        <v>967</v>
      </c>
      <c r="V189" s="8" t="s">
        <v>69</v>
      </c>
    </row>
    <row r="190" spans="1:22">
      <c r="A190" s="3" t="s">
        <v>968</v>
      </c>
      <c r="B190" s="4" t="s">
        <v>327</v>
      </c>
      <c r="C190" s="4" t="s">
        <v>40</v>
      </c>
      <c r="D190" s="4" t="s">
        <v>969</v>
      </c>
      <c r="E190" s="4" t="s">
        <v>970</v>
      </c>
      <c r="F190" s="4" t="s">
        <v>394</v>
      </c>
      <c r="G190" s="4" t="s">
        <v>76</v>
      </c>
      <c r="H190" s="4" t="s">
        <v>971</v>
      </c>
      <c r="I190" s="4" t="s">
        <v>114</v>
      </c>
      <c r="J190" s="4" t="s">
        <v>106</v>
      </c>
      <c r="K190" s="4" t="s">
        <v>46</v>
      </c>
      <c r="L190" s="4" t="s">
        <v>47</v>
      </c>
      <c r="M190" s="4">
        <v>6</v>
      </c>
      <c r="N190" s="4">
        <v>12000</v>
      </c>
      <c r="O190" s="4">
        <v>5</v>
      </c>
      <c r="P190" s="4">
        <v>68400</v>
      </c>
      <c r="Q190" s="4">
        <v>1</v>
      </c>
      <c r="R190" s="4" t="s">
        <v>48</v>
      </c>
      <c r="S190" s="4" t="s">
        <v>49</v>
      </c>
      <c r="T190" s="4" t="s">
        <v>332</v>
      </c>
      <c r="U190" s="6" t="s">
        <v>972</v>
      </c>
      <c r="V190" s="4" t="s">
        <v>69</v>
      </c>
    </row>
    <row r="191" spans="1:22">
      <c r="A191" s="7" t="s">
        <v>973</v>
      </c>
      <c r="B191" s="8" t="s">
        <v>327</v>
      </c>
      <c r="C191" s="8" t="s">
        <v>222</v>
      </c>
      <c r="D191" s="8" t="s">
        <v>323</v>
      </c>
      <c r="E191" s="8" t="s">
        <v>479</v>
      </c>
      <c r="F191" s="8" t="s">
        <v>394</v>
      </c>
      <c r="G191" s="8" t="s">
        <v>76</v>
      </c>
      <c r="H191" s="8" t="s">
        <v>974</v>
      </c>
      <c r="I191" s="8" t="s">
        <v>59</v>
      </c>
      <c r="J191" s="8" t="s">
        <v>31</v>
      </c>
      <c r="K191" s="8" t="s">
        <v>122</v>
      </c>
      <c r="L191" s="8" t="s">
        <v>227</v>
      </c>
      <c r="M191" s="8">
        <v>19</v>
      </c>
      <c r="N191" s="8">
        <v>20</v>
      </c>
      <c r="O191" s="8">
        <v>10</v>
      </c>
      <c r="P191" s="8">
        <v>342</v>
      </c>
      <c r="Q191" s="8">
        <v>2</v>
      </c>
      <c r="R191" s="8" t="s">
        <v>48</v>
      </c>
      <c r="S191" s="8" t="s">
        <v>35</v>
      </c>
      <c r="T191" s="8" t="s">
        <v>332</v>
      </c>
      <c r="U191" s="9" t="s">
        <v>975</v>
      </c>
      <c r="V191" s="8" t="s">
        <v>64</v>
      </c>
    </row>
    <row r="192" spans="1:22">
      <c r="A192" s="3" t="s">
        <v>976</v>
      </c>
      <c r="B192" s="4" t="s">
        <v>221</v>
      </c>
      <c r="C192" s="4" t="s">
        <v>24</v>
      </c>
      <c r="D192" s="4" t="s">
        <v>426</v>
      </c>
      <c r="E192" s="4" t="s">
        <v>427</v>
      </c>
      <c r="F192" s="4" t="s">
        <v>225</v>
      </c>
      <c r="G192" s="4" t="s">
        <v>76</v>
      </c>
      <c r="H192" s="4" t="s">
        <v>977</v>
      </c>
      <c r="I192" s="4" t="s">
        <v>114</v>
      </c>
      <c r="J192" s="4" t="s">
        <v>106</v>
      </c>
      <c r="K192" s="4" t="s">
        <v>32</v>
      </c>
      <c r="L192" s="4" t="s">
        <v>33</v>
      </c>
      <c r="M192" s="4">
        <v>7</v>
      </c>
      <c r="N192" s="4">
        <v>2200</v>
      </c>
      <c r="O192" s="4">
        <v>0</v>
      </c>
      <c r="P192" s="4">
        <v>15400</v>
      </c>
      <c r="Q192" s="4">
        <v>1</v>
      </c>
      <c r="R192" s="4" t="s">
        <v>79</v>
      </c>
      <c r="S192" s="4" t="s">
        <v>115</v>
      </c>
      <c r="T192" s="4" t="s">
        <v>228</v>
      </c>
      <c r="U192" s="6" t="s">
        <v>978</v>
      </c>
      <c r="V192" s="4" t="s">
        <v>69</v>
      </c>
    </row>
    <row r="193" spans="1:22">
      <c r="A193" s="7" t="s">
        <v>979</v>
      </c>
      <c r="B193" s="8" t="s">
        <v>327</v>
      </c>
      <c r="C193" s="8" t="s">
        <v>40</v>
      </c>
      <c r="D193" s="8" t="s">
        <v>503</v>
      </c>
      <c r="E193" s="8" t="s">
        <v>980</v>
      </c>
      <c r="F193" s="8" t="s">
        <v>394</v>
      </c>
      <c r="G193" s="8" t="s">
        <v>76</v>
      </c>
      <c r="H193" s="8" t="s">
        <v>981</v>
      </c>
      <c r="I193" s="8" t="s">
        <v>212</v>
      </c>
      <c r="J193" s="8" t="s">
        <v>45</v>
      </c>
      <c r="K193" s="8" t="s">
        <v>46</v>
      </c>
      <c r="L193" s="8" t="s">
        <v>47</v>
      </c>
      <c r="M193" s="8">
        <v>3</v>
      </c>
      <c r="N193" s="8">
        <v>12000</v>
      </c>
      <c r="O193" s="8">
        <v>5</v>
      </c>
      <c r="P193" s="8">
        <v>34200</v>
      </c>
      <c r="Q193" s="8">
        <v>3</v>
      </c>
      <c r="R193" s="8" t="s">
        <v>79</v>
      </c>
      <c r="S193" s="8" t="s">
        <v>61</v>
      </c>
      <c r="T193" s="8" t="s">
        <v>332</v>
      </c>
      <c r="U193" s="9" t="s">
        <v>982</v>
      </c>
      <c r="V193" s="8" t="s">
        <v>69</v>
      </c>
    </row>
    <row r="194" spans="1:22">
      <c r="A194" s="3" t="s">
        <v>983</v>
      </c>
      <c r="B194" s="4" t="s">
        <v>168</v>
      </c>
      <c r="C194" s="4" t="s">
        <v>24</v>
      </c>
      <c r="D194" s="4" t="s">
        <v>341</v>
      </c>
      <c r="E194" s="4" t="s">
        <v>864</v>
      </c>
      <c r="F194" s="4" t="s">
        <v>361</v>
      </c>
      <c r="G194" s="4" t="s">
        <v>28</v>
      </c>
      <c r="H194" s="4" t="s">
        <v>984</v>
      </c>
      <c r="I194" s="4" t="s">
        <v>212</v>
      </c>
      <c r="J194" s="4" t="s">
        <v>45</v>
      </c>
      <c r="K194" s="4" t="s">
        <v>32</v>
      </c>
      <c r="L194" s="4" t="s">
        <v>33</v>
      </c>
      <c r="M194" s="4">
        <v>16</v>
      </c>
      <c r="N194" s="4">
        <v>2200</v>
      </c>
      <c r="O194" s="4">
        <v>0</v>
      </c>
      <c r="P194" s="4">
        <v>35200</v>
      </c>
      <c r="Q194" s="4">
        <v>5</v>
      </c>
      <c r="R194" s="4" t="s">
        <v>79</v>
      </c>
      <c r="S194" s="4" t="s">
        <v>35</v>
      </c>
      <c r="T194" s="4" t="s">
        <v>175</v>
      </c>
      <c r="U194" s="6" t="s">
        <v>985</v>
      </c>
      <c r="V194" s="4" t="s">
        <v>64</v>
      </c>
    </row>
    <row r="195" spans="1:22">
      <c r="A195" s="7" t="s">
        <v>986</v>
      </c>
      <c r="B195" s="8" t="s">
        <v>251</v>
      </c>
      <c r="C195" s="8" t="s">
        <v>24</v>
      </c>
      <c r="D195" s="8" t="s">
        <v>987</v>
      </c>
      <c r="E195" s="8" t="s">
        <v>988</v>
      </c>
      <c r="F195" s="8" t="s">
        <v>254</v>
      </c>
      <c r="G195" s="8" t="s">
        <v>28</v>
      </c>
      <c r="H195" s="8" t="s">
        <v>989</v>
      </c>
      <c r="I195" s="8" t="s">
        <v>44</v>
      </c>
      <c r="J195" s="8" t="s">
        <v>45</v>
      </c>
      <c r="K195" s="8" t="s">
        <v>32</v>
      </c>
      <c r="L195" s="8" t="s">
        <v>33</v>
      </c>
      <c r="M195" s="8">
        <v>8</v>
      </c>
      <c r="N195" s="8">
        <v>2200</v>
      </c>
      <c r="O195" s="8">
        <v>5</v>
      </c>
      <c r="P195" s="8">
        <v>16720</v>
      </c>
      <c r="Q195" s="8">
        <v>2</v>
      </c>
      <c r="R195" s="8" t="s">
        <v>88</v>
      </c>
      <c r="S195" s="8" t="s">
        <v>151</v>
      </c>
      <c r="T195" s="8" t="s">
        <v>256</v>
      </c>
      <c r="U195" s="9" t="s">
        <v>990</v>
      </c>
      <c r="V195" s="8" t="s">
        <v>38</v>
      </c>
    </row>
    <row r="196" spans="1:22">
      <c r="A196" s="3" t="s">
        <v>991</v>
      </c>
      <c r="B196" s="4" t="s">
        <v>251</v>
      </c>
      <c r="C196" s="4" t="s">
        <v>24</v>
      </c>
      <c r="D196" s="4" t="s">
        <v>610</v>
      </c>
      <c r="E196" s="4" t="s">
        <v>454</v>
      </c>
      <c r="F196" s="4" t="s">
        <v>254</v>
      </c>
      <c r="G196" s="4" t="s">
        <v>28</v>
      </c>
      <c r="H196" s="4" t="s">
        <v>992</v>
      </c>
      <c r="I196" s="4" t="s">
        <v>138</v>
      </c>
      <c r="J196" s="4" t="s">
        <v>106</v>
      </c>
      <c r="K196" s="4" t="s">
        <v>32</v>
      </c>
      <c r="L196" s="4" t="s">
        <v>33</v>
      </c>
      <c r="M196" s="4">
        <v>10</v>
      </c>
      <c r="N196" s="4">
        <v>2200</v>
      </c>
      <c r="O196" s="4">
        <v>10</v>
      </c>
      <c r="P196" s="4">
        <v>19800</v>
      </c>
      <c r="Q196" s="4">
        <v>5</v>
      </c>
      <c r="R196" s="4" t="s">
        <v>48</v>
      </c>
      <c r="S196" s="4" t="s">
        <v>115</v>
      </c>
      <c r="T196" s="4" t="s">
        <v>256</v>
      </c>
      <c r="U196" s="6" t="s">
        <v>993</v>
      </c>
      <c r="V196" s="4" t="s">
        <v>64</v>
      </c>
    </row>
    <row r="197" spans="1:22">
      <c r="A197" s="7" t="s">
        <v>994</v>
      </c>
      <c r="B197" s="8" t="s">
        <v>83</v>
      </c>
      <c r="C197" s="8" t="s">
        <v>222</v>
      </c>
      <c r="D197" s="8" t="s">
        <v>336</v>
      </c>
      <c r="E197" s="8" t="s">
        <v>596</v>
      </c>
      <c r="F197" s="8" t="s">
        <v>180</v>
      </c>
      <c r="G197" s="8" t="s">
        <v>76</v>
      </c>
      <c r="H197" s="8" t="s">
        <v>995</v>
      </c>
      <c r="I197" s="8" t="s">
        <v>44</v>
      </c>
      <c r="J197" s="8" t="s">
        <v>45</v>
      </c>
      <c r="K197" s="8" t="s">
        <v>122</v>
      </c>
      <c r="L197" s="8" t="s">
        <v>227</v>
      </c>
      <c r="M197" s="8">
        <v>7</v>
      </c>
      <c r="N197" s="8">
        <v>20</v>
      </c>
      <c r="O197" s="8">
        <v>10</v>
      </c>
      <c r="P197" s="8">
        <v>126</v>
      </c>
      <c r="Q197" s="8">
        <v>4</v>
      </c>
      <c r="R197" s="8" t="s">
        <v>79</v>
      </c>
      <c r="S197" s="8" t="s">
        <v>61</v>
      </c>
      <c r="T197" s="8" t="s">
        <v>89</v>
      </c>
      <c r="U197" s="9" t="s">
        <v>996</v>
      </c>
      <c r="V197" s="8" t="s">
        <v>38</v>
      </c>
    </row>
    <row r="198" spans="1:22">
      <c r="A198" s="3" t="s">
        <v>997</v>
      </c>
      <c r="B198" s="4" t="s">
        <v>221</v>
      </c>
      <c r="C198" s="4" t="s">
        <v>169</v>
      </c>
      <c r="D198" s="4" t="s">
        <v>252</v>
      </c>
      <c r="E198" s="4" t="s">
        <v>998</v>
      </c>
      <c r="F198" s="4" t="s">
        <v>225</v>
      </c>
      <c r="G198" s="4" t="s">
        <v>76</v>
      </c>
      <c r="H198" s="4" t="s">
        <v>999</v>
      </c>
      <c r="I198" s="4" t="s">
        <v>30</v>
      </c>
      <c r="J198" s="4" t="s">
        <v>31</v>
      </c>
      <c r="K198" s="4" t="s">
        <v>32</v>
      </c>
      <c r="L198" s="4" t="s">
        <v>174</v>
      </c>
      <c r="M198" s="4">
        <v>19</v>
      </c>
      <c r="N198" s="4">
        <v>8500</v>
      </c>
      <c r="O198" s="4">
        <v>20</v>
      </c>
      <c r="P198" s="4">
        <v>129200</v>
      </c>
      <c r="Q198" s="4">
        <v>3</v>
      </c>
      <c r="R198" s="4" t="s">
        <v>48</v>
      </c>
      <c r="S198" s="4" t="s">
        <v>61</v>
      </c>
      <c r="T198" s="4" t="s">
        <v>228</v>
      </c>
      <c r="U198" s="6" t="s">
        <v>1000</v>
      </c>
      <c r="V198" s="4" t="s">
        <v>64</v>
      </c>
    </row>
    <row r="199" spans="1:22">
      <c r="A199" s="7" t="s">
        <v>1001</v>
      </c>
      <c r="B199" s="8" t="s">
        <v>100</v>
      </c>
      <c r="C199" s="8" t="s">
        <v>118</v>
      </c>
      <c r="D199" s="8" t="s">
        <v>431</v>
      </c>
      <c r="E199" s="8" t="s">
        <v>414</v>
      </c>
      <c r="F199" s="8" t="s">
        <v>103</v>
      </c>
      <c r="G199" s="8" t="s">
        <v>28</v>
      </c>
      <c r="H199" s="8" t="s">
        <v>1002</v>
      </c>
      <c r="I199" s="8" t="s">
        <v>114</v>
      </c>
      <c r="J199" s="8" t="s">
        <v>106</v>
      </c>
      <c r="K199" s="8" t="s">
        <v>122</v>
      </c>
      <c r="L199" s="8" t="s">
        <v>123</v>
      </c>
      <c r="M199" s="8">
        <v>16</v>
      </c>
      <c r="N199" s="8">
        <v>60</v>
      </c>
      <c r="O199" s="8">
        <v>0</v>
      </c>
      <c r="P199" s="8">
        <v>960</v>
      </c>
      <c r="Q199" s="8">
        <v>2</v>
      </c>
      <c r="R199" s="8" t="s">
        <v>48</v>
      </c>
      <c r="S199" s="8" t="s">
        <v>115</v>
      </c>
      <c r="T199" s="8" t="s">
        <v>144</v>
      </c>
      <c r="U199" s="9" t="s">
        <v>1003</v>
      </c>
      <c r="V199" s="8" t="s">
        <v>38</v>
      </c>
    </row>
    <row r="200" spans="1:22">
      <c r="A200" s="3" t="s">
        <v>1004</v>
      </c>
      <c r="B200" s="4" t="s">
        <v>221</v>
      </c>
      <c r="C200" s="4" t="s">
        <v>92</v>
      </c>
      <c r="D200" s="4" t="s">
        <v>1005</v>
      </c>
      <c r="E200" s="4" t="s">
        <v>731</v>
      </c>
      <c r="F200" s="4" t="s">
        <v>225</v>
      </c>
      <c r="G200" s="4" t="s">
        <v>76</v>
      </c>
      <c r="H200" s="4" t="s">
        <v>1006</v>
      </c>
      <c r="I200" s="4" t="s">
        <v>59</v>
      </c>
      <c r="J200" s="4" t="s">
        <v>31</v>
      </c>
      <c r="K200" s="4" t="s">
        <v>1007</v>
      </c>
      <c r="L200" s="4" t="s">
        <v>97</v>
      </c>
      <c r="M200" s="4">
        <v>18</v>
      </c>
      <c r="N200" s="4">
        <v>3500</v>
      </c>
      <c r="O200" s="4">
        <v>5</v>
      </c>
      <c r="P200" s="4">
        <v>59850</v>
      </c>
      <c r="Q200" s="4">
        <v>1</v>
      </c>
      <c r="R200" s="4" t="s">
        <v>88</v>
      </c>
      <c r="S200" s="4" t="s">
        <v>115</v>
      </c>
      <c r="T200" s="4" t="s">
        <v>228</v>
      </c>
      <c r="U200" s="6" t="s">
        <v>1008</v>
      </c>
      <c r="V200" s="4" t="s">
        <v>64</v>
      </c>
    </row>
    <row r="201" spans="1:22">
      <c r="A201" s="7" t="s">
        <v>1009</v>
      </c>
      <c r="B201" s="8" t="s">
        <v>100</v>
      </c>
      <c r="C201" s="8" t="s">
        <v>54</v>
      </c>
      <c r="D201" s="8" t="s">
        <v>1010</v>
      </c>
      <c r="E201" s="8" t="s">
        <v>431</v>
      </c>
      <c r="F201" s="8" t="s">
        <v>103</v>
      </c>
      <c r="G201" s="8" t="s">
        <v>28</v>
      </c>
      <c r="H201" s="8" t="s">
        <v>1011</v>
      </c>
      <c r="I201" s="8" t="s">
        <v>212</v>
      </c>
      <c r="J201" s="8" t="s">
        <v>45</v>
      </c>
      <c r="K201" s="8" t="s">
        <v>46</v>
      </c>
      <c r="L201" s="8" t="s">
        <v>60</v>
      </c>
      <c r="M201" s="8">
        <v>16</v>
      </c>
      <c r="N201" s="8">
        <v>55000</v>
      </c>
      <c r="O201" s="8">
        <v>0</v>
      </c>
      <c r="P201" s="8">
        <v>880000</v>
      </c>
      <c r="Q201" s="8">
        <v>1</v>
      </c>
      <c r="R201" s="8" t="s">
        <v>79</v>
      </c>
      <c r="S201" s="8" t="s">
        <v>61</v>
      </c>
      <c r="T201" s="8" t="s">
        <v>144</v>
      </c>
      <c r="U201" s="9" t="s">
        <v>1012</v>
      </c>
      <c r="V201" s="8" t="s">
        <v>69</v>
      </c>
    </row>
    <row r="202" spans="1:22">
      <c r="A202" s="3" t="s">
        <v>1013</v>
      </c>
      <c r="B202" s="4" t="s">
        <v>221</v>
      </c>
      <c r="C202" s="4" t="s">
        <v>72</v>
      </c>
      <c r="D202" s="4" t="s">
        <v>900</v>
      </c>
      <c r="E202" s="4" t="s">
        <v>435</v>
      </c>
      <c r="F202" s="4" t="s">
        <v>225</v>
      </c>
      <c r="G202" s="4" t="s">
        <v>76</v>
      </c>
      <c r="H202" s="4" t="s">
        <v>1014</v>
      </c>
      <c r="I202" s="4" t="s">
        <v>138</v>
      </c>
      <c r="J202" s="4" t="s">
        <v>106</v>
      </c>
      <c r="K202" s="4" t="s">
        <v>46</v>
      </c>
      <c r="L202" s="4" t="s">
        <v>78</v>
      </c>
      <c r="M202" s="4">
        <v>18</v>
      </c>
      <c r="N202" s="4">
        <v>1200</v>
      </c>
      <c r="O202" s="4">
        <v>15</v>
      </c>
      <c r="P202" s="4">
        <v>18360</v>
      </c>
      <c r="Q202" s="4">
        <v>2</v>
      </c>
      <c r="R202" s="4" t="s">
        <v>48</v>
      </c>
      <c r="S202" s="4" t="s">
        <v>35</v>
      </c>
      <c r="T202" s="4" t="s">
        <v>228</v>
      </c>
      <c r="U202" s="6" t="s">
        <v>1015</v>
      </c>
      <c r="V202" s="4" t="s">
        <v>69</v>
      </c>
    </row>
    <row r="203" spans="1:22">
      <c r="A203" s="7" t="s">
        <v>1016</v>
      </c>
      <c r="B203" s="8" t="s">
        <v>71</v>
      </c>
      <c r="C203" s="8" t="s">
        <v>259</v>
      </c>
      <c r="D203" s="8" t="s">
        <v>1017</v>
      </c>
      <c r="E203" s="8" t="s">
        <v>1018</v>
      </c>
      <c r="F203" s="8" t="s">
        <v>217</v>
      </c>
      <c r="G203" s="8" t="s">
        <v>76</v>
      </c>
      <c r="H203" s="8" t="s">
        <v>1019</v>
      </c>
      <c r="I203" s="8" t="s">
        <v>30</v>
      </c>
      <c r="J203" s="8" t="s">
        <v>31</v>
      </c>
      <c r="K203" s="8" t="s">
        <v>122</v>
      </c>
      <c r="L203" s="8" t="s">
        <v>263</v>
      </c>
      <c r="M203" s="8">
        <v>2</v>
      </c>
      <c r="N203" s="8">
        <v>45</v>
      </c>
      <c r="O203" s="8">
        <v>15</v>
      </c>
      <c r="P203" s="8">
        <v>76.5</v>
      </c>
      <c r="Q203" s="8">
        <v>5</v>
      </c>
      <c r="R203" s="8" t="s">
        <v>34</v>
      </c>
      <c r="S203" s="8" t="s">
        <v>61</v>
      </c>
      <c r="T203" s="8" t="s">
        <v>80</v>
      </c>
      <c r="U203" s="9" t="s">
        <v>1020</v>
      </c>
      <c r="V203" s="8" t="s">
        <v>69</v>
      </c>
    </row>
    <row r="204" spans="1:22">
      <c r="A204" s="3" t="s">
        <v>1021</v>
      </c>
      <c r="B204" s="4" t="s">
        <v>53</v>
      </c>
      <c r="C204" s="4" t="s">
        <v>169</v>
      </c>
      <c r="D204" s="4" t="s">
        <v>712</v>
      </c>
      <c r="E204" s="4" t="s">
        <v>85</v>
      </c>
      <c r="F204" s="4" t="s">
        <v>163</v>
      </c>
      <c r="G204" s="4" t="s">
        <v>28</v>
      </c>
      <c r="H204" s="4" t="s">
        <v>1022</v>
      </c>
      <c r="I204" s="4" t="s">
        <v>59</v>
      </c>
      <c r="J204" s="4" t="s">
        <v>31</v>
      </c>
      <c r="K204" s="4" t="s">
        <v>32</v>
      </c>
      <c r="L204" s="4" t="s">
        <v>174</v>
      </c>
      <c r="M204" s="4">
        <v>20</v>
      </c>
      <c r="N204" s="4">
        <v>8500</v>
      </c>
      <c r="O204" s="4">
        <v>0</v>
      </c>
      <c r="P204" s="4">
        <v>170000</v>
      </c>
      <c r="Q204" s="4">
        <v>4</v>
      </c>
      <c r="R204" s="4" t="s">
        <v>48</v>
      </c>
      <c r="S204" s="4" t="s">
        <v>61</v>
      </c>
      <c r="T204" s="4" t="s">
        <v>62</v>
      </c>
      <c r="U204" s="6" t="s">
        <v>1023</v>
      </c>
      <c r="V204" s="4" t="s">
        <v>69</v>
      </c>
    </row>
    <row r="205" spans="1:22">
      <c r="A205" s="7" t="s">
        <v>1024</v>
      </c>
      <c r="B205" s="8" t="s">
        <v>127</v>
      </c>
      <c r="C205" s="8" t="s">
        <v>92</v>
      </c>
      <c r="D205" s="8" t="s">
        <v>298</v>
      </c>
      <c r="E205" s="8" t="s">
        <v>1025</v>
      </c>
      <c r="F205" s="8" t="s">
        <v>200</v>
      </c>
      <c r="G205" s="8" t="s">
        <v>76</v>
      </c>
      <c r="H205" s="8" t="s">
        <v>494</v>
      </c>
      <c r="I205" s="8" t="s">
        <v>212</v>
      </c>
      <c r="J205" s="8" t="s">
        <v>45</v>
      </c>
      <c r="K205" s="8" t="s">
        <v>32</v>
      </c>
      <c r="L205" s="8" t="s">
        <v>97</v>
      </c>
      <c r="M205" s="8">
        <v>6</v>
      </c>
      <c r="N205" s="8">
        <v>3500</v>
      </c>
      <c r="O205" s="8">
        <v>5</v>
      </c>
      <c r="P205" s="8">
        <v>19950</v>
      </c>
      <c r="Q205" s="8">
        <v>1</v>
      </c>
      <c r="R205" s="8" t="s">
        <v>34</v>
      </c>
      <c r="S205" s="8" t="s">
        <v>151</v>
      </c>
      <c r="T205" s="8" t="s">
        <v>132</v>
      </c>
      <c r="U205" s="9" t="s">
        <v>1026</v>
      </c>
      <c r="V205" s="8" t="s">
        <v>38</v>
      </c>
    </row>
    <row r="206" spans="1:22">
      <c r="A206" s="3" t="s">
        <v>1027</v>
      </c>
      <c r="B206" s="4" t="s">
        <v>168</v>
      </c>
      <c r="C206" s="4" t="s">
        <v>259</v>
      </c>
      <c r="D206" s="4" t="s">
        <v>308</v>
      </c>
      <c r="E206" s="4" t="s">
        <v>281</v>
      </c>
      <c r="F206" s="4" t="s">
        <v>361</v>
      </c>
      <c r="G206" s="4" t="s">
        <v>28</v>
      </c>
      <c r="H206" s="4" t="s">
        <v>1028</v>
      </c>
      <c r="I206" s="4" t="s">
        <v>114</v>
      </c>
      <c r="J206" s="4" t="s">
        <v>106</v>
      </c>
      <c r="K206" s="4" t="s">
        <v>122</v>
      </c>
      <c r="L206" s="4" t="s">
        <v>263</v>
      </c>
      <c r="M206" s="4">
        <v>8</v>
      </c>
      <c r="N206" s="4">
        <v>45</v>
      </c>
      <c r="O206" s="4">
        <v>5</v>
      </c>
      <c r="P206" s="4">
        <v>342</v>
      </c>
      <c r="Q206" s="4">
        <v>2</v>
      </c>
      <c r="R206" s="4" t="s">
        <v>34</v>
      </c>
      <c r="S206" s="4" t="s">
        <v>49</v>
      </c>
      <c r="T206" s="4" t="s">
        <v>175</v>
      </c>
      <c r="U206" s="6" t="s">
        <v>1029</v>
      </c>
      <c r="V206" s="4" t="s">
        <v>64</v>
      </c>
    </row>
    <row r="207" spans="1:22">
      <c r="A207" s="7" t="s">
        <v>1030</v>
      </c>
      <c r="B207" s="8" t="s">
        <v>327</v>
      </c>
      <c r="C207" s="8" t="s">
        <v>24</v>
      </c>
      <c r="D207" s="8" t="s">
        <v>414</v>
      </c>
      <c r="E207" s="8" t="s">
        <v>1031</v>
      </c>
      <c r="F207" s="8" t="s">
        <v>394</v>
      </c>
      <c r="G207" s="8" t="s">
        <v>76</v>
      </c>
      <c r="H207" s="8" t="s">
        <v>1032</v>
      </c>
      <c r="I207" s="8" t="s">
        <v>105</v>
      </c>
      <c r="J207" s="8" t="s">
        <v>106</v>
      </c>
      <c r="K207" s="8" t="s">
        <v>32</v>
      </c>
      <c r="L207" s="8" t="s">
        <v>33</v>
      </c>
      <c r="M207" s="8">
        <v>18</v>
      </c>
      <c r="N207" s="8">
        <v>2200</v>
      </c>
      <c r="O207" s="8">
        <v>15</v>
      </c>
      <c r="P207" s="8">
        <v>33660</v>
      </c>
      <c r="Q207" s="8">
        <v>4</v>
      </c>
      <c r="R207" s="8" t="s">
        <v>79</v>
      </c>
      <c r="S207" s="8" t="s">
        <v>61</v>
      </c>
      <c r="T207" s="8" t="s">
        <v>332</v>
      </c>
      <c r="U207" s="9" t="s">
        <v>1033</v>
      </c>
      <c r="V207" s="8" t="s">
        <v>64</v>
      </c>
    </row>
    <row r="208" spans="1:22">
      <c r="A208" s="3" t="s">
        <v>1034</v>
      </c>
      <c r="B208" s="4" t="s">
        <v>221</v>
      </c>
      <c r="C208" s="4" t="s">
        <v>184</v>
      </c>
      <c r="D208" s="4" t="s">
        <v>1035</v>
      </c>
      <c r="E208" s="4" t="s">
        <v>1005</v>
      </c>
      <c r="F208" s="4" t="s">
        <v>225</v>
      </c>
      <c r="G208" s="4" t="s">
        <v>76</v>
      </c>
      <c r="H208" s="4" t="s">
        <v>1036</v>
      </c>
      <c r="I208" s="4" t="s">
        <v>30</v>
      </c>
      <c r="J208" s="4" t="s">
        <v>31</v>
      </c>
      <c r="K208" s="4" t="s">
        <v>46</v>
      </c>
      <c r="L208" s="4" t="s">
        <v>189</v>
      </c>
      <c r="M208" s="4">
        <v>18</v>
      </c>
      <c r="N208" s="4">
        <v>700</v>
      </c>
      <c r="O208" s="4">
        <v>15</v>
      </c>
      <c r="P208" s="4">
        <v>10710</v>
      </c>
      <c r="Q208" s="4">
        <v>3</v>
      </c>
      <c r="R208" s="4" t="s">
        <v>79</v>
      </c>
      <c r="S208" s="4" t="s">
        <v>151</v>
      </c>
      <c r="T208" s="4" t="s">
        <v>228</v>
      </c>
      <c r="U208" s="6" t="s">
        <v>1037</v>
      </c>
      <c r="V208" s="4" t="s">
        <v>69</v>
      </c>
    </row>
    <row r="209" spans="1:22">
      <c r="A209" s="7" t="s">
        <v>1038</v>
      </c>
      <c r="B209" s="8" t="s">
        <v>327</v>
      </c>
      <c r="C209" s="8" t="s">
        <v>54</v>
      </c>
      <c r="D209" s="8" t="s">
        <v>1039</v>
      </c>
      <c r="E209" s="8" t="s">
        <v>1040</v>
      </c>
      <c r="F209" s="8" t="s">
        <v>394</v>
      </c>
      <c r="G209" s="8" t="s">
        <v>76</v>
      </c>
      <c r="H209" s="8" t="s">
        <v>1041</v>
      </c>
      <c r="I209" s="8" t="s">
        <v>114</v>
      </c>
      <c r="J209" s="8" t="s">
        <v>106</v>
      </c>
      <c r="K209" s="8" t="s">
        <v>46</v>
      </c>
      <c r="L209" s="8" t="s">
        <v>60</v>
      </c>
      <c r="M209" s="8">
        <v>12</v>
      </c>
      <c r="N209" s="8">
        <v>55000</v>
      </c>
      <c r="O209" s="8">
        <v>0</v>
      </c>
      <c r="P209" s="8">
        <v>660000</v>
      </c>
      <c r="Q209" s="8">
        <v>2</v>
      </c>
      <c r="R209" s="8" t="s">
        <v>88</v>
      </c>
      <c r="S209" s="8" t="s">
        <v>49</v>
      </c>
      <c r="T209" s="8" t="s">
        <v>332</v>
      </c>
      <c r="U209" s="9" t="s">
        <v>1042</v>
      </c>
      <c r="V209" s="8" t="s">
        <v>69</v>
      </c>
    </row>
    <row r="210" spans="1:22">
      <c r="A210" s="3" t="s">
        <v>1043</v>
      </c>
      <c r="B210" s="4" t="s">
        <v>23</v>
      </c>
      <c r="C210" s="4" t="s">
        <v>40</v>
      </c>
      <c r="D210" s="4" t="s">
        <v>502</v>
      </c>
      <c r="E210" s="4" t="s">
        <v>1044</v>
      </c>
      <c r="F210" s="4" t="s">
        <v>27</v>
      </c>
      <c r="G210" s="4" t="s">
        <v>28</v>
      </c>
      <c r="H210" s="4" t="s">
        <v>1045</v>
      </c>
      <c r="I210" s="4" t="s">
        <v>105</v>
      </c>
      <c r="J210" s="4" t="s">
        <v>106</v>
      </c>
      <c r="K210" s="4" t="s">
        <v>46</v>
      </c>
      <c r="L210" s="4" t="s">
        <v>47</v>
      </c>
      <c r="M210" s="4">
        <v>7</v>
      </c>
      <c r="N210" s="4">
        <v>12000</v>
      </c>
      <c r="O210" s="4">
        <v>5</v>
      </c>
      <c r="P210" s="4">
        <v>79800</v>
      </c>
      <c r="Q210" s="4">
        <v>3</v>
      </c>
      <c r="R210" s="4" t="s">
        <v>79</v>
      </c>
      <c r="S210" s="4" t="s">
        <v>151</v>
      </c>
      <c r="T210" s="4" t="s">
        <v>50</v>
      </c>
      <c r="U210" s="6" t="s">
        <v>1046</v>
      </c>
      <c r="V210" s="4" t="s">
        <v>64</v>
      </c>
    </row>
    <row r="211" spans="1:22">
      <c r="A211" s="7" t="s">
        <v>1047</v>
      </c>
      <c r="B211" s="8" t="s">
        <v>251</v>
      </c>
      <c r="C211" s="8" t="s">
        <v>40</v>
      </c>
      <c r="D211" s="8" t="s">
        <v>1048</v>
      </c>
      <c r="E211" s="8" t="s">
        <v>129</v>
      </c>
      <c r="F211" s="8" t="s">
        <v>254</v>
      </c>
      <c r="G211" s="8" t="s">
        <v>28</v>
      </c>
      <c r="H211" s="8" t="s">
        <v>1049</v>
      </c>
      <c r="I211" s="8" t="s">
        <v>105</v>
      </c>
      <c r="J211" s="8" t="s">
        <v>106</v>
      </c>
      <c r="K211" s="8" t="s">
        <v>46</v>
      </c>
      <c r="L211" s="8" t="s">
        <v>47</v>
      </c>
      <c r="M211" s="8">
        <v>8</v>
      </c>
      <c r="N211" s="8">
        <v>12000</v>
      </c>
      <c r="O211" s="8">
        <v>15</v>
      </c>
      <c r="P211" s="8">
        <v>81600</v>
      </c>
      <c r="Q211" s="8">
        <v>4</v>
      </c>
      <c r="R211" s="8" t="s">
        <v>79</v>
      </c>
      <c r="S211" s="8" t="s">
        <v>49</v>
      </c>
      <c r="T211" s="8" t="s">
        <v>256</v>
      </c>
      <c r="U211" s="9" t="s">
        <v>1050</v>
      </c>
      <c r="V211" s="8" t="s">
        <v>38</v>
      </c>
    </row>
    <row r="212" spans="1:22">
      <c r="A212" s="3" t="s">
        <v>1051</v>
      </c>
      <c r="B212" s="4" t="s">
        <v>327</v>
      </c>
      <c r="C212" s="4" t="s">
        <v>92</v>
      </c>
      <c r="D212" s="4" t="s">
        <v>788</v>
      </c>
      <c r="E212" s="4" t="s">
        <v>1052</v>
      </c>
      <c r="F212" s="4" t="s">
        <v>394</v>
      </c>
      <c r="G212" s="4" t="s">
        <v>76</v>
      </c>
      <c r="H212" s="4" t="s">
        <v>1053</v>
      </c>
      <c r="I212" s="4" t="s">
        <v>105</v>
      </c>
      <c r="J212" s="4" t="s">
        <v>106</v>
      </c>
      <c r="K212" s="4" t="s">
        <v>32</v>
      </c>
      <c r="L212" s="4" t="s">
        <v>97</v>
      </c>
      <c r="M212" s="4">
        <v>19</v>
      </c>
      <c r="N212" s="4">
        <v>3500</v>
      </c>
      <c r="O212" s="4">
        <v>5</v>
      </c>
      <c r="P212" s="4">
        <v>63175</v>
      </c>
      <c r="Q212" s="4">
        <v>3</v>
      </c>
      <c r="R212" s="4" t="s">
        <v>79</v>
      </c>
      <c r="S212" s="4" t="s">
        <v>61</v>
      </c>
      <c r="T212" s="4" t="s">
        <v>332</v>
      </c>
      <c r="U212" s="6" t="s">
        <v>1054</v>
      </c>
      <c r="V212" s="4" t="s">
        <v>64</v>
      </c>
    </row>
    <row r="213" spans="1:22">
      <c r="A213" s="7" t="s">
        <v>1055</v>
      </c>
      <c r="B213" s="8" t="s">
        <v>251</v>
      </c>
      <c r="C213" s="8" t="s">
        <v>259</v>
      </c>
      <c r="D213" s="8" t="s">
        <v>900</v>
      </c>
      <c r="E213" s="8" t="s">
        <v>987</v>
      </c>
      <c r="F213" s="8" t="s">
        <v>254</v>
      </c>
      <c r="G213" s="8" t="s">
        <v>28</v>
      </c>
      <c r="H213" s="8" t="s">
        <v>1056</v>
      </c>
      <c r="I213" s="8" t="s">
        <v>138</v>
      </c>
      <c r="J213" s="8" t="s">
        <v>106</v>
      </c>
      <c r="K213" s="8" t="s">
        <v>122</v>
      </c>
      <c r="L213" s="8" t="s">
        <v>263</v>
      </c>
      <c r="M213" s="8">
        <v>7</v>
      </c>
      <c r="N213" s="8">
        <v>45</v>
      </c>
      <c r="O213" s="8">
        <v>5</v>
      </c>
      <c r="P213" s="8">
        <v>299.25</v>
      </c>
      <c r="Q213" s="8">
        <v>3</v>
      </c>
      <c r="R213" s="8" t="s">
        <v>79</v>
      </c>
      <c r="S213" s="8" t="s">
        <v>35</v>
      </c>
      <c r="T213" s="8" t="s">
        <v>256</v>
      </c>
      <c r="U213" s="9" t="s">
        <v>1057</v>
      </c>
      <c r="V213" s="8" t="s">
        <v>69</v>
      </c>
    </row>
    <row r="214" spans="1:22">
      <c r="A214" s="3" t="s">
        <v>1058</v>
      </c>
      <c r="B214" s="4" t="s">
        <v>23</v>
      </c>
      <c r="C214" s="4" t="s">
        <v>118</v>
      </c>
      <c r="D214" s="4" t="s">
        <v>684</v>
      </c>
      <c r="E214" s="4" t="s">
        <v>750</v>
      </c>
      <c r="F214" s="4" t="s">
        <v>27</v>
      </c>
      <c r="G214" s="4" t="s">
        <v>28</v>
      </c>
      <c r="H214" s="4" t="s">
        <v>331</v>
      </c>
      <c r="I214" s="4" t="s">
        <v>30</v>
      </c>
      <c r="J214" s="4" t="s">
        <v>31</v>
      </c>
      <c r="K214" s="4" t="s">
        <v>122</v>
      </c>
      <c r="L214" s="4" t="s">
        <v>123</v>
      </c>
      <c r="M214" s="4">
        <v>3</v>
      </c>
      <c r="N214" s="4">
        <v>60</v>
      </c>
      <c r="O214" s="4">
        <v>15</v>
      </c>
      <c r="P214" s="4">
        <v>153</v>
      </c>
      <c r="Q214" s="4">
        <v>3</v>
      </c>
      <c r="R214" s="4" t="s">
        <v>48</v>
      </c>
      <c r="S214" s="4" t="s">
        <v>49</v>
      </c>
      <c r="T214" s="4" t="s">
        <v>50</v>
      </c>
      <c r="U214" s="6" t="s">
        <v>1059</v>
      </c>
      <c r="V214" s="4" t="s">
        <v>69</v>
      </c>
    </row>
    <row r="215" spans="1:22">
      <c r="A215" s="7" t="s">
        <v>1060</v>
      </c>
      <c r="B215" s="8" t="s">
        <v>53</v>
      </c>
      <c r="C215" s="8" t="s">
        <v>259</v>
      </c>
      <c r="D215" s="8" t="s">
        <v>1061</v>
      </c>
      <c r="E215" s="8" t="s">
        <v>582</v>
      </c>
      <c r="F215" s="8" t="s">
        <v>163</v>
      </c>
      <c r="G215" s="8" t="s">
        <v>28</v>
      </c>
      <c r="H215" s="8" t="s">
        <v>1062</v>
      </c>
      <c r="I215" s="8" t="s">
        <v>114</v>
      </c>
      <c r="J215" s="8" t="s">
        <v>106</v>
      </c>
      <c r="K215" s="8" t="s">
        <v>122</v>
      </c>
      <c r="L215" s="8" t="s">
        <v>263</v>
      </c>
      <c r="M215" s="8">
        <v>19</v>
      </c>
      <c r="N215" s="8">
        <v>45</v>
      </c>
      <c r="O215" s="8">
        <v>0</v>
      </c>
      <c r="P215" s="8">
        <v>855</v>
      </c>
      <c r="Q215" s="8">
        <v>2</v>
      </c>
      <c r="R215" s="8" t="s">
        <v>34</v>
      </c>
      <c r="S215" s="8" t="s">
        <v>61</v>
      </c>
      <c r="T215" s="8" t="s">
        <v>62</v>
      </c>
      <c r="U215" s="9" t="s">
        <v>1063</v>
      </c>
      <c r="V215" s="8" t="s">
        <v>38</v>
      </c>
    </row>
    <row r="216" spans="1:22">
      <c r="A216" s="3" t="s">
        <v>1064</v>
      </c>
      <c r="B216" s="4" t="s">
        <v>100</v>
      </c>
      <c r="C216" s="4" t="s">
        <v>40</v>
      </c>
      <c r="D216" s="4" t="s">
        <v>1065</v>
      </c>
      <c r="E216" s="4" t="s">
        <v>543</v>
      </c>
      <c r="F216" s="4" t="s">
        <v>103</v>
      </c>
      <c r="G216" s="4" t="s">
        <v>28</v>
      </c>
      <c r="H216" s="4" t="s">
        <v>1066</v>
      </c>
      <c r="I216" s="4" t="s">
        <v>59</v>
      </c>
      <c r="J216" s="4" t="s">
        <v>31</v>
      </c>
      <c r="K216" s="4" t="s">
        <v>46</v>
      </c>
      <c r="L216" s="4" t="s">
        <v>47</v>
      </c>
      <c r="M216" s="4">
        <v>10</v>
      </c>
      <c r="N216" s="4">
        <v>12000</v>
      </c>
      <c r="O216" s="4">
        <v>5</v>
      </c>
      <c r="P216" s="4">
        <v>114000</v>
      </c>
      <c r="Q216" s="4">
        <v>1</v>
      </c>
      <c r="R216" s="4" t="s">
        <v>79</v>
      </c>
      <c r="S216" s="4" t="s">
        <v>115</v>
      </c>
      <c r="T216" s="4" t="s">
        <v>144</v>
      </c>
      <c r="U216" s="6" t="s">
        <v>1067</v>
      </c>
      <c r="V216" s="4" t="s">
        <v>69</v>
      </c>
    </row>
    <row r="217" spans="1:22">
      <c r="A217" s="7" t="s">
        <v>1068</v>
      </c>
      <c r="B217" s="8" t="s">
        <v>23</v>
      </c>
      <c r="C217" s="8" t="s">
        <v>72</v>
      </c>
      <c r="D217" s="8" t="s">
        <v>1069</v>
      </c>
      <c r="E217" s="8" t="s">
        <v>1031</v>
      </c>
      <c r="F217" s="8" t="s">
        <v>27</v>
      </c>
      <c r="G217" s="8" t="s">
        <v>28</v>
      </c>
      <c r="H217" s="8" t="s">
        <v>1070</v>
      </c>
      <c r="I217" s="8" t="s">
        <v>294</v>
      </c>
      <c r="J217" s="8" t="s">
        <v>295</v>
      </c>
      <c r="K217" s="8" t="s">
        <v>46</v>
      </c>
      <c r="L217" s="8" t="s">
        <v>78</v>
      </c>
      <c r="M217" s="8">
        <v>4</v>
      </c>
      <c r="N217" s="8">
        <v>1200</v>
      </c>
      <c r="O217" s="8">
        <v>0</v>
      </c>
      <c r="P217" s="8">
        <v>4800</v>
      </c>
      <c r="Q217" s="8">
        <v>4</v>
      </c>
      <c r="R217" s="8" t="s">
        <v>34</v>
      </c>
      <c r="S217" s="8" t="s">
        <v>61</v>
      </c>
      <c r="T217" s="8" t="s">
        <v>50</v>
      </c>
      <c r="U217" s="9" t="s">
        <v>1071</v>
      </c>
      <c r="V217" s="8" t="s">
        <v>38</v>
      </c>
    </row>
    <row r="218" spans="1:22">
      <c r="A218" s="3" t="s">
        <v>1072</v>
      </c>
      <c r="B218" s="4" t="s">
        <v>221</v>
      </c>
      <c r="C218" s="4" t="s">
        <v>169</v>
      </c>
      <c r="D218" s="4" t="s">
        <v>531</v>
      </c>
      <c r="E218" s="4" t="s">
        <v>1073</v>
      </c>
      <c r="F218" s="4" t="s">
        <v>225</v>
      </c>
      <c r="G218" s="4" t="s">
        <v>76</v>
      </c>
      <c r="H218" s="4" t="s">
        <v>1074</v>
      </c>
      <c r="I218" s="4" t="s">
        <v>59</v>
      </c>
      <c r="J218" s="4" t="s">
        <v>31</v>
      </c>
      <c r="K218" s="4" t="s">
        <v>32</v>
      </c>
      <c r="L218" s="4" t="s">
        <v>174</v>
      </c>
      <c r="M218" s="4">
        <v>2</v>
      </c>
      <c r="N218" s="4">
        <v>8500</v>
      </c>
      <c r="O218" s="4">
        <v>20</v>
      </c>
      <c r="P218" s="4">
        <v>13600</v>
      </c>
      <c r="Q218" s="4">
        <v>3</v>
      </c>
      <c r="R218" s="4" t="s">
        <v>79</v>
      </c>
      <c r="S218" s="4" t="s">
        <v>151</v>
      </c>
      <c r="T218" s="4" t="s">
        <v>228</v>
      </c>
      <c r="U218" s="6" t="s">
        <v>1075</v>
      </c>
      <c r="V218" s="4" t="s">
        <v>38</v>
      </c>
    </row>
    <row r="219" spans="1:22">
      <c r="A219" s="7" t="s">
        <v>1076</v>
      </c>
      <c r="B219" s="8" t="s">
        <v>83</v>
      </c>
      <c r="C219" s="8" t="s">
        <v>184</v>
      </c>
      <c r="D219" s="8" t="s">
        <v>1077</v>
      </c>
      <c r="E219" s="8" t="s">
        <v>322</v>
      </c>
      <c r="F219" s="8" t="s">
        <v>180</v>
      </c>
      <c r="G219" s="8" t="s">
        <v>76</v>
      </c>
      <c r="H219" s="8" t="s">
        <v>1078</v>
      </c>
      <c r="I219" s="8" t="s">
        <v>294</v>
      </c>
      <c r="J219" s="8" t="s">
        <v>295</v>
      </c>
      <c r="K219" s="8" t="s">
        <v>46</v>
      </c>
      <c r="L219" s="8" t="s">
        <v>189</v>
      </c>
      <c r="M219" s="8">
        <v>7</v>
      </c>
      <c r="N219" s="8">
        <v>700</v>
      </c>
      <c r="O219" s="8">
        <v>20</v>
      </c>
      <c r="P219" s="8">
        <v>3920</v>
      </c>
      <c r="Q219" s="8">
        <v>2</v>
      </c>
      <c r="R219" s="8" t="s">
        <v>79</v>
      </c>
      <c r="S219" s="8" t="s">
        <v>151</v>
      </c>
      <c r="T219" s="8" t="s">
        <v>89</v>
      </c>
      <c r="U219" s="9" t="s">
        <v>1079</v>
      </c>
      <c r="V219" s="8" t="s">
        <v>64</v>
      </c>
    </row>
    <row r="220" spans="1:22">
      <c r="A220" s="3" t="s">
        <v>1080</v>
      </c>
      <c r="B220" s="4" t="s">
        <v>53</v>
      </c>
      <c r="C220" s="4" t="s">
        <v>222</v>
      </c>
      <c r="D220" s="4" t="s">
        <v>1081</v>
      </c>
      <c r="E220" s="4" t="s">
        <v>518</v>
      </c>
      <c r="F220" s="4" t="s">
        <v>163</v>
      </c>
      <c r="G220" s="4" t="s">
        <v>28</v>
      </c>
      <c r="H220" s="4" t="s">
        <v>1082</v>
      </c>
      <c r="I220" s="4" t="s">
        <v>114</v>
      </c>
      <c r="J220" s="4" t="s">
        <v>106</v>
      </c>
      <c r="K220" s="4" t="s">
        <v>122</v>
      </c>
      <c r="L220" s="4" t="s">
        <v>227</v>
      </c>
      <c r="M220" s="4">
        <v>9</v>
      </c>
      <c r="N220" s="4">
        <v>20</v>
      </c>
      <c r="O220" s="4">
        <v>15</v>
      </c>
      <c r="P220" s="4">
        <v>153</v>
      </c>
      <c r="Q220" s="4">
        <v>3</v>
      </c>
      <c r="R220" s="4" t="s">
        <v>48</v>
      </c>
      <c r="S220" s="4" t="s">
        <v>115</v>
      </c>
      <c r="T220" s="4" t="s">
        <v>62</v>
      </c>
      <c r="U220" s="6" t="s">
        <v>1083</v>
      </c>
      <c r="V220" s="4" t="s">
        <v>38</v>
      </c>
    </row>
    <row r="221" spans="1:22">
      <c r="A221" s="7" t="s">
        <v>1084</v>
      </c>
      <c r="B221" s="8" t="s">
        <v>100</v>
      </c>
      <c r="C221" s="8" t="s">
        <v>169</v>
      </c>
      <c r="D221" s="8" t="s">
        <v>1085</v>
      </c>
      <c r="E221" s="8" t="s">
        <v>1086</v>
      </c>
      <c r="F221" s="8" t="s">
        <v>103</v>
      </c>
      <c r="G221" s="8" t="s">
        <v>28</v>
      </c>
      <c r="H221" s="8" t="s">
        <v>1087</v>
      </c>
      <c r="I221" s="8" t="s">
        <v>294</v>
      </c>
      <c r="J221" s="8" t="s">
        <v>295</v>
      </c>
      <c r="K221" s="8" t="s">
        <v>32</v>
      </c>
      <c r="L221" s="8" t="s">
        <v>174</v>
      </c>
      <c r="M221" s="8">
        <v>16</v>
      </c>
      <c r="N221" s="8">
        <v>8500</v>
      </c>
      <c r="O221" s="8">
        <v>0</v>
      </c>
      <c r="P221" s="8">
        <v>136000</v>
      </c>
      <c r="Q221" s="8">
        <v>4</v>
      </c>
      <c r="R221" s="8" t="s">
        <v>48</v>
      </c>
      <c r="S221" s="8" t="s">
        <v>35</v>
      </c>
      <c r="T221" s="8" t="s">
        <v>144</v>
      </c>
      <c r="U221" s="9" t="s">
        <v>1088</v>
      </c>
      <c r="V221" s="8" t="s">
        <v>38</v>
      </c>
    </row>
    <row r="222" spans="1:22">
      <c r="A222" s="3" t="s">
        <v>1089</v>
      </c>
      <c r="B222" s="4" t="s">
        <v>251</v>
      </c>
      <c r="C222" s="4" t="s">
        <v>92</v>
      </c>
      <c r="D222" s="4" t="s">
        <v>544</v>
      </c>
      <c r="E222" s="4" t="s">
        <v>1090</v>
      </c>
      <c r="F222" s="4" t="s">
        <v>254</v>
      </c>
      <c r="G222" s="4" t="s">
        <v>28</v>
      </c>
      <c r="H222" s="4" t="s">
        <v>1091</v>
      </c>
      <c r="I222" s="4" t="s">
        <v>44</v>
      </c>
      <c r="J222" s="4" t="s">
        <v>45</v>
      </c>
      <c r="K222" s="4" t="s">
        <v>32</v>
      </c>
      <c r="L222" s="4" t="s">
        <v>97</v>
      </c>
      <c r="M222" s="4">
        <v>10</v>
      </c>
      <c r="N222" s="4">
        <v>3500</v>
      </c>
      <c r="O222" s="4">
        <v>5</v>
      </c>
      <c r="P222" s="4">
        <v>33250</v>
      </c>
      <c r="Q222" s="4">
        <v>3</v>
      </c>
      <c r="R222" s="4" t="s">
        <v>48</v>
      </c>
      <c r="S222" s="4" t="s">
        <v>115</v>
      </c>
      <c r="T222" s="4" t="s">
        <v>256</v>
      </c>
      <c r="U222" s="6" t="s">
        <v>1092</v>
      </c>
      <c r="V222" s="4" t="s">
        <v>38</v>
      </c>
    </row>
    <row r="223" spans="1:22">
      <c r="A223" s="7" t="s">
        <v>1093</v>
      </c>
      <c r="B223" s="8" t="s">
        <v>53</v>
      </c>
      <c r="C223" s="8" t="s">
        <v>40</v>
      </c>
      <c r="D223" s="8" t="s">
        <v>1094</v>
      </c>
      <c r="E223" s="8" t="s">
        <v>588</v>
      </c>
      <c r="F223" s="8" t="s">
        <v>163</v>
      </c>
      <c r="G223" s="8" t="s">
        <v>28</v>
      </c>
      <c r="H223" s="8" t="s">
        <v>1095</v>
      </c>
      <c r="I223" s="8" t="s">
        <v>294</v>
      </c>
      <c r="J223" s="8" t="s">
        <v>295</v>
      </c>
      <c r="K223" s="8" t="s">
        <v>46</v>
      </c>
      <c r="L223" s="8" t="s">
        <v>47</v>
      </c>
      <c r="M223" s="8">
        <v>1</v>
      </c>
      <c r="N223" s="8">
        <v>12000</v>
      </c>
      <c r="O223" s="8">
        <v>0</v>
      </c>
      <c r="P223" s="8">
        <v>12000</v>
      </c>
      <c r="Q223" s="8">
        <v>5</v>
      </c>
      <c r="R223" s="8" t="s">
        <v>88</v>
      </c>
      <c r="S223" s="8" t="s">
        <v>115</v>
      </c>
      <c r="T223" s="8" t="s">
        <v>62</v>
      </c>
      <c r="U223" s="9" t="s">
        <v>1096</v>
      </c>
      <c r="V223" s="8" t="s">
        <v>64</v>
      </c>
    </row>
    <row r="224" spans="1:22">
      <c r="A224" s="3" t="s">
        <v>1097</v>
      </c>
      <c r="B224" s="4" t="s">
        <v>327</v>
      </c>
      <c r="C224" s="4" t="s">
        <v>259</v>
      </c>
      <c r="D224" s="4" t="s">
        <v>1098</v>
      </c>
      <c r="E224" s="4" t="s">
        <v>601</v>
      </c>
      <c r="F224" s="4" t="s">
        <v>394</v>
      </c>
      <c r="G224" s="4" t="s">
        <v>76</v>
      </c>
      <c r="H224" s="4" t="s">
        <v>1099</v>
      </c>
      <c r="I224" s="4" t="s">
        <v>294</v>
      </c>
      <c r="J224" s="4" t="s">
        <v>295</v>
      </c>
      <c r="K224" s="4" t="s">
        <v>122</v>
      </c>
      <c r="L224" s="4" t="s">
        <v>263</v>
      </c>
      <c r="M224" s="4">
        <v>19</v>
      </c>
      <c r="N224" s="4">
        <v>45</v>
      </c>
      <c r="O224" s="4">
        <v>15</v>
      </c>
      <c r="P224" s="4">
        <v>726.75</v>
      </c>
      <c r="Q224" s="4">
        <v>2</v>
      </c>
      <c r="R224" s="4" t="s">
        <v>88</v>
      </c>
      <c r="S224" s="4" t="s">
        <v>151</v>
      </c>
      <c r="T224" s="4" t="s">
        <v>332</v>
      </c>
      <c r="U224" s="6" t="s">
        <v>1100</v>
      </c>
      <c r="V224" s="4" t="s">
        <v>64</v>
      </c>
    </row>
    <row r="225" spans="1:22">
      <c r="A225" s="7" t="s">
        <v>1101</v>
      </c>
      <c r="B225" s="8" t="s">
        <v>23</v>
      </c>
      <c r="C225" s="8" t="s">
        <v>54</v>
      </c>
      <c r="D225" s="8" t="s">
        <v>531</v>
      </c>
      <c r="E225" s="8" t="s">
        <v>1102</v>
      </c>
      <c r="F225" s="8" t="s">
        <v>27</v>
      </c>
      <c r="G225" s="8" t="s">
        <v>28</v>
      </c>
      <c r="H225" s="8" t="s">
        <v>1103</v>
      </c>
      <c r="I225" s="8" t="s">
        <v>44</v>
      </c>
      <c r="J225" s="8" t="s">
        <v>45</v>
      </c>
      <c r="K225" s="8" t="s">
        <v>46</v>
      </c>
      <c r="L225" s="8" t="s">
        <v>60</v>
      </c>
      <c r="M225" s="8">
        <v>13</v>
      </c>
      <c r="N225" s="8">
        <v>55000</v>
      </c>
      <c r="O225" s="8">
        <v>5</v>
      </c>
      <c r="P225" s="8">
        <v>679250</v>
      </c>
      <c r="Q225" s="8">
        <v>4</v>
      </c>
      <c r="R225" s="8" t="s">
        <v>79</v>
      </c>
      <c r="S225" s="8" t="s">
        <v>49</v>
      </c>
      <c r="T225" s="8" t="s">
        <v>50</v>
      </c>
      <c r="U225" s="9" t="s">
        <v>1104</v>
      </c>
      <c r="V225" s="8" t="s">
        <v>69</v>
      </c>
    </row>
    <row r="226" spans="1:22">
      <c r="A226" s="3" t="s">
        <v>1105</v>
      </c>
      <c r="B226" s="4" t="s">
        <v>83</v>
      </c>
      <c r="C226" s="4" t="s">
        <v>259</v>
      </c>
      <c r="D226" s="4" t="s">
        <v>1106</v>
      </c>
      <c r="E226" s="4" t="s">
        <v>155</v>
      </c>
      <c r="F226" s="4" t="s">
        <v>180</v>
      </c>
      <c r="G226" s="4" t="s">
        <v>76</v>
      </c>
      <c r="H226" s="4" t="s">
        <v>1107</v>
      </c>
      <c r="I226" s="4" t="s">
        <v>105</v>
      </c>
      <c r="J226" s="4" t="s">
        <v>106</v>
      </c>
      <c r="K226" s="4" t="s">
        <v>122</v>
      </c>
      <c r="L226" s="4" t="s">
        <v>263</v>
      </c>
      <c r="M226" s="4">
        <v>2</v>
      </c>
      <c r="N226" s="4">
        <v>45</v>
      </c>
      <c r="O226" s="4">
        <v>15</v>
      </c>
      <c r="P226" s="4">
        <v>76.5</v>
      </c>
      <c r="Q226" s="4">
        <v>1</v>
      </c>
      <c r="R226" s="4" t="s">
        <v>48</v>
      </c>
      <c r="S226" s="4" t="s">
        <v>115</v>
      </c>
      <c r="T226" s="4" t="s">
        <v>89</v>
      </c>
      <c r="U226" s="6" t="s">
        <v>1108</v>
      </c>
      <c r="V226" s="4" t="s">
        <v>38</v>
      </c>
    </row>
    <row r="227" spans="1:22">
      <c r="A227" s="7" t="s">
        <v>1109</v>
      </c>
      <c r="B227" s="8" t="s">
        <v>100</v>
      </c>
      <c r="C227" s="8" t="s">
        <v>222</v>
      </c>
      <c r="D227" s="8" t="s">
        <v>303</v>
      </c>
      <c r="E227" s="8" t="s">
        <v>1110</v>
      </c>
      <c r="F227" s="8" t="s">
        <v>103</v>
      </c>
      <c r="G227" s="8" t="s">
        <v>28</v>
      </c>
      <c r="H227" s="8" t="s">
        <v>1111</v>
      </c>
      <c r="I227" s="8" t="s">
        <v>30</v>
      </c>
      <c r="J227" s="8" t="s">
        <v>31</v>
      </c>
      <c r="K227" s="8" t="s">
        <v>122</v>
      </c>
      <c r="L227" s="8" t="s">
        <v>227</v>
      </c>
      <c r="M227" s="8">
        <v>8</v>
      </c>
      <c r="N227" s="8">
        <v>20</v>
      </c>
      <c r="O227" s="8">
        <v>15</v>
      </c>
      <c r="P227" s="8">
        <v>136</v>
      </c>
      <c r="Q227" s="8">
        <v>1</v>
      </c>
      <c r="R227" s="8" t="s">
        <v>79</v>
      </c>
      <c r="S227" s="8" t="s">
        <v>35</v>
      </c>
      <c r="T227" s="8" t="s">
        <v>144</v>
      </c>
      <c r="U227" s="9" t="s">
        <v>1112</v>
      </c>
      <c r="V227" s="8" t="s">
        <v>64</v>
      </c>
    </row>
    <row r="228" spans="1:22">
      <c r="A228" s="3" t="s">
        <v>1113</v>
      </c>
      <c r="B228" s="4" t="s">
        <v>168</v>
      </c>
      <c r="C228" s="4" t="s">
        <v>40</v>
      </c>
      <c r="D228" s="4" t="s">
        <v>1114</v>
      </c>
      <c r="E228" s="4" t="s">
        <v>1115</v>
      </c>
      <c r="F228" s="4" t="s">
        <v>361</v>
      </c>
      <c r="G228" s="4" t="s">
        <v>28</v>
      </c>
      <c r="H228" s="4" t="s">
        <v>1116</v>
      </c>
      <c r="I228" s="4" t="s">
        <v>30</v>
      </c>
      <c r="J228" s="4" t="s">
        <v>31</v>
      </c>
      <c r="K228" s="4" t="s">
        <v>46</v>
      </c>
      <c r="L228" s="4" t="s">
        <v>47</v>
      </c>
      <c r="M228" s="4">
        <v>9</v>
      </c>
      <c r="N228" s="4">
        <v>12000</v>
      </c>
      <c r="O228" s="4">
        <v>5</v>
      </c>
      <c r="P228" s="4">
        <v>102600</v>
      </c>
      <c r="Q228" s="4">
        <v>2</v>
      </c>
      <c r="R228" s="4" t="s">
        <v>79</v>
      </c>
      <c r="S228" s="4" t="s">
        <v>35</v>
      </c>
      <c r="T228" s="4" t="s">
        <v>175</v>
      </c>
      <c r="U228" s="6" t="s">
        <v>1117</v>
      </c>
      <c r="V228" s="4" t="s">
        <v>69</v>
      </c>
    </row>
    <row r="229" spans="1:22">
      <c r="A229" s="7" t="s">
        <v>1118</v>
      </c>
      <c r="B229" s="8" t="s">
        <v>71</v>
      </c>
      <c r="C229" s="8" t="s">
        <v>92</v>
      </c>
      <c r="D229" s="8" t="s">
        <v>1119</v>
      </c>
      <c r="E229" s="8" t="s">
        <v>1120</v>
      </c>
      <c r="F229" s="8" t="s">
        <v>217</v>
      </c>
      <c r="G229" s="8" t="s">
        <v>76</v>
      </c>
      <c r="H229" s="8" t="s">
        <v>1121</v>
      </c>
      <c r="I229" s="8" t="s">
        <v>294</v>
      </c>
      <c r="J229" s="8" t="s">
        <v>295</v>
      </c>
      <c r="K229" s="8" t="s">
        <v>32</v>
      </c>
      <c r="L229" s="8" t="s">
        <v>97</v>
      </c>
      <c r="M229" s="8">
        <v>3</v>
      </c>
      <c r="N229" s="8">
        <v>3500</v>
      </c>
      <c r="O229" s="8">
        <v>15</v>
      </c>
      <c r="P229" s="8">
        <v>8925</v>
      </c>
      <c r="Q229" s="8">
        <v>1</v>
      </c>
      <c r="R229" s="8" t="s">
        <v>34</v>
      </c>
      <c r="S229" s="8" t="s">
        <v>49</v>
      </c>
      <c r="T229" s="8" t="s">
        <v>80</v>
      </c>
      <c r="U229" s="9" t="s">
        <v>1122</v>
      </c>
      <c r="V229" s="8" t="s">
        <v>69</v>
      </c>
    </row>
    <row r="230" spans="1:22">
      <c r="A230" s="3" t="s">
        <v>1123</v>
      </c>
      <c r="B230" s="4" t="s">
        <v>100</v>
      </c>
      <c r="C230" s="4" t="s">
        <v>184</v>
      </c>
      <c r="D230" s="4" t="s">
        <v>1086</v>
      </c>
      <c r="E230" s="4" t="s">
        <v>1124</v>
      </c>
      <c r="F230" s="4" t="s">
        <v>103</v>
      </c>
      <c r="G230" s="4" t="s">
        <v>28</v>
      </c>
      <c r="H230" s="4" t="s">
        <v>1125</v>
      </c>
      <c r="I230" s="4" t="s">
        <v>30</v>
      </c>
      <c r="J230" s="4" t="s">
        <v>31</v>
      </c>
      <c r="K230" s="4" t="s">
        <v>46</v>
      </c>
      <c r="L230" s="4" t="s">
        <v>189</v>
      </c>
      <c r="M230" s="4">
        <v>18</v>
      </c>
      <c r="N230" s="4">
        <v>700</v>
      </c>
      <c r="O230" s="4">
        <v>20</v>
      </c>
      <c r="P230" s="4">
        <v>10080</v>
      </c>
      <c r="Q230" s="4">
        <v>1</v>
      </c>
      <c r="R230" s="4" t="s">
        <v>79</v>
      </c>
      <c r="S230" s="4" t="s">
        <v>151</v>
      </c>
      <c r="T230" s="4" t="s">
        <v>144</v>
      </c>
      <c r="U230" s="6" t="s">
        <v>1126</v>
      </c>
      <c r="V230" s="4" t="s">
        <v>38</v>
      </c>
    </row>
    <row r="231" spans="1:22">
      <c r="A231" s="7" t="s">
        <v>1127</v>
      </c>
      <c r="B231" s="8" t="s">
        <v>71</v>
      </c>
      <c r="C231" s="8" t="s">
        <v>92</v>
      </c>
      <c r="D231" s="8" t="s">
        <v>1128</v>
      </c>
      <c r="E231" s="8" t="s">
        <v>110</v>
      </c>
      <c r="F231" s="8" t="s">
        <v>217</v>
      </c>
      <c r="G231" s="8" t="s">
        <v>76</v>
      </c>
      <c r="H231" s="8" t="s">
        <v>1129</v>
      </c>
      <c r="I231" s="8" t="s">
        <v>114</v>
      </c>
      <c r="J231" s="8" t="s">
        <v>106</v>
      </c>
      <c r="K231" s="8" t="s">
        <v>32</v>
      </c>
      <c r="L231" s="8" t="s">
        <v>97</v>
      </c>
      <c r="M231" s="8">
        <v>14</v>
      </c>
      <c r="N231" s="8">
        <v>3500</v>
      </c>
      <c r="O231" s="8">
        <v>5</v>
      </c>
      <c r="P231" s="8">
        <v>46550</v>
      </c>
      <c r="Q231" s="8">
        <v>1</v>
      </c>
      <c r="R231" s="8" t="s">
        <v>34</v>
      </c>
      <c r="S231" s="8" t="s">
        <v>61</v>
      </c>
      <c r="T231" s="8" t="s">
        <v>80</v>
      </c>
      <c r="U231" s="9" t="s">
        <v>1130</v>
      </c>
      <c r="V231" s="8" t="s">
        <v>38</v>
      </c>
    </row>
    <row r="232" spans="1:22">
      <c r="A232" s="3" t="s">
        <v>1131</v>
      </c>
      <c r="B232" s="4" t="s">
        <v>100</v>
      </c>
      <c r="C232" s="4" t="s">
        <v>184</v>
      </c>
      <c r="D232" s="4" t="s">
        <v>684</v>
      </c>
      <c r="E232" s="4" t="s">
        <v>318</v>
      </c>
      <c r="F232" s="4" t="s">
        <v>103</v>
      </c>
      <c r="G232" s="4" t="s">
        <v>28</v>
      </c>
      <c r="H232" s="4" t="s">
        <v>1132</v>
      </c>
      <c r="I232" s="4" t="s">
        <v>294</v>
      </c>
      <c r="J232" s="4" t="s">
        <v>295</v>
      </c>
      <c r="K232" s="4" t="s">
        <v>46</v>
      </c>
      <c r="L232" s="4" t="s">
        <v>189</v>
      </c>
      <c r="M232" s="4">
        <v>6</v>
      </c>
      <c r="N232" s="4">
        <v>700</v>
      </c>
      <c r="O232" s="4">
        <v>5</v>
      </c>
      <c r="P232" s="4">
        <v>3990</v>
      </c>
      <c r="Q232" s="4">
        <v>5</v>
      </c>
      <c r="R232" s="4" t="s">
        <v>34</v>
      </c>
      <c r="S232" s="4" t="s">
        <v>35</v>
      </c>
      <c r="T232" s="4" t="s">
        <v>144</v>
      </c>
      <c r="U232" s="6" t="s">
        <v>1133</v>
      </c>
      <c r="V232" s="4" t="s">
        <v>38</v>
      </c>
    </row>
    <row r="233" spans="1:22">
      <c r="A233" s="7" t="s">
        <v>1134</v>
      </c>
      <c r="B233" s="8" t="s">
        <v>100</v>
      </c>
      <c r="C233" s="8" t="s">
        <v>92</v>
      </c>
      <c r="D233" s="8" t="s">
        <v>679</v>
      </c>
      <c r="E233" s="8" t="s">
        <v>872</v>
      </c>
      <c r="F233" s="8" t="s">
        <v>103</v>
      </c>
      <c r="G233" s="8" t="s">
        <v>28</v>
      </c>
      <c r="H233" s="8" t="s">
        <v>1135</v>
      </c>
      <c r="I233" s="8" t="s">
        <v>105</v>
      </c>
      <c r="J233" s="8" t="s">
        <v>106</v>
      </c>
      <c r="K233" s="8" t="s">
        <v>32</v>
      </c>
      <c r="L233" s="8" t="s">
        <v>97</v>
      </c>
      <c r="M233" s="8">
        <v>17</v>
      </c>
      <c r="N233" s="8">
        <v>3500</v>
      </c>
      <c r="O233" s="8">
        <v>15</v>
      </c>
      <c r="P233" s="8">
        <v>50575</v>
      </c>
      <c r="Q233" s="8">
        <v>3</v>
      </c>
      <c r="R233" s="8" t="s">
        <v>48</v>
      </c>
      <c r="S233" s="8" t="s">
        <v>49</v>
      </c>
      <c r="T233" s="8" t="s">
        <v>144</v>
      </c>
      <c r="U233" s="9" t="s">
        <v>1136</v>
      </c>
      <c r="V233" s="8" t="s">
        <v>64</v>
      </c>
    </row>
    <row r="234" spans="1:22">
      <c r="A234" s="3" t="s">
        <v>1137</v>
      </c>
      <c r="B234" s="4" t="s">
        <v>251</v>
      </c>
      <c r="C234" s="4" t="s">
        <v>222</v>
      </c>
      <c r="D234" s="4" t="s">
        <v>253</v>
      </c>
      <c r="E234" s="4" t="s">
        <v>1128</v>
      </c>
      <c r="F234" s="4" t="s">
        <v>254</v>
      </c>
      <c r="G234" s="4" t="s">
        <v>28</v>
      </c>
      <c r="H234" s="4" t="s">
        <v>1138</v>
      </c>
      <c r="I234" s="4" t="s">
        <v>294</v>
      </c>
      <c r="J234" s="4" t="s">
        <v>295</v>
      </c>
      <c r="K234" s="4" t="s">
        <v>122</v>
      </c>
      <c r="L234" s="4" t="s">
        <v>227</v>
      </c>
      <c r="M234" s="4">
        <v>7</v>
      </c>
      <c r="N234" s="4">
        <v>20</v>
      </c>
      <c r="O234" s="4">
        <v>5</v>
      </c>
      <c r="P234" s="4">
        <v>133</v>
      </c>
      <c r="Q234" s="4">
        <v>2</v>
      </c>
      <c r="R234" s="4" t="s">
        <v>88</v>
      </c>
      <c r="S234" s="4" t="s">
        <v>151</v>
      </c>
      <c r="T234" s="4" t="s">
        <v>256</v>
      </c>
      <c r="U234" s="6" t="s">
        <v>1139</v>
      </c>
      <c r="V234" s="4" t="s">
        <v>38</v>
      </c>
    </row>
    <row r="235" spans="1:22">
      <c r="A235" s="7" t="s">
        <v>1140</v>
      </c>
      <c r="B235" s="8" t="s">
        <v>23</v>
      </c>
      <c r="C235" s="8" t="s">
        <v>24</v>
      </c>
      <c r="D235" s="8" t="s">
        <v>1141</v>
      </c>
      <c r="E235" s="8" t="s">
        <v>1142</v>
      </c>
      <c r="F235" s="8" t="s">
        <v>27</v>
      </c>
      <c r="G235" s="8" t="s">
        <v>28</v>
      </c>
      <c r="H235" s="8" t="s">
        <v>1143</v>
      </c>
      <c r="I235" s="8" t="s">
        <v>59</v>
      </c>
      <c r="J235" s="8" t="s">
        <v>31</v>
      </c>
      <c r="K235" s="8" t="s">
        <v>32</v>
      </c>
      <c r="L235" s="8" t="s">
        <v>33</v>
      </c>
      <c r="M235" s="8">
        <v>15</v>
      </c>
      <c r="N235" s="8">
        <v>2200</v>
      </c>
      <c r="O235" s="8">
        <v>20</v>
      </c>
      <c r="P235" s="8">
        <v>26400</v>
      </c>
      <c r="Q235" s="8">
        <v>2</v>
      </c>
      <c r="R235" s="8" t="s">
        <v>34</v>
      </c>
      <c r="S235" s="8" t="s">
        <v>61</v>
      </c>
      <c r="T235" s="8" t="s">
        <v>50</v>
      </c>
      <c r="U235" s="9" t="s">
        <v>1144</v>
      </c>
      <c r="V235" s="8" t="s">
        <v>38</v>
      </c>
    </row>
    <row r="236" spans="1:22">
      <c r="A236" s="3" t="s">
        <v>1145</v>
      </c>
      <c r="B236" s="4" t="s">
        <v>71</v>
      </c>
      <c r="C236" s="4" t="s">
        <v>222</v>
      </c>
      <c r="D236" s="4" t="s">
        <v>736</v>
      </c>
      <c r="E236" s="4" t="s">
        <v>94</v>
      </c>
      <c r="F236" s="4" t="s">
        <v>217</v>
      </c>
      <c r="G236" s="4" t="s">
        <v>76</v>
      </c>
      <c r="H236" s="4" t="s">
        <v>1146</v>
      </c>
      <c r="I236" s="4" t="s">
        <v>105</v>
      </c>
      <c r="J236" s="4" t="s">
        <v>106</v>
      </c>
      <c r="K236" s="4" t="s">
        <v>122</v>
      </c>
      <c r="L236" s="4" t="s">
        <v>227</v>
      </c>
      <c r="M236" s="4">
        <v>5</v>
      </c>
      <c r="N236" s="4">
        <v>20</v>
      </c>
      <c r="O236" s="4">
        <v>0</v>
      </c>
      <c r="P236" s="4">
        <v>100</v>
      </c>
      <c r="Q236" s="4">
        <v>3</v>
      </c>
      <c r="R236" s="4" t="s">
        <v>34</v>
      </c>
      <c r="S236" s="4" t="s">
        <v>151</v>
      </c>
      <c r="T236" s="4" t="s">
        <v>80</v>
      </c>
      <c r="U236" s="6" t="s">
        <v>1147</v>
      </c>
      <c r="V236" s="4" t="s">
        <v>38</v>
      </c>
    </row>
    <row r="237" spans="1:22">
      <c r="A237" s="7" t="s">
        <v>1148</v>
      </c>
      <c r="B237" s="8" t="s">
        <v>127</v>
      </c>
      <c r="C237" s="8" t="s">
        <v>40</v>
      </c>
      <c r="D237" s="8" t="s">
        <v>1149</v>
      </c>
      <c r="E237" s="8" t="s">
        <v>779</v>
      </c>
      <c r="F237" s="8" t="s">
        <v>200</v>
      </c>
      <c r="G237" s="8" t="s">
        <v>76</v>
      </c>
      <c r="H237" s="8" t="s">
        <v>1150</v>
      </c>
      <c r="I237" s="8" t="s">
        <v>44</v>
      </c>
      <c r="J237" s="8" t="s">
        <v>45</v>
      </c>
      <c r="K237" s="8" t="s">
        <v>46</v>
      </c>
      <c r="L237" s="8" t="s">
        <v>47</v>
      </c>
      <c r="M237" s="8">
        <v>8</v>
      </c>
      <c r="N237" s="8">
        <v>12000</v>
      </c>
      <c r="O237" s="8">
        <v>20</v>
      </c>
      <c r="P237" s="8">
        <v>76800</v>
      </c>
      <c r="Q237" s="8">
        <v>3</v>
      </c>
      <c r="R237" s="8" t="s">
        <v>79</v>
      </c>
      <c r="S237" s="8" t="s">
        <v>61</v>
      </c>
      <c r="T237" s="8" t="s">
        <v>132</v>
      </c>
      <c r="U237" s="9" t="s">
        <v>1151</v>
      </c>
      <c r="V237" s="8" t="s">
        <v>64</v>
      </c>
    </row>
    <row r="238" spans="1:22">
      <c r="A238" s="3" t="s">
        <v>1152</v>
      </c>
      <c r="B238" s="4" t="s">
        <v>127</v>
      </c>
      <c r="C238" s="4" t="s">
        <v>92</v>
      </c>
      <c r="D238" s="4" t="s">
        <v>1153</v>
      </c>
      <c r="E238" s="4" t="s">
        <v>987</v>
      </c>
      <c r="F238" s="4" t="s">
        <v>200</v>
      </c>
      <c r="G238" s="4" t="s">
        <v>76</v>
      </c>
      <c r="H238" s="4" t="s">
        <v>1154</v>
      </c>
      <c r="I238" s="4" t="s">
        <v>105</v>
      </c>
      <c r="J238" s="4" t="s">
        <v>106</v>
      </c>
      <c r="K238" s="4" t="s">
        <v>32</v>
      </c>
      <c r="L238" s="4" t="s">
        <v>97</v>
      </c>
      <c r="M238" s="4">
        <v>4</v>
      </c>
      <c r="N238" s="4">
        <v>3500</v>
      </c>
      <c r="O238" s="4">
        <v>20</v>
      </c>
      <c r="P238" s="4">
        <v>11200</v>
      </c>
      <c r="Q238" s="4">
        <v>1</v>
      </c>
      <c r="R238" s="4" t="s">
        <v>79</v>
      </c>
      <c r="S238" s="4" t="s">
        <v>115</v>
      </c>
      <c r="T238" s="4" t="s">
        <v>132</v>
      </c>
      <c r="U238" s="6" t="s">
        <v>1155</v>
      </c>
      <c r="V238" s="4" t="s">
        <v>38</v>
      </c>
    </row>
    <row r="239" spans="1:22">
      <c r="A239" s="7" t="s">
        <v>1156</v>
      </c>
      <c r="B239" s="8" t="s">
        <v>221</v>
      </c>
      <c r="C239" s="8" t="s">
        <v>259</v>
      </c>
      <c r="D239" s="8" t="s">
        <v>628</v>
      </c>
      <c r="E239" s="8" t="s">
        <v>1157</v>
      </c>
      <c r="F239" s="8" t="s">
        <v>225</v>
      </c>
      <c r="G239" s="8" t="s">
        <v>76</v>
      </c>
      <c r="H239" s="8" t="s">
        <v>1158</v>
      </c>
      <c r="I239" s="8" t="s">
        <v>30</v>
      </c>
      <c r="J239" s="8" t="s">
        <v>31</v>
      </c>
      <c r="K239" s="8" t="s">
        <v>122</v>
      </c>
      <c r="L239" s="8" t="s">
        <v>263</v>
      </c>
      <c r="M239" s="8">
        <v>19</v>
      </c>
      <c r="N239" s="8">
        <v>45</v>
      </c>
      <c r="O239" s="8">
        <v>10</v>
      </c>
      <c r="P239" s="8">
        <v>769.5</v>
      </c>
      <c r="Q239" s="8">
        <v>1</v>
      </c>
      <c r="R239" s="8" t="s">
        <v>34</v>
      </c>
      <c r="S239" s="8" t="s">
        <v>115</v>
      </c>
      <c r="T239" s="8" t="s">
        <v>228</v>
      </c>
      <c r="U239" s="9" t="s">
        <v>1159</v>
      </c>
      <c r="V239" s="8" t="s">
        <v>38</v>
      </c>
    </row>
    <row r="240" spans="1:22">
      <c r="A240" s="3" t="s">
        <v>1160</v>
      </c>
      <c r="B240" s="4" t="s">
        <v>53</v>
      </c>
      <c r="C240" s="4" t="s">
        <v>259</v>
      </c>
      <c r="D240" s="4" t="s">
        <v>588</v>
      </c>
      <c r="E240" s="4" t="s">
        <v>1161</v>
      </c>
      <c r="F240" s="4" t="s">
        <v>163</v>
      </c>
      <c r="G240" s="4" t="s">
        <v>28</v>
      </c>
      <c r="H240" s="4" t="s">
        <v>1162</v>
      </c>
      <c r="I240" s="4" t="s">
        <v>114</v>
      </c>
      <c r="J240" s="4" t="s">
        <v>106</v>
      </c>
      <c r="K240" s="4" t="s">
        <v>122</v>
      </c>
      <c r="L240" s="4" t="s">
        <v>263</v>
      </c>
      <c r="M240" s="4">
        <v>10</v>
      </c>
      <c r="N240" s="4">
        <v>45</v>
      </c>
      <c r="O240" s="4">
        <v>0</v>
      </c>
      <c r="P240" s="4">
        <v>450</v>
      </c>
      <c r="Q240" s="4">
        <v>4</v>
      </c>
      <c r="R240" s="4" t="s">
        <v>88</v>
      </c>
      <c r="S240" s="4" t="s">
        <v>61</v>
      </c>
      <c r="T240" s="4" t="s">
        <v>62</v>
      </c>
      <c r="U240" s="6" t="s">
        <v>1163</v>
      </c>
      <c r="V240" s="4" t="s">
        <v>38</v>
      </c>
    </row>
    <row r="241" spans="1:22">
      <c r="A241" s="7" t="s">
        <v>1164</v>
      </c>
      <c r="B241" s="8" t="s">
        <v>53</v>
      </c>
      <c r="C241" s="8" t="s">
        <v>259</v>
      </c>
      <c r="D241" s="8" t="s">
        <v>1165</v>
      </c>
      <c r="E241" s="8" t="s">
        <v>1039</v>
      </c>
      <c r="F241" s="8" t="s">
        <v>163</v>
      </c>
      <c r="G241" s="8" t="s">
        <v>28</v>
      </c>
      <c r="H241" s="8" t="s">
        <v>1166</v>
      </c>
      <c r="I241" s="8" t="s">
        <v>30</v>
      </c>
      <c r="J241" s="8" t="s">
        <v>31</v>
      </c>
      <c r="K241" s="8" t="s">
        <v>122</v>
      </c>
      <c r="L241" s="8" t="s">
        <v>263</v>
      </c>
      <c r="M241" s="8">
        <v>16</v>
      </c>
      <c r="N241" s="8">
        <v>45</v>
      </c>
      <c r="O241" s="8">
        <v>15</v>
      </c>
      <c r="P241" s="8">
        <v>612</v>
      </c>
      <c r="Q241" s="8">
        <v>3</v>
      </c>
      <c r="R241" s="8" t="s">
        <v>34</v>
      </c>
      <c r="S241" s="8" t="s">
        <v>115</v>
      </c>
      <c r="T241" s="8" t="s">
        <v>62</v>
      </c>
      <c r="U241" s="9" t="s">
        <v>1167</v>
      </c>
      <c r="V241" s="8" t="s">
        <v>69</v>
      </c>
    </row>
    <row r="242" spans="1:22">
      <c r="A242" s="3" t="s">
        <v>1168</v>
      </c>
      <c r="B242" s="4" t="s">
        <v>168</v>
      </c>
      <c r="C242" s="4" t="s">
        <v>169</v>
      </c>
      <c r="D242" s="4" t="s">
        <v>119</v>
      </c>
      <c r="E242" s="4" t="s">
        <v>120</v>
      </c>
      <c r="F242" s="4" t="s">
        <v>361</v>
      </c>
      <c r="G242" s="4" t="s">
        <v>28</v>
      </c>
      <c r="H242" s="4" t="s">
        <v>1169</v>
      </c>
      <c r="I242" s="4" t="s">
        <v>114</v>
      </c>
      <c r="J242" s="4" t="s">
        <v>106</v>
      </c>
      <c r="K242" s="4" t="s">
        <v>32</v>
      </c>
      <c r="L242" s="4" t="s">
        <v>174</v>
      </c>
      <c r="M242" s="4">
        <v>16</v>
      </c>
      <c r="N242" s="4">
        <v>8500</v>
      </c>
      <c r="O242" s="4">
        <v>15</v>
      </c>
      <c r="P242" s="4">
        <v>115600</v>
      </c>
      <c r="Q242" s="4">
        <v>4</v>
      </c>
      <c r="R242" s="4" t="s">
        <v>48</v>
      </c>
      <c r="S242" s="4" t="s">
        <v>35</v>
      </c>
      <c r="T242" s="4" t="s">
        <v>175</v>
      </c>
      <c r="U242" s="6" t="s">
        <v>1170</v>
      </c>
      <c r="V242" s="4" t="s">
        <v>69</v>
      </c>
    </row>
    <row r="243" spans="1:22">
      <c r="A243" s="7" t="s">
        <v>1171</v>
      </c>
      <c r="B243" s="8" t="s">
        <v>168</v>
      </c>
      <c r="C243" s="8" t="s">
        <v>222</v>
      </c>
      <c r="D243" s="8" t="s">
        <v>445</v>
      </c>
      <c r="E243" s="8" t="s">
        <v>1172</v>
      </c>
      <c r="F243" s="8" t="s">
        <v>361</v>
      </c>
      <c r="G243" s="8" t="s">
        <v>28</v>
      </c>
      <c r="H243" s="8" t="s">
        <v>1173</v>
      </c>
      <c r="I243" s="8" t="s">
        <v>294</v>
      </c>
      <c r="J243" s="8" t="s">
        <v>295</v>
      </c>
      <c r="K243" s="8" t="s">
        <v>122</v>
      </c>
      <c r="L243" s="8" t="s">
        <v>227</v>
      </c>
      <c r="M243" s="8">
        <v>15</v>
      </c>
      <c r="N243" s="8">
        <v>20</v>
      </c>
      <c r="O243" s="8">
        <v>20</v>
      </c>
      <c r="P243" s="8">
        <v>240</v>
      </c>
      <c r="Q243" s="8">
        <v>3</v>
      </c>
      <c r="R243" s="8" t="s">
        <v>48</v>
      </c>
      <c r="S243" s="8" t="s">
        <v>49</v>
      </c>
      <c r="T243" s="8" t="s">
        <v>175</v>
      </c>
      <c r="U243" s="9" t="s">
        <v>1174</v>
      </c>
      <c r="V243" s="8" t="s">
        <v>69</v>
      </c>
    </row>
    <row r="244" spans="1:22">
      <c r="A244" s="3" t="s">
        <v>1175</v>
      </c>
      <c r="B244" s="4" t="s">
        <v>83</v>
      </c>
      <c r="C244" s="4" t="s">
        <v>118</v>
      </c>
      <c r="D244" s="4" t="s">
        <v>440</v>
      </c>
      <c r="E244" s="4" t="s">
        <v>1176</v>
      </c>
      <c r="F244" s="4" t="s">
        <v>180</v>
      </c>
      <c r="G244" s="4" t="s">
        <v>76</v>
      </c>
      <c r="H244" s="4" t="s">
        <v>1177</v>
      </c>
      <c r="I244" s="4" t="s">
        <v>59</v>
      </c>
      <c r="J244" s="4" t="s">
        <v>31</v>
      </c>
      <c r="K244" s="4" t="s">
        <v>122</v>
      </c>
      <c r="L244" s="4" t="s">
        <v>123</v>
      </c>
      <c r="M244" s="4">
        <v>14</v>
      </c>
      <c r="N244" s="4">
        <v>60</v>
      </c>
      <c r="O244" s="4">
        <v>5</v>
      </c>
      <c r="P244" s="4">
        <v>798</v>
      </c>
      <c r="Q244" s="4">
        <v>4</v>
      </c>
      <c r="R244" s="4" t="s">
        <v>34</v>
      </c>
      <c r="S244" s="4" t="s">
        <v>49</v>
      </c>
      <c r="T244" s="4" t="s">
        <v>89</v>
      </c>
      <c r="U244" s="6" t="s">
        <v>1178</v>
      </c>
      <c r="V244" s="4" t="s">
        <v>38</v>
      </c>
    </row>
    <row r="245" spans="1:22">
      <c r="A245" s="7" t="s">
        <v>1179</v>
      </c>
      <c r="B245" s="8" t="s">
        <v>53</v>
      </c>
      <c r="C245" s="8" t="s">
        <v>72</v>
      </c>
      <c r="D245" s="8" t="s">
        <v>1180</v>
      </c>
      <c r="E245" s="8" t="s">
        <v>1181</v>
      </c>
      <c r="F245" s="8" t="s">
        <v>163</v>
      </c>
      <c r="G245" s="8" t="s">
        <v>28</v>
      </c>
      <c r="H245" s="8" t="s">
        <v>1182</v>
      </c>
      <c r="I245" s="8" t="s">
        <v>105</v>
      </c>
      <c r="J245" s="8" t="s">
        <v>106</v>
      </c>
      <c r="K245" s="8" t="s">
        <v>46</v>
      </c>
      <c r="L245" s="8" t="s">
        <v>78</v>
      </c>
      <c r="M245" s="8">
        <v>19</v>
      </c>
      <c r="N245" s="8">
        <v>1200</v>
      </c>
      <c r="O245" s="8">
        <v>20</v>
      </c>
      <c r="P245" s="8">
        <v>18240</v>
      </c>
      <c r="Q245" s="8">
        <v>2</v>
      </c>
      <c r="R245" s="8" t="s">
        <v>34</v>
      </c>
      <c r="S245" s="8" t="s">
        <v>115</v>
      </c>
      <c r="T245" s="8" t="s">
        <v>62</v>
      </c>
      <c r="U245" s="9" t="s">
        <v>1183</v>
      </c>
      <c r="V245" s="8" t="s">
        <v>69</v>
      </c>
    </row>
    <row r="246" spans="1:22">
      <c r="A246" s="3" t="s">
        <v>1184</v>
      </c>
      <c r="B246" s="4" t="s">
        <v>23</v>
      </c>
      <c r="C246" s="4" t="s">
        <v>259</v>
      </c>
      <c r="D246" s="4" t="s">
        <v>340</v>
      </c>
      <c r="E246" s="4" t="s">
        <v>346</v>
      </c>
      <c r="F246" s="4" t="s">
        <v>27</v>
      </c>
      <c r="G246" s="4" t="s">
        <v>28</v>
      </c>
      <c r="H246" s="4" t="s">
        <v>1185</v>
      </c>
      <c r="I246" s="4" t="s">
        <v>59</v>
      </c>
      <c r="J246" s="4" t="s">
        <v>31</v>
      </c>
      <c r="K246" s="4" t="s">
        <v>122</v>
      </c>
      <c r="L246" s="4" t="s">
        <v>263</v>
      </c>
      <c r="M246" s="4">
        <v>5</v>
      </c>
      <c r="N246" s="4">
        <v>45</v>
      </c>
      <c r="O246" s="4">
        <v>15</v>
      </c>
      <c r="P246" s="4">
        <v>191.25</v>
      </c>
      <c r="Q246" s="4">
        <v>2</v>
      </c>
      <c r="R246" s="4" t="s">
        <v>34</v>
      </c>
      <c r="S246" s="4" t="s">
        <v>61</v>
      </c>
      <c r="T246" s="4" t="s">
        <v>50</v>
      </c>
      <c r="U246" s="6" t="s">
        <v>1186</v>
      </c>
      <c r="V246" s="4" t="s">
        <v>69</v>
      </c>
    </row>
    <row r="247" spans="1:22">
      <c r="A247" s="7" t="s">
        <v>1187</v>
      </c>
      <c r="B247" s="8" t="s">
        <v>327</v>
      </c>
      <c r="C247" s="8" t="s">
        <v>184</v>
      </c>
      <c r="D247" s="8" t="s">
        <v>237</v>
      </c>
      <c r="E247" s="8" t="s">
        <v>1188</v>
      </c>
      <c r="F247" s="8" t="s">
        <v>394</v>
      </c>
      <c r="G247" s="8" t="s">
        <v>76</v>
      </c>
      <c r="H247" s="8" t="s">
        <v>1189</v>
      </c>
      <c r="I247" s="8" t="s">
        <v>30</v>
      </c>
      <c r="J247" s="8" t="s">
        <v>31</v>
      </c>
      <c r="K247" s="8" t="s">
        <v>46</v>
      </c>
      <c r="L247" s="8" t="s">
        <v>189</v>
      </c>
      <c r="M247" s="8">
        <v>19</v>
      </c>
      <c r="N247" s="8">
        <v>700</v>
      </c>
      <c r="O247" s="8">
        <v>5</v>
      </c>
      <c r="P247" s="8">
        <v>12635</v>
      </c>
      <c r="Q247" s="8">
        <v>5</v>
      </c>
      <c r="R247" s="8" t="s">
        <v>88</v>
      </c>
      <c r="S247" s="8" t="s">
        <v>151</v>
      </c>
      <c r="T247" s="8" t="s">
        <v>332</v>
      </c>
      <c r="U247" s="9" t="s">
        <v>1190</v>
      </c>
      <c r="V247" s="8" t="s">
        <v>38</v>
      </c>
    </row>
    <row r="248" spans="1:22">
      <c r="A248" s="3" t="s">
        <v>1191</v>
      </c>
      <c r="B248" s="4" t="s">
        <v>127</v>
      </c>
      <c r="C248" s="4" t="s">
        <v>118</v>
      </c>
      <c r="D248" s="4" t="s">
        <v>464</v>
      </c>
      <c r="E248" s="4" t="s">
        <v>84</v>
      </c>
      <c r="F248" s="4" t="s">
        <v>200</v>
      </c>
      <c r="G248" s="4" t="s">
        <v>76</v>
      </c>
      <c r="H248" s="4" t="s">
        <v>1192</v>
      </c>
      <c r="I248" s="4" t="s">
        <v>294</v>
      </c>
      <c r="J248" s="4" t="s">
        <v>295</v>
      </c>
      <c r="K248" s="4" t="s">
        <v>122</v>
      </c>
      <c r="L248" s="4" t="s">
        <v>123</v>
      </c>
      <c r="M248" s="4">
        <v>7</v>
      </c>
      <c r="N248" s="4">
        <v>60</v>
      </c>
      <c r="O248" s="4">
        <v>0</v>
      </c>
      <c r="P248" s="4">
        <v>420</v>
      </c>
      <c r="Q248" s="4">
        <v>4</v>
      </c>
      <c r="R248" s="4" t="s">
        <v>34</v>
      </c>
      <c r="S248" s="4" t="s">
        <v>115</v>
      </c>
      <c r="T248" s="4" t="s">
        <v>132</v>
      </c>
      <c r="U248" s="6" t="s">
        <v>1193</v>
      </c>
      <c r="V248" s="4" t="s">
        <v>64</v>
      </c>
    </row>
    <row r="249" spans="1:22">
      <c r="A249" s="7" t="s">
        <v>1194</v>
      </c>
      <c r="B249" s="8" t="s">
        <v>71</v>
      </c>
      <c r="C249" s="8" t="s">
        <v>24</v>
      </c>
      <c r="D249" s="8" t="s">
        <v>215</v>
      </c>
      <c r="E249" s="8" t="s">
        <v>711</v>
      </c>
      <c r="F249" s="8" t="s">
        <v>217</v>
      </c>
      <c r="G249" s="8" t="s">
        <v>76</v>
      </c>
      <c r="H249" s="8" t="s">
        <v>1195</v>
      </c>
      <c r="I249" s="8" t="s">
        <v>105</v>
      </c>
      <c r="J249" s="8" t="s">
        <v>106</v>
      </c>
      <c r="K249" s="8" t="s">
        <v>32</v>
      </c>
      <c r="L249" s="8" t="s">
        <v>33</v>
      </c>
      <c r="M249" s="8">
        <v>13</v>
      </c>
      <c r="N249" s="8">
        <v>2200</v>
      </c>
      <c r="O249" s="8">
        <v>10</v>
      </c>
      <c r="P249" s="8">
        <v>25740</v>
      </c>
      <c r="Q249" s="8">
        <v>1</v>
      </c>
      <c r="R249" s="8" t="s">
        <v>79</v>
      </c>
      <c r="S249" s="8" t="s">
        <v>151</v>
      </c>
      <c r="T249" s="8" t="s">
        <v>80</v>
      </c>
      <c r="U249" s="9" t="s">
        <v>1196</v>
      </c>
      <c r="V249" s="8" t="s">
        <v>38</v>
      </c>
    </row>
    <row r="250" spans="1:22">
      <c r="A250" s="3" t="s">
        <v>1197</v>
      </c>
      <c r="B250" s="4" t="s">
        <v>71</v>
      </c>
      <c r="C250" s="4" t="s">
        <v>24</v>
      </c>
      <c r="D250" s="4" t="s">
        <v>1198</v>
      </c>
      <c r="E250" s="4" t="s">
        <v>1199</v>
      </c>
      <c r="F250" s="4" t="s">
        <v>217</v>
      </c>
      <c r="G250" s="4" t="s">
        <v>76</v>
      </c>
      <c r="H250" s="4" t="s">
        <v>1200</v>
      </c>
      <c r="I250" s="4" t="s">
        <v>59</v>
      </c>
      <c r="J250" s="4" t="s">
        <v>31</v>
      </c>
      <c r="K250" s="4" t="s">
        <v>32</v>
      </c>
      <c r="L250" s="4" t="s">
        <v>33</v>
      </c>
      <c r="M250" s="4">
        <v>9</v>
      </c>
      <c r="N250" s="4">
        <v>2200</v>
      </c>
      <c r="O250" s="4">
        <v>10</v>
      </c>
      <c r="P250" s="4">
        <v>17820</v>
      </c>
      <c r="Q250" s="4">
        <v>2</v>
      </c>
      <c r="R250" s="4" t="s">
        <v>1201</v>
      </c>
      <c r="S250" s="4" t="s">
        <v>61</v>
      </c>
      <c r="T250" s="4" t="s">
        <v>80</v>
      </c>
      <c r="U250" s="6" t="s">
        <v>1202</v>
      </c>
      <c r="V250" s="4" t="s">
        <v>69</v>
      </c>
    </row>
    <row r="251" spans="1:22">
      <c r="A251" s="7" t="s">
        <v>1203</v>
      </c>
      <c r="B251" s="8" t="s">
        <v>327</v>
      </c>
      <c r="C251" s="8" t="s">
        <v>169</v>
      </c>
      <c r="D251" s="8" t="s">
        <v>944</v>
      </c>
      <c r="E251" s="8" t="s">
        <v>1204</v>
      </c>
      <c r="F251" s="8" t="s">
        <v>394</v>
      </c>
      <c r="G251" s="8" t="s">
        <v>76</v>
      </c>
      <c r="H251" s="8" t="s">
        <v>1205</v>
      </c>
      <c r="I251" s="8" t="s">
        <v>59</v>
      </c>
      <c r="J251" s="8" t="s">
        <v>31</v>
      </c>
      <c r="K251" s="8" t="s">
        <v>32</v>
      </c>
      <c r="L251" s="8" t="s">
        <v>174</v>
      </c>
      <c r="M251" s="8">
        <v>6</v>
      </c>
      <c r="N251" s="8">
        <v>8500</v>
      </c>
      <c r="O251" s="8">
        <v>15</v>
      </c>
      <c r="P251" s="8">
        <v>43350</v>
      </c>
      <c r="Q251" s="8">
        <v>2</v>
      </c>
      <c r="R251" s="8" t="s">
        <v>34</v>
      </c>
      <c r="S251" s="8" t="s">
        <v>151</v>
      </c>
      <c r="T251" s="8" t="s">
        <v>332</v>
      </c>
      <c r="U251" s="9" t="s">
        <v>1206</v>
      </c>
      <c r="V251" s="8" t="s">
        <v>69</v>
      </c>
    </row>
    <row r="252" spans="1:22">
      <c r="A252" s="3" t="s">
        <v>1207</v>
      </c>
      <c r="B252" s="4" t="s">
        <v>221</v>
      </c>
      <c r="C252" s="4" t="s">
        <v>24</v>
      </c>
      <c r="D252" s="4" t="s">
        <v>736</v>
      </c>
      <c r="E252" s="4" t="s">
        <v>94</v>
      </c>
      <c r="F252" s="4" t="s">
        <v>225</v>
      </c>
      <c r="G252" s="4" t="s">
        <v>76</v>
      </c>
      <c r="H252" s="4" t="s">
        <v>1208</v>
      </c>
      <c r="I252" s="4" t="s">
        <v>44</v>
      </c>
      <c r="J252" s="4" t="s">
        <v>45</v>
      </c>
      <c r="K252" s="4" t="s">
        <v>32</v>
      </c>
      <c r="L252" s="4" t="s">
        <v>33</v>
      </c>
      <c r="M252" s="4">
        <v>9</v>
      </c>
      <c r="N252" s="4">
        <v>2200</v>
      </c>
      <c r="O252" s="4">
        <v>10</v>
      </c>
      <c r="P252" s="4">
        <v>17820</v>
      </c>
      <c r="Q252" s="4">
        <v>3</v>
      </c>
      <c r="R252" s="4" t="s">
        <v>79</v>
      </c>
      <c r="S252" s="4" t="s">
        <v>35</v>
      </c>
      <c r="T252" s="4" t="s">
        <v>228</v>
      </c>
      <c r="U252" s="6" t="s">
        <v>1209</v>
      </c>
      <c r="V252" s="4" t="s">
        <v>64</v>
      </c>
    </row>
    <row r="253" spans="1:22">
      <c r="A253" s="7" t="s">
        <v>1210</v>
      </c>
      <c r="B253" s="8" t="s">
        <v>23</v>
      </c>
      <c r="C253" s="8" t="s">
        <v>169</v>
      </c>
      <c r="D253" s="8" t="s">
        <v>825</v>
      </c>
      <c r="E253" s="8" t="s">
        <v>876</v>
      </c>
      <c r="F253" s="8" t="s">
        <v>27</v>
      </c>
      <c r="G253" s="8" t="s">
        <v>28</v>
      </c>
      <c r="H253" s="8" t="s">
        <v>1211</v>
      </c>
      <c r="I253" s="8" t="s">
        <v>294</v>
      </c>
      <c r="J253" s="8" t="s">
        <v>295</v>
      </c>
      <c r="K253" s="8" t="s">
        <v>32</v>
      </c>
      <c r="L253" s="8" t="s">
        <v>174</v>
      </c>
      <c r="M253" s="8">
        <v>16</v>
      </c>
      <c r="N253" s="8">
        <v>8500</v>
      </c>
      <c r="O253" s="8">
        <v>0</v>
      </c>
      <c r="P253" s="8">
        <v>136000</v>
      </c>
      <c r="Q253" s="8">
        <v>5</v>
      </c>
      <c r="R253" s="8" t="s">
        <v>88</v>
      </c>
      <c r="S253" s="8" t="s">
        <v>115</v>
      </c>
      <c r="T253" s="8" t="s">
        <v>50</v>
      </c>
      <c r="U253" s="9" t="s">
        <v>1212</v>
      </c>
      <c r="V253" s="8" t="s">
        <v>69</v>
      </c>
    </row>
    <row r="254" spans="1:22">
      <c r="A254" s="3" t="s">
        <v>1213</v>
      </c>
      <c r="B254" s="4" t="s">
        <v>327</v>
      </c>
      <c r="C254" s="4" t="s">
        <v>72</v>
      </c>
      <c r="D254" s="4" t="s">
        <v>1214</v>
      </c>
      <c r="E254" s="4" t="s">
        <v>692</v>
      </c>
      <c r="F254" s="4" t="s">
        <v>394</v>
      </c>
      <c r="G254" s="4" t="s">
        <v>76</v>
      </c>
      <c r="H254" s="4" t="s">
        <v>1215</v>
      </c>
      <c r="I254" s="4" t="s">
        <v>44</v>
      </c>
      <c r="J254" s="4" t="s">
        <v>45</v>
      </c>
      <c r="K254" s="4" t="s">
        <v>46</v>
      </c>
      <c r="L254" s="4" t="s">
        <v>78</v>
      </c>
      <c r="M254" s="4">
        <v>10</v>
      </c>
      <c r="N254" s="4">
        <v>1200</v>
      </c>
      <c r="O254" s="4">
        <v>15</v>
      </c>
      <c r="P254" s="4">
        <v>10200</v>
      </c>
      <c r="Q254" s="4">
        <v>5</v>
      </c>
      <c r="R254" s="4" t="s">
        <v>34</v>
      </c>
      <c r="S254" s="4" t="s">
        <v>49</v>
      </c>
      <c r="T254" s="4" t="s">
        <v>332</v>
      </c>
      <c r="U254" s="6" t="s">
        <v>1216</v>
      </c>
      <c r="V254" s="4" t="s">
        <v>38</v>
      </c>
    </row>
    <row r="255" spans="1:22">
      <c r="A255" s="7" t="s">
        <v>1217</v>
      </c>
      <c r="B255" s="8" t="s">
        <v>127</v>
      </c>
      <c r="C255" s="8" t="s">
        <v>40</v>
      </c>
      <c r="D255" s="8" t="s">
        <v>413</v>
      </c>
      <c r="E255" s="8" t="s">
        <v>136</v>
      </c>
      <c r="F255" s="8" t="s">
        <v>200</v>
      </c>
      <c r="G255" s="8" t="s">
        <v>76</v>
      </c>
      <c r="H255" s="8" t="s">
        <v>1218</v>
      </c>
      <c r="I255" s="8" t="s">
        <v>294</v>
      </c>
      <c r="J255" s="8" t="s">
        <v>295</v>
      </c>
      <c r="K255" s="8" t="s">
        <v>46</v>
      </c>
      <c r="L255" s="8" t="s">
        <v>47</v>
      </c>
      <c r="M255" s="8">
        <v>7</v>
      </c>
      <c r="N255" s="8">
        <v>12000</v>
      </c>
      <c r="O255" s="8">
        <v>0</v>
      </c>
      <c r="P255" s="8">
        <v>84000</v>
      </c>
      <c r="Q255" s="8">
        <v>1</v>
      </c>
      <c r="R255" s="8" t="s">
        <v>88</v>
      </c>
      <c r="S255" s="8" t="s">
        <v>151</v>
      </c>
      <c r="T255" s="8" t="s">
        <v>132</v>
      </c>
      <c r="U255" s="9" t="s">
        <v>1219</v>
      </c>
      <c r="V255" s="8" t="s">
        <v>64</v>
      </c>
    </row>
    <row r="256" spans="1:22">
      <c r="A256" s="3" t="s">
        <v>1220</v>
      </c>
      <c r="B256" s="4" t="s">
        <v>221</v>
      </c>
      <c r="C256" s="4" t="s">
        <v>40</v>
      </c>
      <c r="D256" s="4" t="s">
        <v>128</v>
      </c>
      <c r="E256" s="4" t="s">
        <v>1221</v>
      </c>
      <c r="F256" s="4" t="s">
        <v>225</v>
      </c>
      <c r="G256" s="4" t="s">
        <v>76</v>
      </c>
      <c r="H256" s="4" t="s">
        <v>1222</v>
      </c>
      <c r="I256" s="4" t="s">
        <v>114</v>
      </c>
      <c r="J256" s="4" t="s">
        <v>106</v>
      </c>
      <c r="K256" s="4" t="s">
        <v>46</v>
      </c>
      <c r="L256" s="4" t="s">
        <v>47</v>
      </c>
      <c r="M256" s="4">
        <v>3</v>
      </c>
      <c r="N256" s="4">
        <v>12000</v>
      </c>
      <c r="O256" s="4">
        <v>10</v>
      </c>
      <c r="P256" s="4">
        <v>32400</v>
      </c>
      <c r="Q256" s="4">
        <v>4</v>
      </c>
      <c r="R256" s="4" t="s">
        <v>79</v>
      </c>
      <c r="S256" s="4" t="s">
        <v>151</v>
      </c>
      <c r="T256" s="4" t="s">
        <v>228</v>
      </c>
      <c r="U256" s="6" t="s">
        <v>1223</v>
      </c>
      <c r="V256" s="4" t="s">
        <v>38</v>
      </c>
    </row>
    <row r="257" spans="1:22">
      <c r="A257" s="7" t="s">
        <v>1224</v>
      </c>
      <c r="B257" s="8" t="s">
        <v>221</v>
      </c>
      <c r="C257" s="8" t="s">
        <v>40</v>
      </c>
      <c r="D257" s="8" t="s">
        <v>1225</v>
      </c>
      <c r="E257" s="8" t="s">
        <v>927</v>
      </c>
      <c r="F257" s="8" t="s">
        <v>225</v>
      </c>
      <c r="G257" s="8" t="s">
        <v>76</v>
      </c>
      <c r="H257" s="8" t="s">
        <v>1226</v>
      </c>
      <c r="I257" s="8" t="s">
        <v>30</v>
      </c>
      <c r="J257" s="8" t="s">
        <v>31</v>
      </c>
      <c r="K257" s="8" t="s">
        <v>46</v>
      </c>
      <c r="L257" s="8" t="s">
        <v>47</v>
      </c>
      <c r="M257" s="8">
        <v>4</v>
      </c>
      <c r="N257" s="8">
        <v>12000</v>
      </c>
      <c r="O257" s="8">
        <v>15</v>
      </c>
      <c r="P257" s="8">
        <v>40800</v>
      </c>
      <c r="Q257" s="8">
        <v>3</v>
      </c>
      <c r="R257" s="8" t="s">
        <v>79</v>
      </c>
      <c r="S257" s="8" t="s">
        <v>35</v>
      </c>
      <c r="T257" s="8" t="s">
        <v>228</v>
      </c>
      <c r="U257" s="9" t="s">
        <v>1227</v>
      </c>
      <c r="V257" s="8" t="s">
        <v>64</v>
      </c>
    </row>
    <row r="258" spans="1:22">
      <c r="A258" s="3" t="s">
        <v>1228</v>
      </c>
      <c r="B258" s="4" t="s">
        <v>127</v>
      </c>
      <c r="C258" s="4" t="s">
        <v>40</v>
      </c>
      <c r="D258" s="4" t="s">
        <v>260</v>
      </c>
      <c r="E258" s="4" t="s">
        <v>498</v>
      </c>
      <c r="F258" s="4" t="s">
        <v>200</v>
      </c>
      <c r="G258" s="4" t="s">
        <v>76</v>
      </c>
      <c r="H258" s="4" t="s">
        <v>1229</v>
      </c>
      <c r="I258" s="4" t="s">
        <v>30</v>
      </c>
      <c r="J258" s="4" t="s">
        <v>31</v>
      </c>
      <c r="K258" s="4" t="s">
        <v>46</v>
      </c>
      <c r="L258" s="4" t="s">
        <v>47</v>
      </c>
      <c r="M258" s="4">
        <v>13</v>
      </c>
      <c r="N258" s="4">
        <v>12000</v>
      </c>
      <c r="O258" s="4">
        <v>10</v>
      </c>
      <c r="P258" s="4">
        <v>140400</v>
      </c>
      <c r="Q258" s="4">
        <v>2</v>
      </c>
      <c r="R258" s="4" t="s">
        <v>34</v>
      </c>
      <c r="S258" s="4" t="s">
        <v>151</v>
      </c>
      <c r="T258" s="4" t="s">
        <v>132</v>
      </c>
      <c r="U258" s="6" t="s">
        <v>1230</v>
      </c>
      <c r="V258" s="4" t="s">
        <v>69</v>
      </c>
    </row>
    <row r="259" spans="1:22">
      <c r="A259" s="7" t="s">
        <v>1231</v>
      </c>
      <c r="B259" s="8" t="s">
        <v>23</v>
      </c>
      <c r="C259" s="8" t="s">
        <v>92</v>
      </c>
      <c r="D259" s="8" t="s">
        <v>318</v>
      </c>
      <c r="E259" s="8" t="s">
        <v>679</v>
      </c>
      <c r="F259" s="8" t="s">
        <v>27</v>
      </c>
      <c r="G259" s="8" t="s">
        <v>28</v>
      </c>
      <c r="H259" s="8" t="s">
        <v>1232</v>
      </c>
      <c r="I259" s="8" t="s">
        <v>59</v>
      </c>
      <c r="J259" s="8" t="s">
        <v>31</v>
      </c>
      <c r="K259" s="8" t="s">
        <v>32</v>
      </c>
      <c r="L259" s="8" t="s">
        <v>97</v>
      </c>
      <c r="M259" s="8">
        <v>19</v>
      </c>
      <c r="N259" s="8">
        <v>3500</v>
      </c>
      <c r="O259" s="8">
        <v>20</v>
      </c>
      <c r="P259" s="8">
        <v>53200</v>
      </c>
      <c r="Q259" s="8">
        <v>1</v>
      </c>
      <c r="R259" s="8" t="s">
        <v>34</v>
      </c>
      <c r="S259" s="8" t="s">
        <v>61</v>
      </c>
      <c r="T259" s="8" t="s">
        <v>50</v>
      </c>
      <c r="U259" s="9" t="s">
        <v>1233</v>
      </c>
      <c r="V259" s="8" t="s">
        <v>69</v>
      </c>
    </row>
    <row r="260" spans="1:22">
      <c r="A260" s="3" t="s">
        <v>1234</v>
      </c>
      <c r="B260" s="4" t="s">
        <v>23</v>
      </c>
      <c r="C260" s="4" t="s">
        <v>24</v>
      </c>
      <c r="D260" s="4" t="s">
        <v>932</v>
      </c>
      <c r="E260" s="4" t="s">
        <v>436</v>
      </c>
      <c r="F260" s="4" t="s">
        <v>27</v>
      </c>
      <c r="G260" s="4" t="s">
        <v>28</v>
      </c>
      <c r="H260" s="4" t="s">
        <v>1235</v>
      </c>
      <c r="I260" s="4" t="s">
        <v>105</v>
      </c>
      <c r="J260" s="4" t="s">
        <v>106</v>
      </c>
      <c r="K260" s="4" t="s">
        <v>32</v>
      </c>
      <c r="L260" s="4" t="s">
        <v>33</v>
      </c>
      <c r="M260" s="4">
        <v>7</v>
      </c>
      <c r="N260" s="4">
        <v>2200</v>
      </c>
      <c r="O260" s="4">
        <v>5</v>
      </c>
      <c r="P260" s="4">
        <v>14630</v>
      </c>
      <c r="Q260" s="4">
        <v>3</v>
      </c>
      <c r="R260" s="4" t="s">
        <v>88</v>
      </c>
      <c r="S260" s="4" t="s">
        <v>61</v>
      </c>
      <c r="T260" s="4" t="s">
        <v>50</v>
      </c>
      <c r="U260" s="6" t="s">
        <v>1236</v>
      </c>
      <c r="V260" s="4" t="s">
        <v>69</v>
      </c>
    </row>
    <row r="261" spans="1:22">
      <c r="A261" s="7" t="s">
        <v>1237</v>
      </c>
      <c r="B261" s="8" t="s">
        <v>83</v>
      </c>
      <c r="C261" s="8" t="s">
        <v>184</v>
      </c>
      <c r="D261" s="8" t="s">
        <v>1238</v>
      </c>
      <c r="E261" s="8" t="s">
        <v>426</v>
      </c>
      <c r="F261" s="8" t="s">
        <v>180</v>
      </c>
      <c r="G261" s="8" t="s">
        <v>76</v>
      </c>
      <c r="H261" s="8" t="s">
        <v>1239</v>
      </c>
      <c r="I261" s="8" t="s">
        <v>212</v>
      </c>
      <c r="J261" s="8" t="s">
        <v>45</v>
      </c>
      <c r="K261" s="8" t="s">
        <v>46</v>
      </c>
      <c r="L261" s="8" t="s">
        <v>189</v>
      </c>
      <c r="M261" s="8">
        <v>18</v>
      </c>
      <c r="N261" s="8">
        <v>700</v>
      </c>
      <c r="O261" s="8">
        <v>5</v>
      </c>
      <c r="P261" s="8">
        <v>11970</v>
      </c>
      <c r="Q261" s="8">
        <v>2</v>
      </c>
      <c r="R261" s="8" t="s">
        <v>88</v>
      </c>
      <c r="S261" s="8" t="s">
        <v>61</v>
      </c>
      <c r="T261" s="8" t="s">
        <v>89</v>
      </c>
      <c r="U261" s="9" t="s">
        <v>1240</v>
      </c>
      <c r="V261" s="8" t="s">
        <v>69</v>
      </c>
    </row>
    <row r="262" spans="1:22">
      <c r="A262" s="3" t="s">
        <v>1241</v>
      </c>
      <c r="B262" s="4" t="s">
        <v>23</v>
      </c>
      <c r="C262" s="4" t="s">
        <v>222</v>
      </c>
      <c r="D262" s="4" t="s">
        <v>1106</v>
      </c>
      <c r="E262" s="4" t="s">
        <v>1242</v>
      </c>
      <c r="F262" s="4" t="s">
        <v>27</v>
      </c>
      <c r="G262" s="4" t="s">
        <v>28</v>
      </c>
      <c r="H262" s="4" t="s">
        <v>1243</v>
      </c>
      <c r="I262" s="4" t="s">
        <v>294</v>
      </c>
      <c r="J262" s="4" t="s">
        <v>295</v>
      </c>
      <c r="K262" s="4" t="s">
        <v>122</v>
      </c>
      <c r="L262" s="4" t="s">
        <v>227</v>
      </c>
      <c r="M262" s="4">
        <v>11</v>
      </c>
      <c r="N262" s="4">
        <v>20</v>
      </c>
      <c r="O262" s="4">
        <v>0</v>
      </c>
      <c r="P262" s="4">
        <v>220</v>
      </c>
      <c r="Q262" s="4">
        <v>2</v>
      </c>
      <c r="R262" s="4" t="s">
        <v>48</v>
      </c>
      <c r="S262" s="4" t="s">
        <v>115</v>
      </c>
      <c r="T262" s="4" t="s">
        <v>50</v>
      </c>
      <c r="U262" s="6" t="s">
        <v>1244</v>
      </c>
      <c r="V262" s="4" t="s">
        <v>69</v>
      </c>
    </row>
    <row r="263" spans="1:22">
      <c r="A263" s="7" t="s">
        <v>1245</v>
      </c>
      <c r="B263" s="8" t="s">
        <v>327</v>
      </c>
      <c r="C263" s="8" t="s">
        <v>40</v>
      </c>
      <c r="D263" s="8" t="s">
        <v>1069</v>
      </c>
      <c r="E263" s="8" t="s">
        <v>272</v>
      </c>
      <c r="F263" s="8" t="s">
        <v>394</v>
      </c>
      <c r="G263" s="8" t="s">
        <v>76</v>
      </c>
      <c r="H263" s="8" t="s">
        <v>1246</v>
      </c>
      <c r="I263" s="8" t="s">
        <v>114</v>
      </c>
      <c r="J263" s="8" t="s">
        <v>106</v>
      </c>
      <c r="K263" s="8" t="s">
        <v>46</v>
      </c>
      <c r="L263" s="8" t="s">
        <v>47</v>
      </c>
      <c r="M263" s="8">
        <v>17</v>
      </c>
      <c r="N263" s="8">
        <v>12000</v>
      </c>
      <c r="O263" s="8">
        <v>20</v>
      </c>
      <c r="P263" s="8">
        <v>163200</v>
      </c>
      <c r="Q263" s="8">
        <v>4</v>
      </c>
      <c r="R263" s="8" t="s">
        <v>88</v>
      </c>
      <c r="S263" s="8" t="s">
        <v>151</v>
      </c>
      <c r="T263" s="8" t="s">
        <v>332</v>
      </c>
      <c r="U263" s="9" t="s">
        <v>1247</v>
      </c>
      <c r="V263" s="8" t="s">
        <v>38</v>
      </c>
    </row>
    <row r="264" spans="1:22">
      <c r="A264" s="3" t="s">
        <v>1248</v>
      </c>
      <c r="B264" s="4" t="s">
        <v>251</v>
      </c>
      <c r="C264" s="4" t="s">
        <v>24</v>
      </c>
      <c r="D264" s="4" t="s">
        <v>1249</v>
      </c>
      <c r="E264" s="4" t="s">
        <v>267</v>
      </c>
      <c r="F264" s="4" t="s">
        <v>254</v>
      </c>
      <c r="G264" s="4" t="s">
        <v>28</v>
      </c>
      <c r="H264" s="4" t="s">
        <v>1250</v>
      </c>
      <c r="I264" s="4" t="s">
        <v>294</v>
      </c>
      <c r="J264" s="4" t="s">
        <v>295</v>
      </c>
      <c r="K264" s="4" t="s">
        <v>32</v>
      </c>
      <c r="L264" s="4" t="s">
        <v>33</v>
      </c>
      <c r="M264" s="4">
        <v>4</v>
      </c>
      <c r="N264" s="4">
        <v>2200</v>
      </c>
      <c r="O264" s="4">
        <v>5</v>
      </c>
      <c r="P264" s="4">
        <v>8360</v>
      </c>
      <c r="Q264" s="4">
        <v>2</v>
      </c>
      <c r="R264" s="4" t="s">
        <v>34</v>
      </c>
      <c r="S264" s="4" t="s">
        <v>35</v>
      </c>
      <c r="T264" s="4" t="s">
        <v>256</v>
      </c>
      <c r="U264" s="6" t="s">
        <v>1251</v>
      </c>
      <c r="V264" s="4" t="s">
        <v>38</v>
      </c>
    </row>
    <row r="265" spans="1:22">
      <c r="A265" s="7" t="s">
        <v>1252</v>
      </c>
      <c r="B265" s="8" t="s">
        <v>23</v>
      </c>
      <c r="C265" s="8" t="s">
        <v>54</v>
      </c>
      <c r="D265" s="8" t="s">
        <v>1253</v>
      </c>
      <c r="E265" s="8" t="s">
        <v>455</v>
      </c>
      <c r="F265" s="8" t="s">
        <v>27</v>
      </c>
      <c r="G265" s="8" t="s">
        <v>28</v>
      </c>
      <c r="H265" s="8" t="s">
        <v>1254</v>
      </c>
      <c r="I265" s="8" t="s">
        <v>138</v>
      </c>
      <c r="J265" s="8" t="s">
        <v>106</v>
      </c>
      <c r="K265" s="8" t="s">
        <v>46</v>
      </c>
      <c r="L265" s="8" t="s">
        <v>60</v>
      </c>
      <c r="M265" s="8">
        <v>6</v>
      </c>
      <c r="N265" s="8">
        <v>55000</v>
      </c>
      <c r="O265" s="8">
        <v>20</v>
      </c>
      <c r="P265" s="8">
        <v>264000</v>
      </c>
      <c r="Q265" s="8">
        <v>2</v>
      </c>
      <c r="R265" s="8" t="s">
        <v>88</v>
      </c>
      <c r="S265" s="8" t="s">
        <v>151</v>
      </c>
      <c r="T265" s="8" t="s">
        <v>50</v>
      </c>
      <c r="U265" s="9" t="s">
        <v>1255</v>
      </c>
      <c r="V265" s="8" t="s">
        <v>69</v>
      </c>
    </row>
    <row r="266" spans="1:22">
      <c r="A266" s="3" t="s">
        <v>1256</v>
      </c>
      <c r="B266" s="4" t="s">
        <v>71</v>
      </c>
      <c r="C266" s="4" t="s">
        <v>169</v>
      </c>
      <c r="D266" s="4" t="s">
        <v>84</v>
      </c>
      <c r="E266" s="4" t="s">
        <v>998</v>
      </c>
      <c r="F266" s="4" t="s">
        <v>217</v>
      </c>
      <c r="G266" s="4" t="s">
        <v>76</v>
      </c>
      <c r="H266" s="4" t="s">
        <v>1257</v>
      </c>
      <c r="I266" s="4" t="s">
        <v>44</v>
      </c>
      <c r="J266" s="4" t="s">
        <v>45</v>
      </c>
      <c r="K266" s="4" t="s">
        <v>32</v>
      </c>
      <c r="L266" s="4" t="s">
        <v>174</v>
      </c>
      <c r="M266" s="4">
        <v>6</v>
      </c>
      <c r="N266" s="4">
        <v>8500</v>
      </c>
      <c r="O266" s="4">
        <v>10</v>
      </c>
      <c r="P266" s="4">
        <v>45900</v>
      </c>
      <c r="Q266" s="4">
        <v>5</v>
      </c>
      <c r="R266" s="4" t="s">
        <v>88</v>
      </c>
      <c r="S266" s="4" t="s">
        <v>61</v>
      </c>
      <c r="T266" s="4" t="s">
        <v>80</v>
      </c>
      <c r="U266" s="6" t="s">
        <v>1258</v>
      </c>
      <c r="V266" s="4" t="s">
        <v>38</v>
      </c>
    </row>
    <row r="267" spans="1:22">
      <c r="A267" s="7" t="s">
        <v>1259</v>
      </c>
      <c r="B267" s="8" t="s">
        <v>23</v>
      </c>
      <c r="C267" s="8" t="s">
        <v>222</v>
      </c>
      <c r="D267" s="8" t="s">
        <v>558</v>
      </c>
      <c r="E267" s="8" t="s">
        <v>371</v>
      </c>
      <c r="F267" s="8" t="s">
        <v>27</v>
      </c>
      <c r="G267" s="8" t="s">
        <v>28</v>
      </c>
      <c r="H267" s="8" t="s">
        <v>1260</v>
      </c>
      <c r="I267" s="8" t="s">
        <v>212</v>
      </c>
      <c r="J267" s="8" t="s">
        <v>45</v>
      </c>
      <c r="K267" s="8" t="s">
        <v>122</v>
      </c>
      <c r="L267" s="8" t="s">
        <v>227</v>
      </c>
      <c r="M267" s="8">
        <v>6</v>
      </c>
      <c r="N267" s="8">
        <v>20</v>
      </c>
      <c r="O267" s="8">
        <v>15</v>
      </c>
      <c r="P267" s="8">
        <v>102</v>
      </c>
      <c r="Q267" s="8">
        <v>2</v>
      </c>
      <c r="R267" s="8" t="s">
        <v>88</v>
      </c>
      <c r="S267" s="8" t="s">
        <v>49</v>
      </c>
      <c r="T267" s="8" t="s">
        <v>50</v>
      </c>
      <c r="U267" s="9" t="s">
        <v>1261</v>
      </c>
      <c r="V267" s="8" t="s">
        <v>69</v>
      </c>
    </row>
    <row r="268" spans="1:22">
      <c r="A268" s="3" t="s">
        <v>1262</v>
      </c>
      <c r="B268" s="4" t="s">
        <v>53</v>
      </c>
      <c r="C268" s="4" t="s">
        <v>118</v>
      </c>
      <c r="D268" s="4" t="s">
        <v>1263</v>
      </c>
      <c r="E268" s="4" t="s">
        <v>597</v>
      </c>
      <c r="F268" s="4" t="s">
        <v>163</v>
      </c>
      <c r="G268" s="4" t="s">
        <v>28</v>
      </c>
      <c r="H268" s="4" t="s">
        <v>1264</v>
      </c>
      <c r="I268" s="4" t="s">
        <v>105</v>
      </c>
      <c r="J268" s="4" t="s">
        <v>106</v>
      </c>
      <c r="K268" s="4" t="s">
        <v>122</v>
      </c>
      <c r="L268" s="4" t="s">
        <v>123</v>
      </c>
      <c r="M268" s="4">
        <v>6</v>
      </c>
      <c r="N268" s="4">
        <v>60</v>
      </c>
      <c r="O268" s="4">
        <v>5</v>
      </c>
      <c r="P268" s="4">
        <v>342</v>
      </c>
      <c r="Q268" s="4">
        <v>1</v>
      </c>
      <c r="R268" s="4" t="s">
        <v>48</v>
      </c>
      <c r="S268" s="4" t="s">
        <v>61</v>
      </c>
      <c r="T268" s="4" t="s">
        <v>62</v>
      </c>
      <c r="U268" s="6" t="s">
        <v>1265</v>
      </c>
      <c r="V268" s="4" t="s">
        <v>38</v>
      </c>
    </row>
    <row r="269" spans="1:22">
      <c r="A269" s="7" t="s">
        <v>1266</v>
      </c>
      <c r="B269" s="8" t="s">
        <v>127</v>
      </c>
      <c r="C269" s="8" t="s">
        <v>169</v>
      </c>
      <c r="D269" s="8" t="s">
        <v>1267</v>
      </c>
      <c r="E269" s="8" t="s">
        <v>1268</v>
      </c>
      <c r="F269" s="8" t="s">
        <v>200</v>
      </c>
      <c r="G269" s="8" t="s">
        <v>76</v>
      </c>
      <c r="H269" s="8" t="s">
        <v>1269</v>
      </c>
      <c r="I269" s="8" t="s">
        <v>30</v>
      </c>
      <c r="J269" s="8" t="s">
        <v>31</v>
      </c>
      <c r="K269" s="8" t="s">
        <v>32</v>
      </c>
      <c r="L269" s="8" t="s">
        <v>174</v>
      </c>
      <c r="M269" s="8">
        <v>19</v>
      </c>
      <c r="N269" s="8">
        <v>8500</v>
      </c>
      <c r="O269" s="8">
        <v>0</v>
      </c>
      <c r="P269" s="8">
        <v>161500</v>
      </c>
      <c r="Q269" s="8">
        <v>5</v>
      </c>
      <c r="R269" s="8" t="s">
        <v>88</v>
      </c>
      <c r="S269" s="8" t="s">
        <v>151</v>
      </c>
      <c r="T269" s="8" t="s">
        <v>132</v>
      </c>
      <c r="U269" s="9" t="s">
        <v>1270</v>
      </c>
      <c r="V269" s="8" t="s">
        <v>38</v>
      </c>
    </row>
    <row r="270" spans="1:22">
      <c r="A270" s="3" t="s">
        <v>1271</v>
      </c>
      <c r="B270" s="4" t="s">
        <v>251</v>
      </c>
      <c r="C270" s="4" t="s">
        <v>54</v>
      </c>
      <c r="D270" s="4" t="s">
        <v>445</v>
      </c>
      <c r="E270" s="4" t="s">
        <v>573</v>
      </c>
      <c r="F270" s="4" t="s">
        <v>254</v>
      </c>
      <c r="G270" s="4" t="s">
        <v>28</v>
      </c>
      <c r="H270" s="4" t="s">
        <v>1272</v>
      </c>
      <c r="I270" s="4" t="s">
        <v>212</v>
      </c>
      <c r="J270" s="4" t="s">
        <v>45</v>
      </c>
      <c r="K270" s="4" t="s">
        <v>46</v>
      </c>
      <c r="L270" s="4" t="s">
        <v>60</v>
      </c>
      <c r="M270" s="4">
        <v>8</v>
      </c>
      <c r="N270" s="4">
        <v>55000</v>
      </c>
      <c r="O270" s="4">
        <v>0</v>
      </c>
      <c r="P270" s="4">
        <v>440000</v>
      </c>
      <c r="Q270" s="4">
        <v>3</v>
      </c>
      <c r="R270" s="4" t="s">
        <v>79</v>
      </c>
      <c r="S270" s="4" t="s">
        <v>115</v>
      </c>
      <c r="T270" s="4" t="s">
        <v>256</v>
      </c>
      <c r="U270" s="6" t="s">
        <v>1273</v>
      </c>
      <c r="V270" s="4" t="s">
        <v>64</v>
      </c>
    </row>
    <row r="271" spans="1:22">
      <c r="A271" s="7" t="s">
        <v>1274</v>
      </c>
      <c r="B271" s="8" t="s">
        <v>71</v>
      </c>
      <c r="C271" s="8" t="s">
        <v>40</v>
      </c>
      <c r="D271" s="8" t="s">
        <v>1098</v>
      </c>
      <c r="E271" s="8" t="s">
        <v>583</v>
      </c>
      <c r="F271" s="8" t="s">
        <v>217</v>
      </c>
      <c r="G271" s="8" t="s">
        <v>76</v>
      </c>
      <c r="H271" s="8" t="s">
        <v>1275</v>
      </c>
      <c r="I271" s="8" t="s">
        <v>294</v>
      </c>
      <c r="J271" s="8" t="s">
        <v>295</v>
      </c>
      <c r="K271" s="8" t="s">
        <v>46</v>
      </c>
      <c r="L271" s="8" t="s">
        <v>47</v>
      </c>
      <c r="M271" s="8">
        <v>18</v>
      </c>
      <c r="N271" s="8">
        <v>12000</v>
      </c>
      <c r="O271" s="8">
        <v>20</v>
      </c>
      <c r="P271" s="8">
        <v>172800</v>
      </c>
      <c r="Q271" s="8">
        <v>5</v>
      </c>
      <c r="R271" s="8" t="s">
        <v>88</v>
      </c>
      <c r="S271" s="8" t="s">
        <v>61</v>
      </c>
      <c r="T271" s="8" t="s">
        <v>80</v>
      </c>
      <c r="U271" s="9" t="s">
        <v>1276</v>
      </c>
      <c r="V271" s="8" t="s">
        <v>69</v>
      </c>
    </row>
    <row r="272" spans="1:22">
      <c r="A272" s="3" t="s">
        <v>1277</v>
      </c>
      <c r="B272" s="4" t="s">
        <v>127</v>
      </c>
      <c r="C272" s="4" t="s">
        <v>169</v>
      </c>
      <c r="D272" s="4" t="s">
        <v>1278</v>
      </c>
      <c r="E272" s="4" t="s">
        <v>198</v>
      </c>
      <c r="F272" s="4" t="s">
        <v>200</v>
      </c>
      <c r="G272" s="4" t="s">
        <v>76</v>
      </c>
      <c r="H272" s="4" t="s">
        <v>1279</v>
      </c>
      <c r="I272" s="4" t="s">
        <v>138</v>
      </c>
      <c r="J272" s="4" t="s">
        <v>106</v>
      </c>
      <c r="K272" s="4" t="s">
        <v>32</v>
      </c>
      <c r="L272" s="4" t="s">
        <v>174</v>
      </c>
      <c r="M272" s="4">
        <v>8</v>
      </c>
      <c r="N272" s="4">
        <v>8500</v>
      </c>
      <c r="O272" s="4">
        <v>5</v>
      </c>
      <c r="P272" s="4">
        <v>64600</v>
      </c>
      <c r="Q272" s="4">
        <v>2</v>
      </c>
      <c r="R272" s="4" t="s">
        <v>79</v>
      </c>
      <c r="S272" s="4" t="s">
        <v>61</v>
      </c>
      <c r="T272" s="4" t="s">
        <v>132</v>
      </c>
      <c r="U272" s="6" t="s">
        <v>1280</v>
      </c>
      <c r="V272" s="4" t="s">
        <v>69</v>
      </c>
    </row>
    <row r="273" spans="1:22">
      <c r="A273" s="7" t="s">
        <v>1281</v>
      </c>
      <c r="B273" s="8" t="s">
        <v>23</v>
      </c>
      <c r="C273" s="8" t="s">
        <v>222</v>
      </c>
      <c r="D273" s="8" t="s">
        <v>1282</v>
      </c>
      <c r="E273" s="8" t="s">
        <v>724</v>
      </c>
      <c r="F273" s="8" t="s">
        <v>27</v>
      </c>
      <c r="G273" s="8" t="s">
        <v>28</v>
      </c>
      <c r="H273" s="8" t="s">
        <v>1283</v>
      </c>
      <c r="I273" s="8" t="s">
        <v>105</v>
      </c>
      <c r="J273" s="8" t="s">
        <v>106</v>
      </c>
      <c r="K273" s="8" t="s">
        <v>122</v>
      </c>
      <c r="L273" s="8" t="s">
        <v>227</v>
      </c>
      <c r="M273" s="8">
        <v>13</v>
      </c>
      <c r="N273" s="8">
        <v>20</v>
      </c>
      <c r="O273" s="8">
        <v>5</v>
      </c>
      <c r="P273" s="8">
        <v>247</v>
      </c>
      <c r="Q273" s="8">
        <v>3</v>
      </c>
      <c r="R273" s="8" t="s">
        <v>48</v>
      </c>
      <c r="S273" s="8" t="s">
        <v>115</v>
      </c>
      <c r="T273" s="8" t="s">
        <v>50</v>
      </c>
      <c r="U273" s="9" t="s">
        <v>1284</v>
      </c>
      <c r="V273" s="8" t="s">
        <v>64</v>
      </c>
    </row>
    <row r="274" spans="1:22">
      <c r="A274" s="3" t="s">
        <v>1285</v>
      </c>
      <c r="B274" s="4" t="s">
        <v>83</v>
      </c>
      <c r="C274" s="4" t="s">
        <v>118</v>
      </c>
      <c r="D274" s="4" t="s">
        <v>740</v>
      </c>
      <c r="E274" s="4" t="s">
        <v>1286</v>
      </c>
      <c r="F274" s="4" t="s">
        <v>180</v>
      </c>
      <c r="G274" s="4" t="s">
        <v>76</v>
      </c>
      <c r="H274" s="4" t="s">
        <v>1287</v>
      </c>
      <c r="I274" s="4" t="s">
        <v>212</v>
      </c>
      <c r="J274" s="4" t="s">
        <v>45</v>
      </c>
      <c r="K274" s="4" t="s">
        <v>122</v>
      </c>
      <c r="L274" s="4" t="s">
        <v>123</v>
      </c>
      <c r="M274" s="4">
        <v>1</v>
      </c>
      <c r="N274" s="4">
        <v>60</v>
      </c>
      <c r="O274" s="4">
        <v>15</v>
      </c>
      <c r="P274" s="4">
        <v>51</v>
      </c>
      <c r="Q274" s="4">
        <v>2</v>
      </c>
      <c r="R274" s="4" t="s">
        <v>79</v>
      </c>
      <c r="S274" s="4" t="s">
        <v>61</v>
      </c>
      <c r="T274" s="4" t="s">
        <v>89</v>
      </c>
      <c r="U274" s="6" t="s">
        <v>1288</v>
      </c>
      <c r="V274" s="4" t="s">
        <v>69</v>
      </c>
    </row>
    <row r="275" spans="1:22">
      <c r="A275" s="7" t="s">
        <v>1289</v>
      </c>
      <c r="B275" s="8" t="s">
        <v>53</v>
      </c>
      <c r="C275" s="8" t="s">
        <v>222</v>
      </c>
      <c r="D275" s="8" t="s">
        <v>1290</v>
      </c>
      <c r="E275" s="8" t="s">
        <v>965</v>
      </c>
      <c r="F275" s="8" t="s">
        <v>163</v>
      </c>
      <c r="G275" s="8" t="s">
        <v>28</v>
      </c>
      <c r="H275" s="8" t="s">
        <v>1291</v>
      </c>
      <c r="I275" s="8" t="s">
        <v>114</v>
      </c>
      <c r="J275" s="8" t="s">
        <v>106</v>
      </c>
      <c r="K275" s="8" t="s">
        <v>122</v>
      </c>
      <c r="L275" s="8" t="s">
        <v>227</v>
      </c>
      <c r="M275" s="8">
        <v>5</v>
      </c>
      <c r="N275" s="8">
        <v>20</v>
      </c>
      <c r="O275" s="8">
        <v>5</v>
      </c>
      <c r="P275" s="8">
        <v>95</v>
      </c>
      <c r="Q275" s="8">
        <v>2</v>
      </c>
      <c r="R275" s="8" t="s">
        <v>48</v>
      </c>
      <c r="S275" s="8" t="s">
        <v>49</v>
      </c>
      <c r="T275" s="8" t="s">
        <v>62</v>
      </c>
      <c r="U275" s="9" t="s">
        <v>1292</v>
      </c>
      <c r="V275" s="8" t="s">
        <v>64</v>
      </c>
    </row>
    <row r="276" spans="1:22">
      <c r="A276" s="3" t="s">
        <v>1293</v>
      </c>
      <c r="B276" s="4" t="s">
        <v>221</v>
      </c>
      <c r="C276" s="4" t="s">
        <v>222</v>
      </c>
      <c r="D276" s="4" t="s">
        <v>1294</v>
      </c>
      <c r="E276" s="4" t="s">
        <v>1017</v>
      </c>
      <c r="F276" s="4" t="s">
        <v>225</v>
      </c>
      <c r="G276" s="4" t="s">
        <v>76</v>
      </c>
      <c r="H276" s="4" t="s">
        <v>1295</v>
      </c>
      <c r="I276" s="4" t="s">
        <v>294</v>
      </c>
      <c r="J276" s="4" t="s">
        <v>295</v>
      </c>
      <c r="K276" s="4" t="s">
        <v>122</v>
      </c>
      <c r="L276" s="4" t="s">
        <v>227</v>
      </c>
      <c r="M276" s="4">
        <v>19</v>
      </c>
      <c r="N276" s="4">
        <v>20</v>
      </c>
      <c r="O276" s="4">
        <v>20</v>
      </c>
      <c r="P276" s="4">
        <v>304</v>
      </c>
      <c r="Q276" s="4">
        <v>3</v>
      </c>
      <c r="R276" s="4" t="s">
        <v>34</v>
      </c>
      <c r="S276" s="4" t="s">
        <v>35</v>
      </c>
      <c r="T276" s="4" t="s">
        <v>228</v>
      </c>
      <c r="U276" s="6" t="s">
        <v>1296</v>
      </c>
      <c r="V276" s="4" t="s">
        <v>69</v>
      </c>
    </row>
    <row r="277" spans="1:22">
      <c r="A277" s="7" t="s">
        <v>1297</v>
      </c>
      <c r="B277" s="8" t="s">
        <v>100</v>
      </c>
      <c r="C277" s="8" t="s">
        <v>259</v>
      </c>
      <c r="D277" s="8" t="s">
        <v>1298</v>
      </c>
      <c r="E277" s="8" t="s">
        <v>366</v>
      </c>
      <c r="F277" s="8" t="s">
        <v>103</v>
      </c>
      <c r="G277" s="8" t="s">
        <v>28</v>
      </c>
      <c r="H277" s="8" t="s">
        <v>1299</v>
      </c>
      <c r="I277" s="8" t="s">
        <v>138</v>
      </c>
      <c r="J277" s="8" t="s">
        <v>106</v>
      </c>
      <c r="K277" s="8" t="s">
        <v>122</v>
      </c>
      <c r="L277" s="8" t="s">
        <v>263</v>
      </c>
      <c r="M277" s="8">
        <v>17</v>
      </c>
      <c r="N277" s="8">
        <v>45</v>
      </c>
      <c r="O277" s="8">
        <v>5</v>
      </c>
      <c r="P277" s="8">
        <v>726.75</v>
      </c>
      <c r="Q277" s="8">
        <v>4</v>
      </c>
      <c r="R277" s="8" t="s">
        <v>34</v>
      </c>
      <c r="S277" s="8" t="s">
        <v>115</v>
      </c>
      <c r="T277" s="8" t="s">
        <v>144</v>
      </c>
      <c r="U277" s="9" t="s">
        <v>1300</v>
      </c>
      <c r="V277" s="8" t="s">
        <v>64</v>
      </c>
    </row>
    <row r="278" spans="1:22">
      <c r="A278" s="3" t="s">
        <v>1301</v>
      </c>
      <c r="B278" s="4" t="s">
        <v>83</v>
      </c>
      <c r="C278" s="4" t="s">
        <v>184</v>
      </c>
      <c r="D278" s="4" t="s">
        <v>1302</v>
      </c>
      <c r="E278" s="4" t="s">
        <v>170</v>
      </c>
      <c r="F278" s="4" t="s">
        <v>180</v>
      </c>
      <c r="G278" s="4" t="s">
        <v>76</v>
      </c>
      <c r="H278" s="4" t="s">
        <v>1303</v>
      </c>
      <c r="I278" s="4" t="s">
        <v>59</v>
      </c>
      <c r="J278" s="4" t="s">
        <v>31</v>
      </c>
      <c r="K278" s="4" t="s">
        <v>46</v>
      </c>
      <c r="L278" s="4" t="s">
        <v>189</v>
      </c>
      <c r="M278" s="4">
        <v>8</v>
      </c>
      <c r="N278" s="4">
        <v>700</v>
      </c>
      <c r="O278" s="4">
        <v>15</v>
      </c>
      <c r="P278" s="4">
        <v>4760</v>
      </c>
      <c r="Q278" s="4">
        <v>4</v>
      </c>
      <c r="R278" s="4" t="s">
        <v>48</v>
      </c>
      <c r="S278" s="4" t="s">
        <v>35</v>
      </c>
      <c r="T278" s="4" t="s">
        <v>89</v>
      </c>
      <c r="U278" s="6" t="s">
        <v>1304</v>
      </c>
      <c r="V278" s="4" t="s">
        <v>64</v>
      </c>
    </row>
    <row r="279" spans="1:22">
      <c r="A279" s="7" t="s">
        <v>1305</v>
      </c>
      <c r="B279" s="8" t="s">
        <v>168</v>
      </c>
      <c r="C279" s="8" t="s">
        <v>24</v>
      </c>
      <c r="D279" s="8" t="s">
        <v>1306</v>
      </c>
      <c r="E279" s="8" t="s">
        <v>1307</v>
      </c>
      <c r="F279" s="8" t="s">
        <v>361</v>
      </c>
      <c r="G279" s="8" t="s">
        <v>28</v>
      </c>
      <c r="H279" s="8" t="s">
        <v>1308</v>
      </c>
      <c r="I279" s="8" t="s">
        <v>105</v>
      </c>
      <c r="J279" s="8" t="s">
        <v>106</v>
      </c>
      <c r="K279" s="8" t="s">
        <v>32</v>
      </c>
      <c r="L279" s="8" t="s">
        <v>33</v>
      </c>
      <c r="M279" s="8">
        <v>15</v>
      </c>
      <c r="N279" s="8">
        <v>2200</v>
      </c>
      <c r="O279" s="8">
        <v>10</v>
      </c>
      <c r="P279" s="8">
        <v>29700</v>
      </c>
      <c r="Q279" s="8">
        <v>5</v>
      </c>
      <c r="R279" s="8" t="s">
        <v>88</v>
      </c>
      <c r="S279" s="8" t="s">
        <v>151</v>
      </c>
      <c r="T279" s="8" t="s">
        <v>175</v>
      </c>
      <c r="U279" s="9" t="s">
        <v>1309</v>
      </c>
      <c r="V279" s="8" t="s">
        <v>38</v>
      </c>
    </row>
    <row r="280" spans="1:22">
      <c r="A280" s="3" t="s">
        <v>1310</v>
      </c>
      <c r="B280" s="4" t="s">
        <v>100</v>
      </c>
      <c r="C280" s="4" t="s">
        <v>24</v>
      </c>
      <c r="D280" s="4" t="s">
        <v>860</v>
      </c>
      <c r="E280" s="4" t="s">
        <v>1311</v>
      </c>
      <c r="F280" s="4" t="s">
        <v>103</v>
      </c>
      <c r="G280" s="4" t="s">
        <v>28</v>
      </c>
      <c r="H280" s="4" t="s">
        <v>1312</v>
      </c>
      <c r="I280" s="4" t="s">
        <v>105</v>
      </c>
      <c r="J280" s="4" t="s">
        <v>106</v>
      </c>
      <c r="K280" s="4" t="s">
        <v>32</v>
      </c>
      <c r="L280" s="4" t="s">
        <v>33</v>
      </c>
      <c r="M280" s="4">
        <v>1</v>
      </c>
      <c r="N280" s="4">
        <v>2200</v>
      </c>
      <c r="O280" s="4">
        <v>0</v>
      </c>
      <c r="P280" s="4">
        <v>2200</v>
      </c>
      <c r="Q280" s="4">
        <v>4</v>
      </c>
      <c r="R280" s="4" t="s">
        <v>34</v>
      </c>
      <c r="S280" s="4" t="s">
        <v>49</v>
      </c>
      <c r="T280" s="4" t="s">
        <v>144</v>
      </c>
      <c r="U280" s="6" t="s">
        <v>1313</v>
      </c>
      <c r="V280" s="4" t="s">
        <v>69</v>
      </c>
    </row>
    <row r="281" spans="1:22">
      <c r="A281" s="7" t="s">
        <v>1314</v>
      </c>
      <c r="B281" s="8" t="s">
        <v>251</v>
      </c>
      <c r="C281" s="8" t="s">
        <v>92</v>
      </c>
      <c r="D281" s="8" t="s">
        <v>872</v>
      </c>
      <c r="E281" s="8" t="s">
        <v>1315</v>
      </c>
      <c r="F281" s="8" t="s">
        <v>254</v>
      </c>
      <c r="G281" s="8" t="s">
        <v>28</v>
      </c>
      <c r="H281" s="8" t="s">
        <v>1316</v>
      </c>
      <c r="I281" s="8" t="s">
        <v>138</v>
      </c>
      <c r="J281" s="8" t="s">
        <v>106</v>
      </c>
      <c r="K281" s="8" t="s">
        <v>32</v>
      </c>
      <c r="L281" s="8" t="s">
        <v>97</v>
      </c>
      <c r="M281" s="8">
        <v>10</v>
      </c>
      <c r="N281" s="8">
        <v>3500</v>
      </c>
      <c r="O281" s="8">
        <v>10</v>
      </c>
      <c r="P281" s="8">
        <v>31500</v>
      </c>
      <c r="Q281" s="8">
        <v>4</v>
      </c>
      <c r="R281" s="8" t="s">
        <v>48</v>
      </c>
      <c r="S281" s="8" t="s">
        <v>35</v>
      </c>
      <c r="T281" s="8" t="s">
        <v>256</v>
      </c>
      <c r="U281" s="9" t="s">
        <v>1317</v>
      </c>
      <c r="V281" s="8" t="s">
        <v>69</v>
      </c>
    </row>
    <row r="282" spans="1:22">
      <c r="A282" s="3" t="s">
        <v>1318</v>
      </c>
      <c r="B282" s="4" t="s">
        <v>71</v>
      </c>
      <c r="C282" s="4" t="s">
        <v>92</v>
      </c>
      <c r="D282" s="4" t="s">
        <v>1319</v>
      </c>
      <c r="E282" s="4" t="s">
        <v>1320</v>
      </c>
      <c r="F282" s="4" t="s">
        <v>217</v>
      </c>
      <c r="G282" s="4" t="s">
        <v>76</v>
      </c>
      <c r="H282" s="4" t="s">
        <v>1321</v>
      </c>
      <c r="I282" s="4" t="s">
        <v>212</v>
      </c>
      <c r="J282" s="4" t="s">
        <v>45</v>
      </c>
      <c r="K282" s="4" t="s">
        <v>32</v>
      </c>
      <c r="L282" s="4" t="s">
        <v>97</v>
      </c>
      <c r="M282" s="4">
        <v>16</v>
      </c>
      <c r="N282" s="4">
        <v>3500</v>
      </c>
      <c r="O282" s="4">
        <v>15</v>
      </c>
      <c r="P282" s="4">
        <v>47600</v>
      </c>
      <c r="Q282" s="4">
        <v>1</v>
      </c>
      <c r="R282" s="4" t="s">
        <v>79</v>
      </c>
      <c r="S282" s="4" t="s">
        <v>115</v>
      </c>
      <c r="T282" s="4" t="s">
        <v>80</v>
      </c>
      <c r="U282" s="6" t="s">
        <v>1322</v>
      </c>
      <c r="V282" s="4" t="s">
        <v>64</v>
      </c>
    </row>
    <row r="283" spans="1:22">
      <c r="A283" s="7" t="s">
        <v>1323</v>
      </c>
      <c r="B283" s="8" t="s">
        <v>251</v>
      </c>
      <c r="C283" s="8" t="s">
        <v>40</v>
      </c>
      <c r="D283" s="8" t="s">
        <v>1324</v>
      </c>
      <c r="E283" s="8" t="s">
        <v>25</v>
      </c>
      <c r="F283" s="8" t="s">
        <v>254</v>
      </c>
      <c r="G283" s="8" t="s">
        <v>28</v>
      </c>
      <c r="H283" s="8" t="s">
        <v>1325</v>
      </c>
      <c r="I283" s="8" t="s">
        <v>212</v>
      </c>
      <c r="J283" s="8" t="s">
        <v>45</v>
      </c>
      <c r="K283" s="8" t="s">
        <v>46</v>
      </c>
      <c r="L283" s="8" t="s">
        <v>47</v>
      </c>
      <c r="M283" s="8">
        <v>1</v>
      </c>
      <c r="N283" s="8">
        <v>12000</v>
      </c>
      <c r="O283" s="8">
        <v>0</v>
      </c>
      <c r="P283" s="8">
        <v>12000</v>
      </c>
      <c r="Q283" s="8">
        <v>4</v>
      </c>
      <c r="R283" s="8" t="s">
        <v>48</v>
      </c>
      <c r="S283" s="8" t="s">
        <v>115</v>
      </c>
      <c r="T283" s="8" t="s">
        <v>256</v>
      </c>
      <c r="U283" s="9" t="s">
        <v>1326</v>
      </c>
      <c r="V283" s="8" t="s">
        <v>69</v>
      </c>
    </row>
    <row r="284" spans="1:22">
      <c r="A284" s="3" t="s">
        <v>1327</v>
      </c>
      <c r="B284" s="4" t="s">
        <v>83</v>
      </c>
      <c r="C284" s="4" t="s">
        <v>184</v>
      </c>
      <c r="D284" s="4" t="s">
        <v>1328</v>
      </c>
      <c r="E284" s="4" t="s">
        <v>606</v>
      </c>
      <c r="F284" s="4" t="s">
        <v>180</v>
      </c>
      <c r="G284" s="4" t="s">
        <v>76</v>
      </c>
      <c r="H284" s="4" t="s">
        <v>1329</v>
      </c>
      <c r="I284" s="4" t="s">
        <v>105</v>
      </c>
      <c r="J284" s="4" t="s">
        <v>106</v>
      </c>
      <c r="K284" s="4" t="s">
        <v>46</v>
      </c>
      <c r="L284" s="4" t="s">
        <v>189</v>
      </c>
      <c r="M284" s="4">
        <v>6</v>
      </c>
      <c r="N284" s="4">
        <v>700</v>
      </c>
      <c r="O284" s="4">
        <v>20</v>
      </c>
      <c r="P284" s="4">
        <v>3360</v>
      </c>
      <c r="Q284" s="4">
        <v>2</v>
      </c>
      <c r="R284" s="4" t="s">
        <v>48</v>
      </c>
      <c r="S284" s="4" t="s">
        <v>115</v>
      </c>
      <c r="T284" s="4" t="s">
        <v>89</v>
      </c>
      <c r="U284" s="6" t="s">
        <v>1330</v>
      </c>
      <c r="V284" s="4" t="s">
        <v>64</v>
      </c>
    </row>
    <row r="285" spans="1:22">
      <c r="A285" s="7" t="s">
        <v>1331</v>
      </c>
      <c r="B285" s="8" t="s">
        <v>71</v>
      </c>
      <c r="C285" s="8" t="s">
        <v>24</v>
      </c>
      <c r="D285" s="8" t="s">
        <v>923</v>
      </c>
      <c r="E285" s="8" t="s">
        <v>1332</v>
      </c>
      <c r="F285" s="8" t="s">
        <v>217</v>
      </c>
      <c r="G285" s="8" t="s">
        <v>76</v>
      </c>
      <c r="H285" s="8" t="s">
        <v>1333</v>
      </c>
      <c r="I285" s="8" t="s">
        <v>138</v>
      </c>
      <c r="J285" s="8" t="s">
        <v>106</v>
      </c>
      <c r="K285" s="8" t="s">
        <v>32</v>
      </c>
      <c r="L285" s="8" t="s">
        <v>33</v>
      </c>
      <c r="M285" s="8">
        <v>3</v>
      </c>
      <c r="N285" s="8">
        <v>2200</v>
      </c>
      <c r="O285" s="8">
        <v>0</v>
      </c>
      <c r="P285" s="8">
        <v>6600</v>
      </c>
      <c r="Q285" s="8">
        <v>4</v>
      </c>
      <c r="R285" s="8" t="s">
        <v>79</v>
      </c>
      <c r="S285" s="8" t="s">
        <v>35</v>
      </c>
      <c r="T285" s="8" t="s">
        <v>80</v>
      </c>
      <c r="U285" s="9" t="s">
        <v>1334</v>
      </c>
      <c r="V285" s="8" t="s">
        <v>38</v>
      </c>
    </row>
    <row r="286" spans="1:22">
      <c r="A286" s="3" t="s">
        <v>1335</v>
      </c>
      <c r="B286" s="4" t="s">
        <v>251</v>
      </c>
      <c r="C286" s="4" t="s">
        <v>259</v>
      </c>
      <c r="D286" s="4" t="s">
        <v>1198</v>
      </c>
      <c r="E286" s="4" t="s">
        <v>216</v>
      </c>
      <c r="F286" s="4" t="s">
        <v>254</v>
      </c>
      <c r="G286" s="4" t="s">
        <v>28</v>
      </c>
      <c r="H286" s="4" t="s">
        <v>1336</v>
      </c>
      <c r="I286" s="4" t="s">
        <v>30</v>
      </c>
      <c r="J286" s="4" t="s">
        <v>31</v>
      </c>
      <c r="K286" s="4" t="s">
        <v>122</v>
      </c>
      <c r="L286" s="4" t="s">
        <v>263</v>
      </c>
      <c r="M286" s="4">
        <v>6</v>
      </c>
      <c r="N286" s="4">
        <v>45</v>
      </c>
      <c r="O286" s="4">
        <v>15</v>
      </c>
      <c r="P286" s="4">
        <v>229.5</v>
      </c>
      <c r="Q286" s="4">
        <v>1</v>
      </c>
      <c r="R286" s="4" t="s">
        <v>88</v>
      </c>
      <c r="S286" s="4" t="s">
        <v>49</v>
      </c>
      <c r="T286" s="4" t="s">
        <v>256</v>
      </c>
      <c r="U286" s="6" t="s">
        <v>1337</v>
      </c>
      <c r="V286" s="4" t="s">
        <v>38</v>
      </c>
    </row>
    <row r="287" spans="1:22">
      <c r="A287" s="7" t="s">
        <v>1338</v>
      </c>
      <c r="B287" s="8" t="s">
        <v>251</v>
      </c>
      <c r="C287" s="8" t="s">
        <v>72</v>
      </c>
      <c r="D287" s="8" t="s">
        <v>26</v>
      </c>
      <c r="E287" s="8" t="s">
        <v>1339</v>
      </c>
      <c r="F287" s="8" t="s">
        <v>254</v>
      </c>
      <c r="G287" s="8" t="s">
        <v>28</v>
      </c>
      <c r="H287" s="8" t="s">
        <v>1340</v>
      </c>
      <c r="I287" s="8" t="s">
        <v>59</v>
      </c>
      <c r="J287" s="8" t="s">
        <v>31</v>
      </c>
      <c r="K287" s="8" t="s">
        <v>46</v>
      </c>
      <c r="L287" s="8" t="s">
        <v>78</v>
      </c>
      <c r="M287" s="8">
        <v>2</v>
      </c>
      <c r="N287" s="8">
        <v>1200</v>
      </c>
      <c r="O287" s="8">
        <v>0</v>
      </c>
      <c r="P287" s="8">
        <v>2400</v>
      </c>
      <c r="Q287" s="8">
        <v>1</v>
      </c>
      <c r="R287" s="8" t="s">
        <v>34</v>
      </c>
      <c r="S287" s="8" t="s">
        <v>151</v>
      </c>
      <c r="T287" s="8" t="s">
        <v>256</v>
      </c>
      <c r="U287" s="9" t="s">
        <v>1341</v>
      </c>
      <c r="V287" s="8" t="s">
        <v>69</v>
      </c>
    </row>
    <row r="288" spans="1:22">
      <c r="A288" s="3" t="s">
        <v>1342</v>
      </c>
      <c r="B288" s="4" t="s">
        <v>168</v>
      </c>
      <c r="C288" s="4" t="s">
        <v>184</v>
      </c>
      <c r="D288" s="4" t="s">
        <v>1343</v>
      </c>
      <c r="E288" s="4" t="s">
        <v>1344</v>
      </c>
      <c r="F288" s="4" t="s">
        <v>361</v>
      </c>
      <c r="G288" s="4" t="s">
        <v>28</v>
      </c>
      <c r="H288" s="4" t="s">
        <v>1345</v>
      </c>
      <c r="I288" s="4" t="s">
        <v>30</v>
      </c>
      <c r="J288" s="4" t="s">
        <v>31</v>
      </c>
      <c r="K288" s="4" t="s">
        <v>46</v>
      </c>
      <c r="L288" s="4" t="s">
        <v>189</v>
      </c>
      <c r="M288" s="4">
        <v>14</v>
      </c>
      <c r="N288" s="4">
        <v>700</v>
      </c>
      <c r="O288" s="4">
        <v>15</v>
      </c>
      <c r="P288" s="4">
        <v>8330</v>
      </c>
      <c r="Q288" s="4">
        <v>5</v>
      </c>
      <c r="R288" s="4" t="s">
        <v>34</v>
      </c>
      <c r="S288" s="4" t="s">
        <v>115</v>
      </c>
      <c r="T288" s="4" t="s">
        <v>175</v>
      </c>
      <c r="U288" s="6" t="s">
        <v>1346</v>
      </c>
      <c r="V288" s="4" t="s">
        <v>64</v>
      </c>
    </row>
    <row r="289" spans="1:22">
      <c r="A289" s="7" t="s">
        <v>1347</v>
      </c>
      <c r="B289" s="8" t="s">
        <v>100</v>
      </c>
      <c r="C289" s="8" t="s">
        <v>222</v>
      </c>
      <c r="D289" s="8" t="s">
        <v>291</v>
      </c>
      <c r="E289" s="8" t="s">
        <v>507</v>
      </c>
      <c r="F289" s="8" t="s">
        <v>103</v>
      </c>
      <c r="G289" s="8" t="s">
        <v>28</v>
      </c>
      <c r="H289" s="8" t="s">
        <v>1348</v>
      </c>
      <c r="I289" s="8" t="s">
        <v>105</v>
      </c>
      <c r="J289" s="8" t="s">
        <v>106</v>
      </c>
      <c r="K289" s="8" t="s">
        <v>122</v>
      </c>
      <c r="L289" s="8" t="s">
        <v>227</v>
      </c>
      <c r="M289" s="8">
        <v>13</v>
      </c>
      <c r="N289" s="8">
        <v>20</v>
      </c>
      <c r="O289" s="8">
        <v>5</v>
      </c>
      <c r="P289" s="8">
        <v>247</v>
      </c>
      <c r="Q289" s="8">
        <v>1</v>
      </c>
      <c r="R289" s="8" t="s">
        <v>79</v>
      </c>
      <c r="S289" s="8" t="s">
        <v>35</v>
      </c>
      <c r="T289" s="8" t="s">
        <v>1349</v>
      </c>
      <c r="U289" s="9" t="s">
        <v>1350</v>
      </c>
      <c r="V289" s="8" t="s">
        <v>64</v>
      </c>
    </row>
    <row r="290" spans="1:22">
      <c r="A290" s="3" t="s">
        <v>1351</v>
      </c>
      <c r="B290" s="4" t="s">
        <v>71</v>
      </c>
      <c r="C290" s="4" t="s">
        <v>24</v>
      </c>
      <c r="D290" s="4" t="s">
        <v>135</v>
      </c>
      <c r="E290" s="4" t="s">
        <v>136</v>
      </c>
      <c r="F290" s="4" t="s">
        <v>217</v>
      </c>
      <c r="G290" s="4" t="s">
        <v>76</v>
      </c>
      <c r="H290" s="4" t="s">
        <v>1352</v>
      </c>
      <c r="I290" s="4" t="s">
        <v>114</v>
      </c>
      <c r="J290" s="4" t="s">
        <v>106</v>
      </c>
      <c r="K290" s="4" t="s">
        <v>32</v>
      </c>
      <c r="L290" s="4" t="s">
        <v>33</v>
      </c>
      <c r="M290" s="4">
        <v>3</v>
      </c>
      <c r="N290" s="4">
        <v>2200</v>
      </c>
      <c r="O290" s="4">
        <v>0</v>
      </c>
      <c r="P290" s="4">
        <v>6600</v>
      </c>
      <c r="Q290" s="4">
        <v>4</v>
      </c>
      <c r="R290" s="4" t="s">
        <v>48</v>
      </c>
      <c r="S290" s="4" t="s">
        <v>61</v>
      </c>
      <c r="T290" s="4" t="s">
        <v>80</v>
      </c>
      <c r="U290" s="6" t="s">
        <v>1353</v>
      </c>
      <c r="V290" s="4" t="s">
        <v>69</v>
      </c>
    </row>
    <row r="291" spans="1:22">
      <c r="A291" s="7" t="s">
        <v>1354</v>
      </c>
      <c r="B291" s="8" t="s">
        <v>71</v>
      </c>
      <c r="C291" s="8" t="s">
        <v>118</v>
      </c>
      <c r="D291" s="8" t="s">
        <v>450</v>
      </c>
      <c r="E291" s="8" t="s">
        <v>923</v>
      </c>
      <c r="F291" s="8" t="s">
        <v>217</v>
      </c>
      <c r="G291" s="8" t="s">
        <v>76</v>
      </c>
      <c r="H291" s="8" t="s">
        <v>1355</v>
      </c>
      <c r="I291" s="8" t="s">
        <v>114</v>
      </c>
      <c r="J291" s="8" t="s">
        <v>106</v>
      </c>
      <c r="K291" s="8" t="s">
        <v>122</v>
      </c>
      <c r="L291" s="8" t="s">
        <v>123</v>
      </c>
      <c r="M291" s="8">
        <v>3</v>
      </c>
      <c r="N291" s="8">
        <v>60</v>
      </c>
      <c r="O291" s="8">
        <v>15</v>
      </c>
      <c r="P291" s="8">
        <v>153</v>
      </c>
      <c r="Q291" s="8">
        <v>4</v>
      </c>
      <c r="R291" s="8" t="s">
        <v>88</v>
      </c>
      <c r="S291" s="8" t="s">
        <v>115</v>
      </c>
      <c r="T291" s="8" t="s">
        <v>80</v>
      </c>
      <c r="U291" s="9" t="s">
        <v>1356</v>
      </c>
      <c r="V291" s="8" t="s">
        <v>38</v>
      </c>
    </row>
    <row r="292" spans="1:22">
      <c r="A292" s="3" t="s">
        <v>1357</v>
      </c>
      <c r="B292" s="4" t="s">
        <v>127</v>
      </c>
      <c r="C292" s="4" t="s">
        <v>92</v>
      </c>
      <c r="D292" s="4" t="s">
        <v>624</v>
      </c>
      <c r="E292" s="4" t="s">
        <v>825</v>
      </c>
      <c r="F292" s="4" t="s">
        <v>200</v>
      </c>
      <c r="G292" s="4" t="s">
        <v>76</v>
      </c>
      <c r="H292" s="4" t="s">
        <v>584</v>
      </c>
      <c r="I292" s="4" t="s">
        <v>105</v>
      </c>
      <c r="J292" s="4" t="s">
        <v>106</v>
      </c>
      <c r="K292" s="4" t="s">
        <v>32</v>
      </c>
      <c r="L292" s="4" t="s">
        <v>97</v>
      </c>
      <c r="M292" s="4">
        <v>9</v>
      </c>
      <c r="N292" s="4">
        <v>3500</v>
      </c>
      <c r="O292" s="4">
        <v>5</v>
      </c>
      <c r="P292" s="4">
        <v>29925</v>
      </c>
      <c r="Q292" s="4">
        <v>1</v>
      </c>
      <c r="R292" s="4" t="s">
        <v>34</v>
      </c>
      <c r="S292" s="4" t="s">
        <v>61</v>
      </c>
      <c r="T292" s="4" t="s">
        <v>132</v>
      </c>
      <c r="U292" s="6" t="s">
        <v>1358</v>
      </c>
      <c r="V292" s="4" t="s">
        <v>64</v>
      </c>
    </row>
    <row r="293" spans="1:22">
      <c r="A293" s="7" t="s">
        <v>1359</v>
      </c>
      <c r="B293" s="8" t="s">
        <v>327</v>
      </c>
      <c r="C293" s="8" t="s">
        <v>72</v>
      </c>
      <c r="D293" s="8" t="s">
        <v>120</v>
      </c>
      <c r="E293" s="8" t="s">
        <v>1360</v>
      </c>
      <c r="F293" s="8" t="s">
        <v>394</v>
      </c>
      <c r="G293" s="8" t="s">
        <v>76</v>
      </c>
      <c r="H293" s="8" t="s">
        <v>1361</v>
      </c>
      <c r="I293" s="8" t="s">
        <v>212</v>
      </c>
      <c r="J293" s="8" t="s">
        <v>45</v>
      </c>
      <c r="K293" s="8" t="s">
        <v>46</v>
      </c>
      <c r="L293" s="8" t="s">
        <v>78</v>
      </c>
      <c r="M293" s="8">
        <v>5</v>
      </c>
      <c r="N293" s="8">
        <v>1200</v>
      </c>
      <c r="O293" s="8">
        <v>20</v>
      </c>
      <c r="P293" s="8">
        <v>4800</v>
      </c>
      <c r="Q293" s="8">
        <v>2</v>
      </c>
      <c r="R293" s="8" t="s">
        <v>88</v>
      </c>
      <c r="S293" s="8" t="s">
        <v>115</v>
      </c>
      <c r="T293" s="8" t="s">
        <v>332</v>
      </c>
      <c r="U293" s="9" t="s">
        <v>1362</v>
      </c>
      <c r="V293" s="8" t="s">
        <v>64</v>
      </c>
    </row>
    <row r="294" spans="1:22">
      <c r="A294" s="3" t="s">
        <v>1363</v>
      </c>
      <c r="B294" s="4" t="s">
        <v>53</v>
      </c>
      <c r="C294" s="4" t="s">
        <v>72</v>
      </c>
      <c r="D294" s="4" t="s">
        <v>1031</v>
      </c>
      <c r="E294" s="4" t="s">
        <v>910</v>
      </c>
      <c r="F294" s="4" t="s">
        <v>163</v>
      </c>
      <c r="G294" s="4" t="s">
        <v>28</v>
      </c>
      <c r="H294" s="4" t="s">
        <v>1364</v>
      </c>
      <c r="I294" s="4" t="s">
        <v>212</v>
      </c>
      <c r="J294" s="4" t="s">
        <v>45</v>
      </c>
      <c r="K294" s="4" t="s">
        <v>46</v>
      </c>
      <c r="L294" s="4" t="s">
        <v>78</v>
      </c>
      <c r="M294" s="4">
        <v>10</v>
      </c>
      <c r="N294" s="4">
        <v>1200</v>
      </c>
      <c r="O294" s="4">
        <v>20</v>
      </c>
      <c r="P294" s="4">
        <v>9600</v>
      </c>
      <c r="Q294" s="4">
        <v>4</v>
      </c>
      <c r="R294" s="4" t="s">
        <v>34</v>
      </c>
      <c r="S294" s="4" t="s">
        <v>49</v>
      </c>
      <c r="T294" s="5" t="s">
        <v>1365</v>
      </c>
      <c r="U294" s="6" t="s">
        <v>1366</v>
      </c>
      <c r="V294" s="4" t="s">
        <v>38</v>
      </c>
    </row>
    <row r="295" spans="1:22">
      <c r="A295" s="7" t="s">
        <v>1367</v>
      </c>
      <c r="B295" s="8" t="s">
        <v>23</v>
      </c>
      <c r="C295" s="8" t="s">
        <v>72</v>
      </c>
      <c r="D295" s="8" t="s">
        <v>1368</v>
      </c>
      <c r="E295" s="8" t="s">
        <v>1369</v>
      </c>
      <c r="F295" s="8" t="s">
        <v>27</v>
      </c>
      <c r="G295" s="8" t="s">
        <v>28</v>
      </c>
      <c r="H295" s="8" t="s">
        <v>1370</v>
      </c>
      <c r="I295" s="8" t="s">
        <v>138</v>
      </c>
      <c r="J295" s="8" t="s">
        <v>106</v>
      </c>
      <c r="K295" s="8" t="s">
        <v>46</v>
      </c>
      <c r="L295" s="8" t="s">
        <v>78</v>
      </c>
      <c r="M295" s="8">
        <v>5</v>
      </c>
      <c r="N295" s="8">
        <v>1200</v>
      </c>
      <c r="O295" s="8">
        <v>20</v>
      </c>
      <c r="P295" s="8">
        <v>4800</v>
      </c>
      <c r="Q295" s="8">
        <v>3</v>
      </c>
      <c r="R295" s="8" t="s">
        <v>48</v>
      </c>
      <c r="S295" s="8" t="s">
        <v>151</v>
      </c>
      <c r="T295" s="8" t="s">
        <v>50</v>
      </c>
      <c r="U295" s="9" t="s">
        <v>1371</v>
      </c>
      <c r="V295" s="8" t="s">
        <v>38</v>
      </c>
    </row>
    <row r="296" spans="1:22">
      <c r="A296" s="3" t="s">
        <v>1372</v>
      </c>
      <c r="B296" s="4" t="s">
        <v>168</v>
      </c>
      <c r="C296" s="4" t="s">
        <v>222</v>
      </c>
      <c r="D296" s="4" t="s">
        <v>1373</v>
      </c>
      <c r="E296" s="4" t="s">
        <v>1374</v>
      </c>
      <c r="F296" s="4" t="s">
        <v>361</v>
      </c>
      <c r="G296" s="4" t="s">
        <v>28</v>
      </c>
      <c r="H296" s="4" t="s">
        <v>1375</v>
      </c>
      <c r="I296" s="4" t="s">
        <v>105</v>
      </c>
      <c r="J296" s="4" t="s">
        <v>106</v>
      </c>
      <c r="K296" s="4" t="s">
        <v>122</v>
      </c>
      <c r="L296" s="4" t="s">
        <v>227</v>
      </c>
      <c r="M296" s="4">
        <v>10</v>
      </c>
      <c r="N296" s="4">
        <v>20</v>
      </c>
      <c r="O296" s="4">
        <v>5</v>
      </c>
      <c r="P296" s="4">
        <v>190</v>
      </c>
      <c r="Q296" s="4">
        <v>4</v>
      </c>
      <c r="R296" s="4" t="s">
        <v>34</v>
      </c>
      <c r="S296" s="4" t="s">
        <v>151</v>
      </c>
      <c r="T296" s="4" t="s">
        <v>175</v>
      </c>
      <c r="U296" s="6" t="s">
        <v>1376</v>
      </c>
      <c r="V296" s="4" t="s">
        <v>64</v>
      </c>
    </row>
    <row r="297" spans="1:22">
      <c r="A297" s="7" t="s">
        <v>1377</v>
      </c>
      <c r="B297" s="8" t="s">
        <v>100</v>
      </c>
      <c r="C297" s="8" t="s">
        <v>118</v>
      </c>
      <c r="D297" s="8" t="s">
        <v>1378</v>
      </c>
      <c r="E297" s="8" t="s">
        <v>1379</v>
      </c>
      <c r="F297" s="8" t="s">
        <v>103</v>
      </c>
      <c r="G297" s="8" t="s">
        <v>28</v>
      </c>
      <c r="H297" s="8" t="s">
        <v>1380</v>
      </c>
      <c r="I297" s="8" t="s">
        <v>44</v>
      </c>
      <c r="J297" s="8" t="s">
        <v>45</v>
      </c>
      <c r="K297" s="8" t="s">
        <v>122</v>
      </c>
      <c r="L297" s="8" t="s">
        <v>123</v>
      </c>
      <c r="M297" s="8">
        <v>20</v>
      </c>
      <c r="N297" s="8">
        <v>60</v>
      </c>
      <c r="O297" s="8">
        <v>15</v>
      </c>
      <c r="P297" s="8">
        <v>1020</v>
      </c>
      <c r="Q297" s="8">
        <v>5</v>
      </c>
      <c r="R297" s="8" t="s">
        <v>79</v>
      </c>
      <c r="S297" s="8" t="s">
        <v>35</v>
      </c>
      <c r="T297" s="8" t="s">
        <v>144</v>
      </c>
      <c r="U297" s="9" t="s">
        <v>1381</v>
      </c>
      <c r="V297" s="8" t="s">
        <v>64</v>
      </c>
    </row>
    <row r="298" spans="1:22">
      <c r="A298" s="3" t="s">
        <v>1382</v>
      </c>
      <c r="B298" s="4" t="s">
        <v>327</v>
      </c>
      <c r="C298" s="4" t="s">
        <v>24</v>
      </c>
      <c r="D298" s="4" t="s">
        <v>1360</v>
      </c>
      <c r="E298" s="4" t="s">
        <v>577</v>
      </c>
      <c r="F298" s="4" t="s">
        <v>394</v>
      </c>
      <c r="G298" s="4" t="s">
        <v>76</v>
      </c>
      <c r="H298" s="4" t="s">
        <v>1383</v>
      </c>
      <c r="I298" s="4" t="s">
        <v>138</v>
      </c>
      <c r="J298" s="4" t="s">
        <v>106</v>
      </c>
      <c r="K298" s="4" t="s">
        <v>32</v>
      </c>
      <c r="L298" s="4" t="s">
        <v>33</v>
      </c>
      <c r="M298" s="4">
        <v>7</v>
      </c>
      <c r="N298" s="4">
        <v>2200</v>
      </c>
      <c r="O298" s="4">
        <v>15</v>
      </c>
      <c r="P298" s="4">
        <v>13090</v>
      </c>
      <c r="Q298" s="4">
        <v>4</v>
      </c>
      <c r="R298" s="4" t="s">
        <v>34</v>
      </c>
      <c r="S298" s="4" t="s">
        <v>61</v>
      </c>
      <c r="T298" s="4" t="s">
        <v>332</v>
      </c>
      <c r="U298" s="6" t="s">
        <v>1384</v>
      </c>
      <c r="V298" s="4" t="s">
        <v>69</v>
      </c>
    </row>
    <row r="299" spans="1:22">
      <c r="A299" s="7" t="s">
        <v>1385</v>
      </c>
      <c r="B299" s="8" t="s">
        <v>127</v>
      </c>
      <c r="C299" s="8" t="s">
        <v>54</v>
      </c>
      <c r="D299" s="8" t="s">
        <v>619</v>
      </c>
      <c r="E299" s="8" t="s">
        <v>760</v>
      </c>
      <c r="F299" s="8" t="s">
        <v>200</v>
      </c>
      <c r="G299" s="8" t="s">
        <v>76</v>
      </c>
      <c r="H299" s="8" t="s">
        <v>1386</v>
      </c>
      <c r="I299" s="8" t="s">
        <v>30</v>
      </c>
      <c r="J299" s="8" t="s">
        <v>31</v>
      </c>
      <c r="K299" s="8" t="s">
        <v>46</v>
      </c>
      <c r="L299" s="8" t="s">
        <v>60</v>
      </c>
      <c r="M299" s="8">
        <v>11</v>
      </c>
      <c r="N299" s="8">
        <v>55000</v>
      </c>
      <c r="O299" s="8">
        <v>5</v>
      </c>
      <c r="P299" s="8">
        <v>574750</v>
      </c>
      <c r="Q299" s="8">
        <v>1</v>
      </c>
      <c r="R299" s="8" t="s">
        <v>88</v>
      </c>
      <c r="S299" s="8" t="s">
        <v>35</v>
      </c>
      <c r="T299" s="8" t="s">
        <v>132</v>
      </c>
      <c r="U299" s="9" t="s">
        <v>1387</v>
      </c>
      <c r="V299" s="8" t="s">
        <v>69</v>
      </c>
    </row>
    <row r="300" spans="1:22">
      <c r="A300" s="3" t="s">
        <v>1388</v>
      </c>
      <c r="B300" s="4" t="s">
        <v>83</v>
      </c>
      <c r="C300" s="4" t="s">
        <v>92</v>
      </c>
      <c r="D300" s="4" t="s">
        <v>308</v>
      </c>
      <c r="E300" s="4" t="s">
        <v>1389</v>
      </c>
      <c r="F300" s="4" t="s">
        <v>180</v>
      </c>
      <c r="G300" s="4" t="s">
        <v>76</v>
      </c>
      <c r="H300" s="4" t="s">
        <v>1390</v>
      </c>
      <c r="I300" s="4" t="s">
        <v>212</v>
      </c>
      <c r="J300" s="4" t="s">
        <v>45</v>
      </c>
      <c r="K300" s="4" t="s">
        <v>32</v>
      </c>
      <c r="L300" s="4" t="s">
        <v>97</v>
      </c>
      <c r="M300" s="4">
        <v>12</v>
      </c>
      <c r="N300" s="4">
        <v>3500</v>
      </c>
      <c r="O300" s="4">
        <v>0</v>
      </c>
      <c r="P300" s="4">
        <v>42000</v>
      </c>
      <c r="Q300" s="4">
        <v>2</v>
      </c>
      <c r="R300" s="4" t="s">
        <v>48</v>
      </c>
      <c r="S300" s="4"/>
      <c r="T300" s="4" t="s">
        <v>89</v>
      </c>
      <c r="U300" s="6" t="s">
        <v>1391</v>
      </c>
      <c r="V300" s="4" t="s">
        <v>64</v>
      </c>
    </row>
    <row r="301" spans="1:22">
      <c r="A301" s="7" t="s">
        <v>1392</v>
      </c>
      <c r="B301" s="8" t="s">
        <v>71</v>
      </c>
      <c r="C301" s="8" t="s">
        <v>259</v>
      </c>
      <c r="D301" s="8" t="s">
        <v>94</v>
      </c>
      <c r="E301" s="8" t="s">
        <v>298</v>
      </c>
      <c r="F301" s="8" t="s">
        <v>217</v>
      </c>
      <c r="G301" s="8" t="s">
        <v>76</v>
      </c>
      <c r="H301" s="8" t="s">
        <v>1393</v>
      </c>
      <c r="I301" s="8" t="s">
        <v>30</v>
      </c>
      <c r="J301" s="8" t="s">
        <v>31</v>
      </c>
      <c r="K301" s="8" t="s">
        <v>122</v>
      </c>
      <c r="L301" s="8" t="s">
        <v>263</v>
      </c>
      <c r="M301" s="8">
        <v>15</v>
      </c>
      <c r="N301" s="8">
        <v>45</v>
      </c>
      <c r="O301" s="8">
        <v>10</v>
      </c>
      <c r="P301" s="8">
        <v>607.5</v>
      </c>
      <c r="Q301" s="8">
        <v>2</v>
      </c>
      <c r="R301" s="8" t="s">
        <v>34</v>
      </c>
      <c r="S301" s="8" t="s">
        <v>151</v>
      </c>
      <c r="T301" s="8" t="s">
        <v>80</v>
      </c>
      <c r="U301" s="9" t="s">
        <v>1394</v>
      </c>
      <c r="V301" s="8" t="s">
        <v>64</v>
      </c>
    </row>
    <row r="302" spans="1:22">
      <c r="A302" s="3" t="s">
        <v>1395</v>
      </c>
      <c r="B302" s="4" t="s">
        <v>327</v>
      </c>
      <c r="C302" s="4" t="s">
        <v>259</v>
      </c>
      <c r="D302" s="4" t="s">
        <v>1320</v>
      </c>
      <c r="E302" s="4" t="s">
        <v>936</v>
      </c>
      <c r="F302" s="4" t="s">
        <v>394</v>
      </c>
      <c r="G302" s="4" t="s">
        <v>76</v>
      </c>
      <c r="H302" s="4" t="s">
        <v>1396</v>
      </c>
      <c r="I302" s="4" t="s">
        <v>59</v>
      </c>
      <c r="J302" s="4" t="s">
        <v>31</v>
      </c>
      <c r="K302" s="4" t="s">
        <v>122</v>
      </c>
      <c r="L302" s="4" t="s">
        <v>263</v>
      </c>
      <c r="M302" s="4">
        <v>13</v>
      </c>
      <c r="N302" s="4">
        <v>45</v>
      </c>
      <c r="O302" s="4">
        <v>0</v>
      </c>
      <c r="P302" s="4">
        <v>585</v>
      </c>
      <c r="Q302" s="4">
        <v>5</v>
      </c>
      <c r="R302" s="4" t="s">
        <v>48</v>
      </c>
      <c r="S302" s="4" t="s">
        <v>49</v>
      </c>
      <c r="T302" s="4" t="s">
        <v>332</v>
      </c>
      <c r="U302" s="6" t="s">
        <v>1397</v>
      </c>
      <c r="V302" s="4" t="s">
        <v>64</v>
      </c>
    </row>
    <row r="303" spans="1:22">
      <c r="A303" s="7" t="s">
        <v>1398</v>
      </c>
      <c r="B303" s="8" t="s">
        <v>127</v>
      </c>
      <c r="C303" s="8" t="s">
        <v>54</v>
      </c>
      <c r="D303" s="8" t="s">
        <v>711</v>
      </c>
      <c r="E303" s="8" t="s">
        <v>1199</v>
      </c>
      <c r="F303" s="8" t="s">
        <v>200</v>
      </c>
      <c r="G303" s="8" t="s">
        <v>76</v>
      </c>
      <c r="H303" s="8" t="s">
        <v>1399</v>
      </c>
      <c r="I303" s="8" t="s">
        <v>59</v>
      </c>
      <c r="J303" s="8" t="s">
        <v>31</v>
      </c>
      <c r="K303" s="8" t="s">
        <v>46</v>
      </c>
      <c r="L303" s="8" t="s">
        <v>60</v>
      </c>
      <c r="M303" s="8">
        <v>8</v>
      </c>
      <c r="N303" s="8">
        <v>55000</v>
      </c>
      <c r="O303" s="8">
        <v>0</v>
      </c>
      <c r="P303" s="8">
        <v>440000</v>
      </c>
      <c r="Q303" s="8">
        <v>2</v>
      </c>
      <c r="R303" s="8" t="s">
        <v>88</v>
      </c>
      <c r="S303" s="8" t="s">
        <v>151</v>
      </c>
      <c r="T303" s="8" t="s">
        <v>132</v>
      </c>
      <c r="U303" s="9" t="s">
        <v>1400</v>
      </c>
      <c r="V303" s="8" t="s">
        <v>69</v>
      </c>
    </row>
    <row r="304" spans="1:22">
      <c r="A304" s="3" t="s">
        <v>1401</v>
      </c>
      <c r="B304" s="4" t="s">
        <v>251</v>
      </c>
      <c r="C304" s="4" t="s">
        <v>54</v>
      </c>
      <c r="D304" s="4" t="s">
        <v>830</v>
      </c>
      <c r="E304" s="4" t="s">
        <v>381</v>
      </c>
      <c r="F304" s="4" t="s">
        <v>254</v>
      </c>
      <c r="G304" s="4" t="s">
        <v>28</v>
      </c>
      <c r="H304" s="4" t="s">
        <v>1402</v>
      </c>
      <c r="I304" s="4" t="s">
        <v>44</v>
      </c>
      <c r="J304" s="4" t="s">
        <v>45</v>
      </c>
      <c r="K304" s="4" t="s">
        <v>46</v>
      </c>
      <c r="L304" s="4" t="s">
        <v>60</v>
      </c>
      <c r="M304" s="4">
        <v>4</v>
      </c>
      <c r="N304" s="4">
        <v>55000</v>
      </c>
      <c r="O304" s="4">
        <v>20</v>
      </c>
      <c r="P304" s="4">
        <v>176000</v>
      </c>
      <c r="Q304" s="4">
        <v>5</v>
      </c>
      <c r="R304" s="4" t="s">
        <v>34</v>
      </c>
      <c r="S304" s="4" t="s">
        <v>49</v>
      </c>
      <c r="T304" s="4" t="s">
        <v>256</v>
      </c>
      <c r="U304" s="6" t="s">
        <v>1403</v>
      </c>
      <c r="V304" s="4" t="s">
        <v>64</v>
      </c>
    </row>
    <row r="305" spans="1:22">
      <c r="A305" s="7" t="s">
        <v>1404</v>
      </c>
      <c r="B305" s="8" t="s">
        <v>23</v>
      </c>
      <c r="C305" s="8" t="s">
        <v>92</v>
      </c>
      <c r="D305" s="8" t="s">
        <v>1405</v>
      </c>
      <c r="E305" s="8" t="s">
        <v>716</v>
      </c>
      <c r="F305" s="8" t="s">
        <v>27</v>
      </c>
      <c r="G305" s="8" t="s">
        <v>28</v>
      </c>
      <c r="H305" s="8" t="s">
        <v>1406</v>
      </c>
      <c r="I305" s="8" t="s">
        <v>138</v>
      </c>
      <c r="J305" s="8" t="s">
        <v>106</v>
      </c>
      <c r="K305" s="8" t="s">
        <v>32</v>
      </c>
      <c r="L305" s="8" t="s">
        <v>97</v>
      </c>
      <c r="M305" s="8">
        <v>19</v>
      </c>
      <c r="N305" s="8">
        <v>3500</v>
      </c>
      <c r="O305" s="8">
        <v>5</v>
      </c>
      <c r="P305" s="8">
        <v>63175</v>
      </c>
      <c r="Q305" s="8">
        <v>1</v>
      </c>
      <c r="R305" s="8" t="s">
        <v>79</v>
      </c>
      <c r="S305" s="8" t="s">
        <v>115</v>
      </c>
      <c r="T305" s="8" t="s">
        <v>50</v>
      </c>
      <c r="U305" s="9" t="s">
        <v>1407</v>
      </c>
      <c r="V305" s="8" t="s">
        <v>38</v>
      </c>
    </row>
    <row r="306" spans="1:22">
      <c r="A306" s="3" t="s">
        <v>1408</v>
      </c>
      <c r="B306" s="4" t="s">
        <v>221</v>
      </c>
      <c r="C306" s="4" t="s">
        <v>72</v>
      </c>
      <c r="D306" s="4" t="s">
        <v>1409</v>
      </c>
      <c r="E306" s="4" t="s">
        <v>414</v>
      </c>
      <c r="F306" s="4" t="s">
        <v>225</v>
      </c>
      <c r="G306" s="4" t="s">
        <v>76</v>
      </c>
      <c r="H306" s="4" t="s">
        <v>1410</v>
      </c>
      <c r="I306" s="4" t="s">
        <v>212</v>
      </c>
      <c r="J306" s="4" t="s">
        <v>45</v>
      </c>
      <c r="K306" s="4" t="s">
        <v>46</v>
      </c>
      <c r="L306" s="4" t="s">
        <v>78</v>
      </c>
      <c r="M306" s="4">
        <v>17</v>
      </c>
      <c r="N306" s="4">
        <v>1200</v>
      </c>
      <c r="O306" s="4">
        <v>15</v>
      </c>
      <c r="P306" s="4">
        <v>17340</v>
      </c>
      <c r="Q306" s="4">
        <v>2</v>
      </c>
      <c r="R306" s="4" t="s">
        <v>48</v>
      </c>
      <c r="S306" s="4" t="s">
        <v>49</v>
      </c>
      <c r="T306" s="4" t="s">
        <v>228</v>
      </c>
      <c r="U306" s="6" t="s">
        <v>1411</v>
      </c>
      <c r="V306" s="4" t="s">
        <v>38</v>
      </c>
    </row>
    <row r="307" spans="1:22">
      <c r="A307" s="7" t="s">
        <v>1412</v>
      </c>
      <c r="B307" s="8" t="s">
        <v>23</v>
      </c>
      <c r="C307" s="8" t="s">
        <v>24</v>
      </c>
      <c r="D307" s="8" t="s">
        <v>450</v>
      </c>
      <c r="E307" s="8" t="s">
        <v>736</v>
      </c>
      <c r="F307" s="8" t="s">
        <v>27</v>
      </c>
      <c r="G307" s="8" t="s">
        <v>28</v>
      </c>
      <c r="H307" s="8" t="s">
        <v>1413</v>
      </c>
      <c r="I307" s="8" t="s">
        <v>30</v>
      </c>
      <c r="J307" s="8" t="s">
        <v>31</v>
      </c>
      <c r="K307" s="8" t="s">
        <v>32</v>
      </c>
      <c r="L307" s="8" t="s">
        <v>33</v>
      </c>
      <c r="M307" s="8">
        <v>8</v>
      </c>
      <c r="N307" s="8">
        <v>2200</v>
      </c>
      <c r="O307" s="8">
        <v>5</v>
      </c>
      <c r="P307" s="8">
        <v>16720</v>
      </c>
      <c r="Q307" s="8">
        <v>3</v>
      </c>
      <c r="R307" s="8" t="s">
        <v>79</v>
      </c>
      <c r="S307" s="8" t="s">
        <v>115</v>
      </c>
      <c r="T307" s="8" t="s">
        <v>50</v>
      </c>
      <c r="U307" s="9" t="s">
        <v>1414</v>
      </c>
      <c r="V307" s="8" t="s">
        <v>64</v>
      </c>
    </row>
    <row r="308" spans="1:22">
      <c r="A308" s="3" t="s">
        <v>1415</v>
      </c>
      <c r="B308" s="4" t="s">
        <v>251</v>
      </c>
      <c r="C308" s="4" t="s">
        <v>184</v>
      </c>
      <c r="D308" s="4" t="s">
        <v>987</v>
      </c>
      <c r="E308" s="4" t="s">
        <v>387</v>
      </c>
      <c r="F308" s="4" t="s">
        <v>254</v>
      </c>
      <c r="G308" s="4" t="s">
        <v>28</v>
      </c>
      <c r="H308" s="4" t="s">
        <v>813</v>
      </c>
      <c r="I308" s="4" t="s">
        <v>105</v>
      </c>
      <c r="J308" s="4" t="s">
        <v>106</v>
      </c>
      <c r="K308" s="4" t="s">
        <v>46</v>
      </c>
      <c r="L308" s="4" t="s">
        <v>189</v>
      </c>
      <c r="M308" s="4">
        <v>17</v>
      </c>
      <c r="N308" s="4">
        <v>700</v>
      </c>
      <c r="O308" s="4">
        <v>20</v>
      </c>
      <c r="P308" s="4">
        <v>9520</v>
      </c>
      <c r="Q308" s="4">
        <v>4</v>
      </c>
      <c r="R308" s="4" t="s">
        <v>48</v>
      </c>
      <c r="S308" s="4" t="s">
        <v>115</v>
      </c>
      <c r="T308" s="4" t="s">
        <v>256</v>
      </c>
      <c r="U308" s="6" t="s">
        <v>1416</v>
      </c>
      <c r="V308" s="4" t="s">
        <v>38</v>
      </c>
    </row>
    <row r="309" spans="1:22">
      <c r="A309" s="7" t="s">
        <v>1417</v>
      </c>
      <c r="B309" s="8" t="s">
        <v>251</v>
      </c>
      <c r="C309" s="8" t="s">
        <v>169</v>
      </c>
      <c r="D309" s="8" t="s">
        <v>372</v>
      </c>
      <c r="E309" s="8" t="s">
        <v>246</v>
      </c>
      <c r="F309" s="8" t="s">
        <v>254</v>
      </c>
      <c r="G309" s="8" t="s">
        <v>28</v>
      </c>
      <c r="H309" s="8" t="s">
        <v>1215</v>
      </c>
      <c r="I309" s="8" t="s">
        <v>114</v>
      </c>
      <c r="J309" s="8" t="s">
        <v>106</v>
      </c>
      <c r="K309" s="8" t="s">
        <v>32</v>
      </c>
      <c r="L309" s="8" t="s">
        <v>174</v>
      </c>
      <c r="M309" s="8">
        <v>6</v>
      </c>
      <c r="N309" s="8">
        <v>8500</v>
      </c>
      <c r="O309" s="8">
        <v>15</v>
      </c>
      <c r="P309" s="8">
        <v>43350</v>
      </c>
      <c r="Q309" s="8">
        <v>1</v>
      </c>
      <c r="R309" s="8" t="s">
        <v>34</v>
      </c>
      <c r="S309" s="8" t="s">
        <v>61</v>
      </c>
      <c r="T309" s="8" t="s">
        <v>256</v>
      </c>
      <c r="U309" s="9" t="s">
        <v>1418</v>
      </c>
      <c r="V309" s="8" t="s">
        <v>38</v>
      </c>
    </row>
    <row r="310" spans="1:22">
      <c r="A310" s="3" t="s">
        <v>1419</v>
      </c>
      <c r="B310" s="4" t="s">
        <v>53</v>
      </c>
      <c r="C310" s="4" t="s">
        <v>92</v>
      </c>
      <c r="D310" s="4" t="s">
        <v>941</v>
      </c>
      <c r="E310" s="4" t="s">
        <v>345</v>
      </c>
      <c r="F310" s="4" t="s">
        <v>163</v>
      </c>
      <c r="G310" s="4" t="s">
        <v>28</v>
      </c>
      <c r="H310" s="4" t="s">
        <v>1420</v>
      </c>
      <c r="I310" s="4" t="s">
        <v>30</v>
      </c>
      <c r="J310" s="4" t="s">
        <v>31</v>
      </c>
      <c r="K310" s="4" t="s">
        <v>32</v>
      </c>
      <c r="L310" s="4" t="s">
        <v>97</v>
      </c>
      <c r="M310" s="4">
        <v>3</v>
      </c>
      <c r="N310" s="4">
        <v>3500</v>
      </c>
      <c r="O310" s="4">
        <v>10</v>
      </c>
      <c r="P310" s="4">
        <v>9450</v>
      </c>
      <c r="Q310" s="4">
        <v>1</v>
      </c>
      <c r="R310" s="4" t="s">
        <v>48</v>
      </c>
      <c r="S310" s="4" t="s">
        <v>49</v>
      </c>
      <c r="T310" s="4" t="s">
        <v>62</v>
      </c>
      <c r="U310" s="6" t="s">
        <v>1421</v>
      </c>
      <c r="V310" s="4" t="s">
        <v>38</v>
      </c>
    </row>
    <row r="311" spans="1:22">
      <c r="A311" s="7" t="s">
        <v>1422</v>
      </c>
      <c r="B311" s="8" t="s">
        <v>71</v>
      </c>
      <c r="C311" s="8" t="s">
        <v>40</v>
      </c>
      <c r="D311" s="8" t="s">
        <v>1378</v>
      </c>
      <c r="E311" s="8" t="s">
        <v>783</v>
      </c>
      <c r="F311" s="8" t="s">
        <v>217</v>
      </c>
      <c r="G311" s="8" t="s">
        <v>76</v>
      </c>
      <c r="H311" s="8" t="s">
        <v>1423</v>
      </c>
      <c r="I311" s="8" t="s">
        <v>138</v>
      </c>
      <c r="J311" s="8" t="s">
        <v>106</v>
      </c>
      <c r="K311" s="8" t="s">
        <v>46</v>
      </c>
      <c r="L311" s="8" t="s">
        <v>47</v>
      </c>
      <c r="M311" s="8">
        <v>2</v>
      </c>
      <c r="N311" s="8">
        <v>12000</v>
      </c>
      <c r="O311" s="8">
        <v>20</v>
      </c>
      <c r="P311" s="8">
        <v>19200</v>
      </c>
      <c r="Q311" s="8">
        <v>1</v>
      </c>
      <c r="R311" s="8" t="s">
        <v>79</v>
      </c>
      <c r="S311" s="8" t="s">
        <v>61</v>
      </c>
      <c r="T311" s="8" t="s">
        <v>80</v>
      </c>
      <c r="U311" s="9" t="s">
        <v>1424</v>
      </c>
      <c r="V311" s="8" t="s">
        <v>38</v>
      </c>
    </row>
    <row r="312" spans="1:22">
      <c r="A312" s="3" t="s">
        <v>1425</v>
      </c>
      <c r="B312" s="4" t="s">
        <v>221</v>
      </c>
      <c r="C312" s="4" t="s">
        <v>222</v>
      </c>
      <c r="D312" s="4" t="s">
        <v>340</v>
      </c>
      <c r="E312" s="4" t="s">
        <v>1426</v>
      </c>
      <c r="F312" s="4" t="s">
        <v>225</v>
      </c>
      <c r="G312" s="4" t="s">
        <v>76</v>
      </c>
      <c r="H312" s="4" t="s">
        <v>1427</v>
      </c>
      <c r="I312" s="4" t="s">
        <v>44</v>
      </c>
      <c r="J312" s="4" t="s">
        <v>45</v>
      </c>
      <c r="K312" s="4" t="s">
        <v>122</v>
      </c>
      <c r="L312" s="4" t="s">
        <v>227</v>
      </c>
      <c r="M312" s="4">
        <v>12</v>
      </c>
      <c r="N312" s="4">
        <v>20</v>
      </c>
      <c r="O312" s="4">
        <v>20</v>
      </c>
      <c r="P312" s="4">
        <v>192</v>
      </c>
      <c r="Q312" s="4">
        <v>2</v>
      </c>
      <c r="R312" s="4" t="s">
        <v>79</v>
      </c>
      <c r="S312" s="4" t="s">
        <v>49</v>
      </c>
      <c r="T312" s="4" t="s">
        <v>228</v>
      </c>
      <c r="U312" s="6" t="s">
        <v>1428</v>
      </c>
      <c r="V312" s="4" t="s">
        <v>38</v>
      </c>
    </row>
    <row r="313" spans="1:22">
      <c r="A313" s="7" t="s">
        <v>1429</v>
      </c>
      <c r="B313" s="8" t="s">
        <v>100</v>
      </c>
      <c r="C313" s="8" t="s">
        <v>40</v>
      </c>
      <c r="D313" s="8" t="s">
        <v>716</v>
      </c>
      <c r="E313" s="8" t="s">
        <v>1430</v>
      </c>
      <c r="F313" s="8" t="s">
        <v>103</v>
      </c>
      <c r="G313" s="8" t="s">
        <v>28</v>
      </c>
      <c r="H313" s="8" t="s">
        <v>1431</v>
      </c>
      <c r="I313" s="8" t="s">
        <v>294</v>
      </c>
      <c r="J313" s="8" t="s">
        <v>295</v>
      </c>
      <c r="K313" s="8" t="s">
        <v>46</v>
      </c>
      <c r="L313" s="8" t="s">
        <v>47</v>
      </c>
      <c r="M313" s="8">
        <v>20</v>
      </c>
      <c r="N313" s="8">
        <v>12000</v>
      </c>
      <c r="O313" s="8">
        <v>15</v>
      </c>
      <c r="P313" s="8">
        <v>204000</v>
      </c>
      <c r="Q313" s="8">
        <v>3</v>
      </c>
      <c r="R313" s="8" t="s">
        <v>34</v>
      </c>
      <c r="S313" s="8" t="s">
        <v>35</v>
      </c>
      <c r="T313" s="8" t="s">
        <v>144</v>
      </c>
      <c r="U313" s="9" t="s">
        <v>1432</v>
      </c>
      <c r="V313" s="8" t="s">
        <v>64</v>
      </c>
    </row>
    <row r="314" spans="1:22">
      <c r="A314" s="3" t="s">
        <v>1433</v>
      </c>
      <c r="B314" s="4" t="s">
        <v>53</v>
      </c>
      <c r="C314" s="4" t="s">
        <v>118</v>
      </c>
      <c r="D314" s="4" t="s">
        <v>398</v>
      </c>
      <c r="E314" s="4" t="s">
        <v>740</v>
      </c>
      <c r="F314" s="4" t="s">
        <v>163</v>
      </c>
      <c r="G314" s="4" t="s">
        <v>28</v>
      </c>
      <c r="H314" s="4" t="s">
        <v>1434</v>
      </c>
      <c r="I314" s="4" t="s">
        <v>212</v>
      </c>
      <c r="J314" s="4" t="s">
        <v>45</v>
      </c>
      <c r="K314" s="4" t="s">
        <v>122</v>
      </c>
      <c r="L314" s="4" t="s">
        <v>123</v>
      </c>
      <c r="M314" s="4">
        <v>13</v>
      </c>
      <c r="N314" s="4">
        <v>60</v>
      </c>
      <c r="O314" s="4">
        <v>10</v>
      </c>
      <c r="P314" s="4">
        <v>702</v>
      </c>
      <c r="Q314" s="4">
        <v>5</v>
      </c>
      <c r="R314" s="4" t="s">
        <v>34</v>
      </c>
      <c r="S314" s="4" t="s">
        <v>35</v>
      </c>
      <c r="T314" s="4" t="s">
        <v>62</v>
      </c>
      <c r="U314" s="6" t="s">
        <v>1435</v>
      </c>
      <c r="V314" s="4" t="s">
        <v>64</v>
      </c>
    </row>
    <row r="315" spans="1:22">
      <c r="A315" s="7" t="s">
        <v>1436</v>
      </c>
      <c r="B315" s="8" t="s">
        <v>71</v>
      </c>
      <c r="C315" s="8" t="s">
        <v>54</v>
      </c>
      <c r="D315" s="8" t="s">
        <v>1437</v>
      </c>
      <c r="E315" s="8" t="s">
        <v>1294</v>
      </c>
      <c r="F315" s="8" t="s">
        <v>217</v>
      </c>
      <c r="G315" s="8" t="s">
        <v>76</v>
      </c>
      <c r="H315" s="8" t="s">
        <v>1438</v>
      </c>
      <c r="I315" s="8" t="s">
        <v>114</v>
      </c>
      <c r="J315" s="8" t="s">
        <v>106</v>
      </c>
      <c r="K315" s="8" t="s">
        <v>46</v>
      </c>
      <c r="L315" s="8" t="s">
        <v>60</v>
      </c>
      <c r="M315" s="8">
        <v>13</v>
      </c>
      <c r="N315" s="8">
        <v>55000</v>
      </c>
      <c r="O315" s="8">
        <v>5</v>
      </c>
      <c r="P315" s="8">
        <v>679250</v>
      </c>
      <c r="Q315" s="8">
        <v>1</v>
      </c>
      <c r="R315" s="8" t="s">
        <v>88</v>
      </c>
      <c r="S315" s="8" t="s">
        <v>151</v>
      </c>
      <c r="T315" s="8" t="s">
        <v>80</v>
      </c>
      <c r="U315" s="9" t="s">
        <v>1439</v>
      </c>
      <c r="V315" s="8" t="s">
        <v>64</v>
      </c>
    </row>
    <row r="316" spans="1:22">
      <c r="A316" s="3" t="s">
        <v>1440</v>
      </c>
      <c r="B316" s="4" t="s">
        <v>100</v>
      </c>
      <c r="C316" s="4" t="s">
        <v>72</v>
      </c>
      <c r="D316" s="4" t="s">
        <v>797</v>
      </c>
      <c r="E316" s="4" t="s">
        <v>798</v>
      </c>
      <c r="F316" s="4" t="s">
        <v>103</v>
      </c>
      <c r="G316" s="4" t="s">
        <v>28</v>
      </c>
      <c r="H316" s="4" t="s">
        <v>1441</v>
      </c>
      <c r="I316" s="4" t="s">
        <v>59</v>
      </c>
      <c r="J316" s="4" t="s">
        <v>31</v>
      </c>
      <c r="K316" s="4" t="s">
        <v>46</v>
      </c>
      <c r="L316" s="4" t="s">
        <v>78</v>
      </c>
      <c r="M316" s="4">
        <v>7</v>
      </c>
      <c r="N316" s="4">
        <v>1200</v>
      </c>
      <c r="O316" s="4">
        <v>15</v>
      </c>
      <c r="P316" s="4">
        <v>7140</v>
      </c>
      <c r="Q316" s="4">
        <v>5</v>
      </c>
      <c r="R316" s="4" t="s">
        <v>88</v>
      </c>
      <c r="S316" s="4" t="s">
        <v>49</v>
      </c>
      <c r="T316" s="4" t="s">
        <v>144</v>
      </c>
      <c r="U316" s="6" t="s">
        <v>1442</v>
      </c>
      <c r="V316" s="4" t="s">
        <v>64</v>
      </c>
    </row>
    <row r="317" spans="1:22">
      <c r="A317" s="7" t="s">
        <v>1443</v>
      </c>
      <c r="B317" s="8" t="s">
        <v>83</v>
      </c>
      <c r="C317" s="8" t="s">
        <v>40</v>
      </c>
      <c r="D317" s="8" t="s">
        <v>961</v>
      </c>
      <c r="E317" s="8" t="s">
        <v>1444</v>
      </c>
      <c r="F317" s="8" t="s">
        <v>180</v>
      </c>
      <c r="G317" s="8" t="s">
        <v>76</v>
      </c>
      <c r="H317" s="8" t="s">
        <v>1445</v>
      </c>
      <c r="I317" s="8" t="s">
        <v>212</v>
      </c>
      <c r="J317" s="8" t="s">
        <v>45</v>
      </c>
      <c r="K317" s="8" t="s">
        <v>46</v>
      </c>
      <c r="L317" s="8" t="s">
        <v>47</v>
      </c>
      <c r="M317" s="8">
        <v>17</v>
      </c>
      <c r="N317" s="8">
        <v>12000</v>
      </c>
      <c r="O317" s="8">
        <v>5</v>
      </c>
      <c r="P317" s="8">
        <v>193800</v>
      </c>
      <c r="Q317" s="8">
        <v>1</v>
      </c>
      <c r="R317" s="8" t="s">
        <v>34</v>
      </c>
      <c r="S317" s="8" t="s">
        <v>61</v>
      </c>
      <c r="T317" s="8" t="s">
        <v>89</v>
      </c>
      <c r="U317" s="9" t="s">
        <v>1446</v>
      </c>
      <c r="V317" s="8" t="s">
        <v>69</v>
      </c>
    </row>
    <row r="318" spans="1:22">
      <c r="A318" s="3" t="s">
        <v>1447</v>
      </c>
      <c r="B318" s="4" t="s">
        <v>83</v>
      </c>
      <c r="C318" s="4" t="s">
        <v>222</v>
      </c>
      <c r="D318" s="4" t="s">
        <v>356</v>
      </c>
      <c r="E318" s="4" t="s">
        <v>517</v>
      </c>
      <c r="F318" s="4" t="s">
        <v>180</v>
      </c>
      <c r="G318" s="4" t="s">
        <v>76</v>
      </c>
      <c r="H318" s="4" t="s">
        <v>1448</v>
      </c>
      <c r="I318" s="4" t="s">
        <v>59</v>
      </c>
      <c r="J318" s="4" t="s">
        <v>31</v>
      </c>
      <c r="K318" s="4" t="s">
        <v>122</v>
      </c>
      <c r="L318" s="4" t="s">
        <v>227</v>
      </c>
      <c r="M318" s="4">
        <v>10</v>
      </c>
      <c r="N318" s="4">
        <v>20</v>
      </c>
      <c r="O318" s="4">
        <v>5</v>
      </c>
      <c r="P318" s="4">
        <v>190</v>
      </c>
      <c r="Q318" s="4">
        <v>2</v>
      </c>
      <c r="R318" s="4" t="s">
        <v>34</v>
      </c>
      <c r="S318" s="4" t="s">
        <v>61</v>
      </c>
      <c r="T318" s="4" t="s">
        <v>89</v>
      </c>
      <c r="U318" s="6" t="s">
        <v>1449</v>
      </c>
      <c r="V318" s="4" t="s">
        <v>69</v>
      </c>
    </row>
    <row r="319" spans="1:22">
      <c r="A319" s="7" t="s">
        <v>1450</v>
      </c>
      <c r="B319" s="8" t="s">
        <v>168</v>
      </c>
      <c r="C319" s="8" t="s">
        <v>24</v>
      </c>
      <c r="D319" s="8" t="s">
        <v>291</v>
      </c>
      <c r="E319" s="8" t="s">
        <v>1451</v>
      </c>
      <c r="F319" s="8" t="s">
        <v>361</v>
      </c>
      <c r="G319" s="8" t="s">
        <v>28</v>
      </c>
      <c r="H319" s="8" t="s">
        <v>1452</v>
      </c>
      <c r="I319" s="8" t="s">
        <v>44</v>
      </c>
      <c r="J319" s="8" t="s">
        <v>45</v>
      </c>
      <c r="K319" s="8" t="s">
        <v>32</v>
      </c>
      <c r="L319" s="8" t="s">
        <v>33</v>
      </c>
      <c r="M319" s="8">
        <v>11</v>
      </c>
      <c r="N319" s="8">
        <v>2200</v>
      </c>
      <c r="O319" s="8">
        <v>5</v>
      </c>
      <c r="P319" s="8">
        <v>22990</v>
      </c>
      <c r="Q319" s="8">
        <v>5</v>
      </c>
      <c r="R319" s="8" t="s">
        <v>79</v>
      </c>
      <c r="S319" s="8" t="s">
        <v>49</v>
      </c>
      <c r="T319" s="8" t="s">
        <v>175</v>
      </c>
      <c r="U319" s="9" t="s">
        <v>1453</v>
      </c>
      <c r="V319" s="8" t="s">
        <v>64</v>
      </c>
    </row>
    <row r="320" spans="1:22">
      <c r="A320" s="3" t="s">
        <v>1454</v>
      </c>
      <c r="B320" s="4" t="s">
        <v>100</v>
      </c>
      <c r="C320" s="4" t="s">
        <v>118</v>
      </c>
      <c r="D320" s="4" t="s">
        <v>1369</v>
      </c>
      <c r="E320" s="4" t="s">
        <v>178</v>
      </c>
      <c r="F320" s="4" t="s">
        <v>103</v>
      </c>
      <c r="G320" s="4" t="s">
        <v>28</v>
      </c>
      <c r="H320" s="4" t="s">
        <v>1455</v>
      </c>
      <c r="I320" s="4" t="s">
        <v>212</v>
      </c>
      <c r="J320" s="4" t="s">
        <v>45</v>
      </c>
      <c r="K320" s="4" t="s">
        <v>122</v>
      </c>
      <c r="L320" s="4" t="s">
        <v>123</v>
      </c>
      <c r="M320" s="4">
        <v>8</v>
      </c>
      <c r="N320" s="4">
        <v>60</v>
      </c>
      <c r="O320" s="4">
        <v>15</v>
      </c>
      <c r="P320" s="4">
        <v>408</v>
      </c>
      <c r="Q320" s="4">
        <v>4</v>
      </c>
      <c r="R320" s="4" t="s">
        <v>34</v>
      </c>
      <c r="S320" s="4" t="s">
        <v>49</v>
      </c>
      <c r="T320" s="4" t="s">
        <v>144</v>
      </c>
      <c r="U320" s="6" t="s">
        <v>1456</v>
      </c>
      <c r="V320" s="4" t="s">
        <v>64</v>
      </c>
    </row>
    <row r="321" spans="1:22">
      <c r="A321" s="7" t="s">
        <v>1457</v>
      </c>
      <c r="B321" s="8" t="s">
        <v>221</v>
      </c>
      <c r="C321" s="8" t="s">
        <v>259</v>
      </c>
      <c r="D321" s="8" t="s">
        <v>825</v>
      </c>
      <c r="E321" s="8" t="s">
        <v>119</v>
      </c>
      <c r="F321" s="8" t="s">
        <v>225</v>
      </c>
      <c r="G321" s="8" t="s">
        <v>76</v>
      </c>
      <c r="H321" s="8" t="s">
        <v>1458</v>
      </c>
      <c r="I321" s="8" t="s">
        <v>44</v>
      </c>
      <c r="J321" s="8" t="s">
        <v>45</v>
      </c>
      <c r="K321" s="8" t="s">
        <v>122</v>
      </c>
      <c r="L321" s="8" t="s">
        <v>263</v>
      </c>
      <c r="M321" s="8">
        <v>17</v>
      </c>
      <c r="N321" s="8">
        <v>45</v>
      </c>
      <c r="O321" s="8">
        <v>15</v>
      </c>
      <c r="P321" s="8">
        <v>650.25</v>
      </c>
      <c r="Q321" s="8">
        <v>2</v>
      </c>
      <c r="R321" s="8" t="s">
        <v>88</v>
      </c>
      <c r="S321" s="8" t="s">
        <v>151</v>
      </c>
      <c r="T321" s="8" t="s">
        <v>228</v>
      </c>
      <c r="U321" s="9" t="s">
        <v>1459</v>
      </c>
      <c r="V321" s="8" t="s">
        <v>38</v>
      </c>
    </row>
    <row r="322" spans="1:22">
      <c r="A322" s="3" t="s">
        <v>1460</v>
      </c>
      <c r="B322" s="4" t="s">
        <v>327</v>
      </c>
      <c r="C322" s="4" t="s">
        <v>184</v>
      </c>
      <c r="D322" s="4" t="s">
        <v>632</v>
      </c>
      <c r="E322" s="4" t="s">
        <v>1461</v>
      </c>
      <c r="F322" s="4" t="s">
        <v>394</v>
      </c>
      <c r="G322" s="4" t="s">
        <v>76</v>
      </c>
      <c r="H322" s="4" t="s">
        <v>1462</v>
      </c>
      <c r="I322" s="4" t="s">
        <v>212</v>
      </c>
      <c r="J322" s="4" t="s">
        <v>45</v>
      </c>
      <c r="K322" s="4" t="s">
        <v>46</v>
      </c>
      <c r="L322" s="4" t="s">
        <v>189</v>
      </c>
      <c r="M322" s="4">
        <v>14</v>
      </c>
      <c r="N322" s="4">
        <v>700</v>
      </c>
      <c r="O322" s="4">
        <v>15</v>
      </c>
      <c r="P322" s="4">
        <v>8330</v>
      </c>
      <c r="Q322" s="4">
        <v>1</v>
      </c>
      <c r="R322" s="4" t="s">
        <v>79</v>
      </c>
      <c r="S322" s="4" t="s">
        <v>115</v>
      </c>
      <c r="T322" s="4" t="s">
        <v>332</v>
      </c>
      <c r="U322" s="6" t="s">
        <v>1463</v>
      </c>
      <c r="V322" s="4" t="s">
        <v>38</v>
      </c>
    </row>
    <row r="323" spans="1:22">
      <c r="A323" s="7" t="s">
        <v>1464</v>
      </c>
      <c r="B323" s="8" t="s">
        <v>83</v>
      </c>
      <c r="C323" s="8" t="s">
        <v>72</v>
      </c>
      <c r="D323" s="8" t="s">
        <v>1465</v>
      </c>
      <c r="E323" s="8" t="s">
        <v>948</v>
      </c>
      <c r="F323" s="8" t="s">
        <v>180</v>
      </c>
      <c r="G323" s="8" t="s">
        <v>76</v>
      </c>
      <c r="H323" s="8" t="s">
        <v>1466</v>
      </c>
      <c r="I323" s="8" t="s">
        <v>114</v>
      </c>
      <c r="J323" s="8" t="s">
        <v>106</v>
      </c>
      <c r="K323" s="8" t="s">
        <v>46</v>
      </c>
      <c r="L323" s="8" t="s">
        <v>78</v>
      </c>
      <c r="M323" s="8">
        <v>3</v>
      </c>
      <c r="N323" s="8">
        <v>1200</v>
      </c>
      <c r="O323" s="8">
        <v>5</v>
      </c>
      <c r="P323" s="8">
        <v>3420</v>
      </c>
      <c r="Q323" s="8">
        <v>3</v>
      </c>
      <c r="R323" s="8" t="s">
        <v>48</v>
      </c>
      <c r="S323" s="8" t="s">
        <v>151</v>
      </c>
      <c r="T323" s="8" t="s">
        <v>89</v>
      </c>
      <c r="U323" s="9" t="s">
        <v>1467</v>
      </c>
      <c r="V323" s="8" t="s">
        <v>38</v>
      </c>
    </row>
    <row r="324" spans="1:22">
      <c r="A324" s="3" t="s">
        <v>1468</v>
      </c>
      <c r="B324" s="4" t="s">
        <v>23</v>
      </c>
      <c r="C324" s="4" t="s">
        <v>72</v>
      </c>
      <c r="D324" s="4" t="s">
        <v>489</v>
      </c>
      <c r="E324" s="4" t="s">
        <v>914</v>
      </c>
      <c r="F324" s="4" t="s">
        <v>27</v>
      </c>
      <c r="G324" s="4" t="s">
        <v>28</v>
      </c>
      <c r="H324" s="4" t="s">
        <v>1469</v>
      </c>
      <c r="I324" s="4" t="s">
        <v>138</v>
      </c>
      <c r="J324" s="4" t="s">
        <v>106</v>
      </c>
      <c r="K324" s="4" t="s">
        <v>46</v>
      </c>
      <c r="L324" s="4" t="s">
        <v>78</v>
      </c>
      <c r="M324" s="4">
        <v>9</v>
      </c>
      <c r="N324" s="4">
        <v>1200</v>
      </c>
      <c r="O324" s="4">
        <v>15</v>
      </c>
      <c r="P324" s="4">
        <v>9180</v>
      </c>
      <c r="Q324" s="4">
        <v>3</v>
      </c>
      <c r="R324" s="4" t="s">
        <v>34</v>
      </c>
      <c r="S324" s="4" t="s">
        <v>49</v>
      </c>
      <c r="T324" s="4" t="s">
        <v>50</v>
      </c>
      <c r="U324" s="6" t="s">
        <v>1470</v>
      </c>
      <c r="V324" s="4" t="s">
        <v>38</v>
      </c>
    </row>
    <row r="325" spans="1:22">
      <c r="A325" s="7" t="s">
        <v>1471</v>
      </c>
      <c r="B325" s="8" t="s">
        <v>251</v>
      </c>
      <c r="C325" s="8" t="s">
        <v>222</v>
      </c>
      <c r="D325" s="8" t="s">
        <v>224</v>
      </c>
      <c r="E325" s="8" t="s">
        <v>360</v>
      </c>
      <c r="F325" s="8" t="s">
        <v>254</v>
      </c>
      <c r="G325" s="8" t="s">
        <v>28</v>
      </c>
      <c r="H325" s="8" t="s">
        <v>1472</v>
      </c>
      <c r="I325" s="8" t="s">
        <v>105</v>
      </c>
      <c r="J325" s="8" t="s">
        <v>106</v>
      </c>
      <c r="K325" s="8" t="s">
        <v>122</v>
      </c>
      <c r="L325" s="8" t="s">
        <v>227</v>
      </c>
      <c r="M325" s="8">
        <v>5</v>
      </c>
      <c r="N325" s="8">
        <v>20</v>
      </c>
      <c r="O325" s="8">
        <v>5</v>
      </c>
      <c r="P325" s="8">
        <v>95</v>
      </c>
      <c r="Q325" s="8">
        <v>4</v>
      </c>
      <c r="R325" s="8" t="s">
        <v>34</v>
      </c>
      <c r="S325" s="8" t="s">
        <v>151</v>
      </c>
      <c r="T325" s="8" t="s">
        <v>256</v>
      </c>
      <c r="U325" s="9" t="s">
        <v>1473</v>
      </c>
      <c r="V325" s="8" t="s">
        <v>38</v>
      </c>
    </row>
    <row r="326" spans="1:22">
      <c r="A326" s="3" t="s">
        <v>1474</v>
      </c>
      <c r="B326" s="4" t="s">
        <v>251</v>
      </c>
      <c r="C326" s="4" t="s">
        <v>24</v>
      </c>
      <c r="D326" s="4" t="s">
        <v>1475</v>
      </c>
      <c r="E326" s="4" t="s">
        <v>1476</v>
      </c>
      <c r="F326" s="4" t="s">
        <v>254</v>
      </c>
      <c r="G326" s="4" t="s">
        <v>28</v>
      </c>
      <c r="H326" s="4" t="s">
        <v>1477</v>
      </c>
      <c r="I326" s="4" t="s">
        <v>138</v>
      </c>
      <c r="J326" s="4" t="s">
        <v>106</v>
      </c>
      <c r="K326" s="4" t="s">
        <v>32</v>
      </c>
      <c r="L326" s="4" t="s">
        <v>33</v>
      </c>
      <c r="M326" s="4">
        <v>8</v>
      </c>
      <c r="N326" s="4">
        <v>2200</v>
      </c>
      <c r="O326" s="4">
        <v>10</v>
      </c>
      <c r="P326" s="4">
        <v>15840</v>
      </c>
      <c r="Q326" s="4">
        <v>4</v>
      </c>
      <c r="R326" s="4" t="s">
        <v>88</v>
      </c>
      <c r="S326" s="4" t="s">
        <v>61</v>
      </c>
      <c r="T326" s="4" t="s">
        <v>256</v>
      </c>
      <c r="U326" s="6" t="s">
        <v>1478</v>
      </c>
      <c r="V326" s="4" t="s">
        <v>69</v>
      </c>
    </row>
    <row r="327" spans="1:22">
      <c r="A327" s="7" t="s">
        <v>1479</v>
      </c>
      <c r="B327" s="8" t="s">
        <v>251</v>
      </c>
      <c r="C327" s="8" t="s">
        <v>184</v>
      </c>
      <c r="D327" s="8" t="s">
        <v>298</v>
      </c>
      <c r="E327" s="8" t="s">
        <v>1480</v>
      </c>
      <c r="F327" s="8" t="s">
        <v>254</v>
      </c>
      <c r="G327" s="8" t="s">
        <v>28</v>
      </c>
      <c r="H327" s="8" t="s">
        <v>1481</v>
      </c>
      <c r="I327" s="8" t="s">
        <v>105</v>
      </c>
      <c r="J327" s="8" t="s">
        <v>106</v>
      </c>
      <c r="K327" s="8" t="s">
        <v>46</v>
      </c>
      <c r="L327" s="8" t="s">
        <v>189</v>
      </c>
      <c r="M327" s="8">
        <v>10</v>
      </c>
      <c r="N327" s="8">
        <v>700</v>
      </c>
      <c r="O327" s="8">
        <v>20</v>
      </c>
      <c r="P327" s="8">
        <v>5600</v>
      </c>
      <c r="Q327" s="8">
        <v>1</v>
      </c>
      <c r="R327" s="8" t="s">
        <v>88</v>
      </c>
      <c r="S327" s="8" t="s">
        <v>115</v>
      </c>
      <c r="T327" s="8" t="s">
        <v>256</v>
      </c>
      <c r="U327" s="9" t="s">
        <v>1482</v>
      </c>
      <c r="V327" s="8" t="s">
        <v>38</v>
      </c>
    </row>
    <row r="328" spans="1:22">
      <c r="A328" s="3" t="s">
        <v>1483</v>
      </c>
      <c r="B328" s="4" t="s">
        <v>83</v>
      </c>
      <c r="C328" s="4" t="s">
        <v>184</v>
      </c>
      <c r="D328" s="4" t="s">
        <v>1484</v>
      </c>
      <c r="E328" s="4" t="s">
        <v>1485</v>
      </c>
      <c r="F328" s="4" t="s">
        <v>180</v>
      </c>
      <c r="G328" s="4" t="s">
        <v>76</v>
      </c>
      <c r="H328" s="4" t="s">
        <v>1486</v>
      </c>
      <c r="I328" s="4" t="s">
        <v>59</v>
      </c>
      <c r="J328" s="4" t="s">
        <v>31</v>
      </c>
      <c r="K328" s="4" t="s">
        <v>46</v>
      </c>
      <c r="L328" s="4" t="s">
        <v>189</v>
      </c>
      <c r="M328" s="4">
        <v>2</v>
      </c>
      <c r="N328" s="4">
        <v>700</v>
      </c>
      <c r="O328" s="4">
        <v>20</v>
      </c>
      <c r="P328" s="4">
        <v>1120</v>
      </c>
      <c r="Q328" s="4">
        <v>2</v>
      </c>
      <c r="R328" s="4" t="s">
        <v>34</v>
      </c>
      <c r="S328" s="4" t="s">
        <v>115</v>
      </c>
      <c r="T328" s="4" t="s">
        <v>89</v>
      </c>
      <c r="U328" s="6" t="s">
        <v>1487</v>
      </c>
      <c r="V328" s="4" t="s">
        <v>64</v>
      </c>
    </row>
    <row r="329" spans="1:22">
      <c r="A329" s="7" t="s">
        <v>1488</v>
      </c>
      <c r="B329" s="8" t="s">
        <v>221</v>
      </c>
      <c r="C329" s="8" t="s">
        <v>92</v>
      </c>
      <c r="D329" s="8" t="s">
        <v>872</v>
      </c>
      <c r="E329" s="8" t="s">
        <v>965</v>
      </c>
      <c r="F329" s="8" t="s">
        <v>225</v>
      </c>
      <c r="G329" s="8" t="s">
        <v>76</v>
      </c>
      <c r="H329" s="8" t="s">
        <v>1489</v>
      </c>
      <c r="I329" s="8" t="s">
        <v>114</v>
      </c>
      <c r="J329" s="8" t="s">
        <v>106</v>
      </c>
      <c r="K329" s="8" t="s">
        <v>32</v>
      </c>
      <c r="L329" s="8" t="s">
        <v>97</v>
      </c>
      <c r="M329" s="8">
        <v>16</v>
      </c>
      <c r="N329" s="8">
        <v>3500</v>
      </c>
      <c r="O329" s="8">
        <v>20</v>
      </c>
      <c r="P329" s="8">
        <v>44800</v>
      </c>
      <c r="Q329" s="8">
        <v>2</v>
      </c>
      <c r="R329" s="8" t="s">
        <v>88</v>
      </c>
      <c r="S329" s="8" t="s">
        <v>35</v>
      </c>
      <c r="T329" s="8" t="s">
        <v>228</v>
      </c>
      <c r="U329" s="9" t="s">
        <v>1490</v>
      </c>
      <c r="V329" s="8" t="s">
        <v>64</v>
      </c>
    </row>
    <row r="330" spans="1:22">
      <c r="A330" s="3" t="s">
        <v>1491</v>
      </c>
      <c r="B330" s="4" t="s">
        <v>168</v>
      </c>
      <c r="C330" s="4" t="s">
        <v>92</v>
      </c>
      <c r="D330" s="4" t="s">
        <v>829</v>
      </c>
      <c r="E330" s="4" t="s">
        <v>756</v>
      </c>
      <c r="F330" s="4" t="s">
        <v>361</v>
      </c>
      <c r="G330" s="4" t="s">
        <v>28</v>
      </c>
      <c r="H330" s="4" t="s">
        <v>1492</v>
      </c>
      <c r="I330" s="4" t="s">
        <v>44</v>
      </c>
      <c r="J330" s="4" t="s">
        <v>45</v>
      </c>
      <c r="K330" s="4" t="s">
        <v>32</v>
      </c>
      <c r="L330" s="4" t="s">
        <v>97</v>
      </c>
      <c r="M330" s="4">
        <v>9</v>
      </c>
      <c r="N330" s="4">
        <v>3500</v>
      </c>
      <c r="O330" s="4">
        <v>20</v>
      </c>
      <c r="P330" s="4">
        <v>25200</v>
      </c>
      <c r="Q330" s="4">
        <v>1</v>
      </c>
      <c r="R330" s="4" t="s">
        <v>79</v>
      </c>
      <c r="S330" s="4" t="s">
        <v>49</v>
      </c>
      <c r="T330" s="4" t="s">
        <v>175</v>
      </c>
      <c r="U330" s="6" t="s">
        <v>1493</v>
      </c>
      <c r="V330" s="4" t="s">
        <v>69</v>
      </c>
    </row>
    <row r="331" spans="1:22">
      <c r="A331" s="7" t="s">
        <v>1494</v>
      </c>
      <c r="B331" s="8" t="s">
        <v>127</v>
      </c>
      <c r="C331" s="8" t="s">
        <v>184</v>
      </c>
      <c r="D331" s="8" t="s">
        <v>896</v>
      </c>
      <c r="E331" s="8" t="s">
        <v>530</v>
      </c>
      <c r="F331" s="8" t="s">
        <v>200</v>
      </c>
      <c r="G331" s="8" t="s">
        <v>76</v>
      </c>
      <c r="H331" s="8" t="s">
        <v>1495</v>
      </c>
      <c r="I331" s="8" t="s">
        <v>30</v>
      </c>
      <c r="J331" s="8" t="s">
        <v>31</v>
      </c>
      <c r="K331" s="8" t="s">
        <v>46</v>
      </c>
      <c r="L331" s="8" t="s">
        <v>189</v>
      </c>
      <c r="M331" s="8">
        <v>15</v>
      </c>
      <c r="N331" s="8">
        <v>700</v>
      </c>
      <c r="O331" s="8">
        <v>5</v>
      </c>
      <c r="P331" s="8">
        <v>9975</v>
      </c>
      <c r="Q331" s="8">
        <v>1</v>
      </c>
      <c r="R331" s="8" t="s">
        <v>34</v>
      </c>
      <c r="S331" s="8" t="s">
        <v>49</v>
      </c>
      <c r="T331" s="8" t="s">
        <v>132</v>
      </c>
      <c r="U331" s="9" t="s">
        <v>1496</v>
      </c>
      <c r="V331" s="8" t="s">
        <v>69</v>
      </c>
    </row>
    <row r="332" spans="1:22">
      <c r="A332" s="3" t="s">
        <v>1497</v>
      </c>
      <c r="B332" s="4" t="s">
        <v>53</v>
      </c>
      <c r="C332" s="4" t="s">
        <v>72</v>
      </c>
      <c r="D332" s="4" t="s">
        <v>179</v>
      </c>
      <c r="E332" s="4" t="s">
        <v>798</v>
      </c>
      <c r="F332" s="4" t="s">
        <v>163</v>
      </c>
      <c r="G332" s="4" t="s">
        <v>28</v>
      </c>
      <c r="H332" s="4" t="s">
        <v>1498</v>
      </c>
      <c r="I332" s="4" t="s">
        <v>138</v>
      </c>
      <c r="J332" s="4" t="s">
        <v>106</v>
      </c>
      <c r="K332" s="4" t="s">
        <v>46</v>
      </c>
      <c r="L332" s="4" t="s">
        <v>78</v>
      </c>
      <c r="M332" s="4">
        <v>13</v>
      </c>
      <c r="N332" s="4">
        <v>1200</v>
      </c>
      <c r="O332" s="4">
        <v>0</v>
      </c>
      <c r="P332" s="4">
        <v>15600</v>
      </c>
      <c r="Q332" s="4">
        <v>3</v>
      </c>
      <c r="R332" s="4" t="s">
        <v>48</v>
      </c>
      <c r="S332" s="4" t="s">
        <v>115</v>
      </c>
      <c r="T332" s="4" t="s">
        <v>62</v>
      </c>
      <c r="U332" s="6" t="s">
        <v>1499</v>
      </c>
      <c r="V332" s="4" t="s">
        <v>69</v>
      </c>
    </row>
    <row r="333" spans="1:22">
      <c r="A333" s="7" t="s">
        <v>1500</v>
      </c>
      <c r="B333" s="8" t="s">
        <v>327</v>
      </c>
      <c r="C333" s="8" t="s">
        <v>40</v>
      </c>
      <c r="D333" s="8" t="s">
        <v>1501</v>
      </c>
      <c r="E333" s="8" t="s">
        <v>1502</v>
      </c>
      <c r="F333" s="8" t="s">
        <v>394</v>
      </c>
      <c r="G333" s="8" t="s">
        <v>76</v>
      </c>
      <c r="H333" s="8" t="s">
        <v>1503</v>
      </c>
      <c r="I333" s="8" t="s">
        <v>44</v>
      </c>
      <c r="J333" s="8" t="s">
        <v>45</v>
      </c>
      <c r="K333" s="8" t="s">
        <v>46</v>
      </c>
      <c r="L333" s="8" t="s">
        <v>47</v>
      </c>
      <c r="M333" s="8">
        <v>5</v>
      </c>
      <c r="N333" s="8">
        <v>12000</v>
      </c>
      <c r="O333" s="8">
        <v>10</v>
      </c>
      <c r="P333" s="8">
        <v>54000</v>
      </c>
      <c r="Q333" s="8">
        <v>3</v>
      </c>
      <c r="R333" s="8" t="s">
        <v>88</v>
      </c>
      <c r="S333" s="8" t="s">
        <v>49</v>
      </c>
      <c r="T333" s="8" t="s">
        <v>332</v>
      </c>
      <c r="U333" s="9" t="s">
        <v>1504</v>
      </c>
      <c r="V333" s="8" t="s">
        <v>38</v>
      </c>
    </row>
    <row r="334" spans="1:22">
      <c r="A334" s="3" t="s">
        <v>1505</v>
      </c>
      <c r="B334" s="4" t="s">
        <v>53</v>
      </c>
      <c r="C334" s="4" t="s">
        <v>259</v>
      </c>
      <c r="D334" s="4" t="s">
        <v>1506</v>
      </c>
      <c r="E334" s="4" t="s">
        <v>1507</v>
      </c>
      <c r="F334" s="4" t="s">
        <v>163</v>
      </c>
      <c r="G334" s="4" t="s">
        <v>28</v>
      </c>
      <c r="H334" s="4" t="s">
        <v>1508</v>
      </c>
      <c r="I334" s="4" t="s">
        <v>59</v>
      </c>
      <c r="J334" s="4" t="s">
        <v>31</v>
      </c>
      <c r="K334" s="4" t="s">
        <v>122</v>
      </c>
      <c r="L334" s="4" t="s">
        <v>263</v>
      </c>
      <c r="M334" s="4">
        <v>12</v>
      </c>
      <c r="N334" s="4">
        <v>45</v>
      </c>
      <c r="O334" s="4">
        <v>20</v>
      </c>
      <c r="P334" s="4">
        <v>432</v>
      </c>
      <c r="Q334" s="4">
        <v>3</v>
      </c>
      <c r="R334" s="4" t="s">
        <v>48</v>
      </c>
      <c r="S334" s="4" t="s">
        <v>61</v>
      </c>
      <c r="T334" s="4" t="s">
        <v>62</v>
      </c>
      <c r="U334" s="6" t="s">
        <v>1509</v>
      </c>
      <c r="V334" s="4" t="s">
        <v>38</v>
      </c>
    </row>
    <row r="335" spans="1:22">
      <c r="A335" s="7" t="s">
        <v>1510</v>
      </c>
      <c r="B335" s="8" t="s">
        <v>23</v>
      </c>
      <c r="C335" s="8" t="s">
        <v>92</v>
      </c>
      <c r="D335" s="8" t="s">
        <v>652</v>
      </c>
      <c r="E335" s="8" t="s">
        <v>666</v>
      </c>
      <c r="F335" s="8" t="s">
        <v>27</v>
      </c>
      <c r="G335" s="8" t="s">
        <v>28</v>
      </c>
      <c r="H335" s="8" t="s">
        <v>1511</v>
      </c>
      <c r="I335" s="8" t="s">
        <v>59</v>
      </c>
      <c r="J335" s="8" t="s">
        <v>31</v>
      </c>
      <c r="K335" s="8" t="s">
        <v>32</v>
      </c>
      <c r="L335" s="8" t="s">
        <v>97</v>
      </c>
      <c r="M335" s="8">
        <v>2</v>
      </c>
      <c r="N335" s="8">
        <v>3500</v>
      </c>
      <c r="O335" s="8">
        <v>0</v>
      </c>
      <c r="P335" s="8">
        <v>7000</v>
      </c>
      <c r="Q335" s="8">
        <v>1</v>
      </c>
      <c r="R335" s="8" t="s">
        <v>48</v>
      </c>
      <c r="S335" s="8" t="s">
        <v>115</v>
      </c>
      <c r="T335" s="8" t="s">
        <v>50</v>
      </c>
      <c r="U335" s="9" t="s">
        <v>1512</v>
      </c>
      <c r="V335" s="8" t="s">
        <v>64</v>
      </c>
    </row>
    <row r="336" spans="1:22">
      <c r="A336" s="3" t="s">
        <v>1513</v>
      </c>
      <c r="B336" s="4" t="s">
        <v>23</v>
      </c>
      <c r="C336" s="4" t="s">
        <v>24</v>
      </c>
      <c r="D336" s="4" t="s">
        <v>426</v>
      </c>
      <c r="E336" s="4" t="s">
        <v>1180</v>
      </c>
      <c r="F336" s="4" t="s">
        <v>27</v>
      </c>
      <c r="G336" s="4" t="s">
        <v>28</v>
      </c>
      <c r="H336" s="4" t="s">
        <v>1514</v>
      </c>
      <c r="I336" s="4" t="s">
        <v>114</v>
      </c>
      <c r="J336" s="4" t="s">
        <v>106</v>
      </c>
      <c r="K336" s="4" t="s">
        <v>32</v>
      </c>
      <c r="L336" s="4" t="s">
        <v>33</v>
      </c>
      <c r="M336" s="4">
        <v>15</v>
      </c>
      <c r="N336" s="4">
        <v>2200</v>
      </c>
      <c r="O336" s="4">
        <v>15</v>
      </c>
      <c r="P336" s="4">
        <v>28050</v>
      </c>
      <c r="Q336" s="4">
        <v>2</v>
      </c>
      <c r="R336" s="4" t="s">
        <v>48</v>
      </c>
      <c r="S336" s="4" t="s">
        <v>49</v>
      </c>
      <c r="T336" s="4" t="s">
        <v>50</v>
      </c>
      <c r="U336" s="6" t="s">
        <v>1515</v>
      </c>
      <c r="V336" s="4" t="s">
        <v>64</v>
      </c>
    </row>
    <row r="337" spans="1:22">
      <c r="A337" s="7" t="s">
        <v>1516</v>
      </c>
      <c r="B337" s="8" t="s">
        <v>100</v>
      </c>
      <c r="C337" s="8" t="s">
        <v>222</v>
      </c>
      <c r="D337" s="8" t="s">
        <v>186</v>
      </c>
      <c r="E337" s="8" t="s">
        <v>1253</v>
      </c>
      <c r="F337" s="8" t="s">
        <v>103</v>
      </c>
      <c r="G337" s="8" t="s">
        <v>28</v>
      </c>
      <c r="H337" s="8" t="s">
        <v>1517</v>
      </c>
      <c r="I337" s="8" t="s">
        <v>138</v>
      </c>
      <c r="J337" s="8" t="s">
        <v>106</v>
      </c>
      <c r="K337" s="8" t="s">
        <v>122</v>
      </c>
      <c r="L337" s="8" t="s">
        <v>227</v>
      </c>
      <c r="M337" s="8">
        <v>8</v>
      </c>
      <c r="N337" s="8">
        <v>20</v>
      </c>
      <c r="O337" s="8">
        <v>20</v>
      </c>
      <c r="P337" s="8">
        <v>128</v>
      </c>
      <c r="Q337" s="8">
        <v>5</v>
      </c>
      <c r="R337" s="8" t="s">
        <v>88</v>
      </c>
      <c r="S337" s="8" t="s">
        <v>49</v>
      </c>
      <c r="T337" s="8" t="s">
        <v>144</v>
      </c>
      <c r="U337" s="9" t="s">
        <v>1518</v>
      </c>
      <c r="V337" s="8" t="s">
        <v>38</v>
      </c>
    </row>
    <row r="338" spans="1:22">
      <c r="A338" s="3" t="s">
        <v>1519</v>
      </c>
      <c r="B338" s="4" t="s">
        <v>127</v>
      </c>
      <c r="C338" s="4" t="s">
        <v>222</v>
      </c>
      <c r="D338" s="4" t="s">
        <v>298</v>
      </c>
      <c r="E338" s="4" t="s">
        <v>798</v>
      </c>
      <c r="F338" s="4" t="s">
        <v>200</v>
      </c>
      <c r="G338" s="4" t="s">
        <v>76</v>
      </c>
      <c r="H338" s="4" t="s">
        <v>1520</v>
      </c>
      <c r="I338" s="4" t="s">
        <v>30</v>
      </c>
      <c r="J338" s="4" t="s">
        <v>31</v>
      </c>
      <c r="K338" s="4" t="s">
        <v>122</v>
      </c>
      <c r="L338" s="4" t="s">
        <v>227</v>
      </c>
      <c r="M338" s="4">
        <v>1</v>
      </c>
      <c r="N338" s="4">
        <v>20</v>
      </c>
      <c r="O338" s="4">
        <v>0</v>
      </c>
      <c r="P338" s="4">
        <v>20</v>
      </c>
      <c r="Q338" s="4">
        <v>3</v>
      </c>
      <c r="R338" s="4" t="s">
        <v>88</v>
      </c>
      <c r="S338" s="4" t="s">
        <v>35</v>
      </c>
      <c r="T338" s="4" t="s">
        <v>132</v>
      </c>
      <c r="U338" s="6" t="s">
        <v>1521</v>
      </c>
      <c r="V338" s="4" t="s">
        <v>38</v>
      </c>
    </row>
    <row r="339" spans="1:22">
      <c r="A339" s="7" t="s">
        <v>1522</v>
      </c>
      <c r="B339" s="8" t="s">
        <v>23</v>
      </c>
      <c r="C339" s="8" t="s">
        <v>184</v>
      </c>
      <c r="D339" s="8" t="s">
        <v>1199</v>
      </c>
      <c r="E339" s="8" t="s">
        <v>253</v>
      </c>
      <c r="F339" s="8" t="s">
        <v>27</v>
      </c>
      <c r="G339" s="8" t="s">
        <v>28</v>
      </c>
      <c r="H339" s="8" t="s">
        <v>1523</v>
      </c>
      <c r="I339" s="8" t="s">
        <v>212</v>
      </c>
      <c r="J339" s="8" t="s">
        <v>45</v>
      </c>
      <c r="K339" s="8" t="s">
        <v>46</v>
      </c>
      <c r="L339" s="8" t="s">
        <v>189</v>
      </c>
      <c r="M339" s="8">
        <v>15</v>
      </c>
      <c r="N339" s="8">
        <v>700</v>
      </c>
      <c r="O339" s="8">
        <v>0</v>
      </c>
      <c r="P339" s="8">
        <v>10500</v>
      </c>
      <c r="Q339" s="8">
        <v>2</v>
      </c>
      <c r="R339" s="8" t="s">
        <v>88</v>
      </c>
      <c r="S339" s="8" t="s">
        <v>49</v>
      </c>
      <c r="T339" s="8" t="s">
        <v>50</v>
      </c>
      <c r="U339" s="9" t="s">
        <v>1524</v>
      </c>
      <c r="V339" s="8" t="s">
        <v>38</v>
      </c>
    </row>
    <row r="340" spans="1:22">
      <c r="A340" s="3" t="s">
        <v>1525</v>
      </c>
      <c r="B340" s="4" t="s">
        <v>327</v>
      </c>
      <c r="C340" s="4" t="s">
        <v>92</v>
      </c>
      <c r="D340" s="4" t="s">
        <v>932</v>
      </c>
      <c r="E340" s="4" t="s">
        <v>1526</v>
      </c>
      <c r="F340" s="4" t="s">
        <v>394</v>
      </c>
      <c r="G340" s="4" t="s">
        <v>76</v>
      </c>
      <c r="H340" s="4" t="s">
        <v>1527</v>
      </c>
      <c r="I340" s="4" t="s">
        <v>30</v>
      </c>
      <c r="J340" s="4" t="s">
        <v>31</v>
      </c>
      <c r="K340" s="4" t="s">
        <v>32</v>
      </c>
      <c r="L340" s="4" t="s">
        <v>97</v>
      </c>
      <c r="M340" s="4">
        <v>15</v>
      </c>
      <c r="N340" s="4">
        <v>3500</v>
      </c>
      <c r="O340" s="4">
        <v>10</v>
      </c>
      <c r="P340" s="4">
        <v>47250</v>
      </c>
      <c r="Q340" s="4">
        <v>3</v>
      </c>
      <c r="R340" s="4" t="s">
        <v>34</v>
      </c>
      <c r="S340" s="4" t="s">
        <v>151</v>
      </c>
      <c r="T340" s="4" t="s">
        <v>332</v>
      </c>
      <c r="U340" s="6" t="s">
        <v>1528</v>
      </c>
      <c r="V340" s="4" t="s">
        <v>64</v>
      </c>
    </row>
    <row r="341" spans="1:22">
      <c r="A341" s="7" t="s">
        <v>1529</v>
      </c>
      <c r="B341" s="8" t="s">
        <v>23</v>
      </c>
      <c r="C341" s="8" t="s">
        <v>118</v>
      </c>
      <c r="D341" s="8" t="s">
        <v>1530</v>
      </c>
      <c r="E341" s="8" t="s">
        <v>156</v>
      </c>
      <c r="F341" s="8" t="s">
        <v>27</v>
      </c>
      <c r="G341" s="8" t="s">
        <v>28</v>
      </c>
      <c r="H341" s="8" t="s">
        <v>1531</v>
      </c>
      <c r="I341" s="8" t="s">
        <v>294</v>
      </c>
      <c r="J341" s="8" t="s">
        <v>295</v>
      </c>
      <c r="K341" s="8" t="s">
        <v>122</v>
      </c>
      <c r="L341" s="8" t="s">
        <v>123</v>
      </c>
      <c r="M341" s="8">
        <v>16</v>
      </c>
      <c r="N341" s="8">
        <v>60</v>
      </c>
      <c r="O341" s="8">
        <v>10</v>
      </c>
      <c r="P341" s="8">
        <v>864</v>
      </c>
      <c r="Q341" s="8">
        <v>4</v>
      </c>
      <c r="R341" s="8" t="s">
        <v>79</v>
      </c>
      <c r="S341" s="8" t="s">
        <v>61</v>
      </c>
      <c r="T341" s="8" t="s">
        <v>50</v>
      </c>
      <c r="U341" s="9" t="s">
        <v>1532</v>
      </c>
      <c r="V341" s="8" t="s">
        <v>38</v>
      </c>
    </row>
    <row r="342" spans="1:22">
      <c r="A342" s="3" t="s">
        <v>1533</v>
      </c>
      <c r="B342" s="4" t="s">
        <v>127</v>
      </c>
      <c r="C342" s="4" t="s">
        <v>259</v>
      </c>
      <c r="D342" s="4" t="s">
        <v>309</v>
      </c>
      <c r="E342" s="4" t="s">
        <v>793</v>
      </c>
      <c r="F342" s="4" t="s">
        <v>200</v>
      </c>
      <c r="G342" s="4" t="s">
        <v>76</v>
      </c>
      <c r="H342" s="4" t="s">
        <v>1534</v>
      </c>
      <c r="I342" s="4" t="s">
        <v>44</v>
      </c>
      <c r="J342" s="4" t="s">
        <v>45</v>
      </c>
      <c r="K342" s="4" t="s">
        <v>122</v>
      </c>
      <c r="L342" s="4" t="s">
        <v>263</v>
      </c>
      <c r="M342" s="4">
        <v>2</v>
      </c>
      <c r="N342" s="4">
        <v>45</v>
      </c>
      <c r="O342" s="4">
        <v>15</v>
      </c>
      <c r="P342" s="4">
        <v>76.5</v>
      </c>
      <c r="Q342" s="4">
        <v>1</v>
      </c>
      <c r="R342" s="4" t="s">
        <v>88</v>
      </c>
      <c r="S342" s="4" t="s">
        <v>151</v>
      </c>
      <c r="T342" s="4" t="s">
        <v>132</v>
      </c>
      <c r="U342" s="6" t="s">
        <v>1535</v>
      </c>
      <c r="V342" s="4" t="s">
        <v>69</v>
      </c>
    </row>
    <row r="343" spans="1:22">
      <c r="A343" s="7" t="s">
        <v>1536</v>
      </c>
      <c r="B343" s="8" t="s">
        <v>168</v>
      </c>
      <c r="C343" s="8" t="s">
        <v>118</v>
      </c>
      <c r="D343" s="8" t="s">
        <v>1537</v>
      </c>
      <c r="E343" s="8" t="s">
        <v>1214</v>
      </c>
      <c r="F343" s="8" t="s">
        <v>361</v>
      </c>
      <c r="G343" s="8" t="s">
        <v>28</v>
      </c>
      <c r="H343" s="8" t="s">
        <v>1538</v>
      </c>
      <c r="I343" s="8" t="s">
        <v>44</v>
      </c>
      <c r="J343" s="8" t="s">
        <v>45</v>
      </c>
      <c r="K343" s="8" t="s">
        <v>122</v>
      </c>
      <c r="L343" s="8" t="s">
        <v>123</v>
      </c>
      <c r="M343" s="8">
        <v>13</v>
      </c>
      <c r="N343" s="8">
        <v>60</v>
      </c>
      <c r="O343" s="8">
        <v>15</v>
      </c>
      <c r="P343" s="8">
        <v>663</v>
      </c>
      <c r="Q343" s="8">
        <v>2</v>
      </c>
      <c r="R343" s="8" t="s">
        <v>48</v>
      </c>
      <c r="S343" s="8" t="s">
        <v>61</v>
      </c>
      <c r="T343" s="8" t="s">
        <v>175</v>
      </c>
      <c r="U343" s="9" t="s">
        <v>1539</v>
      </c>
      <c r="V343" s="8" t="s">
        <v>69</v>
      </c>
    </row>
    <row r="344" spans="1:22">
      <c r="A344" s="3" t="s">
        <v>1540</v>
      </c>
      <c r="B344" s="4" t="s">
        <v>83</v>
      </c>
      <c r="C344" s="4" t="s">
        <v>40</v>
      </c>
      <c r="D344" s="4" t="s">
        <v>1086</v>
      </c>
      <c r="E344" s="4" t="s">
        <v>236</v>
      </c>
      <c r="F344" s="4" t="s">
        <v>180</v>
      </c>
      <c r="G344" s="4" t="s">
        <v>76</v>
      </c>
      <c r="H344" s="4" t="s">
        <v>1541</v>
      </c>
      <c r="I344" s="4" t="s">
        <v>44</v>
      </c>
      <c r="J344" s="4" t="s">
        <v>45</v>
      </c>
      <c r="K344" s="4" t="s">
        <v>46</v>
      </c>
      <c r="L344" s="4" t="s">
        <v>47</v>
      </c>
      <c r="M344" s="4">
        <v>15</v>
      </c>
      <c r="N344" s="4">
        <v>12000</v>
      </c>
      <c r="O344" s="4">
        <v>20</v>
      </c>
      <c r="P344" s="4">
        <v>144000</v>
      </c>
      <c r="Q344" s="4">
        <v>3</v>
      </c>
      <c r="R344" s="4" t="s">
        <v>79</v>
      </c>
      <c r="S344" s="4" t="s">
        <v>35</v>
      </c>
      <c r="T344" s="4" t="s">
        <v>89</v>
      </c>
      <c r="U344" s="6" t="s">
        <v>1542</v>
      </c>
      <c r="V344" s="4" t="s">
        <v>69</v>
      </c>
    </row>
    <row r="345" spans="1:22">
      <c r="A345" s="7" t="s">
        <v>1543</v>
      </c>
      <c r="B345" s="8" t="s">
        <v>327</v>
      </c>
      <c r="C345" s="8" t="s">
        <v>222</v>
      </c>
      <c r="D345" s="8" t="s">
        <v>755</v>
      </c>
      <c r="E345" s="8" t="s">
        <v>1544</v>
      </c>
      <c r="F345" s="8" t="s">
        <v>394</v>
      </c>
      <c r="G345" s="8" t="s">
        <v>76</v>
      </c>
      <c r="H345" s="8" t="s">
        <v>1545</v>
      </c>
      <c r="I345" s="8" t="s">
        <v>44</v>
      </c>
      <c r="J345" s="8" t="s">
        <v>45</v>
      </c>
      <c r="K345" s="8" t="s">
        <v>122</v>
      </c>
      <c r="L345" s="8" t="s">
        <v>227</v>
      </c>
      <c r="M345" s="8">
        <v>2</v>
      </c>
      <c r="N345" s="8">
        <v>20</v>
      </c>
      <c r="O345" s="8">
        <v>20</v>
      </c>
      <c r="P345" s="8">
        <v>32</v>
      </c>
      <c r="Q345" s="8">
        <v>4</v>
      </c>
      <c r="R345" s="8" t="s">
        <v>34</v>
      </c>
      <c r="S345" s="8" t="s">
        <v>35</v>
      </c>
      <c r="T345" s="8" t="s">
        <v>332</v>
      </c>
      <c r="U345" s="9" t="s">
        <v>1546</v>
      </c>
      <c r="V345" s="8" t="s">
        <v>64</v>
      </c>
    </row>
    <row r="346" spans="1:22">
      <c r="A346" s="3" t="s">
        <v>1547</v>
      </c>
      <c r="B346" s="4" t="s">
        <v>127</v>
      </c>
      <c r="C346" s="4" t="s">
        <v>92</v>
      </c>
      <c r="D346" s="4" t="s">
        <v>382</v>
      </c>
      <c r="E346" s="4" t="s">
        <v>1548</v>
      </c>
      <c r="F346" s="4" t="s">
        <v>200</v>
      </c>
      <c r="G346" s="4" t="s">
        <v>76</v>
      </c>
      <c r="H346" s="4" t="s">
        <v>1549</v>
      </c>
      <c r="I346" s="4" t="s">
        <v>59</v>
      </c>
      <c r="J346" s="4" t="s">
        <v>31</v>
      </c>
      <c r="K346" s="4" t="s">
        <v>32</v>
      </c>
      <c r="L346" s="4" t="s">
        <v>97</v>
      </c>
      <c r="M346" s="4">
        <v>16</v>
      </c>
      <c r="N346" s="4">
        <v>3500</v>
      </c>
      <c r="O346" s="4">
        <v>0</v>
      </c>
      <c r="P346" s="4">
        <v>56000</v>
      </c>
      <c r="Q346" s="4">
        <v>4</v>
      </c>
      <c r="R346" s="4" t="s">
        <v>34</v>
      </c>
      <c r="S346" s="4" t="s">
        <v>115</v>
      </c>
      <c r="T346" s="4" t="s">
        <v>132</v>
      </c>
      <c r="U346" s="6" t="s">
        <v>1550</v>
      </c>
      <c r="V346" s="4" t="s">
        <v>38</v>
      </c>
    </row>
    <row r="347" spans="1:22">
      <c r="A347" s="7" t="s">
        <v>1551</v>
      </c>
      <c r="B347" s="8" t="s">
        <v>53</v>
      </c>
      <c r="C347" s="8" t="s">
        <v>92</v>
      </c>
      <c r="D347" s="8" t="s">
        <v>1302</v>
      </c>
      <c r="E347" s="8" t="s">
        <v>94</v>
      </c>
      <c r="F347" s="8" t="s">
        <v>163</v>
      </c>
      <c r="G347" s="8" t="s">
        <v>28</v>
      </c>
      <c r="H347" s="8" t="s">
        <v>1552</v>
      </c>
      <c r="I347" s="8" t="s">
        <v>138</v>
      </c>
      <c r="J347" s="8" t="s">
        <v>106</v>
      </c>
      <c r="K347" s="8" t="s">
        <v>32</v>
      </c>
      <c r="L347" s="8" t="s">
        <v>97</v>
      </c>
      <c r="M347" s="8">
        <v>18</v>
      </c>
      <c r="N347" s="8">
        <v>3500</v>
      </c>
      <c r="O347" s="8">
        <v>15</v>
      </c>
      <c r="P347" s="8">
        <v>53550</v>
      </c>
      <c r="Q347" s="8">
        <v>5</v>
      </c>
      <c r="R347" s="8" t="s">
        <v>34</v>
      </c>
      <c r="S347" s="8" t="s">
        <v>151</v>
      </c>
      <c r="T347" s="8" t="s">
        <v>62</v>
      </c>
      <c r="U347" s="9" t="s">
        <v>1553</v>
      </c>
      <c r="V347" s="8" t="s">
        <v>69</v>
      </c>
    </row>
    <row r="348" spans="1:22">
      <c r="A348" s="3" t="s">
        <v>1554</v>
      </c>
      <c r="B348" s="4" t="s">
        <v>23</v>
      </c>
      <c r="C348" s="4" t="s">
        <v>259</v>
      </c>
      <c r="D348" s="4" t="s">
        <v>65</v>
      </c>
      <c r="E348" s="4" t="s">
        <v>544</v>
      </c>
      <c r="F348" s="4" t="s">
        <v>27</v>
      </c>
      <c r="G348" s="4" t="s">
        <v>28</v>
      </c>
      <c r="H348" s="4" t="s">
        <v>1555</v>
      </c>
      <c r="I348" s="4" t="s">
        <v>138</v>
      </c>
      <c r="J348" s="4" t="s">
        <v>106</v>
      </c>
      <c r="K348" s="4" t="s">
        <v>122</v>
      </c>
      <c r="L348" s="4" t="s">
        <v>263</v>
      </c>
      <c r="M348" s="4">
        <v>20</v>
      </c>
      <c r="N348" s="4">
        <v>45</v>
      </c>
      <c r="O348" s="4">
        <v>15</v>
      </c>
      <c r="P348" s="4">
        <v>765</v>
      </c>
      <c r="Q348" s="4">
        <v>4</v>
      </c>
      <c r="R348" s="4" t="s">
        <v>34</v>
      </c>
      <c r="S348" s="4" t="s">
        <v>151</v>
      </c>
      <c r="T348" s="4" t="s">
        <v>50</v>
      </c>
      <c r="U348" s="6" t="s">
        <v>1556</v>
      </c>
      <c r="V348" s="4" t="s">
        <v>69</v>
      </c>
    </row>
    <row r="349" spans="1:22">
      <c r="A349" s="7" t="s">
        <v>1557</v>
      </c>
      <c r="B349" s="8" t="s">
        <v>251</v>
      </c>
      <c r="C349" s="8" t="s">
        <v>24</v>
      </c>
      <c r="D349" s="8" t="s">
        <v>1286</v>
      </c>
      <c r="E349" s="8" t="s">
        <v>356</v>
      </c>
      <c r="F349" s="8" t="s">
        <v>254</v>
      </c>
      <c r="G349" s="8" t="s">
        <v>28</v>
      </c>
      <c r="H349" s="8" t="s">
        <v>1558</v>
      </c>
      <c r="I349" s="8" t="s">
        <v>44</v>
      </c>
      <c r="J349" s="8" t="s">
        <v>45</v>
      </c>
      <c r="K349" s="8" t="s">
        <v>32</v>
      </c>
      <c r="L349" s="8" t="s">
        <v>33</v>
      </c>
      <c r="M349" s="8">
        <v>13</v>
      </c>
      <c r="N349" s="8">
        <v>2200</v>
      </c>
      <c r="O349" s="8">
        <v>15</v>
      </c>
      <c r="P349" s="8">
        <v>24310</v>
      </c>
      <c r="Q349" s="8">
        <v>2</v>
      </c>
      <c r="R349" s="8" t="s">
        <v>48</v>
      </c>
      <c r="S349" s="8" t="s">
        <v>115</v>
      </c>
      <c r="T349" s="8" t="s">
        <v>256</v>
      </c>
      <c r="U349" s="9" t="s">
        <v>1559</v>
      </c>
      <c r="V349" s="8" t="s">
        <v>64</v>
      </c>
    </row>
    <row r="350" spans="1:22">
      <c r="A350" s="3" t="s">
        <v>1560</v>
      </c>
      <c r="B350" s="4" t="s">
        <v>53</v>
      </c>
      <c r="C350" s="4" t="s">
        <v>1561</v>
      </c>
      <c r="D350" s="4" t="s">
        <v>340</v>
      </c>
      <c r="E350" s="4" t="s">
        <v>346</v>
      </c>
      <c r="F350" s="4" t="s">
        <v>163</v>
      </c>
      <c r="G350" s="4" t="s">
        <v>28</v>
      </c>
      <c r="H350" s="4" t="s">
        <v>1562</v>
      </c>
      <c r="I350" s="4" t="s">
        <v>294</v>
      </c>
      <c r="J350" s="4" t="s">
        <v>295</v>
      </c>
      <c r="K350" s="4" t="s">
        <v>32</v>
      </c>
      <c r="L350" s="4" t="s">
        <v>174</v>
      </c>
      <c r="M350" s="4">
        <v>11</v>
      </c>
      <c r="N350" s="4">
        <v>8500</v>
      </c>
      <c r="O350" s="4">
        <v>5</v>
      </c>
      <c r="P350" s="4">
        <v>88825</v>
      </c>
      <c r="Q350" s="4">
        <v>1</v>
      </c>
      <c r="R350" s="4" t="s">
        <v>88</v>
      </c>
      <c r="S350" s="4" t="s">
        <v>115</v>
      </c>
      <c r="T350" s="4" t="s">
        <v>62</v>
      </c>
      <c r="U350" s="6" t="s">
        <v>1563</v>
      </c>
      <c r="V350" s="4" t="s">
        <v>69</v>
      </c>
    </row>
    <row r="351" spans="1:22">
      <c r="A351" s="7" t="s">
        <v>1564</v>
      </c>
      <c r="B351" s="8" t="s">
        <v>53</v>
      </c>
      <c r="C351" s="8" t="s">
        <v>24</v>
      </c>
      <c r="D351" s="8" t="s">
        <v>1565</v>
      </c>
      <c r="E351" s="8" t="s">
        <v>1475</v>
      </c>
      <c r="F351" s="8" t="s">
        <v>163</v>
      </c>
      <c r="G351" s="8" t="s">
        <v>28</v>
      </c>
      <c r="H351" s="8" t="s">
        <v>1566</v>
      </c>
      <c r="I351" s="8" t="s">
        <v>212</v>
      </c>
      <c r="J351" s="8" t="s">
        <v>45</v>
      </c>
      <c r="K351" s="8" t="s">
        <v>32</v>
      </c>
      <c r="L351" s="8" t="s">
        <v>33</v>
      </c>
      <c r="M351" s="8">
        <v>2</v>
      </c>
      <c r="N351" s="8">
        <v>2200</v>
      </c>
      <c r="O351" s="8">
        <v>0</v>
      </c>
      <c r="P351" s="8">
        <v>4400</v>
      </c>
      <c r="Q351" s="8">
        <v>4</v>
      </c>
      <c r="R351" s="8" t="s">
        <v>88</v>
      </c>
      <c r="S351" s="8" t="s">
        <v>151</v>
      </c>
      <c r="T351" s="8" t="s">
        <v>62</v>
      </c>
      <c r="U351" s="9" t="s">
        <v>1567</v>
      </c>
      <c r="V351" s="8" t="s">
        <v>64</v>
      </c>
    </row>
    <row r="352" spans="1:22">
      <c r="A352" s="3" t="s">
        <v>1568</v>
      </c>
      <c r="B352" s="4" t="s">
        <v>83</v>
      </c>
      <c r="C352" s="4" t="s">
        <v>184</v>
      </c>
      <c r="D352" s="4" t="s">
        <v>1242</v>
      </c>
      <c r="E352" s="4" t="s">
        <v>720</v>
      </c>
      <c r="F352" s="4" t="s">
        <v>180</v>
      </c>
      <c r="G352" s="4" t="s">
        <v>76</v>
      </c>
      <c r="H352" s="4" t="s">
        <v>1569</v>
      </c>
      <c r="I352" s="4" t="s">
        <v>105</v>
      </c>
      <c r="J352" s="4" t="s">
        <v>106</v>
      </c>
      <c r="K352" s="4" t="s">
        <v>46</v>
      </c>
      <c r="L352" s="4" t="s">
        <v>189</v>
      </c>
      <c r="M352" s="4">
        <v>15</v>
      </c>
      <c r="N352" s="4">
        <v>700</v>
      </c>
      <c r="O352" s="4">
        <v>15</v>
      </c>
      <c r="P352" s="4">
        <v>8925</v>
      </c>
      <c r="Q352" s="4">
        <v>3</v>
      </c>
      <c r="R352" s="4" t="s">
        <v>48</v>
      </c>
      <c r="S352" s="4" t="s">
        <v>115</v>
      </c>
      <c r="T352" s="4" t="s">
        <v>89</v>
      </c>
      <c r="U352" s="6" t="s">
        <v>1570</v>
      </c>
      <c r="V352" s="4" t="s">
        <v>38</v>
      </c>
    </row>
    <row r="353" spans="1:22">
      <c r="A353" s="7" t="s">
        <v>1571</v>
      </c>
      <c r="B353" s="8" t="s">
        <v>127</v>
      </c>
      <c r="C353" s="8" t="s">
        <v>24</v>
      </c>
      <c r="D353" s="8" t="s">
        <v>1572</v>
      </c>
      <c r="E353" s="8" t="s">
        <v>835</v>
      </c>
      <c r="F353" s="8" t="s">
        <v>200</v>
      </c>
      <c r="G353" s="8" t="s">
        <v>76</v>
      </c>
      <c r="H353" s="8" t="s">
        <v>1573</v>
      </c>
      <c r="I353" s="8" t="s">
        <v>138</v>
      </c>
      <c r="J353" s="8" t="s">
        <v>106</v>
      </c>
      <c r="K353" s="8" t="s">
        <v>32</v>
      </c>
      <c r="L353" s="8" t="s">
        <v>33</v>
      </c>
      <c r="M353" s="8">
        <v>5</v>
      </c>
      <c r="N353" s="8">
        <v>2200</v>
      </c>
      <c r="O353" s="8">
        <v>15</v>
      </c>
      <c r="P353" s="8">
        <v>9350</v>
      </c>
      <c r="Q353" s="8">
        <v>1</v>
      </c>
      <c r="R353" s="8" t="s">
        <v>48</v>
      </c>
      <c r="S353" s="8" t="s">
        <v>115</v>
      </c>
      <c r="T353" s="8" t="s">
        <v>132</v>
      </c>
      <c r="U353" s="9" t="s">
        <v>1574</v>
      </c>
      <c r="V353" s="8" t="s">
        <v>64</v>
      </c>
    </row>
    <row r="354" spans="1:22">
      <c r="A354" s="3" t="s">
        <v>1575</v>
      </c>
      <c r="B354" s="4" t="s">
        <v>83</v>
      </c>
      <c r="C354" s="4" t="s">
        <v>72</v>
      </c>
      <c r="D354" s="4" t="s">
        <v>554</v>
      </c>
      <c r="E354" s="4" t="s">
        <v>1480</v>
      </c>
      <c r="F354" s="4" t="s">
        <v>180</v>
      </c>
      <c r="G354" s="4" t="s">
        <v>76</v>
      </c>
      <c r="H354" s="4" t="s">
        <v>1576</v>
      </c>
      <c r="I354" s="4" t="s">
        <v>138</v>
      </c>
      <c r="J354" s="4" t="s">
        <v>106</v>
      </c>
      <c r="K354" s="4" t="s">
        <v>46</v>
      </c>
      <c r="L354" s="4" t="s">
        <v>78</v>
      </c>
      <c r="M354" s="4">
        <v>15</v>
      </c>
      <c r="N354" s="4">
        <v>1200</v>
      </c>
      <c r="O354" s="4">
        <v>0</v>
      </c>
      <c r="P354" s="4">
        <v>18000</v>
      </c>
      <c r="Q354" s="4">
        <v>3</v>
      </c>
      <c r="R354" s="4" t="s">
        <v>48</v>
      </c>
      <c r="S354" s="4" t="s">
        <v>61</v>
      </c>
      <c r="T354" s="4" t="s">
        <v>89</v>
      </c>
      <c r="U354" s="6" t="s">
        <v>1577</v>
      </c>
      <c r="V354" s="4" t="s">
        <v>69</v>
      </c>
    </row>
    <row r="355" spans="1:22">
      <c r="A355" s="7" t="s">
        <v>1578</v>
      </c>
      <c r="B355" s="8" t="s">
        <v>251</v>
      </c>
      <c r="C355" s="8" t="s">
        <v>72</v>
      </c>
      <c r="D355" s="8" t="s">
        <v>161</v>
      </c>
      <c r="E355" s="8" t="s">
        <v>657</v>
      </c>
      <c r="F355" s="8" t="s">
        <v>254</v>
      </c>
      <c r="G355" s="8" t="s">
        <v>28</v>
      </c>
      <c r="H355" s="8" t="s">
        <v>1579</v>
      </c>
      <c r="I355" s="8" t="s">
        <v>105</v>
      </c>
      <c r="J355" s="8" t="s">
        <v>106</v>
      </c>
      <c r="K355" s="8" t="s">
        <v>46</v>
      </c>
      <c r="L355" s="8" t="s">
        <v>78</v>
      </c>
      <c r="M355" s="8">
        <v>19</v>
      </c>
      <c r="N355" s="8">
        <v>1200</v>
      </c>
      <c r="O355" s="8">
        <v>0</v>
      </c>
      <c r="P355" s="8">
        <v>22800</v>
      </c>
      <c r="Q355" s="8">
        <v>1</v>
      </c>
      <c r="R355" s="8" t="s">
        <v>34</v>
      </c>
      <c r="S355" s="8" t="s">
        <v>49</v>
      </c>
      <c r="T355" s="8" t="s">
        <v>256</v>
      </c>
      <c r="U355" s="9" t="s">
        <v>1580</v>
      </c>
      <c r="V355" s="8" t="s">
        <v>69</v>
      </c>
    </row>
    <row r="356" spans="1:22">
      <c r="A356" s="3" t="s">
        <v>1581</v>
      </c>
      <c r="B356" s="4" t="s">
        <v>168</v>
      </c>
      <c r="C356" s="4" t="s">
        <v>40</v>
      </c>
      <c r="D356" s="4" t="s">
        <v>25</v>
      </c>
      <c r="E356" s="4" t="s">
        <v>1582</v>
      </c>
      <c r="F356" s="4" t="s">
        <v>361</v>
      </c>
      <c r="G356" s="4" t="s">
        <v>28</v>
      </c>
      <c r="H356" s="4" t="s">
        <v>1583</v>
      </c>
      <c r="I356" s="4" t="s">
        <v>105</v>
      </c>
      <c r="J356" s="4" t="s">
        <v>106</v>
      </c>
      <c r="K356" s="4" t="s">
        <v>46</v>
      </c>
      <c r="L356" s="4" t="s">
        <v>47</v>
      </c>
      <c r="M356" s="4">
        <v>9</v>
      </c>
      <c r="N356" s="4">
        <v>12000</v>
      </c>
      <c r="O356" s="4">
        <v>15</v>
      </c>
      <c r="P356" s="4">
        <v>91800</v>
      </c>
      <c r="Q356" s="4">
        <v>3</v>
      </c>
      <c r="R356" s="4" t="s">
        <v>88</v>
      </c>
      <c r="S356" s="4" t="s">
        <v>49</v>
      </c>
      <c r="T356" s="4" t="s">
        <v>175</v>
      </c>
      <c r="U356" s="6" t="s">
        <v>1584</v>
      </c>
      <c r="V356" s="4" t="s">
        <v>69</v>
      </c>
    </row>
    <row r="357" spans="1:22">
      <c r="A357" s="7" t="s">
        <v>1585</v>
      </c>
      <c r="B357" s="8" t="s">
        <v>23</v>
      </c>
      <c r="C357" s="8" t="s">
        <v>259</v>
      </c>
      <c r="D357" s="8" t="s">
        <v>345</v>
      </c>
      <c r="E357" s="8" t="s">
        <v>793</v>
      </c>
      <c r="F357" s="8" t="s">
        <v>27</v>
      </c>
      <c r="G357" s="8" t="s">
        <v>28</v>
      </c>
      <c r="H357" s="8" t="s">
        <v>1586</v>
      </c>
      <c r="I357" s="8" t="s">
        <v>212</v>
      </c>
      <c r="J357" s="8" t="s">
        <v>45</v>
      </c>
      <c r="K357" s="8" t="s">
        <v>122</v>
      </c>
      <c r="L357" s="8" t="s">
        <v>263</v>
      </c>
      <c r="M357" s="8">
        <v>5</v>
      </c>
      <c r="N357" s="8">
        <v>45</v>
      </c>
      <c r="O357" s="8">
        <v>5</v>
      </c>
      <c r="P357" s="8">
        <v>213.75</v>
      </c>
      <c r="Q357" s="8">
        <v>1</v>
      </c>
      <c r="R357" s="8" t="s">
        <v>79</v>
      </c>
      <c r="S357" s="8" t="s">
        <v>115</v>
      </c>
      <c r="T357" s="8" t="s">
        <v>50</v>
      </c>
      <c r="U357" s="9" t="s">
        <v>1587</v>
      </c>
      <c r="V357" s="8" t="s">
        <v>38</v>
      </c>
    </row>
    <row r="358" spans="1:22">
      <c r="A358" s="3" t="s">
        <v>1588</v>
      </c>
      <c r="B358" s="4" t="s">
        <v>251</v>
      </c>
      <c r="C358" s="4" t="s">
        <v>184</v>
      </c>
      <c r="D358" s="4" t="s">
        <v>1589</v>
      </c>
      <c r="E358" s="4" t="s">
        <v>1373</v>
      </c>
      <c r="F358" s="4" t="s">
        <v>254</v>
      </c>
      <c r="G358" s="4" t="s">
        <v>28</v>
      </c>
      <c r="H358" s="4" t="s">
        <v>1590</v>
      </c>
      <c r="I358" s="4" t="s">
        <v>105</v>
      </c>
      <c r="J358" s="4" t="s">
        <v>106</v>
      </c>
      <c r="K358" s="4" t="s">
        <v>46</v>
      </c>
      <c r="L358" s="4" t="s">
        <v>189</v>
      </c>
      <c r="M358" s="4">
        <v>3</v>
      </c>
      <c r="N358" s="4">
        <v>700</v>
      </c>
      <c r="O358" s="4">
        <v>15</v>
      </c>
      <c r="P358" s="4">
        <v>1785</v>
      </c>
      <c r="Q358" s="4">
        <v>4</v>
      </c>
      <c r="R358" s="4" t="s">
        <v>34</v>
      </c>
      <c r="S358" s="4" t="s">
        <v>151</v>
      </c>
      <c r="T358" s="4" t="s">
        <v>256</v>
      </c>
      <c r="U358" s="6" t="s">
        <v>1591</v>
      </c>
      <c r="V358" s="4" t="s">
        <v>38</v>
      </c>
    </row>
    <row r="359" spans="1:22">
      <c r="A359" s="7" t="s">
        <v>1592</v>
      </c>
      <c r="B359" s="8" t="s">
        <v>71</v>
      </c>
      <c r="C359" s="8" t="s">
        <v>169</v>
      </c>
      <c r="D359" s="8" t="s">
        <v>454</v>
      </c>
      <c r="E359" s="8" t="s">
        <v>961</v>
      </c>
      <c r="F359" s="8" t="s">
        <v>217</v>
      </c>
      <c r="G359" s="8" t="s">
        <v>76</v>
      </c>
      <c r="H359" s="8" t="s">
        <v>1593</v>
      </c>
      <c r="I359" s="8" t="s">
        <v>212</v>
      </c>
      <c r="J359" s="8" t="s">
        <v>45</v>
      </c>
      <c r="K359" s="8" t="s">
        <v>32</v>
      </c>
      <c r="L359" s="8" t="s">
        <v>174</v>
      </c>
      <c r="M359" s="8">
        <v>12</v>
      </c>
      <c r="N359" s="8">
        <v>8500</v>
      </c>
      <c r="O359" s="8">
        <v>5</v>
      </c>
      <c r="P359" s="8">
        <v>96900</v>
      </c>
      <c r="Q359" s="8">
        <v>3</v>
      </c>
      <c r="R359" s="8" t="s">
        <v>79</v>
      </c>
      <c r="S359" s="8" t="s">
        <v>61</v>
      </c>
      <c r="T359" s="8" t="s">
        <v>80</v>
      </c>
      <c r="U359" s="9" t="s">
        <v>1594</v>
      </c>
      <c r="V359" s="8" t="s">
        <v>64</v>
      </c>
    </row>
    <row r="360" spans="1:22">
      <c r="A360" s="3" t="s">
        <v>1595</v>
      </c>
      <c r="B360" s="4" t="s">
        <v>251</v>
      </c>
      <c r="C360" s="4" t="s">
        <v>169</v>
      </c>
      <c r="D360" s="4" t="s">
        <v>162</v>
      </c>
      <c r="E360" s="4" t="s">
        <v>356</v>
      </c>
      <c r="F360" s="4" t="s">
        <v>254</v>
      </c>
      <c r="G360" s="4" t="s">
        <v>28</v>
      </c>
      <c r="H360" s="4" t="s">
        <v>1596</v>
      </c>
      <c r="I360" s="4" t="s">
        <v>114</v>
      </c>
      <c r="J360" s="4" t="s">
        <v>106</v>
      </c>
      <c r="K360" s="4" t="s">
        <v>32</v>
      </c>
      <c r="L360" s="4" t="s">
        <v>174</v>
      </c>
      <c r="M360" s="4">
        <v>4</v>
      </c>
      <c r="N360" s="4">
        <v>8500</v>
      </c>
      <c r="O360" s="4">
        <v>15</v>
      </c>
      <c r="P360" s="4">
        <v>28900</v>
      </c>
      <c r="Q360" s="4">
        <v>4</v>
      </c>
      <c r="R360" s="4" t="s">
        <v>48</v>
      </c>
      <c r="S360" s="4" t="s">
        <v>61</v>
      </c>
      <c r="T360" s="4" t="s">
        <v>256</v>
      </c>
      <c r="U360" s="6" t="s">
        <v>1597</v>
      </c>
      <c r="V360" s="4" t="s">
        <v>64</v>
      </c>
    </row>
    <row r="361" spans="1:22">
      <c r="A361" s="7" t="s">
        <v>1598</v>
      </c>
      <c r="B361" s="8" t="s">
        <v>127</v>
      </c>
      <c r="C361" s="8" t="s">
        <v>222</v>
      </c>
      <c r="D361" s="8" t="s">
        <v>102</v>
      </c>
      <c r="E361" s="8" t="s">
        <v>953</v>
      </c>
      <c r="F361" s="8" t="s">
        <v>200</v>
      </c>
      <c r="G361" s="8" t="s">
        <v>76</v>
      </c>
      <c r="H361" s="8" t="s">
        <v>1599</v>
      </c>
      <c r="I361" s="8" t="s">
        <v>212</v>
      </c>
      <c r="J361" s="8" t="s">
        <v>45</v>
      </c>
      <c r="K361" s="8" t="s">
        <v>122</v>
      </c>
      <c r="L361" s="8" t="s">
        <v>227</v>
      </c>
      <c r="M361" s="8">
        <v>16</v>
      </c>
      <c r="N361" s="8">
        <v>20</v>
      </c>
      <c r="O361" s="8">
        <v>10</v>
      </c>
      <c r="P361" s="8">
        <v>288</v>
      </c>
      <c r="Q361" s="8">
        <v>4</v>
      </c>
      <c r="R361" s="8" t="s">
        <v>34</v>
      </c>
      <c r="S361" s="8" t="s">
        <v>115</v>
      </c>
      <c r="T361" s="8" t="s">
        <v>132</v>
      </c>
      <c r="U361" s="9" t="s">
        <v>1600</v>
      </c>
      <c r="V361" s="8" t="s">
        <v>69</v>
      </c>
    </row>
    <row r="362" spans="1:22">
      <c r="A362" s="3" t="s">
        <v>1601</v>
      </c>
      <c r="B362" s="4" t="s">
        <v>127</v>
      </c>
      <c r="C362" s="4" t="s">
        <v>118</v>
      </c>
      <c r="D362" s="4" t="s">
        <v>601</v>
      </c>
      <c r="E362" s="4" t="s">
        <v>1602</v>
      </c>
      <c r="F362" s="4" t="s">
        <v>200</v>
      </c>
      <c r="G362" s="4" t="s">
        <v>76</v>
      </c>
      <c r="H362" s="4" t="s">
        <v>1603</v>
      </c>
      <c r="I362" s="4" t="s">
        <v>105</v>
      </c>
      <c r="J362" s="4" t="s">
        <v>106</v>
      </c>
      <c r="K362" s="4" t="s">
        <v>122</v>
      </c>
      <c r="L362" s="4" t="s">
        <v>123</v>
      </c>
      <c r="M362" s="4">
        <v>3</v>
      </c>
      <c r="N362" s="4">
        <v>60</v>
      </c>
      <c r="O362" s="4">
        <v>20</v>
      </c>
      <c r="P362" s="4">
        <v>144</v>
      </c>
      <c r="Q362" s="4">
        <v>4</v>
      </c>
      <c r="R362" s="4" t="s">
        <v>88</v>
      </c>
      <c r="S362" s="4" t="s">
        <v>151</v>
      </c>
      <c r="T362" s="4" t="s">
        <v>132</v>
      </c>
      <c r="U362" s="6" t="s">
        <v>1604</v>
      </c>
      <c r="V362" s="4" t="s">
        <v>64</v>
      </c>
    </row>
    <row r="363" spans="1:22">
      <c r="A363" s="7" t="s">
        <v>1605</v>
      </c>
      <c r="B363" s="8" t="s">
        <v>71</v>
      </c>
      <c r="C363" s="8" t="s">
        <v>24</v>
      </c>
      <c r="D363" s="8" t="s">
        <v>1106</v>
      </c>
      <c r="E363" s="8" t="s">
        <v>155</v>
      </c>
      <c r="F363" s="8" t="s">
        <v>217</v>
      </c>
      <c r="G363" s="8" t="s">
        <v>76</v>
      </c>
      <c r="H363" s="8" t="s">
        <v>1606</v>
      </c>
      <c r="I363" s="8" t="s">
        <v>105</v>
      </c>
      <c r="J363" s="8" t="s">
        <v>106</v>
      </c>
      <c r="K363" s="8" t="s">
        <v>32</v>
      </c>
      <c r="L363" s="8" t="s">
        <v>33</v>
      </c>
      <c r="M363" s="8">
        <v>19</v>
      </c>
      <c r="N363" s="8">
        <v>2200</v>
      </c>
      <c r="O363" s="8">
        <v>10</v>
      </c>
      <c r="P363" s="8">
        <v>37620</v>
      </c>
      <c r="Q363" s="8">
        <v>2</v>
      </c>
      <c r="R363" s="8" t="s">
        <v>34</v>
      </c>
      <c r="S363" s="8" t="s">
        <v>151</v>
      </c>
      <c r="T363" s="8" t="s">
        <v>80</v>
      </c>
      <c r="U363" s="9" t="s">
        <v>1607</v>
      </c>
      <c r="V363" s="8" t="s">
        <v>64</v>
      </c>
    </row>
    <row r="364" spans="1:22">
      <c r="A364" s="3" t="s">
        <v>1608</v>
      </c>
      <c r="B364" s="4" t="s">
        <v>71</v>
      </c>
      <c r="C364" s="4" t="s">
        <v>72</v>
      </c>
      <c r="D364" s="4" t="s">
        <v>1609</v>
      </c>
      <c r="E364" s="4" t="s">
        <v>588</v>
      </c>
      <c r="F364" s="4" t="s">
        <v>217</v>
      </c>
      <c r="G364" s="4" t="s">
        <v>76</v>
      </c>
      <c r="H364" s="4" t="s">
        <v>1610</v>
      </c>
      <c r="I364" s="4" t="s">
        <v>30</v>
      </c>
      <c r="J364" s="4" t="s">
        <v>31</v>
      </c>
      <c r="K364" s="4" t="s">
        <v>46</v>
      </c>
      <c r="L364" s="4" t="s">
        <v>78</v>
      </c>
      <c r="M364" s="4">
        <v>7</v>
      </c>
      <c r="N364" s="4">
        <v>1200</v>
      </c>
      <c r="O364" s="4">
        <v>20</v>
      </c>
      <c r="P364" s="4">
        <v>6720</v>
      </c>
      <c r="Q364" s="4">
        <v>3</v>
      </c>
      <c r="R364" s="4" t="s">
        <v>79</v>
      </c>
      <c r="S364" s="4" t="s">
        <v>115</v>
      </c>
      <c r="T364" s="4" t="s">
        <v>80</v>
      </c>
      <c r="U364" s="6" t="s">
        <v>1611</v>
      </c>
      <c r="V364" s="4" t="s">
        <v>69</v>
      </c>
    </row>
    <row r="365" spans="1:22">
      <c r="A365" s="7" t="s">
        <v>1612</v>
      </c>
      <c r="B365" s="8" t="s">
        <v>53</v>
      </c>
      <c r="C365" s="8" t="s">
        <v>222</v>
      </c>
      <c r="D365" s="8" t="s">
        <v>543</v>
      </c>
      <c r="E365" s="8" t="s">
        <v>65</v>
      </c>
      <c r="F365" s="8" t="s">
        <v>163</v>
      </c>
      <c r="G365" s="8" t="s">
        <v>28</v>
      </c>
      <c r="H365" s="8" t="s">
        <v>1613</v>
      </c>
      <c r="I365" s="8" t="s">
        <v>59</v>
      </c>
      <c r="J365" s="8" t="s">
        <v>31</v>
      </c>
      <c r="K365" s="8" t="s">
        <v>122</v>
      </c>
      <c r="L365" s="8" t="s">
        <v>227</v>
      </c>
      <c r="M365" s="8">
        <v>20</v>
      </c>
      <c r="N365" s="8">
        <v>20</v>
      </c>
      <c r="O365" s="8">
        <v>20</v>
      </c>
      <c r="P365" s="8">
        <v>320</v>
      </c>
      <c r="Q365" s="8">
        <v>5</v>
      </c>
      <c r="R365" s="8" t="s">
        <v>79</v>
      </c>
      <c r="S365" s="8" t="s">
        <v>115</v>
      </c>
      <c r="T365" s="8" t="s">
        <v>62</v>
      </c>
      <c r="U365" s="9" t="s">
        <v>1614</v>
      </c>
      <c r="V365" s="8" t="s">
        <v>64</v>
      </c>
    </row>
    <row r="366" spans="1:22">
      <c r="A366" s="3" t="s">
        <v>1615</v>
      </c>
      <c r="B366" s="4" t="s">
        <v>100</v>
      </c>
      <c r="C366" s="4" t="s">
        <v>72</v>
      </c>
      <c r="D366" s="4" t="s">
        <v>210</v>
      </c>
      <c r="E366" s="4" t="s">
        <v>1616</v>
      </c>
      <c r="F366" s="4" t="s">
        <v>103</v>
      </c>
      <c r="G366" s="4" t="s">
        <v>28</v>
      </c>
      <c r="H366" s="4" t="s">
        <v>1617</v>
      </c>
      <c r="I366" s="4" t="s">
        <v>30</v>
      </c>
      <c r="J366" s="4" t="s">
        <v>31</v>
      </c>
      <c r="K366" s="4" t="s">
        <v>46</v>
      </c>
      <c r="L366" s="4" t="s">
        <v>78</v>
      </c>
      <c r="M366" s="4">
        <v>19</v>
      </c>
      <c r="N366" s="4">
        <v>1200</v>
      </c>
      <c r="O366" s="4">
        <v>5</v>
      </c>
      <c r="P366" s="4">
        <v>21660</v>
      </c>
      <c r="Q366" s="4">
        <v>3</v>
      </c>
      <c r="R366" s="4" t="s">
        <v>79</v>
      </c>
      <c r="S366" s="4" t="s">
        <v>35</v>
      </c>
      <c r="T366" s="4" t="s">
        <v>144</v>
      </c>
      <c r="U366" s="6" t="s">
        <v>1618</v>
      </c>
      <c r="V366" s="4" t="s">
        <v>64</v>
      </c>
    </row>
    <row r="367" spans="1:22">
      <c r="A367" s="7" t="s">
        <v>1619</v>
      </c>
      <c r="B367" s="8" t="s">
        <v>53</v>
      </c>
      <c r="C367" s="8" t="s">
        <v>222</v>
      </c>
      <c r="D367" s="8" t="s">
        <v>1620</v>
      </c>
      <c r="E367" s="8" t="s">
        <v>302</v>
      </c>
      <c r="F367" s="8" t="s">
        <v>163</v>
      </c>
      <c r="G367" s="8" t="s">
        <v>28</v>
      </c>
      <c r="H367" s="8" t="s">
        <v>1621</v>
      </c>
      <c r="I367" s="8" t="s">
        <v>30</v>
      </c>
      <c r="J367" s="8" t="s">
        <v>31</v>
      </c>
      <c r="K367" s="8" t="s">
        <v>122</v>
      </c>
      <c r="L367" s="8" t="s">
        <v>227</v>
      </c>
      <c r="M367" s="8">
        <v>5</v>
      </c>
      <c r="N367" s="8">
        <v>20</v>
      </c>
      <c r="O367" s="8">
        <v>0</v>
      </c>
      <c r="P367" s="8">
        <v>100</v>
      </c>
      <c r="Q367" s="8">
        <v>2</v>
      </c>
      <c r="R367" s="8" t="s">
        <v>88</v>
      </c>
      <c r="S367" s="8" t="s">
        <v>49</v>
      </c>
      <c r="T367" s="8" t="s">
        <v>62</v>
      </c>
      <c r="U367" s="9" t="s">
        <v>1622</v>
      </c>
      <c r="V367" s="8" t="s">
        <v>64</v>
      </c>
    </row>
    <row r="368" spans="1:22">
      <c r="A368" s="3" t="s">
        <v>1623</v>
      </c>
      <c r="B368" s="4" t="s">
        <v>100</v>
      </c>
      <c r="C368" s="4" t="s">
        <v>259</v>
      </c>
      <c r="D368" s="4" t="s">
        <v>797</v>
      </c>
      <c r="E368" s="4" t="s">
        <v>543</v>
      </c>
      <c r="F368" s="4" t="s">
        <v>103</v>
      </c>
      <c r="G368" s="4" t="s">
        <v>28</v>
      </c>
      <c r="H368" s="4" t="s">
        <v>1624</v>
      </c>
      <c r="I368" s="4" t="s">
        <v>212</v>
      </c>
      <c r="J368" s="4" t="s">
        <v>45</v>
      </c>
      <c r="K368" s="4" t="s">
        <v>122</v>
      </c>
      <c r="L368" s="4" t="s">
        <v>263</v>
      </c>
      <c r="M368" s="4">
        <v>16</v>
      </c>
      <c r="N368" s="4">
        <v>45</v>
      </c>
      <c r="O368" s="4">
        <v>15</v>
      </c>
      <c r="P368" s="4">
        <v>612</v>
      </c>
      <c r="Q368" s="4">
        <v>5</v>
      </c>
      <c r="R368" s="4" t="s">
        <v>34</v>
      </c>
      <c r="S368" s="4" t="s">
        <v>61</v>
      </c>
      <c r="T368" s="4" t="s">
        <v>144</v>
      </c>
      <c r="U368" s="6" t="s">
        <v>1625</v>
      </c>
      <c r="V368" s="4" t="s">
        <v>69</v>
      </c>
    </row>
    <row r="369" spans="1:22">
      <c r="A369" s="7" t="s">
        <v>1626</v>
      </c>
      <c r="B369" s="8" t="s">
        <v>23</v>
      </c>
      <c r="C369" s="8" t="s">
        <v>24</v>
      </c>
      <c r="D369" s="8" t="s">
        <v>1263</v>
      </c>
      <c r="E369" s="8" t="s">
        <v>944</v>
      </c>
      <c r="F369" s="8" t="s">
        <v>27</v>
      </c>
      <c r="G369" s="8" t="s">
        <v>28</v>
      </c>
      <c r="H369" s="8" t="s">
        <v>1627</v>
      </c>
      <c r="I369" s="8" t="s">
        <v>212</v>
      </c>
      <c r="J369" s="8" t="s">
        <v>45</v>
      </c>
      <c r="K369" s="8" t="s">
        <v>32</v>
      </c>
      <c r="L369" s="8" t="s">
        <v>33</v>
      </c>
      <c r="M369" s="8">
        <v>1</v>
      </c>
      <c r="N369" s="8">
        <v>2200</v>
      </c>
      <c r="O369" s="8">
        <v>10</v>
      </c>
      <c r="P369" s="8">
        <v>1980</v>
      </c>
      <c r="Q369" s="8">
        <v>5</v>
      </c>
      <c r="R369" s="8" t="s">
        <v>79</v>
      </c>
      <c r="S369" s="8" t="s">
        <v>49</v>
      </c>
      <c r="T369" s="8" t="s">
        <v>50</v>
      </c>
      <c r="U369" s="9" t="s">
        <v>1628</v>
      </c>
      <c r="V369" s="8" t="s">
        <v>38</v>
      </c>
    </row>
    <row r="370" spans="1:22">
      <c r="A370" s="3" t="s">
        <v>1629</v>
      </c>
      <c r="B370" s="4" t="s">
        <v>53</v>
      </c>
      <c r="C370" s="4" t="s">
        <v>118</v>
      </c>
      <c r="D370" s="4" t="s">
        <v>891</v>
      </c>
      <c r="E370" s="4" t="s">
        <v>1630</v>
      </c>
      <c r="F370" s="4" t="s">
        <v>163</v>
      </c>
      <c r="G370" s="4" t="s">
        <v>28</v>
      </c>
      <c r="H370" s="4" t="s">
        <v>1631</v>
      </c>
      <c r="I370" s="4" t="s">
        <v>30</v>
      </c>
      <c r="J370" s="4" t="s">
        <v>31</v>
      </c>
      <c r="K370" s="4" t="s">
        <v>122</v>
      </c>
      <c r="L370" s="4" t="s">
        <v>123</v>
      </c>
      <c r="M370" s="4">
        <v>19</v>
      </c>
      <c r="N370" s="4">
        <v>60</v>
      </c>
      <c r="O370" s="4">
        <v>15</v>
      </c>
      <c r="P370" s="4">
        <v>969</v>
      </c>
      <c r="Q370" s="4">
        <v>4</v>
      </c>
      <c r="R370" s="4" t="s">
        <v>48</v>
      </c>
      <c r="S370" s="4" t="s">
        <v>115</v>
      </c>
      <c r="T370" s="4" t="s">
        <v>62</v>
      </c>
      <c r="U370" s="6" t="s">
        <v>1632</v>
      </c>
      <c r="V370" s="4" t="s">
        <v>69</v>
      </c>
    </row>
    <row r="371" spans="1:22">
      <c r="A371" s="7" t="s">
        <v>1633</v>
      </c>
      <c r="B371" s="8" t="s">
        <v>327</v>
      </c>
      <c r="C371" s="8" t="s">
        <v>54</v>
      </c>
      <c r="D371" s="8"/>
      <c r="E371" s="8" t="s">
        <v>1634</v>
      </c>
      <c r="F371" s="8" t="s">
        <v>394</v>
      </c>
      <c r="G371" s="8" t="s">
        <v>76</v>
      </c>
      <c r="H371" s="8" t="s">
        <v>1635</v>
      </c>
      <c r="I371" s="8" t="s">
        <v>44</v>
      </c>
      <c r="J371" s="8" t="s">
        <v>45</v>
      </c>
      <c r="K371" s="8" t="s">
        <v>46</v>
      </c>
      <c r="L371" s="8" t="s">
        <v>60</v>
      </c>
      <c r="M371" s="8">
        <v>15</v>
      </c>
      <c r="N371" s="8">
        <v>55000</v>
      </c>
      <c r="O371" s="8">
        <v>0</v>
      </c>
      <c r="P371" s="8">
        <v>825000</v>
      </c>
      <c r="Q371" s="8">
        <v>5</v>
      </c>
      <c r="R371" s="8" t="s">
        <v>79</v>
      </c>
      <c r="S371" s="8" t="s">
        <v>115</v>
      </c>
      <c r="T371" s="8" t="s">
        <v>332</v>
      </c>
      <c r="U371" s="9" t="s">
        <v>1636</v>
      </c>
      <c r="V371" s="8" t="s">
        <v>69</v>
      </c>
    </row>
    <row r="372" spans="1:22">
      <c r="A372" s="3" t="s">
        <v>1637</v>
      </c>
      <c r="B372" s="4" t="s">
        <v>71</v>
      </c>
      <c r="C372" s="4" t="s">
        <v>259</v>
      </c>
      <c r="D372" s="4" t="s">
        <v>941</v>
      </c>
      <c r="E372" s="4" t="s">
        <v>1638</v>
      </c>
      <c r="F372" s="4" t="s">
        <v>217</v>
      </c>
      <c r="G372" s="4" t="s">
        <v>76</v>
      </c>
      <c r="H372" s="4" t="s">
        <v>1639</v>
      </c>
      <c r="I372" s="4" t="s">
        <v>59</v>
      </c>
      <c r="J372" s="4" t="s">
        <v>31</v>
      </c>
      <c r="K372" s="4" t="s">
        <v>122</v>
      </c>
      <c r="L372" s="4" t="s">
        <v>263</v>
      </c>
      <c r="M372" s="4">
        <v>11</v>
      </c>
      <c r="N372" s="4">
        <v>45</v>
      </c>
      <c r="O372" s="4">
        <v>5</v>
      </c>
      <c r="P372" s="4">
        <v>470.25</v>
      </c>
      <c r="Q372" s="4">
        <v>5</v>
      </c>
      <c r="R372" s="4" t="s">
        <v>48</v>
      </c>
      <c r="S372" s="4" t="s">
        <v>151</v>
      </c>
      <c r="T372" s="4" t="s">
        <v>80</v>
      </c>
      <c r="U372" s="6" t="s">
        <v>1640</v>
      </c>
      <c r="V372" s="4" t="s">
        <v>38</v>
      </c>
    </row>
    <row r="373" spans="1:22">
      <c r="A373" s="7" t="s">
        <v>1641</v>
      </c>
      <c r="B373" s="8" t="s">
        <v>251</v>
      </c>
      <c r="C373" s="8" t="s">
        <v>222</v>
      </c>
      <c r="D373" s="8" t="s">
        <v>1642</v>
      </c>
      <c r="E373" s="8" t="s">
        <v>1643</v>
      </c>
      <c r="F373" s="8" t="s">
        <v>254</v>
      </c>
      <c r="G373" s="8" t="s">
        <v>28</v>
      </c>
      <c r="H373" s="8" t="s">
        <v>1644</v>
      </c>
      <c r="I373" s="8" t="s">
        <v>212</v>
      </c>
      <c r="J373" s="8" t="s">
        <v>45</v>
      </c>
      <c r="K373" s="8" t="s">
        <v>122</v>
      </c>
      <c r="L373" s="8" t="s">
        <v>227</v>
      </c>
      <c r="M373" s="8">
        <v>9</v>
      </c>
      <c r="N373" s="8">
        <v>20</v>
      </c>
      <c r="O373" s="8">
        <v>10</v>
      </c>
      <c r="P373" s="8">
        <v>162</v>
      </c>
      <c r="Q373" s="8">
        <v>1</v>
      </c>
      <c r="R373" s="8" t="s">
        <v>79</v>
      </c>
      <c r="S373" s="8" t="s">
        <v>49</v>
      </c>
      <c r="T373" s="8" t="s">
        <v>256</v>
      </c>
      <c r="U373" s="9" t="s">
        <v>1645</v>
      </c>
      <c r="V373" s="8" t="s">
        <v>69</v>
      </c>
    </row>
    <row r="374" spans="1:22">
      <c r="A374" s="3" t="s">
        <v>1646</v>
      </c>
      <c r="B374" s="4" t="s">
        <v>168</v>
      </c>
      <c r="C374" s="4" t="s">
        <v>259</v>
      </c>
      <c r="D374" s="4" t="s">
        <v>645</v>
      </c>
      <c r="E374" s="4" t="s">
        <v>980</v>
      </c>
      <c r="F374" s="4" t="s">
        <v>361</v>
      </c>
      <c r="G374" s="4" t="s">
        <v>28</v>
      </c>
      <c r="H374" s="4" t="s">
        <v>1647</v>
      </c>
      <c r="I374" s="4" t="s">
        <v>59</v>
      </c>
      <c r="J374" s="4" t="s">
        <v>31</v>
      </c>
      <c r="K374" s="4" t="s">
        <v>122</v>
      </c>
      <c r="L374" s="4" t="s">
        <v>263</v>
      </c>
      <c r="M374" s="4">
        <v>5</v>
      </c>
      <c r="N374" s="4">
        <v>45</v>
      </c>
      <c r="O374" s="4">
        <v>5</v>
      </c>
      <c r="P374" s="4">
        <v>213.75</v>
      </c>
      <c r="Q374" s="4">
        <v>3</v>
      </c>
      <c r="R374" s="4" t="s">
        <v>79</v>
      </c>
      <c r="S374" s="4" t="s">
        <v>115</v>
      </c>
      <c r="T374" s="4" t="s">
        <v>175</v>
      </c>
      <c r="U374" s="6" t="s">
        <v>1648</v>
      </c>
      <c r="V374" s="4" t="s">
        <v>64</v>
      </c>
    </row>
    <row r="375" spans="1:22">
      <c r="A375" s="7" t="s">
        <v>1649</v>
      </c>
      <c r="B375" s="8" t="s">
        <v>83</v>
      </c>
      <c r="C375" s="8" t="s">
        <v>184</v>
      </c>
      <c r="D375" s="8" t="s">
        <v>1650</v>
      </c>
      <c r="E375" s="8" t="s">
        <v>1102</v>
      </c>
      <c r="F375" s="8" t="s">
        <v>180</v>
      </c>
      <c r="G375" s="8" t="s">
        <v>76</v>
      </c>
      <c r="H375" s="8" t="s">
        <v>1651</v>
      </c>
      <c r="I375" s="8" t="s">
        <v>30</v>
      </c>
      <c r="J375" s="8" t="s">
        <v>31</v>
      </c>
      <c r="K375" s="8" t="s">
        <v>46</v>
      </c>
      <c r="L375" s="8" t="s">
        <v>189</v>
      </c>
      <c r="M375" s="8">
        <v>5</v>
      </c>
      <c r="N375" s="8">
        <v>700</v>
      </c>
      <c r="O375" s="8">
        <v>10</v>
      </c>
      <c r="P375" s="8">
        <v>3150</v>
      </c>
      <c r="Q375" s="8">
        <v>2</v>
      </c>
      <c r="R375" s="8" t="s">
        <v>88</v>
      </c>
      <c r="S375" s="8" t="s">
        <v>49</v>
      </c>
      <c r="T375" s="8" t="s">
        <v>89</v>
      </c>
      <c r="U375" s="9" t="s">
        <v>1652</v>
      </c>
      <c r="V375" s="8" t="s">
        <v>38</v>
      </c>
    </row>
    <row r="376" spans="1:22">
      <c r="A376" s="3" t="s">
        <v>1653</v>
      </c>
      <c r="B376" s="4" t="s">
        <v>221</v>
      </c>
      <c r="C376" s="4" t="s">
        <v>184</v>
      </c>
      <c r="D376" s="4" t="s">
        <v>957</v>
      </c>
      <c r="E376" s="4" t="s">
        <v>1654</v>
      </c>
      <c r="F376" s="4" t="s">
        <v>225</v>
      </c>
      <c r="G376" s="4" t="s">
        <v>76</v>
      </c>
      <c r="H376" s="4" t="s">
        <v>1655</v>
      </c>
      <c r="I376" s="4" t="s">
        <v>294</v>
      </c>
      <c r="J376" s="4" t="s">
        <v>295</v>
      </c>
      <c r="K376" s="4" t="s">
        <v>46</v>
      </c>
      <c r="L376" s="4" t="s">
        <v>189</v>
      </c>
      <c r="M376" s="4">
        <v>1</v>
      </c>
      <c r="N376" s="4">
        <v>700</v>
      </c>
      <c r="O376" s="4">
        <v>0</v>
      </c>
      <c r="P376" s="4">
        <v>700</v>
      </c>
      <c r="Q376" s="4">
        <v>1</v>
      </c>
      <c r="R376" s="4" t="s">
        <v>88</v>
      </c>
      <c r="S376" s="4" t="s">
        <v>151</v>
      </c>
      <c r="T376" s="4" t="s">
        <v>228</v>
      </c>
      <c r="U376" s="6" t="s">
        <v>1656</v>
      </c>
      <c r="V376" s="4" t="s">
        <v>38</v>
      </c>
    </row>
    <row r="377" spans="1:22">
      <c r="A377" s="7" t="s">
        <v>1657</v>
      </c>
      <c r="B377" s="8" t="s">
        <v>23</v>
      </c>
      <c r="C377" s="8" t="s">
        <v>184</v>
      </c>
      <c r="D377" s="8" t="s">
        <v>1368</v>
      </c>
      <c r="E377" s="8" t="s">
        <v>923</v>
      </c>
      <c r="F377" s="8" t="s">
        <v>27</v>
      </c>
      <c r="G377" s="8" t="s">
        <v>28</v>
      </c>
      <c r="H377" s="8" t="s">
        <v>1658</v>
      </c>
      <c r="I377" s="8" t="s">
        <v>105</v>
      </c>
      <c r="J377" s="8" t="s">
        <v>106</v>
      </c>
      <c r="K377" s="8" t="s">
        <v>46</v>
      </c>
      <c r="L377" s="8" t="s">
        <v>189</v>
      </c>
      <c r="M377" s="8">
        <v>13</v>
      </c>
      <c r="N377" s="8">
        <v>700</v>
      </c>
      <c r="O377" s="8">
        <v>20</v>
      </c>
      <c r="P377" s="8">
        <v>7280</v>
      </c>
      <c r="Q377" s="8">
        <v>2</v>
      </c>
      <c r="R377" s="8" t="s">
        <v>79</v>
      </c>
      <c r="S377" s="8" t="s">
        <v>35</v>
      </c>
      <c r="T377" s="8" t="s">
        <v>50</v>
      </c>
      <c r="U377" s="9" t="s">
        <v>1659</v>
      </c>
      <c r="V377" s="8" t="s">
        <v>38</v>
      </c>
    </row>
    <row r="378" spans="1:22">
      <c r="A378" s="3" t="s">
        <v>1660</v>
      </c>
      <c r="B378" s="4" t="s">
        <v>71</v>
      </c>
      <c r="C378" s="4" t="s">
        <v>40</v>
      </c>
      <c r="D378" s="4" t="s">
        <v>1153</v>
      </c>
      <c r="E378" s="4" t="s">
        <v>303</v>
      </c>
      <c r="F378" s="4" t="s">
        <v>217</v>
      </c>
      <c r="G378" s="4" t="s">
        <v>76</v>
      </c>
      <c r="H378" s="4" t="s">
        <v>1661</v>
      </c>
      <c r="I378" s="4" t="s">
        <v>114</v>
      </c>
      <c r="J378" s="4" t="s">
        <v>106</v>
      </c>
      <c r="K378" s="4" t="s">
        <v>46</v>
      </c>
      <c r="L378" s="4" t="s">
        <v>47</v>
      </c>
      <c r="M378" s="4">
        <v>20</v>
      </c>
      <c r="N378" s="4">
        <v>12000</v>
      </c>
      <c r="O378" s="4">
        <v>0</v>
      </c>
      <c r="P378" s="4">
        <v>240000</v>
      </c>
      <c r="Q378" s="4">
        <v>2</v>
      </c>
      <c r="R378" s="4" t="s">
        <v>79</v>
      </c>
      <c r="S378" s="4" t="s">
        <v>115</v>
      </c>
      <c r="T378" s="4" t="s">
        <v>80</v>
      </c>
      <c r="U378" s="6" t="s">
        <v>1662</v>
      </c>
      <c r="V378" s="4" t="s">
        <v>38</v>
      </c>
    </row>
    <row r="379" spans="1:22">
      <c r="A379" s="7" t="s">
        <v>1663</v>
      </c>
      <c r="B379" s="8" t="s">
        <v>83</v>
      </c>
      <c r="C379" s="8" t="s">
        <v>72</v>
      </c>
      <c r="D379" s="8" t="s">
        <v>1198</v>
      </c>
      <c r="E379" s="8" t="s">
        <v>712</v>
      </c>
      <c r="F379" s="8" t="s">
        <v>180</v>
      </c>
      <c r="G379" s="8" t="s">
        <v>76</v>
      </c>
      <c r="H379" s="8" t="s">
        <v>1664</v>
      </c>
      <c r="I379" s="8" t="s">
        <v>294</v>
      </c>
      <c r="J379" s="8" t="s">
        <v>295</v>
      </c>
      <c r="K379" s="8" t="s">
        <v>46</v>
      </c>
      <c r="L379" s="8" t="s">
        <v>78</v>
      </c>
      <c r="M379" s="8">
        <v>9</v>
      </c>
      <c r="N379" s="8">
        <v>1200</v>
      </c>
      <c r="O379" s="8">
        <v>15</v>
      </c>
      <c r="P379" s="8">
        <v>9180</v>
      </c>
      <c r="Q379" s="8">
        <v>1</v>
      </c>
      <c r="R379" s="8" t="s">
        <v>88</v>
      </c>
      <c r="S379" s="8" t="s">
        <v>35</v>
      </c>
      <c r="T379" s="8" t="s">
        <v>89</v>
      </c>
      <c r="U379" s="9" t="s">
        <v>1665</v>
      </c>
      <c r="V379" s="8" t="s">
        <v>64</v>
      </c>
    </row>
    <row r="380" spans="1:22">
      <c r="A380" s="3" t="s">
        <v>1666</v>
      </c>
      <c r="B380" s="4" t="s">
        <v>83</v>
      </c>
      <c r="C380" s="4" t="s">
        <v>222</v>
      </c>
      <c r="D380" s="4" t="s">
        <v>1221</v>
      </c>
      <c r="E380" s="4" t="s">
        <v>1667</v>
      </c>
      <c r="F380" s="4" t="s">
        <v>180</v>
      </c>
      <c r="G380" s="4" t="s">
        <v>76</v>
      </c>
      <c r="H380" s="4" t="s">
        <v>1668</v>
      </c>
      <c r="I380" s="4" t="s">
        <v>212</v>
      </c>
      <c r="J380" s="4" t="s">
        <v>45</v>
      </c>
      <c r="K380" s="4" t="s">
        <v>122</v>
      </c>
      <c r="L380" s="4" t="s">
        <v>227</v>
      </c>
      <c r="M380" s="4">
        <v>3</v>
      </c>
      <c r="N380" s="4">
        <v>20</v>
      </c>
      <c r="O380" s="4">
        <v>15</v>
      </c>
      <c r="P380" s="4">
        <v>51</v>
      </c>
      <c r="Q380" s="4">
        <v>3</v>
      </c>
      <c r="R380" s="4" t="s">
        <v>34</v>
      </c>
      <c r="S380" s="4" t="s">
        <v>115</v>
      </c>
      <c r="T380" s="4" t="s">
        <v>89</v>
      </c>
      <c r="U380" s="6" t="s">
        <v>1669</v>
      </c>
      <c r="V380" s="4" t="s">
        <v>64</v>
      </c>
    </row>
    <row r="381" spans="1:22">
      <c r="A381" s="7" t="s">
        <v>1670</v>
      </c>
      <c r="B381" s="8" t="s">
        <v>251</v>
      </c>
      <c r="C381" s="8" t="s">
        <v>54</v>
      </c>
      <c r="D381" s="8" t="s">
        <v>788</v>
      </c>
      <c r="E381" s="8" t="s">
        <v>455</v>
      </c>
      <c r="F381" s="8" t="s">
        <v>254</v>
      </c>
      <c r="G381" s="8" t="s">
        <v>28</v>
      </c>
      <c r="H381" s="8" t="s">
        <v>1671</v>
      </c>
      <c r="I381" s="8" t="s">
        <v>44</v>
      </c>
      <c r="J381" s="8" t="s">
        <v>45</v>
      </c>
      <c r="K381" s="8" t="s">
        <v>46</v>
      </c>
      <c r="L381" s="8" t="s">
        <v>60</v>
      </c>
      <c r="M381" s="8">
        <v>8</v>
      </c>
      <c r="N381" s="8">
        <v>55000</v>
      </c>
      <c r="O381" s="8">
        <v>20</v>
      </c>
      <c r="P381" s="8">
        <v>352000</v>
      </c>
      <c r="Q381" s="8">
        <v>5</v>
      </c>
      <c r="R381" s="8" t="s">
        <v>79</v>
      </c>
      <c r="S381" s="8" t="s">
        <v>151</v>
      </c>
      <c r="T381" s="8" t="s">
        <v>256</v>
      </c>
      <c r="U381" s="9" t="s">
        <v>1672</v>
      </c>
      <c r="V381" s="8" t="s">
        <v>64</v>
      </c>
    </row>
    <row r="382" spans="1:22">
      <c r="A382" s="3" t="s">
        <v>1673</v>
      </c>
      <c r="B382" s="4" t="s">
        <v>251</v>
      </c>
      <c r="C382" s="4" t="s">
        <v>118</v>
      </c>
      <c r="D382" s="4" t="s">
        <v>1311</v>
      </c>
      <c r="E382" s="4" t="s">
        <v>74</v>
      </c>
      <c r="F382" s="4" t="s">
        <v>254</v>
      </c>
      <c r="G382" s="4" t="s">
        <v>28</v>
      </c>
      <c r="H382" s="4" t="s">
        <v>1674</v>
      </c>
      <c r="I382" s="4" t="s">
        <v>44</v>
      </c>
      <c r="J382" s="4" t="s">
        <v>45</v>
      </c>
      <c r="K382" s="4" t="s">
        <v>122</v>
      </c>
      <c r="L382" s="4" t="s">
        <v>123</v>
      </c>
      <c r="M382" s="4">
        <v>17</v>
      </c>
      <c r="N382" s="4">
        <v>60</v>
      </c>
      <c r="O382" s="4">
        <v>20</v>
      </c>
      <c r="P382" s="4">
        <v>816</v>
      </c>
      <c r="Q382" s="4">
        <v>1</v>
      </c>
      <c r="R382" s="4" t="s">
        <v>88</v>
      </c>
      <c r="S382" s="4" t="s">
        <v>35</v>
      </c>
      <c r="T382" s="4" t="s">
        <v>256</v>
      </c>
      <c r="U382" s="6" t="s">
        <v>1675</v>
      </c>
      <c r="V382" s="4" t="s">
        <v>64</v>
      </c>
    </row>
    <row r="383" spans="1:22">
      <c r="A383" s="7" t="s">
        <v>1676</v>
      </c>
      <c r="B383" s="8" t="s">
        <v>127</v>
      </c>
      <c r="C383" s="8" t="s">
        <v>222</v>
      </c>
      <c r="D383" s="8" t="s">
        <v>1677</v>
      </c>
      <c r="E383" s="8" t="s">
        <v>236</v>
      </c>
      <c r="F383" s="8" t="s">
        <v>200</v>
      </c>
      <c r="G383" s="8" t="s">
        <v>76</v>
      </c>
      <c r="H383" s="8" t="s">
        <v>1678</v>
      </c>
      <c r="I383" s="8" t="s">
        <v>59</v>
      </c>
      <c r="J383" s="8" t="s">
        <v>31</v>
      </c>
      <c r="K383" s="8" t="s">
        <v>122</v>
      </c>
      <c r="L383" s="8" t="s">
        <v>227</v>
      </c>
      <c r="M383" s="8">
        <v>4</v>
      </c>
      <c r="N383" s="8">
        <v>20</v>
      </c>
      <c r="O383" s="8">
        <v>15</v>
      </c>
      <c r="P383" s="8">
        <v>68</v>
      </c>
      <c r="Q383" s="8">
        <v>3</v>
      </c>
      <c r="R383" s="8" t="s">
        <v>48</v>
      </c>
      <c r="S383" s="8" t="s">
        <v>61</v>
      </c>
      <c r="T383" s="8" t="s">
        <v>132</v>
      </c>
      <c r="U383" s="9" t="s">
        <v>1679</v>
      </c>
      <c r="V383" s="8" t="s">
        <v>64</v>
      </c>
    </row>
    <row r="384" spans="1:22">
      <c r="A384" s="3" t="s">
        <v>1680</v>
      </c>
      <c r="B384" s="4" t="s">
        <v>127</v>
      </c>
      <c r="C384" s="4" t="s">
        <v>24</v>
      </c>
      <c r="D384" s="4" t="s">
        <v>1360</v>
      </c>
      <c r="E384" s="4" t="s">
        <v>775</v>
      </c>
      <c r="F384" s="4" t="s">
        <v>1681</v>
      </c>
      <c r="G384" s="4" t="s">
        <v>76</v>
      </c>
      <c r="H384" s="4" t="s">
        <v>1682</v>
      </c>
      <c r="I384" s="4" t="s">
        <v>294</v>
      </c>
      <c r="J384" s="4" t="s">
        <v>295</v>
      </c>
      <c r="K384" s="4" t="s">
        <v>32</v>
      </c>
      <c r="L384" s="4" t="s">
        <v>33</v>
      </c>
      <c r="M384" s="4">
        <v>2</v>
      </c>
      <c r="N384" s="4">
        <v>2200</v>
      </c>
      <c r="O384" s="4">
        <v>10</v>
      </c>
      <c r="P384" s="4">
        <v>3960</v>
      </c>
      <c r="Q384" s="4">
        <v>2</v>
      </c>
      <c r="R384" s="4" t="s">
        <v>88</v>
      </c>
      <c r="S384" s="4" t="s">
        <v>49</v>
      </c>
      <c r="T384" s="4" t="s">
        <v>132</v>
      </c>
      <c r="U384" s="6" t="s">
        <v>1683</v>
      </c>
      <c r="V384" s="4" t="s">
        <v>64</v>
      </c>
    </row>
    <row r="385" spans="1:22">
      <c r="A385" s="7" t="s">
        <v>1684</v>
      </c>
      <c r="B385" s="8" t="s">
        <v>221</v>
      </c>
      <c r="C385" s="8" t="s">
        <v>118</v>
      </c>
      <c r="D385" s="8" t="s">
        <v>366</v>
      </c>
      <c r="E385" s="8" t="s">
        <v>539</v>
      </c>
      <c r="F385" s="8" t="s">
        <v>225</v>
      </c>
      <c r="G385" s="8" t="s">
        <v>76</v>
      </c>
      <c r="H385" s="8" t="s">
        <v>1685</v>
      </c>
      <c r="I385" s="8" t="s">
        <v>59</v>
      </c>
      <c r="J385" s="8" t="s">
        <v>31</v>
      </c>
      <c r="K385" s="8" t="s">
        <v>122</v>
      </c>
      <c r="L385" s="8" t="s">
        <v>123</v>
      </c>
      <c r="M385" s="8">
        <v>5</v>
      </c>
      <c r="N385" s="8">
        <v>60</v>
      </c>
      <c r="O385" s="8">
        <v>5</v>
      </c>
      <c r="P385" s="8">
        <v>285</v>
      </c>
      <c r="Q385" s="8">
        <v>1</v>
      </c>
      <c r="R385" s="8" t="s">
        <v>88</v>
      </c>
      <c r="S385" s="8" t="s">
        <v>35</v>
      </c>
      <c r="T385" s="8" t="s">
        <v>228</v>
      </c>
      <c r="U385" s="9" t="s">
        <v>1686</v>
      </c>
      <c r="V385" s="8" t="s">
        <v>69</v>
      </c>
    </row>
    <row r="386" spans="1:22">
      <c r="A386" s="3" t="s">
        <v>1687</v>
      </c>
      <c r="B386" s="4" t="s">
        <v>127</v>
      </c>
      <c r="C386" s="4" t="s">
        <v>24</v>
      </c>
      <c r="D386" s="4" t="s">
        <v>1688</v>
      </c>
      <c r="E386" s="4" t="s">
        <v>1689</v>
      </c>
      <c r="F386" s="4" t="s">
        <v>200</v>
      </c>
      <c r="G386" s="4" t="s">
        <v>76</v>
      </c>
      <c r="H386" s="4" t="s">
        <v>1690</v>
      </c>
      <c r="I386" s="4" t="s">
        <v>44</v>
      </c>
      <c r="J386" s="4" t="s">
        <v>45</v>
      </c>
      <c r="K386" s="4" t="s">
        <v>32</v>
      </c>
      <c r="L386" s="4" t="s">
        <v>33</v>
      </c>
      <c r="M386" s="4">
        <v>17</v>
      </c>
      <c r="N386" s="4">
        <v>2200</v>
      </c>
      <c r="O386" s="4">
        <v>0</v>
      </c>
      <c r="P386" s="4">
        <v>37400</v>
      </c>
      <c r="Q386" s="4">
        <v>2</v>
      </c>
      <c r="R386" s="4" t="s">
        <v>88</v>
      </c>
      <c r="S386" s="4" t="s">
        <v>151</v>
      </c>
      <c r="T386" s="4" t="s">
        <v>132</v>
      </c>
      <c r="U386" s="6" t="s">
        <v>1691</v>
      </c>
      <c r="V386" s="4" t="s">
        <v>69</v>
      </c>
    </row>
    <row r="387" spans="1:22">
      <c r="A387" s="7" t="s">
        <v>1692</v>
      </c>
      <c r="B387" s="8" t="s">
        <v>168</v>
      </c>
      <c r="C387" s="8" t="s">
        <v>118</v>
      </c>
      <c r="D387" s="8" t="s">
        <v>186</v>
      </c>
      <c r="E387" s="8" t="s">
        <v>610</v>
      </c>
      <c r="F387" s="8" t="s">
        <v>361</v>
      </c>
      <c r="G387" s="8" t="s">
        <v>28</v>
      </c>
      <c r="H387" s="8" t="s">
        <v>1693</v>
      </c>
      <c r="I387" s="8" t="s">
        <v>138</v>
      </c>
      <c r="J387" s="8" t="s">
        <v>106</v>
      </c>
      <c r="K387" s="8" t="s">
        <v>122</v>
      </c>
      <c r="L387" s="8" t="s">
        <v>123</v>
      </c>
      <c r="M387" s="8">
        <v>7</v>
      </c>
      <c r="N387" s="8">
        <v>60</v>
      </c>
      <c r="O387" s="8">
        <v>0</v>
      </c>
      <c r="P387" s="8">
        <v>420</v>
      </c>
      <c r="Q387" s="8">
        <v>2</v>
      </c>
      <c r="R387" s="8" t="s">
        <v>88</v>
      </c>
      <c r="S387" s="8" t="s">
        <v>61</v>
      </c>
      <c r="T387" s="8" t="s">
        <v>175</v>
      </c>
      <c r="U387" s="9" t="s">
        <v>1694</v>
      </c>
      <c r="V387" s="8" t="s">
        <v>64</v>
      </c>
    </row>
    <row r="388" spans="1:22">
      <c r="A388" s="3" t="s">
        <v>1695</v>
      </c>
      <c r="B388" s="4" t="s">
        <v>221</v>
      </c>
      <c r="C388" s="4" t="s">
        <v>54</v>
      </c>
      <c r="D388" s="4" t="s">
        <v>702</v>
      </c>
      <c r="E388" s="4" t="s">
        <v>1696</v>
      </c>
      <c r="F388" s="4" t="s">
        <v>225</v>
      </c>
      <c r="G388" s="4" t="s">
        <v>76</v>
      </c>
      <c r="H388" s="4" t="s">
        <v>1697</v>
      </c>
      <c r="I388" s="4" t="s">
        <v>30</v>
      </c>
      <c r="J388" s="4" t="s">
        <v>31</v>
      </c>
      <c r="K388" s="4" t="s">
        <v>46</v>
      </c>
      <c r="L388" s="4" t="s">
        <v>60</v>
      </c>
      <c r="M388" s="4">
        <v>6</v>
      </c>
      <c r="N388" s="4">
        <v>55000</v>
      </c>
      <c r="O388" s="4">
        <v>5</v>
      </c>
      <c r="P388" s="4">
        <v>313500</v>
      </c>
      <c r="Q388" s="4">
        <v>4</v>
      </c>
      <c r="R388" s="4" t="s">
        <v>79</v>
      </c>
      <c r="S388" s="4" t="s">
        <v>61</v>
      </c>
      <c r="T388" s="4" t="s">
        <v>228</v>
      </c>
      <c r="U388" s="6" t="s">
        <v>1698</v>
      </c>
      <c r="V388" s="4" t="s">
        <v>38</v>
      </c>
    </row>
    <row r="389" spans="1:22">
      <c r="A389" s="7" t="s">
        <v>1699</v>
      </c>
      <c r="B389" s="8" t="s">
        <v>71</v>
      </c>
      <c r="C389" s="8" t="s">
        <v>222</v>
      </c>
      <c r="D389" s="8" t="s">
        <v>1306</v>
      </c>
      <c r="E389" s="8" t="s">
        <v>1700</v>
      </c>
      <c r="F389" s="8" t="s">
        <v>217</v>
      </c>
      <c r="G389" s="8" t="s">
        <v>76</v>
      </c>
      <c r="H389" s="8" t="s">
        <v>1701</v>
      </c>
      <c r="I389" s="8" t="s">
        <v>30</v>
      </c>
      <c r="J389" s="8" t="s">
        <v>31</v>
      </c>
      <c r="K389" s="8" t="s">
        <v>122</v>
      </c>
      <c r="L389" s="8" t="s">
        <v>227</v>
      </c>
      <c r="M389" s="8">
        <v>16</v>
      </c>
      <c r="N389" s="8">
        <v>20</v>
      </c>
      <c r="O389" s="8">
        <v>5</v>
      </c>
      <c r="P389" s="8">
        <v>304</v>
      </c>
      <c r="Q389" s="8">
        <v>1</v>
      </c>
      <c r="R389" s="8" t="s">
        <v>79</v>
      </c>
      <c r="S389" s="8" t="s">
        <v>49</v>
      </c>
      <c r="T389" s="8" t="s">
        <v>80</v>
      </c>
      <c r="U389" s="9" t="s">
        <v>1702</v>
      </c>
      <c r="V389" s="8" t="s">
        <v>38</v>
      </c>
    </row>
    <row r="390" spans="1:22">
      <c r="A390" s="3" t="s">
        <v>1703</v>
      </c>
      <c r="B390" s="4" t="s">
        <v>23</v>
      </c>
      <c r="C390" s="4" t="s">
        <v>24</v>
      </c>
      <c r="D390" s="4" t="s">
        <v>1704</v>
      </c>
      <c r="E390" s="4" t="s">
        <v>1705</v>
      </c>
      <c r="F390" s="4" t="s">
        <v>27</v>
      </c>
      <c r="G390" s="4" t="s">
        <v>28</v>
      </c>
      <c r="H390" s="4" t="s">
        <v>1706</v>
      </c>
      <c r="I390" s="4" t="s">
        <v>294</v>
      </c>
      <c r="J390" s="4" t="s">
        <v>295</v>
      </c>
      <c r="K390" s="4" t="s">
        <v>32</v>
      </c>
      <c r="L390" s="4" t="s">
        <v>33</v>
      </c>
      <c r="M390" s="4">
        <v>11</v>
      </c>
      <c r="N390" s="4">
        <v>2200</v>
      </c>
      <c r="O390" s="4">
        <v>15</v>
      </c>
      <c r="P390" s="4">
        <v>20570</v>
      </c>
      <c r="Q390" s="4">
        <v>1</v>
      </c>
      <c r="R390" s="4" t="s">
        <v>48</v>
      </c>
      <c r="S390" s="4" t="s">
        <v>115</v>
      </c>
      <c r="T390" s="4" t="s">
        <v>50</v>
      </c>
      <c r="U390" s="6" t="s">
        <v>1707</v>
      </c>
      <c r="V390" s="4" t="s">
        <v>69</v>
      </c>
    </row>
    <row r="391" spans="1:22">
      <c r="A391" s="7" t="s">
        <v>1708</v>
      </c>
      <c r="B391" s="8" t="s">
        <v>100</v>
      </c>
      <c r="C391" s="8" t="s">
        <v>222</v>
      </c>
      <c r="D391" s="8" t="s">
        <v>1069</v>
      </c>
      <c r="E391" s="8" t="s">
        <v>1409</v>
      </c>
      <c r="F391" s="8" t="s">
        <v>103</v>
      </c>
      <c r="G391" s="8" t="s">
        <v>28</v>
      </c>
      <c r="H391" s="8" t="s">
        <v>1709</v>
      </c>
      <c r="I391" s="8" t="s">
        <v>114</v>
      </c>
      <c r="J391" s="8" t="s">
        <v>106</v>
      </c>
      <c r="K391" s="8" t="s">
        <v>122</v>
      </c>
      <c r="L391" s="8" t="s">
        <v>227</v>
      </c>
      <c r="M391" s="8">
        <v>19</v>
      </c>
      <c r="N391" s="8">
        <v>20</v>
      </c>
      <c r="O391" s="8">
        <v>5</v>
      </c>
      <c r="P391" s="8">
        <v>361</v>
      </c>
      <c r="Q391" s="8">
        <v>4</v>
      </c>
      <c r="R391" s="8" t="s">
        <v>88</v>
      </c>
      <c r="S391" s="8" t="s">
        <v>35</v>
      </c>
      <c r="T391" s="8" t="s">
        <v>144</v>
      </c>
      <c r="U391" s="9" t="s">
        <v>1710</v>
      </c>
      <c r="V391" s="8" t="s">
        <v>64</v>
      </c>
    </row>
    <row r="392" spans="1:22">
      <c r="A392" s="3" t="s">
        <v>1711</v>
      </c>
      <c r="B392" s="4" t="s">
        <v>100</v>
      </c>
      <c r="C392" s="4" t="s">
        <v>72</v>
      </c>
      <c r="D392" s="4" t="s">
        <v>1712</v>
      </c>
      <c r="E392" s="4" t="s">
        <v>1713</v>
      </c>
      <c r="F392" s="4" t="s">
        <v>103</v>
      </c>
      <c r="G392" s="4" t="s">
        <v>28</v>
      </c>
      <c r="H392" s="4" t="s">
        <v>1714</v>
      </c>
      <c r="I392" s="4" t="s">
        <v>114</v>
      </c>
      <c r="J392" s="4" t="s">
        <v>106</v>
      </c>
      <c r="K392" s="4" t="s">
        <v>46</v>
      </c>
      <c r="L392" s="4" t="s">
        <v>78</v>
      </c>
      <c r="M392" s="4">
        <v>20</v>
      </c>
      <c r="N392" s="4">
        <v>1200</v>
      </c>
      <c r="O392" s="4">
        <v>15</v>
      </c>
      <c r="P392" s="4">
        <v>20400</v>
      </c>
      <c r="Q392" s="4">
        <v>4</v>
      </c>
      <c r="R392" s="4" t="s">
        <v>79</v>
      </c>
      <c r="S392" s="4" t="s">
        <v>35</v>
      </c>
      <c r="T392" s="4" t="s">
        <v>144</v>
      </c>
      <c r="U392" s="6" t="s">
        <v>1715</v>
      </c>
      <c r="V392" s="4" t="s">
        <v>64</v>
      </c>
    </row>
    <row r="393" spans="1:22">
      <c r="A393" s="7" t="s">
        <v>1716</v>
      </c>
      <c r="B393" s="8" t="s">
        <v>53</v>
      </c>
      <c r="C393" s="8" t="s">
        <v>222</v>
      </c>
      <c r="D393" s="8" t="s">
        <v>1717</v>
      </c>
      <c r="E393" s="8" t="s">
        <v>1718</v>
      </c>
      <c r="F393" s="8" t="s">
        <v>163</v>
      </c>
      <c r="G393" s="8" t="s">
        <v>28</v>
      </c>
      <c r="H393" s="8" t="s">
        <v>1719</v>
      </c>
      <c r="I393" s="8" t="s">
        <v>30</v>
      </c>
      <c r="J393" s="8" t="s">
        <v>31</v>
      </c>
      <c r="K393" s="8" t="s">
        <v>122</v>
      </c>
      <c r="L393" s="8" t="s">
        <v>227</v>
      </c>
      <c r="M393" s="8">
        <v>13</v>
      </c>
      <c r="N393" s="8">
        <v>20</v>
      </c>
      <c r="O393" s="8">
        <v>15</v>
      </c>
      <c r="P393" s="8">
        <v>221</v>
      </c>
      <c r="Q393" s="8">
        <v>4</v>
      </c>
      <c r="R393" s="8" t="s">
        <v>34</v>
      </c>
      <c r="S393" s="8" t="s">
        <v>35</v>
      </c>
      <c r="T393" s="8" t="s">
        <v>62</v>
      </c>
      <c r="U393" s="9" t="s">
        <v>1720</v>
      </c>
      <c r="V393" s="8" t="s">
        <v>64</v>
      </c>
    </row>
    <row r="394" spans="1:22">
      <c r="A394" s="3" t="s">
        <v>1721</v>
      </c>
      <c r="B394" s="4" t="s">
        <v>251</v>
      </c>
      <c r="C394" s="4" t="s">
        <v>72</v>
      </c>
      <c r="D394" s="4" t="s">
        <v>205</v>
      </c>
      <c r="E394" s="4" t="s">
        <v>206</v>
      </c>
      <c r="F394" s="4" t="s">
        <v>254</v>
      </c>
      <c r="G394" s="4" t="s">
        <v>28</v>
      </c>
      <c r="H394" s="4" t="s">
        <v>1722</v>
      </c>
      <c r="I394" s="4" t="s">
        <v>44</v>
      </c>
      <c r="J394" s="4" t="s">
        <v>45</v>
      </c>
      <c r="K394" s="4" t="s">
        <v>46</v>
      </c>
      <c r="L394" s="4" t="s">
        <v>78</v>
      </c>
      <c r="M394" s="4">
        <v>12</v>
      </c>
      <c r="N394" s="4">
        <v>1200</v>
      </c>
      <c r="O394" s="4">
        <v>10</v>
      </c>
      <c r="P394" s="4">
        <v>12960</v>
      </c>
      <c r="Q394" s="4">
        <v>3</v>
      </c>
      <c r="R394" s="4" t="s">
        <v>48</v>
      </c>
      <c r="S394" s="4" t="s">
        <v>35</v>
      </c>
      <c r="T394" s="4" t="s">
        <v>256</v>
      </c>
      <c r="U394" s="6" t="s">
        <v>1723</v>
      </c>
      <c r="V394" s="4" t="s">
        <v>64</v>
      </c>
    </row>
    <row r="395" spans="1:22">
      <c r="A395" s="7" t="s">
        <v>1724</v>
      </c>
      <c r="B395" s="8" t="s">
        <v>100</v>
      </c>
      <c r="C395" s="8" t="s">
        <v>169</v>
      </c>
      <c r="D395" s="8" t="s">
        <v>1705</v>
      </c>
      <c r="E395" s="8" t="s">
        <v>783</v>
      </c>
      <c r="F395" s="8" t="s">
        <v>103</v>
      </c>
      <c r="G395" s="8" t="s">
        <v>28</v>
      </c>
      <c r="H395" s="8" t="s">
        <v>1725</v>
      </c>
      <c r="I395" s="8" t="s">
        <v>294</v>
      </c>
      <c r="J395" s="8" t="s">
        <v>295</v>
      </c>
      <c r="K395" s="8" t="s">
        <v>32</v>
      </c>
      <c r="L395" s="8" t="s">
        <v>174</v>
      </c>
      <c r="M395" s="8">
        <v>6</v>
      </c>
      <c r="N395" s="8">
        <v>8500</v>
      </c>
      <c r="O395" s="8">
        <v>5</v>
      </c>
      <c r="P395" s="8">
        <v>48450</v>
      </c>
      <c r="Q395" s="8">
        <v>5</v>
      </c>
      <c r="R395" s="8" t="s">
        <v>34</v>
      </c>
      <c r="S395" s="8" t="s">
        <v>115</v>
      </c>
      <c r="T395" s="8" t="s">
        <v>144</v>
      </c>
      <c r="U395" s="9" t="s">
        <v>1726</v>
      </c>
      <c r="V395" s="8" t="s">
        <v>69</v>
      </c>
    </row>
    <row r="396" spans="1:22">
      <c r="A396" s="3" t="s">
        <v>1727</v>
      </c>
      <c r="B396" s="4" t="s">
        <v>23</v>
      </c>
      <c r="C396" s="4" t="s">
        <v>169</v>
      </c>
      <c r="D396" s="4" t="s">
        <v>1302</v>
      </c>
      <c r="E396" s="4" t="s">
        <v>1728</v>
      </c>
      <c r="F396" s="4" t="s">
        <v>27</v>
      </c>
      <c r="G396" s="4" t="s">
        <v>28</v>
      </c>
      <c r="H396" s="4" t="s">
        <v>1729</v>
      </c>
      <c r="I396" s="4" t="s">
        <v>138</v>
      </c>
      <c r="J396" s="4" t="s">
        <v>106</v>
      </c>
      <c r="K396" s="4" t="s">
        <v>32</v>
      </c>
      <c r="L396" s="4" t="s">
        <v>174</v>
      </c>
      <c r="M396" s="4">
        <v>15</v>
      </c>
      <c r="N396" s="4">
        <v>8500</v>
      </c>
      <c r="O396" s="4">
        <v>10</v>
      </c>
      <c r="P396" s="4">
        <v>114750</v>
      </c>
      <c r="Q396" s="4">
        <v>1</v>
      </c>
      <c r="R396" s="4" t="s">
        <v>34</v>
      </c>
      <c r="S396" s="4" t="s">
        <v>115</v>
      </c>
      <c r="T396" s="4" t="s">
        <v>50</v>
      </c>
      <c r="U396" s="6" t="s">
        <v>1730</v>
      </c>
      <c r="V396" s="4" t="s">
        <v>38</v>
      </c>
    </row>
    <row r="397" spans="1:22">
      <c r="A397" s="7" t="s">
        <v>1731</v>
      </c>
      <c r="B397" s="8" t="s">
        <v>127</v>
      </c>
      <c r="C397" s="8" t="s">
        <v>40</v>
      </c>
      <c r="D397" s="8" t="s">
        <v>1732</v>
      </c>
      <c r="E397" s="8" t="s">
        <v>1733</v>
      </c>
      <c r="F397" s="8" t="s">
        <v>200</v>
      </c>
      <c r="G397" s="8" t="s">
        <v>76</v>
      </c>
      <c r="H397" s="8" t="s">
        <v>1734</v>
      </c>
      <c r="I397" s="8" t="s">
        <v>30</v>
      </c>
      <c r="J397" s="8" t="s">
        <v>31</v>
      </c>
      <c r="K397" s="8" t="s">
        <v>46</v>
      </c>
      <c r="L397" s="8" t="s">
        <v>47</v>
      </c>
      <c r="M397" s="8">
        <v>19</v>
      </c>
      <c r="N397" s="8">
        <v>12000</v>
      </c>
      <c r="O397" s="8">
        <v>20</v>
      </c>
      <c r="P397" s="8">
        <v>182400</v>
      </c>
      <c r="Q397" s="8">
        <v>5</v>
      </c>
      <c r="R397" s="8" t="s">
        <v>34</v>
      </c>
      <c r="S397" s="8" t="s">
        <v>115</v>
      </c>
      <c r="T397" s="8" t="s">
        <v>132</v>
      </c>
      <c r="U397" s="9" t="s">
        <v>1735</v>
      </c>
      <c r="V397" s="8" t="s">
        <v>38</v>
      </c>
    </row>
    <row r="398" spans="1:22">
      <c r="A398" s="3" t="s">
        <v>1736</v>
      </c>
      <c r="B398" s="4" t="s">
        <v>83</v>
      </c>
      <c r="C398" s="4" t="s">
        <v>184</v>
      </c>
      <c r="D398" s="4" t="s">
        <v>142</v>
      </c>
      <c r="E398" s="4" t="s">
        <v>1737</v>
      </c>
      <c r="F398" s="4" t="s">
        <v>180</v>
      </c>
      <c r="G398" s="4" t="s">
        <v>76</v>
      </c>
      <c r="H398" s="4" t="s">
        <v>1738</v>
      </c>
      <c r="I398" s="4" t="s">
        <v>44</v>
      </c>
      <c r="J398" s="4" t="s">
        <v>45</v>
      </c>
      <c r="K398" s="4" t="s">
        <v>46</v>
      </c>
      <c r="L398" s="4" t="s">
        <v>189</v>
      </c>
      <c r="M398" s="4">
        <v>5</v>
      </c>
      <c r="N398" s="4">
        <v>700</v>
      </c>
      <c r="O398" s="4">
        <v>0</v>
      </c>
      <c r="P398" s="4">
        <v>3500</v>
      </c>
      <c r="Q398" s="4">
        <v>2</v>
      </c>
      <c r="R398" s="4" t="s">
        <v>79</v>
      </c>
      <c r="S398" s="4" t="s">
        <v>61</v>
      </c>
      <c r="T398" s="4" t="s">
        <v>89</v>
      </c>
      <c r="U398" s="6" t="s">
        <v>1739</v>
      </c>
      <c r="V398" s="4" t="s">
        <v>69</v>
      </c>
    </row>
    <row r="399" spans="1:22">
      <c r="A399" s="7" t="s">
        <v>1740</v>
      </c>
      <c r="B399" s="8" t="s">
        <v>83</v>
      </c>
      <c r="C399" s="8" t="s">
        <v>40</v>
      </c>
      <c r="D399" s="8" t="s">
        <v>1654</v>
      </c>
      <c r="E399" s="8" t="s">
        <v>765</v>
      </c>
      <c r="F399" s="8" t="s">
        <v>180</v>
      </c>
      <c r="G399" s="8" t="s">
        <v>76</v>
      </c>
      <c r="H399" s="8" t="s">
        <v>1741</v>
      </c>
      <c r="I399" s="8" t="s">
        <v>294</v>
      </c>
      <c r="J399" s="8" t="s">
        <v>295</v>
      </c>
      <c r="K399" s="8" t="s">
        <v>46</v>
      </c>
      <c r="L399" s="8" t="s">
        <v>47</v>
      </c>
      <c r="M399" s="8">
        <v>19</v>
      </c>
      <c r="N399" s="8">
        <v>12000</v>
      </c>
      <c r="O399" s="8">
        <v>0</v>
      </c>
      <c r="P399" s="8">
        <v>228000</v>
      </c>
      <c r="Q399" s="8">
        <v>4</v>
      </c>
      <c r="R399" s="8" t="s">
        <v>88</v>
      </c>
      <c r="S399" s="8" t="s">
        <v>61</v>
      </c>
      <c r="T399" s="8" t="s">
        <v>89</v>
      </c>
      <c r="U399" s="9" t="s">
        <v>1742</v>
      </c>
      <c r="V399" s="8" t="s">
        <v>64</v>
      </c>
    </row>
    <row r="400" spans="1:22">
      <c r="A400" s="3" t="s">
        <v>1743</v>
      </c>
      <c r="B400" s="4" t="s">
        <v>327</v>
      </c>
      <c r="C400" s="4" t="s">
        <v>184</v>
      </c>
      <c r="D400" s="4"/>
      <c r="E400" s="4" t="s">
        <v>1225</v>
      </c>
      <c r="F400" s="4" t="s">
        <v>394</v>
      </c>
      <c r="G400" s="4" t="s">
        <v>76</v>
      </c>
      <c r="H400" s="4" t="s">
        <v>1744</v>
      </c>
      <c r="I400" s="4" t="s">
        <v>59</v>
      </c>
      <c r="J400" s="4" t="s">
        <v>31</v>
      </c>
      <c r="K400" s="4" t="s">
        <v>46</v>
      </c>
      <c r="L400" s="4" t="s">
        <v>189</v>
      </c>
      <c r="M400" s="4">
        <v>12</v>
      </c>
      <c r="N400" s="4">
        <v>700</v>
      </c>
      <c r="O400" s="4">
        <v>15</v>
      </c>
      <c r="P400" s="4">
        <v>7140</v>
      </c>
      <c r="Q400" s="4">
        <v>3</v>
      </c>
      <c r="R400" s="4" t="s">
        <v>79</v>
      </c>
      <c r="S400" s="4" t="s">
        <v>35</v>
      </c>
      <c r="T400" s="4" t="s">
        <v>332</v>
      </c>
      <c r="U400" s="6" t="s">
        <v>1745</v>
      </c>
      <c r="V400" s="4" t="s">
        <v>38</v>
      </c>
    </row>
    <row r="401" spans="1:22">
      <c r="A401" s="7" t="s">
        <v>1746</v>
      </c>
      <c r="B401" s="8" t="s">
        <v>23</v>
      </c>
      <c r="C401" s="8" t="s">
        <v>72</v>
      </c>
      <c r="D401" s="8" t="s">
        <v>1747</v>
      </c>
      <c r="E401" s="8" t="s">
        <v>707</v>
      </c>
      <c r="F401" s="8" t="s">
        <v>27</v>
      </c>
      <c r="G401" s="8" t="s">
        <v>28</v>
      </c>
      <c r="H401" s="8" t="s">
        <v>1748</v>
      </c>
      <c r="I401" s="8" t="s">
        <v>44</v>
      </c>
      <c r="J401" s="8" t="s">
        <v>45</v>
      </c>
      <c r="K401" s="8" t="s">
        <v>46</v>
      </c>
      <c r="L401" s="8" t="s">
        <v>78</v>
      </c>
      <c r="M401" s="8">
        <v>16</v>
      </c>
      <c r="N401" s="8">
        <v>1200</v>
      </c>
      <c r="O401" s="8">
        <v>20</v>
      </c>
      <c r="P401" s="8">
        <v>15360</v>
      </c>
      <c r="Q401" s="8">
        <v>1</v>
      </c>
      <c r="R401" s="8" t="s">
        <v>34</v>
      </c>
      <c r="S401" s="8" t="s">
        <v>49</v>
      </c>
      <c r="T401" s="8" t="s">
        <v>50</v>
      </c>
      <c r="U401" s="9" t="s">
        <v>1749</v>
      </c>
      <c r="V401" s="8" t="s">
        <v>64</v>
      </c>
    </row>
    <row r="402" spans="1:22">
      <c r="A402" s="3" t="s">
        <v>1750</v>
      </c>
      <c r="B402" s="4" t="s">
        <v>71</v>
      </c>
      <c r="C402" s="4" t="s">
        <v>169</v>
      </c>
      <c r="D402" s="4" t="s">
        <v>1052</v>
      </c>
      <c r="E402" s="4" t="s">
        <v>84</v>
      </c>
      <c r="F402" s="4" t="s">
        <v>217</v>
      </c>
      <c r="G402" s="4" t="s">
        <v>76</v>
      </c>
      <c r="H402" s="4" t="s">
        <v>1751</v>
      </c>
      <c r="I402" s="4" t="s">
        <v>30</v>
      </c>
      <c r="J402" s="4" t="s">
        <v>31</v>
      </c>
      <c r="K402" s="4" t="s">
        <v>32</v>
      </c>
      <c r="L402" s="4" t="s">
        <v>174</v>
      </c>
      <c r="M402" s="4">
        <v>10</v>
      </c>
      <c r="N402" s="4">
        <v>8500</v>
      </c>
      <c r="O402" s="4">
        <v>5</v>
      </c>
      <c r="P402" s="4">
        <v>80750</v>
      </c>
      <c r="Q402" s="4">
        <v>5</v>
      </c>
      <c r="R402" s="4" t="s">
        <v>48</v>
      </c>
      <c r="S402" s="4" t="s">
        <v>35</v>
      </c>
      <c r="T402" s="4" t="s">
        <v>80</v>
      </c>
      <c r="U402" s="6" t="s">
        <v>1752</v>
      </c>
      <c r="V402" s="4" t="s">
        <v>38</v>
      </c>
    </row>
    <row r="403" spans="1:22">
      <c r="A403" s="7" t="s">
        <v>1753</v>
      </c>
      <c r="B403" s="8" t="s">
        <v>23</v>
      </c>
      <c r="C403" s="8" t="s">
        <v>222</v>
      </c>
      <c r="D403" s="8" t="s">
        <v>1373</v>
      </c>
      <c r="E403" s="8" t="s">
        <v>386</v>
      </c>
      <c r="F403" s="8" t="s">
        <v>27</v>
      </c>
      <c r="G403" s="8" t="s">
        <v>28</v>
      </c>
      <c r="H403" s="8" t="s">
        <v>1754</v>
      </c>
      <c r="I403" s="8" t="s">
        <v>138</v>
      </c>
      <c r="J403" s="8" t="s">
        <v>106</v>
      </c>
      <c r="K403" s="8" t="s">
        <v>122</v>
      </c>
      <c r="L403" s="8" t="s">
        <v>227</v>
      </c>
      <c r="M403" s="8">
        <v>18</v>
      </c>
      <c r="N403" s="8">
        <v>20</v>
      </c>
      <c r="O403" s="8">
        <v>20</v>
      </c>
      <c r="P403" s="8">
        <v>288</v>
      </c>
      <c r="Q403" s="8">
        <v>1</v>
      </c>
      <c r="R403" s="8" t="s">
        <v>88</v>
      </c>
      <c r="S403" s="8" t="s">
        <v>35</v>
      </c>
      <c r="T403" s="8" t="s">
        <v>50</v>
      </c>
      <c r="U403" s="9" t="s">
        <v>1755</v>
      </c>
      <c r="V403" s="8" t="s">
        <v>64</v>
      </c>
    </row>
    <row r="404" spans="1:22">
      <c r="A404" s="3" t="s">
        <v>1756</v>
      </c>
      <c r="B404" s="4" t="s">
        <v>71</v>
      </c>
      <c r="C404" s="4" t="s">
        <v>169</v>
      </c>
      <c r="D404" s="4" t="s">
        <v>241</v>
      </c>
      <c r="E404" s="4" t="s">
        <v>404</v>
      </c>
      <c r="F404" s="4" t="s">
        <v>217</v>
      </c>
      <c r="G404" s="4" t="s">
        <v>76</v>
      </c>
      <c r="H404" s="4" t="s">
        <v>1757</v>
      </c>
      <c r="I404" s="4" t="s">
        <v>105</v>
      </c>
      <c r="J404" s="4" t="s">
        <v>106</v>
      </c>
      <c r="K404" s="4" t="s">
        <v>32</v>
      </c>
      <c r="L404" s="4" t="s">
        <v>174</v>
      </c>
      <c r="M404" s="4">
        <v>9</v>
      </c>
      <c r="N404" s="4">
        <v>8500</v>
      </c>
      <c r="O404" s="4">
        <v>0</v>
      </c>
      <c r="P404" s="4">
        <v>76500</v>
      </c>
      <c r="Q404" s="4">
        <v>2</v>
      </c>
      <c r="R404" s="4" t="s">
        <v>79</v>
      </c>
      <c r="S404" s="4" t="s">
        <v>35</v>
      </c>
      <c r="T404" s="4" t="s">
        <v>80</v>
      </c>
      <c r="U404" s="6" t="s">
        <v>1758</v>
      </c>
      <c r="V404" s="4" t="s">
        <v>64</v>
      </c>
    </row>
    <row r="405" spans="1:22">
      <c r="A405" s="7" t="s">
        <v>1759</v>
      </c>
      <c r="B405" s="8" t="s">
        <v>23</v>
      </c>
      <c r="C405" s="8" t="s">
        <v>169</v>
      </c>
      <c r="D405" s="8" t="s">
        <v>1221</v>
      </c>
      <c r="E405" s="8" t="s">
        <v>1760</v>
      </c>
      <c r="F405" s="8" t="s">
        <v>27</v>
      </c>
      <c r="G405" s="8" t="s">
        <v>28</v>
      </c>
      <c r="H405" s="8" t="s">
        <v>1761</v>
      </c>
      <c r="I405" s="8" t="s">
        <v>105</v>
      </c>
      <c r="J405" s="8" t="s">
        <v>106</v>
      </c>
      <c r="K405" s="8" t="s">
        <v>32</v>
      </c>
      <c r="L405" s="8" t="s">
        <v>174</v>
      </c>
      <c r="M405" s="8">
        <v>8</v>
      </c>
      <c r="N405" s="8">
        <v>8500</v>
      </c>
      <c r="O405" s="8">
        <v>10</v>
      </c>
      <c r="P405" s="8">
        <v>61200</v>
      </c>
      <c r="Q405" s="8">
        <v>4</v>
      </c>
      <c r="R405" s="8" t="s">
        <v>34</v>
      </c>
      <c r="S405" s="8" t="s">
        <v>115</v>
      </c>
      <c r="T405" s="8" t="s">
        <v>50</v>
      </c>
      <c r="U405" s="9" t="s">
        <v>1762</v>
      </c>
      <c r="V405" s="8" t="s">
        <v>69</v>
      </c>
    </row>
    <row r="406" spans="1:22">
      <c r="A406" s="3" t="s">
        <v>1763</v>
      </c>
      <c r="B406" s="4" t="s">
        <v>53</v>
      </c>
      <c r="C406" s="4" t="s">
        <v>222</v>
      </c>
      <c r="D406" s="4" t="s">
        <v>483</v>
      </c>
      <c r="E406" s="4" t="s">
        <v>1764</v>
      </c>
      <c r="F406" s="4" t="s">
        <v>163</v>
      </c>
      <c r="G406" s="4" t="s">
        <v>28</v>
      </c>
      <c r="H406" s="4" t="s">
        <v>1765</v>
      </c>
      <c r="I406" s="4" t="s">
        <v>114</v>
      </c>
      <c r="J406" s="4" t="s">
        <v>106</v>
      </c>
      <c r="K406" s="4" t="s">
        <v>122</v>
      </c>
      <c r="L406" s="4" t="s">
        <v>227</v>
      </c>
      <c r="M406" s="4">
        <v>3</v>
      </c>
      <c r="N406" s="4">
        <v>20</v>
      </c>
      <c r="O406" s="4">
        <v>10</v>
      </c>
      <c r="P406" s="4">
        <v>54</v>
      </c>
      <c r="Q406" s="4">
        <v>3</v>
      </c>
      <c r="R406" s="4" t="s">
        <v>79</v>
      </c>
      <c r="S406" s="4" t="s">
        <v>151</v>
      </c>
      <c r="T406" s="4" t="s">
        <v>62</v>
      </c>
      <c r="U406" s="6" t="s">
        <v>1766</v>
      </c>
      <c r="V406" s="4" t="s">
        <v>64</v>
      </c>
    </row>
    <row r="407" spans="1:22">
      <c r="A407" s="7" t="s">
        <v>1767</v>
      </c>
      <c r="B407" s="8" t="s">
        <v>168</v>
      </c>
      <c r="C407" s="8" t="s">
        <v>169</v>
      </c>
      <c r="D407" s="8" t="s">
        <v>232</v>
      </c>
      <c r="E407" s="8" t="s">
        <v>641</v>
      </c>
      <c r="F407" s="8" t="s">
        <v>361</v>
      </c>
      <c r="G407" s="8" t="s">
        <v>28</v>
      </c>
      <c r="H407" s="8" t="s">
        <v>1768</v>
      </c>
      <c r="I407" s="8" t="s">
        <v>294</v>
      </c>
      <c r="J407" s="8" t="s">
        <v>295</v>
      </c>
      <c r="K407" s="8" t="s">
        <v>32</v>
      </c>
      <c r="L407" s="8" t="s">
        <v>174</v>
      </c>
      <c r="M407" s="8">
        <v>18</v>
      </c>
      <c r="N407" s="8">
        <v>8500</v>
      </c>
      <c r="O407" s="8">
        <v>10</v>
      </c>
      <c r="P407" s="8">
        <v>137700</v>
      </c>
      <c r="Q407" s="8">
        <v>4</v>
      </c>
      <c r="R407" s="8" t="s">
        <v>34</v>
      </c>
      <c r="S407" s="8" t="s">
        <v>49</v>
      </c>
      <c r="T407" s="8" t="s">
        <v>175</v>
      </c>
      <c r="U407" s="9" t="s">
        <v>1769</v>
      </c>
      <c r="V407" s="8" t="s">
        <v>69</v>
      </c>
    </row>
    <row r="408" spans="1:22">
      <c r="A408" s="3" t="s">
        <v>1770</v>
      </c>
      <c r="B408" s="4" t="s">
        <v>53</v>
      </c>
      <c r="C408" s="4" t="s">
        <v>259</v>
      </c>
      <c r="D408" s="4" t="s">
        <v>308</v>
      </c>
      <c r="E408" s="4" t="s">
        <v>281</v>
      </c>
      <c r="F408" s="4" t="s">
        <v>163</v>
      </c>
      <c r="G408" s="4" t="s">
        <v>28</v>
      </c>
      <c r="H408" s="4" t="s">
        <v>1771</v>
      </c>
      <c r="I408" s="4" t="s">
        <v>114</v>
      </c>
      <c r="J408" s="4" t="s">
        <v>106</v>
      </c>
      <c r="K408" s="4" t="s">
        <v>122</v>
      </c>
      <c r="L408" s="4" t="s">
        <v>263</v>
      </c>
      <c r="M408" s="4">
        <v>5</v>
      </c>
      <c r="N408" s="4">
        <v>45</v>
      </c>
      <c r="O408" s="4">
        <v>10</v>
      </c>
      <c r="P408" s="4">
        <v>202.5</v>
      </c>
      <c r="Q408" s="4">
        <v>3</v>
      </c>
      <c r="R408" s="4" t="s">
        <v>34</v>
      </c>
      <c r="S408" s="4" t="s">
        <v>115</v>
      </c>
      <c r="T408" s="4" t="s">
        <v>62</v>
      </c>
      <c r="U408" s="6" t="s">
        <v>1772</v>
      </c>
      <c r="V408" s="4" t="s">
        <v>64</v>
      </c>
    </row>
    <row r="409" spans="1:22">
      <c r="A409" s="7" t="s">
        <v>1773</v>
      </c>
      <c r="B409" s="8" t="s">
        <v>71</v>
      </c>
      <c r="C409" s="8" t="s">
        <v>259</v>
      </c>
      <c r="D409" s="8" t="s">
        <v>683</v>
      </c>
      <c r="E409" s="8" t="s">
        <v>684</v>
      </c>
      <c r="F409" s="8" t="s">
        <v>217</v>
      </c>
      <c r="G409" s="8" t="s">
        <v>76</v>
      </c>
      <c r="H409" s="8" t="s">
        <v>1774</v>
      </c>
      <c r="I409" s="8" t="s">
        <v>105</v>
      </c>
      <c r="J409" s="8" t="s">
        <v>106</v>
      </c>
      <c r="K409" s="8" t="s">
        <v>122</v>
      </c>
      <c r="L409" s="8" t="s">
        <v>263</v>
      </c>
      <c r="M409" s="8">
        <v>2</v>
      </c>
      <c r="N409" s="8">
        <v>45</v>
      </c>
      <c r="O409" s="8">
        <v>20</v>
      </c>
      <c r="P409" s="8">
        <v>72</v>
      </c>
      <c r="Q409" s="8">
        <v>5</v>
      </c>
      <c r="R409" s="8" t="s">
        <v>88</v>
      </c>
      <c r="S409" s="8" t="s">
        <v>61</v>
      </c>
      <c r="T409" s="8" t="s">
        <v>80</v>
      </c>
      <c r="U409" s="9" t="s">
        <v>1775</v>
      </c>
      <c r="V409" s="8" t="s">
        <v>69</v>
      </c>
    </row>
    <row r="410" spans="1:22">
      <c r="A410" s="3" t="s">
        <v>1776</v>
      </c>
      <c r="B410" s="4" t="s">
        <v>100</v>
      </c>
      <c r="C410" s="4" t="s">
        <v>259</v>
      </c>
      <c r="D410" s="4" t="s">
        <v>1379</v>
      </c>
      <c r="E410" s="4" t="s">
        <v>900</v>
      </c>
      <c r="F410" s="4" t="s">
        <v>103</v>
      </c>
      <c r="G410" s="4" t="s">
        <v>28</v>
      </c>
      <c r="H410" s="4" t="s">
        <v>1777</v>
      </c>
      <c r="I410" s="4" t="s">
        <v>30</v>
      </c>
      <c r="J410" s="4" t="s">
        <v>31</v>
      </c>
      <c r="K410" s="4" t="s">
        <v>122</v>
      </c>
      <c r="L410" s="4" t="s">
        <v>263</v>
      </c>
      <c r="M410" s="4">
        <v>18</v>
      </c>
      <c r="N410" s="4">
        <v>45</v>
      </c>
      <c r="O410" s="4">
        <v>10</v>
      </c>
      <c r="P410" s="4">
        <v>729</v>
      </c>
      <c r="Q410" s="4">
        <v>2</v>
      </c>
      <c r="R410" s="4" t="s">
        <v>48</v>
      </c>
      <c r="S410" s="4" t="s">
        <v>115</v>
      </c>
      <c r="T410" s="4" t="s">
        <v>144</v>
      </c>
      <c r="U410" s="6" t="s">
        <v>1778</v>
      </c>
      <c r="V410" s="4" t="s">
        <v>64</v>
      </c>
    </row>
    <row r="411" spans="1:22">
      <c r="A411" s="7" t="s">
        <v>1779</v>
      </c>
      <c r="B411" s="8" t="s">
        <v>127</v>
      </c>
      <c r="C411" s="8" t="s">
        <v>72</v>
      </c>
      <c r="D411" s="8" t="s">
        <v>463</v>
      </c>
      <c r="E411" s="8" t="s">
        <v>216</v>
      </c>
      <c r="F411" s="8" t="s">
        <v>200</v>
      </c>
      <c r="G411" s="8" t="s">
        <v>76</v>
      </c>
      <c r="H411" s="8" t="s">
        <v>1780</v>
      </c>
      <c r="I411" s="8" t="s">
        <v>294</v>
      </c>
      <c r="J411" s="8" t="s">
        <v>295</v>
      </c>
      <c r="K411" s="8" t="s">
        <v>46</v>
      </c>
      <c r="L411" s="8" t="s">
        <v>78</v>
      </c>
      <c r="M411" s="8">
        <v>13</v>
      </c>
      <c r="N411" s="8">
        <v>1200</v>
      </c>
      <c r="O411" s="8">
        <v>5</v>
      </c>
      <c r="P411" s="8">
        <v>14820</v>
      </c>
      <c r="Q411" s="8">
        <v>4</v>
      </c>
      <c r="R411" s="8" t="s">
        <v>79</v>
      </c>
      <c r="S411" s="8" t="s">
        <v>115</v>
      </c>
      <c r="T411" s="8" t="s">
        <v>132</v>
      </c>
      <c r="U411" s="9" t="s">
        <v>1781</v>
      </c>
      <c r="V411" s="8" t="s">
        <v>38</v>
      </c>
    </row>
    <row r="412" spans="1:22">
      <c r="A412" s="3" t="s">
        <v>1782</v>
      </c>
      <c r="B412" s="4" t="s">
        <v>23</v>
      </c>
      <c r="C412" s="4" t="s">
        <v>222</v>
      </c>
      <c r="D412" s="4" t="s">
        <v>1344</v>
      </c>
      <c r="E412" s="4" t="s">
        <v>1783</v>
      </c>
      <c r="F412" s="4" t="s">
        <v>27</v>
      </c>
      <c r="G412" s="4" t="s">
        <v>28</v>
      </c>
      <c r="H412" s="4" t="s">
        <v>1784</v>
      </c>
      <c r="I412" s="4" t="s">
        <v>30</v>
      </c>
      <c r="J412" s="4" t="s">
        <v>31</v>
      </c>
      <c r="K412" s="4" t="s">
        <v>122</v>
      </c>
      <c r="L412" s="4" t="s">
        <v>227</v>
      </c>
      <c r="M412" s="4">
        <v>14</v>
      </c>
      <c r="N412" s="4">
        <v>20</v>
      </c>
      <c r="O412" s="4">
        <v>20</v>
      </c>
      <c r="P412" s="4">
        <v>224</v>
      </c>
      <c r="Q412" s="4">
        <v>5</v>
      </c>
      <c r="R412" s="4" t="s">
        <v>88</v>
      </c>
      <c r="S412" s="4" t="s">
        <v>49</v>
      </c>
      <c r="T412" s="4" t="s">
        <v>50</v>
      </c>
      <c r="U412" s="6" t="s">
        <v>1785</v>
      </c>
      <c r="V412" s="4" t="s">
        <v>64</v>
      </c>
    </row>
    <row r="413" spans="1:22">
      <c r="A413" s="7" t="s">
        <v>1786</v>
      </c>
      <c r="B413" s="8" t="s">
        <v>100</v>
      </c>
      <c r="C413" s="8" t="s">
        <v>92</v>
      </c>
      <c r="D413" s="8" t="s">
        <v>1787</v>
      </c>
      <c r="E413" s="8" t="s">
        <v>1689</v>
      </c>
      <c r="F413" s="8" t="s">
        <v>103</v>
      </c>
      <c r="G413" s="8" t="s">
        <v>28</v>
      </c>
      <c r="H413" s="8" t="s">
        <v>1788</v>
      </c>
      <c r="I413" s="8" t="s">
        <v>30</v>
      </c>
      <c r="J413" s="8" t="s">
        <v>31</v>
      </c>
      <c r="K413" s="8" t="s">
        <v>32</v>
      </c>
      <c r="L413" s="8" t="s">
        <v>97</v>
      </c>
      <c r="M413" s="8">
        <v>16</v>
      </c>
      <c r="N413" s="8">
        <v>3500</v>
      </c>
      <c r="O413" s="8">
        <v>15</v>
      </c>
      <c r="P413" s="8">
        <v>47600</v>
      </c>
      <c r="Q413" s="8">
        <v>3</v>
      </c>
      <c r="R413" s="8" t="s">
        <v>88</v>
      </c>
      <c r="S413" s="8" t="s">
        <v>61</v>
      </c>
      <c r="T413" s="8" t="s">
        <v>144</v>
      </c>
      <c r="U413" s="9" t="s">
        <v>1789</v>
      </c>
      <c r="V413" s="8" t="s">
        <v>69</v>
      </c>
    </row>
    <row r="414" spans="1:22">
      <c r="A414" s="3" t="s">
        <v>1790</v>
      </c>
      <c r="B414" s="4" t="s">
        <v>251</v>
      </c>
      <c r="C414" s="4" t="s">
        <v>222</v>
      </c>
      <c r="D414" s="4" t="s">
        <v>987</v>
      </c>
      <c r="E414" s="4" t="s">
        <v>1110</v>
      </c>
      <c r="F414" s="4" t="s">
        <v>254</v>
      </c>
      <c r="G414" s="4" t="s">
        <v>28</v>
      </c>
      <c r="H414" s="4" t="s">
        <v>1791</v>
      </c>
      <c r="I414" s="4" t="s">
        <v>59</v>
      </c>
      <c r="J414" s="4" t="s">
        <v>31</v>
      </c>
      <c r="K414" s="4" t="s">
        <v>122</v>
      </c>
      <c r="L414" s="4" t="s">
        <v>227</v>
      </c>
      <c r="M414" s="4">
        <v>20</v>
      </c>
      <c r="N414" s="4">
        <v>20</v>
      </c>
      <c r="O414" s="4">
        <v>15</v>
      </c>
      <c r="P414" s="4">
        <v>340</v>
      </c>
      <c r="Q414" s="4">
        <v>1</v>
      </c>
      <c r="R414" s="4" t="s">
        <v>48</v>
      </c>
      <c r="S414" s="4" t="s">
        <v>61</v>
      </c>
      <c r="T414" s="4" t="s">
        <v>256</v>
      </c>
      <c r="U414" s="6" t="s">
        <v>1792</v>
      </c>
      <c r="V414" s="4" t="s">
        <v>69</v>
      </c>
    </row>
    <row r="415" spans="1:22">
      <c r="A415" s="7" t="s">
        <v>1793</v>
      </c>
      <c r="B415" s="8" t="s">
        <v>168</v>
      </c>
      <c r="C415" s="8" t="s">
        <v>54</v>
      </c>
      <c r="D415" s="8" t="s">
        <v>652</v>
      </c>
      <c r="E415" s="8" t="s">
        <v>666</v>
      </c>
      <c r="F415" s="8" t="s">
        <v>361</v>
      </c>
      <c r="G415" s="8" t="s">
        <v>28</v>
      </c>
      <c r="H415" s="8" t="s">
        <v>1794</v>
      </c>
      <c r="I415" s="8" t="s">
        <v>138</v>
      </c>
      <c r="J415" s="8" t="s">
        <v>106</v>
      </c>
      <c r="K415" s="8" t="s">
        <v>46</v>
      </c>
      <c r="L415" s="8" t="s">
        <v>60</v>
      </c>
      <c r="M415" s="8">
        <v>1</v>
      </c>
      <c r="N415" s="8">
        <v>55000</v>
      </c>
      <c r="O415" s="8">
        <v>15</v>
      </c>
      <c r="P415" s="8">
        <v>46750</v>
      </c>
      <c r="Q415" s="8">
        <v>2</v>
      </c>
      <c r="R415" s="8" t="s">
        <v>88</v>
      </c>
      <c r="S415" s="8" t="s">
        <v>115</v>
      </c>
      <c r="T415" s="8" t="s">
        <v>175</v>
      </c>
      <c r="U415" s="9" t="s">
        <v>1795</v>
      </c>
      <c r="V415" s="8" t="s">
        <v>69</v>
      </c>
    </row>
    <row r="416" spans="1:22">
      <c r="A416" s="3" t="s">
        <v>1796</v>
      </c>
      <c r="B416" s="4" t="s">
        <v>100</v>
      </c>
      <c r="C416" s="4" t="s">
        <v>118</v>
      </c>
      <c r="D416" s="4" t="s">
        <v>142</v>
      </c>
      <c r="E416" s="4" t="s">
        <v>620</v>
      </c>
      <c r="F416" s="4" t="s">
        <v>103</v>
      </c>
      <c r="G416" s="4" t="s">
        <v>28</v>
      </c>
      <c r="H416" s="4" t="s">
        <v>1797</v>
      </c>
      <c r="I416" s="4" t="s">
        <v>138</v>
      </c>
      <c r="J416" s="4" t="s">
        <v>106</v>
      </c>
      <c r="K416" s="4" t="s">
        <v>122</v>
      </c>
      <c r="L416" s="4" t="s">
        <v>123</v>
      </c>
      <c r="M416" s="4">
        <v>15</v>
      </c>
      <c r="N416" s="4">
        <v>60</v>
      </c>
      <c r="O416" s="4">
        <v>5</v>
      </c>
      <c r="P416" s="4">
        <v>855</v>
      </c>
      <c r="Q416" s="4">
        <v>4</v>
      </c>
      <c r="R416" s="4" t="s">
        <v>48</v>
      </c>
      <c r="S416" s="4" t="s">
        <v>61</v>
      </c>
      <c r="T416" s="4" t="s">
        <v>144</v>
      </c>
      <c r="U416" s="6" t="s">
        <v>1798</v>
      </c>
      <c r="V416" s="4" t="s">
        <v>38</v>
      </c>
    </row>
    <row r="417" spans="1:22">
      <c r="A417" s="7" t="s">
        <v>1799</v>
      </c>
      <c r="B417" s="8" t="s">
        <v>83</v>
      </c>
      <c r="C417" s="8" t="s">
        <v>184</v>
      </c>
      <c r="D417" s="8" t="s">
        <v>1800</v>
      </c>
      <c r="E417" s="8" t="s">
        <v>66</v>
      </c>
      <c r="F417" s="8" t="s">
        <v>180</v>
      </c>
      <c r="G417" s="8" t="s">
        <v>76</v>
      </c>
      <c r="H417" s="8" t="s">
        <v>1801</v>
      </c>
      <c r="I417" s="8" t="s">
        <v>105</v>
      </c>
      <c r="J417" s="8" t="s">
        <v>106</v>
      </c>
      <c r="K417" s="8" t="s">
        <v>46</v>
      </c>
      <c r="L417" s="8" t="s">
        <v>189</v>
      </c>
      <c r="M417" s="8">
        <v>15</v>
      </c>
      <c r="N417" s="8">
        <v>700</v>
      </c>
      <c r="O417" s="8">
        <v>0</v>
      </c>
      <c r="P417" s="8">
        <v>10500</v>
      </c>
      <c r="Q417" s="8">
        <v>5</v>
      </c>
      <c r="R417" s="8" t="s">
        <v>48</v>
      </c>
      <c r="S417" s="8" t="s">
        <v>115</v>
      </c>
      <c r="T417" s="8" t="s">
        <v>89</v>
      </c>
      <c r="U417" s="9" t="s">
        <v>1802</v>
      </c>
      <c r="V417" s="8" t="s">
        <v>38</v>
      </c>
    </row>
    <row r="418" spans="1:22">
      <c r="A418" s="3" t="s">
        <v>1803</v>
      </c>
      <c r="B418" s="4" t="s">
        <v>221</v>
      </c>
      <c r="C418" s="4" t="s">
        <v>40</v>
      </c>
      <c r="D418" s="4" t="s">
        <v>1199</v>
      </c>
      <c r="E418" s="4" t="s">
        <v>440</v>
      </c>
      <c r="F418" s="4" t="s">
        <v>225</v>
      </c>
      <c r="G418" s="4" t="s">
        <v>76</v>
      </c>
      <c r="H418" s="4" t="s">
        <v>1804</v>
      </c>
      <c r="I418" s="4" t="s">
        <v>294</v>
      </c>
      <c r="J418" s="4" t="s">
        <v>295</v>
      </c>
      <c r="K418" s="4" t="s">
        <v>46</v>
      </c>
      <c r="L418" s="4" t="s">
        <v>47</v>
      </c>
      <c r="M418" s="4">
        <v>13</v>
      </c>
      <c r="N418" s="4">
        <v>12000</v>
      </c>
      <c r="O418" s="4">
        <v>10</v>
      </c>
      <c r="P418" s="4">
        <v>140400</v>
      </c>
      <c r="Q418" s="4">
        <v>1</v>
      </c>
      <c r="R418" s="4" t="s">
        <v>34</v>
      </c>
      <c r="S418" s="4" t="s">
        <v>151</v>
      </c>
      <c r="T418" s="4" t="s">
        <v>228</v>
      </c>
      <c r="U418" s="6" t="s">
        <v>1805</v>
      </c>
      <c r="V418" s="4" t="s">
        <v>69</v>
      </c>
    </row>
    <row r="419" spans="1:22">
      <c r="A419" s="7" t="s">
        <v>1806</v>
      </c>
      <c r="B419" s="8" t="s">
        <v>83</v>
      </c>
      <c r="C419" s="8" t="s">
        <v>40</v>
      </c>
      <c r="D419" s="8" t="s">
        <v>1807</v>
      </c>
      <c r="E419" s="8" t="s">
        <v>1081</v>
      </c>
      <c r="F419" s="8" t="s">
        <v>180</v>
      </c>
      <c r="G419" s="8" t="s">
        <v>76</v>
      </c>
      <c r="H419" s="8" t="s">
        <v>1808</v>
      </c>
      <c r="I419" s="8" t="s">
        <v>30</v>
      </c>
      <c r="J419" s="8" t="s">
        <v>31</v>
      </c>
      <c r="K419" s="8" t="s">
        <v>46</v>
      </c>
      <c r="L419" s="8" t="s">
        <v>47</v>
      </c>
      <c r="M419" s="8">
        <v>12</v>
      </c>
      <c r="N419" s="8">
        <v>12000</v>
      </c>
      <c r="O419" s="8">
        <v>20</v>
      </c>
      <c r="P419" s="8">
        <v>115200</v>
      </c>
      <c r="Q419" s="8">
        <v>2</v>
      </c>
      <c r="R419" s="8" t="s">
        <v>34</v>
      </c>
      <c r="S419" s="8" t="s">
        <v>35</v>
      </c>
      <c r="T419" s="8" t="s">
        <v>89</v>
      </c>
      <c r="U419" s="9" t="s">
        <v>1809</v>
      </c>
      <c r="V419" s="8" t="s">
        <v>38</v>
      </c>
    </row>
    <row r="420" spans="1:22">
      <c r="A420" s="3" t="s">
        <v>1810</v>
      </c>
      <c r="B420" s="4" t="s">
        <v>83</v>
      </c>
      <c r="C420" s="4" t="s">
        <v>259</v>
      </c>
      <c r="D420" s="4" t="s">
        <v>119</v>
      </c>
      <c r="E420" s="4" t="s">
        <v>1298</v>
      </c>
      <c r="F420" s="4" t="s">
        <v>180</v>
      </c>
      <c r="G420" s="4" t="s">
        <v>76</v>
      </c>
      <c r="H420" s="4" t="s">
        <v>1811</v>
      </c>
      <c r="I420" s="4" t="s">
        <v>105</v>
      </c>
      <c r="J420" s="4" t="s">
        <v>106</v>
      </c>
      <c r="K420" s="4" t="s">
        <v>122</v>
      </c>
      <c r="L420" s="4" t="s">
        <v>263</v>
      </c>
      <c r="M420" s="4">
        <v>10</v>
      </c>
      <c r="N420" s="4">
        <v>45</v>
      </c>
      <c r="O420" s="4">
        <v>0</v>
      </c>
      <c r="P420" s="4">
        <v>450</v>
      </c>
      <c r="Q420" s="4">
        <v>5</v>
      </c>
      <c r="R420" s="4" t="s">
        <v>79</v>
      </c>
      <c r="S420" s="4" t="s">
        <v>115</v>
      </c>
      <c r="T420" s="4" t="s">
        <v>89</v>
      </c>
      <c r="U420" s="6" t="s">
        <v>1812</v>
      </c>
      <c r="V420" s="4" t="s">
        <v>69</v>
      </c>
    </row>
    <row r="421" spans="1:22">
      <c r="A421" s="7" t="s">
        <v>1813</v>
      </c>
      <c r="B421" s="8" t="s">
        <v>127</v>
      </c>
      <c r="C421" s="8" t="s">
        <v>72</v>
      </c>
      <c r="D421" s="8" t="s">
        <v>41</v>
      </c>
      <c r="E421" s="8" t="s">
        <v>596</v>
      </c>
      <c r="F421" s="8" t="s">
        <v>200</v>
      </c>
      <c r="G421" s="8" t="s">
        <v>76</v>
      </c>
      <c r="H421" s="8" t="s">
        <v>1814</v>
      </c>
      <c r="I421" s="8" t="s">
        <v>105</v>
      </c>
      <c r="J421" s="8" t="s">
        <v>106</v>
      </c>
      <c r="K421" s="8" t="s">
        <v>46</v>
      </c>
      <c r="L421" s="8" t="s">
        <v>78</v>
      </c>
      <c r="M421" s="8">
        <v>20</v>
      </c>
      <c r="N421" s="8">
        <v>1200</v>
      </c>
      <c r="O421" s="8">
        <v>20</v>
      </c>
      <c r="P421" s="8">
        <v>19200</v>
      </c>
      <c r="Q421" s="8">
        <v>5</v>
      </c>
      <c r="R421" s="8" t="s">
        <v>48</v>
      </c>
      <c r="S421" s="8" t="s">
        <v>61</v>
      </c>
      <c r="T421" s="8" t="s">
        <v>132</v>
      </c>
      <c r="U421" s="9" t="s">
        <v>1815</v>
      </c>
      <c r="V421" s="8" t="s">
        <v>69</v>
      </c>
    </row>
    <row r="422" spans="1:22">
      <c r="A422" s="3" t="s">
        <v>1816</v>
      </c>
      <c r="B422" s="4" t="s">
        <v>71</v>
      </c>
      <c r="C422" s="4" t="s">
        <v>72</v>
      </c>
      <c r="D422" s="4" t="s">
        <v>128</v>
      </c>
      <c r="E422" s="4" t="s">
        <v>1817</v>
      </c>
      <c r="F422" s="4" t="s">
        <v>217</v>
      </c>
      <c r="G422" s="4" t="s">
        <v>76</v>
      </c>
      <c r="H422" s="4" t="s">
        <v>1818</v>
      </c>
      <c r="I422" s="4" t="s">
        <v>114</v>
      </c>
      <c r="J422" s="4" t="s">
        <v>106</v>
      </c>
      <c r="K422" s="4" t="s">
        <v>46</v>
      </c>
      <c r="L422" s="4" t="s">
        <v>78</v>
      </c>
      <c r="M422" s="4">
        <v>8</v>
      </c>
      <c r="N422" s="4">
        <v>1200</v>
      </c>
      <c r="O422" s="4">
        <v>10</v>
      </c>
      <c r="P422" s="4">
        <v>8640</v>
      </c>
      <c r="Q422" s="4">
        <v>4</v>
      </c>
      <c r="R422" s="4" t="s">
        <v>48</v>
      </c>
      <c r="S422" s="4" t="s">
        <v>61</v>
      </c>
      <c r="T422" s="4" t="s">
        <v>80</v>
      </c>
      <c r="U422" s="6" t="s">
        <v>1819</v>
      </c>
      <c r="V422" s="4" t="s">
        <v>38</v>
      </c>
    </row>
    <row r="423" spans="1:22">
      <c r="A423" s="7" t="s">
        <v>1820</v>
      </c>
      <c r="B423" s="8" t="s">
        <v>127</v>
      </c>
      <c r="C423" s="8" t="s">
        <v>72</v>
      </c>
      <c r="D423" s="8" t="s">
        <v>1085</v>
      </c>
      <c r="E423" s="8" t="s">
        <v>1086</v>
      </c>
      <c r="F423" s="8" t="s">
        <v>200</v>
      </c>
      <c r="G423" s="8" t="s">
        <v>76</v>
      </c>
      <c r="H423" s="8" t="s">
        <v>1821</v>
      </c>
      <c r="I423" s="8" t="s">
        <v>212</v>
      </c>
      <c r="J423" s="8" t="s">
        <v>45</v>
      </c>
      <c r="K423" s="8" t="s">
        <v>46</v>
      </c>
      <c r="L423" s="8" t="s">
        <v>78</v>
      </c>
      <c r="M423" s="8">
        <v>8</v>
      </c>
      <c r="N423" s="8">
        <v>1200</v>
      </c>
      <c r="O423" s="8">
        <v>10</v>
      </c>
      <c r="P423" s="8">
        <v>8640</v>
      </c>
      <c r="Q423" s="8">
        <v>5</v>
      </c>
      <c r="R423" s="8" t="s">
        <v>79</v>
      </c>
      <c r="S423" s="8" t="s">
        <v>49</v>
      </c>
      <c r="T423" s="8" t="s">
        <v>132</v>
      </c>
      <c r="U423" s="9" t="s">
        <v>1822</v>
      </c>
      <c r="V423" s="8" t="s">
        <v>69</v>
      </c>
    </row>
    <row r="424" spans="1:22">
      <c r="A424" s="3" t="s">
        <v>1823</v>
      </c>
      <c r="B424" s="4" t="s">
        <v>327</v>
      </c>
      <c r="C424" s="4" t="s">
        <v>24</v>
      </c>
      <c r="D424" s="4" t="s">
        <v>1824</v>
      </c>
      <c r="E424" s="4" t="s">
        <v>1444</v>
      </c>
      <c r="F424" s="4" t="s">
        <v>394</v>
      </c>
      <c r="G424" s="4" t="s">
        <v>76</v>
      </c>
      <c r="H424" s="4" t="s">
        <v>1825</v>
      </c>
      <c r="I424" s="4" t="s">
        <v>212</v>
      </c>
      <c r="J424" s="4" t="s">
        <v>45</v>
      </c>
      <c r="K424" s="4" t="s">
        <v>32</v>
      </c>
      <c r="L424" s="4" t="s">
        <v>33</v>
      </c>
      <c r="M424" s="4">
        <v>9</v>
      </c>
      <c r="N424" s="4">
        <v>2200</v>
      </c>
      <c r="O424" s="4">
        <v>20</v>
      </c>
      <c r="P424" s="4">
        <v>15840</v>
      </c>
      <c r="Q424" s="4">
        <v>1</v>
      </c>
      <c r="R424" s="4" t="s">
        <v>48</v>
      </c>
      <c r="S424" s="4" t="s">
        <v>115</v>
      </c>
      <c r="T424" s="4" t="s">
        <v>332</v>
      </c>
      <c r="U424" s="6" t="s">
        <v>1826</v>
      </c>
      <c r="V424" s="4" t="s">
        <v>38</v>
      </c>
    </row>
    <row r="425" spans="1:22">
      <c r="A425" s="7" t="s">
        <v>1827</v>
      </c>
      <c r="B425" s="8" t="s">
        <v>127</v>
      </c>
      <c r="C425" s="8" t="s">
        <v>222</v>
      </c>
      <c r="D425" s="8" t="s">
        <v>1268</v>
      </c>
      <c r="E425" s="8" t="s">
        <v>760</v>
      </c>
      <c r="F425" s="8" t="s">
        <v>200</v>
      </c>
      <c r="G425" s="8" t="s">
        <v>76</v>
      </c>
      <c r="H425" s="8" t="s">
        <v>1828</v>
      </c>
      <c r="I425" s="8" t="s">
        <v>294</v>
      </c>
      <c r="J425" s="8" t="s">
        <v>295</v>
      </c>
      <c r="K425" s="8" t="s">
        <v>122</v>
      </c>
      <c r="L425" s="8" t="s">
        <v>227</v>
      </c>
      <c r="M425" s="8">
        <v>8</v>
      </c>
      <c r="N425" s="8">
        <v>20</v>
      </c>
      <c r="O425" s="8">
        <v>20</v>
      </c>
      <c r="P425" s="8">
        <v>128</v>
      </c>
      <c r="Q425" s="8">
        <v>4</v>
      </c>
      <c r="R425" s="8" t="s">
        <v>34</v>
      </c>
      <c r="S425" s="8" t="s">
        <v>35</v>
      </c>
      <c r="T425" s="8" t="s">
        <v>132</v>
      </c>
      <c r="U425" s="9" t="s">
        <v>1829</v>
      </c>
      <c r="V425" s="8" t="s">
        <v>69</v>
      </c>
    </row>
    <row r="426" spans="1:22">
      <c r="A426" s="3" t="s">
        <v>1830</v>
      </c>
      <c r="B426" s="4" t="s">
        <v>221</v>
      </c>
      <c r="C426" s="4" t="s">
        <v>54</v>
      </c>
      <c r="D426" s="4" t="s">
        <v>1176</v>
      </c>
      <c r="E426" s="4" t="s">
        <v>1831</v>
      </c>
      <c r="F426" s="4" t="s">
        <v>225</v>
      </c>
      <c r="G426" s="4" t="s">
        <v>76</v>
      </c>
      <c r="H426" s="4" t="s">
        <v>1006</v>
      </c>
      <c r="I426" s="4" t="s">
        <v>114</v>
      </c>
      <c r="J426" s="4" t="s">
        <v>106</v>
      </c>
      <c r="K426" s="4" t="s">
        <v>46</v>
      </c>
      <c r="L426" s="4" t="s">
        <v>60</v>
      </c>
      <c r="M426" s="4">
        <v>5</v>
      </c>
      <c r="N426" s="4">
        <v>55000</v>
      </c>
      <c r="O426" s="4">
        <v>0</v>
      </c>
      <c r="P426" s="4">
        <v>275000</v>
      </c>
      <c r="Q426" s="4">
        <v>1</v>
      </c>
      <c r="R426" s="4" t="s">
        <v>79</v>
      </c>
      <c r="S426" s="4" t="s">
        <v>115</v>
      </c>
      <c r="T426" s="4" t="s">
        <v>228</v>
      </c>
      <c r="U426" s="6" t="s">
        <v>1832</v>
      </c>
      <c r="V426" s="4" t="s">
        <v>38</v>
      </c>
    </row>
    <row r="427" spans="1:22">
      <c r="A427" s="7" t="s">
        <v>1833</v>
      </c>
      <c r="B427" s="8" t="s">
        <v>100</v>
      </c>
      <c r="C427" s="8" t="s">
        <v>72</v>
      </c>
      <c r="D427" s="8" t="s">
        <v>1834</v>
      </c>
      <c r="E427" s="8" t="s">
        <v>636</v>
      </c>
      <c r="F427" s="8" t="s">
        <v>103</v>
      </c>
      <c r="G427" s="8" t="s">
        <v>28</v>
      </c>
      <c r="H427" s="8" t="s">
        <v>1835</v>
      </c>
      <c r="I427" s="8" t="s">
        <v>105</v>
      </c>
      <c r="J427" s="8" t="s">
        <v>106</v>
      </c>
      <c r="K427" s="8" t="s">
        <v>46</v>
      </c>
      <c r="L427" s="8" t="s">
        <v>78</v>
      </c>
      <c r="M427" s="8">
        <v>13</v>
      </c>
      <c r="N427" s="8">
        <v>1200</v>
      </c>
      <c r="O427" s="8">
        <v>5</v>
      </c>
      <c r="P427" s="8">
        <v>14820</v>
      </c>
      <c r="Q427" s="8">
        <v>2</v>
      </c>
      <c r="R427" s="8" t="s">
        <v>79</v>
      </c>
      <c r="S427" s="8" t="s">
        <v>35</v>
      </c>
      <c r="T427" s="8" t="s">
        <v>144</v>
      </c>
      <c r="U427" s="9" t="s">
        <v>1836</v>
      </c>
      <c r="V427" s="8" t="s">
        <v>69</v>
      </c>
    </row>
    <row r="428" spans="1:22">
      <c r="A428" s="3" t="s">
        <v>1837</v>
      </c>
      <c r="B428" s="4" t="s">
        <v>83</v>
      </c>
      <c r="C428" s="4" t="s">
        <v>169</v>
      </c>
      <c r="D428" s="4" t="s">
        <v>1484</v>
      </c>
      <c r="E428" s="4" t="s">
        <v>1838</v>
      </c>
      <c r="F428" s="4" t="s">
        <v>180</v>
      </c>
      <c r="G428" s="4" t="s">
        <v>76</v>
      </c>
      <c r="H428" s="4" t="s">
        <v>1839</v>
      </c>
      <c r="I428" s="4" t="s">
        <v>212</v>
      </c>
      <c r="J428" s="4" t="s">
        <v>45</v>
      </c>
      <c r="K428" s="4" t="s">
        <v>32</v>
      </c>
      <c r="L428" s="4" t="s">
        <v>174</v>
      </c>
      <c r="M428" s="4">
        <v>13</v>
      </c>
      <c r="N428" s="4">
        <v>8500</v>
      </c>
      <c r="O428" s="4">
        <v>20</v>
      </c>
      <c r="P428" s="4">
        <v>88400</v>
      </c>
      <c r="Q428" s="4">
        <v>5</v>
      </c>
      <c r="R428" s="4" t="s">
        <v>34</v>
      </c>
      <c r="S428" s="4" t="s">
        <v>49</v>
      </c>
      <c r="T428" s="4" t="s">
        <v>89</v>
      </c>
      <c r="U428" s="6" t="s">
        <v>1840</v>
      </c>
      <c r="V428" s="4" t="s">
        <v>64</v>
      </c>
    </row>
    <row r="429" spans="1:22">
      <c r="A429" s="7" t="s">
        <v>1841</v>
      </c>
      <c r="B429" s="8" t="s">
        <v>71</v>
      </c>
      <c r="C429" s="8" t="s">
        <v>118</v>
      </c>
      <c r="D429" s="8" t="s">
        <v>765</v>
      </c>
      <c r="E429" s="8" t="s">
        <v>1842</v>
      </c>
      <c r="F429" s="8" t="s">
        <v>217</v>
      </c>
      <c r="G429" s="8" t="s">
        <v>76</v>
      </c>
      <c r="H429" s="8" t="s">
        <v>1843</v>
      </c>
      <c r="I429" s="8" t="s">
        <v>114</v>
      </c>
      <c r="J429" s="8" t="s">
        <v>106</v>
      </c>
      <c r="K429" s="8" t="s">
        <v>122</v>
      </c>
      <c r="L429" s="8" t="s">
        <v>123</v>
      </c>
      <c r="M429" s="8">
        <v>14</v>
      </c>
      <c r="N429" s="8">
        <v>60</v>
      </c>
      <c r="O429" s="8">
        <v>10</v>
      </c>
      <c r="P429" s="8">
        <v>756</v>
      </c>
      <c r="Q429" s="8">
        <v>1</v>
      </c>
      <c r="R429" s="8" t="s">
        <v>34</v>
      </c>
      <c r="S429" s="8" t="s">
        <v>61</v>
      </c>
      <c r="T429" s="8" t="s">
        <v>80</v>
      </c>
      <c r="U429" s="9" t="s">
        <v>1844</v>
      </c>
      <c r="V429" s="8" t="s">
        <v>69</v>
      </c>
    </row>
    <row r="430" spans="1:22">
      <c r="A430" s="3" t="s">
        <v>1845</v>
      </c>
      <c r="B430" s="4" t="s">
        <v>251</v>
      </c>
      <c r="C430" s="4" t="s">
        <v>24</v>
      </c>
      <c r="D430" s="4" t="s">
        <v>336</v>
      </c>
      <c r="E430" s="4" t="s">
        <v>606</v>
      </c>
      <c r="F430" s="4" t="s">
        <v>254</v>
      </c>
      <c r="G430" s="4" t="s">
        <v>28</v>
      </c>
      <c r="H430" s="4" t="s">
        <v>1846</v>
      </c>
      <c r="I430" s="4" t="s">
        <v>59</v>
      </c>
      <c r="J430" s="4" t="s">
        <v>31</v>
      </c>
      <c r="K430" s="4" t="s">
        <v>32</v>
      </c>
      <c r="L430" s="4" t="s">
        <v>33</v>
      </c>
      <c r="M430" s="4">
        <v>15</v>
      </c>
      <c r="N430" s="4">
        <v>2200</v>
      </c>
      <c r="O430" s="4">
        <v>0</v>
      </c>
      <c r="P430" s="4">
        <v>33000</v>
      </c>
      <c r="Q430" s="4">
        <v>1</v>
      </c>
      <c r="R430" s="4" t="s">
        <v>34</v>
      </c>
      <c r="S430" s="4" t="s">
        <v>61</v>
      </c>
      <c r="T430" s="4" t="s">
        <v>256</v>
      </c>
      <c r="U430" s="6" t="s">
        <v>1847</v>
      </c>
      <c r="V430" s="4" t="s">
        <v>38</v>
      </c>
    </row>
    <row r="431" spans="1:22">
      <c r="A431" s="7" t="s">
        <v>1848</v>
      </c>
      <c r="B431" s="8" t="s">
        <v>83</v>
      </c>
      <c r="C431" s="8" t="s">
        <v>118</v>
      </c>
      <c r="D431" s="8" t="s">
        <v>1849</v>
      </c>
      <c r="E431" s="8" t="s">
        <v>1850</v>
      </c>
      <c r="F431" s="8" t="s">
        <v>180</v>
      </c>
      <c r="G431" s="8" t="s">
        <v>76</v>
      </c>
      <c r="H431" s="8" t="s">
        <v>1851</v>
      </c>
      <c r="I431" s="8" t="s">
        <v>212</v>
      </c>
      <c r="J431" s="8" t="s">
        <v>45</v>
      </c>
      <c r="K431" s="8" t="s">
        <v>122</v>
      </c>
      <c r="L431" s="8" t="s">
        <v>123</v>
      </c>
      <c r="M431" s="8">
        <v>19</v>
      </c>
      <c r="N431" s="8">
        <v>60</v>
      </c>
      <c r="O431" s="8">
        <v>20</v>
      </c>
      <c r="P431" s="8">
        <v>912</v>
      </c>
      <c r="Q431" s="8">
        <v>3</v>
      </c>
      <c r="R431" s="8" t="s">
        <v>34</v>
      </c>
      <c r="S431" s="8" t="s">
        <v>151</v>
      </c>
      <c r="T431" s="8" t="s">
        <v>89</v>
      </c>
      <c r="U431" s="9" t="s">
        <v>1852</v>
      </c>
      <c r="V431" s="8" t="s">
        <v>64</v>
      </c>
    </row>
    <row r="432" spans="1:22">
      <c r="A432" s="3" t="s">
        <v>1853</v>
      </c>
      <c r="B432" s="4" t="s">
        <v>53</v>
      </c>
      <c r="C432" s="4" t="s">
        <v>259</v>
      </c>
      <c r="D432" s="4" t="s">
        <v>1760</v>
      </c>
      <c r="E432" s="4" t="s">
        <v>341</v>
      </c>
      <c r="F432" s="4" t="s">
        <v>163</v>
      </c>
      <c r="G432" s="4" t="s">
        <v>28</v>
      </c>
      <c r="H432" s="4" t="s">
        <v>1854</v>
      </c>
      <c r="I432" s="4" t="s">
        <v>212</v>
      </c>
      <c r="J432" s="4" t="s">
        <v>45</v>
      </c>
      <c r="K432" s="4" t="s">
        <v>122</v>
      </c>
      <c r="L432" s="4" t="s">
        <v>263</v>
      </c>
      <c r="M432" s="4">
        <v>13</v>
      </c>
      <c r="N432" s="4">
        <v>45</v>
      </c>
      <c r="O432" s="4">
        <v>15</v>
      </c>
      <c r="P432" s="4">
        <v>497.25</v>
      </c>
      <c r="Q432" s="4">
        <v>2</v>
      </c>
      <c r="R432" s="4" t="s">
        <v>34</v>
      </c>
      <c r="S432" s="4" t="s">
        <v>49</v>
      </c>
      <c r="T432" s="4" t="s">
        <v>62</v>
      </c>
      <c r="U432" s="6" t="s">
        <v>1855</v>
      </c>
      <c r="V432" s="4" t="s">
        <v>38</v>
      </c>
    </row>
    <row r="433" spans="1:22">
      <c r="A433" s="7" t="s">
        <v>1856</v>
      </c>
      <c r="B433" s="8" t="s">
        <v>251</v>
      </c>
      <c r="C433" s="8" t="s">
        <v>40</v>
      </c>
      <c r="D433" s="8" t="s">
        <v>998</v>
      </c>
      <c r="E433" s="8" t="s">
        <v>1128</v>
      </c>
      <c r="F433" s="8" t="s">
        <v>254</v>
      </c>
      <c r="G433" s="8" t="s">
        <v>28</v>
      </c>
      <c r="H433" s="8" t="s">
        <v>1857</v>
      </c>
      <c r="I433" s="8" t="s">
        <v>105</v>
      </c>
      <c r="J433" s="8" t="s">
        <v>106</v>
      </c>
      <c r="K433" s="8" t="s">
        <v>46</v>
      </c>
      <c r="L433" s="8" t="s">
        <v>47</v>
      </c>
      <c r="M433" s="8">
        <v>7</v>
      </c>
      <c r="N433" s="8">
        <v>12000</v>
      </c>
      <c r="O433" s="8">
        <v>5</v>
      </c>
      <c r="P433" s="8">
        <v>79800</v>
      </c>
      <c r="Q433" s="8">
        <v>4</v>
      </c>
      <c r="R433" s="8" t="s">
        <v>79</v>
      </c>
      <c r="S433" s="8" t="s">
        <v>151</v>
      </c>
      <c r="T433" s="8" t="s">
        <v>256</v>
      </c>
      <c r="U433" s="9" t="s">
        <v>1858</v>
      </c>
      <c r="V433" s="8" t="s">
        <v>69</v>
      </c>
    </row>
    <row r="434" spans="1:22">
      <c r="A434" s="3" t="s">
        <v>1859</v>
      </c>
      <c r="B434" s="4" t="s">
        <v>327</v>
      </c>
      <c r="C434" s="4" t="s">
        <v>222</v>
      </c>
      <c r="D434" s="4" t="s">
        <v>601</v>
      </c>
      <c r="E434" s="4"/>
      <c r="F434" s="4" t="s">
        <v>394</v>
      </c>
      <c r="G434" s="4" t="s">
        <v>76</v>
      </c>
      <c r="H434" s="4" t="s">
        <v>1860</v>
      </c>
      <c r="I434" s="4" t="s">
        <v>294</v>
      </c>
      <c r="J434" s="4" t="s">
        <v>295</v>
      </c>
      <c r="K434" s="4" t="s">
        <v>122</v>
      </c>
      <c r="L434" s="4" t="s">
        <v>227</v>
      </c>
      <c r="M434" s="4">
        <v>8</v>
      </c>
      <c r="N434" s="4">
        <v>20</v>
      </c>
      <c r="O434" s="4">
        <v>0</v>
      </c>
      <c r="P434" s="4">
        <v>160</v>
      </c>
      <c r="Q434" s="4">
        <v>4</v>
      </c>
      <c r="R434" s="4" t="s">
        <v>79</v>
      </c>
      <c r="S434" s="4" t="s">
        <v>61</v>
      </c>
      <c r="T434" s="4" t="s">
        <v>332</v>
      </c>
      <c r="U434" s="6" t="s">
        <v>1861</v>
      </c>
      <c r="V434" s="4" t="s">
        <v>64</v>
      </c>
    </row>
    <row r="435" spans="1:22">
      <c r="A435" s="7" t="s">
        <v>1862</v>
      </c>
      <c r="B435" s="8" t="s">
        <v>23</v>
      </c>
      <c r="C435" s="8" t="s">
        <v>92</v>
      </c>
      <c r="D435" s="8" t="s">
        <v>1863</v>
      </c>
      <c r="E435" s="8" t="s">
        <v>900</v>
      </c>
      <c r="F435" s="8" t="s">
        <v>27</v>
      </c>
      <c r="G435" s="8" t="s">
        <v>28</v>
      </c>
      <c r="H435" s="8" t="s">
        <v>1864</v>
      </c>
      <c r="I435" s="8" t="s">
        <v>294</v>
      </c>
      <c r="J435" s="8" t="s">
        <v>295</v>
      </c>
      <c r="K435" s="8" t="s">
        <v>32</v>
      </c>
      <c r="L435" s="8" t="s">
        <v>97</v>
      </c>
      <c r="M435" s="8">
        <v>16</v>
      </c>
      <c r="N435" s="8">
        <v>3500</v>
      </c>
      <c r="O435" s="8">
        <v>5</v>
      </c>
      <c r="P435" s="8">
        <v>53200</v>
      </c>
      <c r="Q435" s="8">
        <v>1</v>
      </c>
      <c r="R435" s="8" t="s">
        <v>79</v>
      </c>
      <c r="S435" s="8" t="s">
        <v>61</v>
      </c>
      <c r="T435" s="8" t="s">
        <v>50</v>
      </c>
      <c r="U435" s="9" t="s">
        <v>1865</v>
      </c>
      <c r="V435" s="8" t="s">
        <v>69</v>
      </c>
    </row>
    <row r="436" spans="1:22">
      <c r="A436" s="3" t="s">
        <v>1866</v>
      </c>
      <c r="B436" s="4" t="s">
        <v>327</v>
      </c>
      <c r="C436" s="4" t="s">
        <v>169</v>
      </c>
      <c r="D436" s="4" t="s">
        <v>1867</v>
      </c>
      <c r="E436" s="4" t="s">
        <v>1157</v>
      </c>
      <c r="F436" s="4" t="s">
        <v>394</v>
      </c>
      <c r="G436" s="4" t="s">
        <v>76</v>
      </c>
      <c r="H436" s="4" t="s">
        <v>1868</v>
      </c>
      <c r="I436" s="4" t="s">
        <v>105</v>
      </c>
      <c r="J436" s="4" t="s">
        <v>106</v>
      </c>
      <c r="K436" s="4" t="s">
        <v>32</v>
      </c>
      <c r="L436" s="4" t="s">
        <v>174</v>
      </c>
      <c r="M436" s="4">
        <v>12</v>
      </c>
      <c r="N436" s="4">
        <v>8500</v>
      </c>
      <c r="O436" s="4">
        <v>10</v>
      </c>
      <c r="P436" s="4">
        <v>91800</v>
      </c>
      <c r="Q436" s="4">
        <v>3</v>
      </c>
      <c r="R436" s="4" t="s">
        <v>79</v>
      </c>
      <c r="S436" s="4" t="s">
        <v>35</v>
      </c>
      <c r="T436" s="4" t="s">
        <v>332</v>
      </c>
      <c r="U436" s="6" t="s">
        <v>1869</v>
      </c>
      <c r="V436" s="4" t="s">
        <v>38</v>
      </c>
    </row>
    <row r="437" spans="1:22">
      <c r="A437" s="7" t="s">
        <v>1870</v>
      </c>
      <c r="B437" s="8" t="s">
        <v>23</v>
      </c>
      <c r="C437" s="8" t="s">
        <v>118</v>
      </c>
      <c r="D437" s="8" t="s">
        <v>539</v>
      </c>
      <c r="E437" s="8" t="s">
        <v>1114</v>
      </c>
      <c r="F437" s="8" t="s">
        <v>27</v>
      </c>
      <c r="G437" s="8" t="s">
        <v>28</v>
      </c>
      <c r="H437" s="8" t="s">
        <v>1871</v>
      </c>
      <c r="I437" s="8" t="s">
        <v>138</v>
      </c>
      <c r="J437" s="8" t="s">
        <v>106</v>
      </c>
      <c r="K437" s="8" t="s">
        <v>122</v>
      </c>
      <c r="L437" s="8" t="s">
        <v>123</v>
      </c>
      <c r="M437" s="8">
        <v>1</v>
      </c>
      <c r="N437" s="8">
        <v>60</v>
      </c>
      <c r="O437" s="8">
        <v>20</v>
      </c>
      <c r="P437" s="8">
        <v>48</v>
      </c>
      <c r="Q437" s="8">
        <v>2</v>
      </c>
      <c r="R437" s="8" t="s">
        <v>79</v>
      </c>
      <c r="S437" s="8" t="s">
        <v>151</v>
      </c>
      <c r="T437" s="8" t="s">
        <v>50</v>
      </c>
      <c r="U437" s="9" t="s">
        <v>1872</v>
      </c>
      <c r="V437" s="8" t="s">
        <v>38</v>
      </c>
    </row>
    <row r="438" spans="1:22">
      <c r="A438" s="3" t="s">
        <v>1873</v>
      </c>
      <c r="B438" s="4" t="s">
        <v>127</v>
      </c>
      <c r="C438" s="4" t="s">
        <v>118</v>
      </c>
      <c r="D438" s="4" t="s">
        <v>507</v>
      </c>
      <c r="E438" s="4" t="s">
        <v>535</v>
      </c>
      <c r="F438" s="4" t="s">
        <v>200</v>
      </c>
      <c r="G438" s="4" t="s">
        <v>76</v>
      </c>
      <c r="H438" s="4" t="s">
        <v>1874</v>
      </c>
      <c r="I438" s="4" t="s">
        <v>30</v>
      </c>
      <c r="J438" s="4" t="s">
        <v>31</v>
      </c>
      <c r="K438" s="4" t="s">
        <v>122</v>
      </c>
      <c r="L438" s="4" t="s">
        <v>123</v>
      </c>
      <c r="M438" s="4">
        <v>3</v>
      </c>
      <c r="N438" s="4">
        <v>60</v>
      </c>
      <c r="O438" s="4">
        <v>15</v>
      </c>
      <c r="P438" s="4">
        <v>153</v>
      </c>
      <c r="Q438" s="4">
        <v>4</v>
      </c>
      <c r="R438" s="4" t="s">
        <v>79</v>
      </c>
      <c r="S438" s="4" t="s">
        <v>35</v>
      </c>
      <c r="T438" s="4" t="s">
        <v>132</v>
      </c>
      <c r="U438" s="6" t="s">
        <v>1875</v>
      </c>
      <c r="V438" s="4" t="s">
        <v>38</v>
      </c>
    </row>
    <row r="439" spans="1:22">
      <c r="A439" s="7" t="s">
        <v>1876</v>
      </c>
      <c r="B439" s="8" t="s">
        <v>100</v>
      </c>
      <c r="C439" s="8" t="s">
        <v>184</v>
      </c>
      <c r="D439" s="8" t="s">
        <v>568</v>
      </c>
      <c r="E439" s="8" t="s">
        <v>119</v>
      </c>
      <c r="F439" s="8" t="s">
        <v>103</v>
      </c>
      <c r="G439" s="8" t="s">
        <v>28</v>
      </c>
      <c r="H439" s="8" t="s">
        <v>1877</v>
      </c>
      <c r="I439" s="8" t="s">
        <v>294</v>
      </c>
      <c r="J439" s="8" t="s">
        <v>295</v>
      </c>
      <c r="K439" s="8" t="s">
        <v>46</v>
      </c>
      <c r="L439" s="8" t="s">
        <v>189</v>
      </c>
      <c r="M439" s="8">
        <v>10</v>
      </c>
      <c r="N439" s="8">
        <v>700</v>
      </c>
      <c r="O439" s="8">
        <v>15</v>
      </c>
      <c r="P439" s="8">
        <v>5950</v>
      </c>
      <c r="Q439" s="8">
        <v>3</v>
      </c>
      <c r="R439" s="8" t="s">
        <v>48</v>
      </c>
      <c r="S439" s="8" t="s">
        <v>35</v>
      </c>
      <c r="T439" s="8" t="s">
        <v>144</v>
      </c>
      <c r="U439" s="9" t="s">
        <v>1878</v>
      </c>
      <c r="V439" s="8" t="s">
        <v>64</v>
      </c>
    </row>
    <row r="440" spans="1:22">
      <c r="A440" s="3" t="s">
        <v>1879</v>
      </c>
      <c r="B440" s="4" t="s">
        <v>83</v>
      </c>
      <c r="C440" s="4" t="s">
        <v>222</v>
      </c>
      <c r="D440" s="4" t="s">
        <v>1880</v>
      </c>
      <c r="E440" s="4" t="s">
        <v>1881</v>
      </c>
      <c r="F440" s="4" t="s">
        <v>180</v>
      </c>
      <c r="G440" s="4" t="s">
        <v>76</v>
      </c>
      <c r="H440" s="4" t="s">
        <v>1882</v>
      </c>
      <c r="I440" s="4" t="s">
        <v>138</v>
      </c>
      <c r="J440" s="4" t="s">
        <v>106</v>
      </c>
      <c r="K440" s="4" t="s">
        <v>122</v>
      </c>
      <c r="L440" s="4" t="s">
        <v>227</v>
      </c>
      <c r="M440" s="4">
        <v>2</v>
      </c>
      <c r="N440" s="4">
        <v>20</v>
      </c>
      <c r="O440" s="4">
        <v>10</v>
      </c>
      <c r="P440" s="4">
        <v>36</v>
      </c>
      <c r="Q440" s="4">
        <v>2</v>
      </c>
      <c r="R440" s="4" t="s">
        <v>88</v>
      </c>
      <c r="S440" s="4" t="s">
        <v>61</v>
      </c>
      <c r="T440" s="4" t="s">
        <v>89</v>
      </c>
      <c r="U440" s="6" t="s">
        <v>1883</v>
      </c>
      <c r="V440" s="4" t="s">
        <v>38</v>
      </c>
    </row>
    <row r="441" spans="1:22">
      <c r="A441" s="7" t="s">
        <v>1884</v>
      </c>
      <c r="B441" s="8" t="s">
        <v>83</v>
      </c>
      <c r="C441" s="8" t="s">
        <v>222</v>
      </c>
      <c r="D441" s="8" t="s">
        <v>1885</v>
      </c>
      <c r="E441" s="8" t="s">
        <v>1199</v>
      </c>
      <c r="F441" s="8" t="s">
        <v>180</v>
      </c>
      <c r="G441" s="8" t="s">
        <v>76</v>
      </c>
      <c r="H441" s="8" t="s">
        <v>1886</v>
      </c>
      <c r="I441" s="8" t="s">
        <v>44</v>
      </c>
      <c r="J441" s="8" t="s">
        <v>45</v>
      </c>
      <c r="K441" s="8" t="s">
        <v>122</v>
      </c>
      <c r="L441" s="8" t="s">
        <v>227</v>
      </c>
      <c r="M441" s="8">
        <v>14</v>
      </c>
      <c r="N441" s="8">
        <v>20</v>
      </c>
      <c r="O441" s="8">
        <v>20</v>
      </c>
      <c r="P441" s="8">
        <v>224</v>
      </c>
      <c r="Q441" s="8">
        <v>5</v>
      </c>
      <c r="R441" s="8" t="s">
        <v>34</v>
      </c>
      <c r="S441" s="8" t="s">
        <v>151</v>
      </c>
      <c r="T441" s="8" t="s">
        <v>89</v>
      </c>
      <c r="U441" s="9" t="s">
        <v>1887</v>
      </c>
      <c r="V441" s="8" t="s">
        <v>64</v>
      </c>
    </row>
    <row r="442" spans="1:22">
      <c r="A442" s="3" t="s">
        <v>1888</v>
      </c>
      <c r="B442" s="4" t="s">
        <v>327</v>
      </c>
      <c r="C442" s="4" t="s">
        <v>92</v>
      </c>
      <c r="D442" s="4" t="s">
        <v>1713</v>
      </c>
      <c r="E442" s="4" t="s">
        <v>193</v>
      </c>
      <c r="F442" s="4" t="s">
        <v>394</v>
      </c>
      <c r="G442" s="4" t="s">
        <v>76</v>
      </c>
      <c r="H442" s="4" t="s">
        <v>1889</v>
      </c>
      <c r="I442" s="4" t="s">
        <v>138</v>
      </c>
      <c r="J442" s="4" t="s">
        <v>106</v>
      </c>
      <c r="K442" s="4" t="s">
        <v>32</v>
      </c>
      <c r="L442" s="4" t="s">
        <v>97</v>
      </c>
      <c r="M442" s="4">
        <v>4</v>
      </c>
      <c r="N442" s="4">
        <v>3500</v>
      </c>
      <c r="O442" s="4">
        <v>0</v>
      </c>
      <c r="P442" s="4">
        <v>14000</v>
      </c>
      <c r="Q442" s="4">
        <v>2</v>
      </c>
      <c r="R442" s="4" t="s">
        <v>88</v>
      </c>
      <c r="S442" s="4" t="s">
        <v>35</v>
      </c>
      <c r="T442" s="4" t="s">
        <v>332</v>
      </c>
      <c r="U442" s="6" t="s">
        <v>1890</v>
      </c>
      <c r="V442" s="4" t="s">
        <v>69</v>
      </c>
    </row>
    <row r="443" spans="1:22">
      <c r="A443" s="7" t="s">
        <v>1891</v>
      </c>
      <c r="B443" s="8" t="s">
        <v>83</v>
      </c>
      <c r="C443" s="8" t="s">
        <v>92</v>
      </c>
      <c r="D443" s="8" t="s">
        <v>318</v>
      </c>
      <c r="E443" s="8" t="s">
        <v>1119</v>
      </c>
      <c r="F443" s="8" t="s">
        <v>180</v>
      </c>
      <c r="G443" s="8" t="s">
        <v>76</v>
      </c>
      <c r="H443" s="8" t="s">
        <v>1892</v>
      </c>
      <c r="I443" s="8" t="s">
        <v>212</v>
      </c>
      <c r="J443" s="8" t="s">
        <v>45</v>
      </c>
      <c r="K443" s="8" t="s">
        <v>32</v>
      </c>
      <c r="L443" s="8" t="s">
        <v>97</v>
      </c>
      <c r="M443" s="8">
        <v>9</v>
      </c>
      <c r="N443" s="8">
        <v>3500</v>
      </c>
      <c r="O443" s="8">
        <v>5</v>
      </c>
      <c r="P443" s="8">
        <v>29925</v>
      </c>
      <c r="Q443" s="8">
        <v>3</v>
      </c>
      <c r="R443" s="8" t="s">
        <v>79</v>
      </c>
      <c r="S443" s="8" t="s">
        <v>61</v>
      </c>
      <c r="T443" s="8" t="s">
        <v>89</v>
      </c>
      <c r="U443" s="9" t="s">
        <v>1893</v>
      </c>
      <c r="V443" s="8" t="s">
        <v>38</v>
      </c>
    </row>
    <row r="444" spans="1:22">
      <c r="A444" s="3" t="s">
        <v>1894</v>
      </c>
      <c r="B444" s="4" t="s">
        <v>127</v>
      </c>
      <c r="C444" s="4" t="s">
        <v>118</v>
      </c>
      <c r="D444" s="4" t="s">
        <v>683</v>
      </c>
      <c r="E444" s="4" t="s">
        <v>1465</v>
      </c>
      <c r="F444" s="4" t="s">
        <v>200</v>
      </c>
      <c r="G444" s="4" t="s">
        <v>76</v>
      </c>
      <c r="H444" s="4" t="s">
        <v>1895</v>
      </c>
      <c r="I444" s="4" t="s">
        <v>105</v>
      </c>
      <c r="J444" s="4" t="s">
        <v>106</v>
      </c>
      <c r="K444" s="4" t="s">
        <v>122</v>
      </c>
      <c r="L444" s="4" t="s">
        <v>123</v>
      </c>
      <c r="M444" s="4">
        <v>9</v>
      </c>
      <c r="N444" s="4">
        <v>60</v>
      </c>
      <c r="O444" s="4">
        <v>0</v>
      </c>
      <c r="P444" s="4">
        <v>540</v>
      </c>
      <c r="Q444" s="4">
        <v>3</v>
      </c>
      <c r="R444" s="4" t="s">
        <v>88</v>
      </c>
      <c r="S444" s="4" t="s">
        <v>35</v>
      </c>
      <c r="T444" s="4" t="s">
        <v>132</v>
      </c>
      <c r="U444" s="6" t="s">
        <v>1896</v>
      </c>
      <c r="V444" s="4" t="s">
        <v>64</v>
      </c>
    </row>
    <row r="445" spans="1:22">
      <c r="A445" s="7" t="s">
        <v>1897</v>
      </c>
      <c r="B445" s="8" t="s">
        <v>168</v>
      </c>
      <c r="C445" s="8" t="s">
        <v>72</v>
      </c>
      <c r="D445" s="8" t="s">
        <v>1898</v>
      </c>
      <c r="E445" s="8" t="s">
        <v>1263</v>
      </c>
      <c r="F445" s="8" t="s">
        <v>361</v>
      </c>
      <c r="G445" s="8" t="s">
        <v>28</v>
      </c>
      <c r="H445" s="8" t="s">
        <v>1899</v>
      </c>
      <c r="I445" s="8" t="s">
        <v>138</v>
      </c>
      <c r="J445" s="8" t="s">
        <v>106</v>
      </c>
      <c r="K445" s="8" t="s">
        <v>46</v>
      </c>
      <c r="L445" s="8" t="s">
        <v>78</v>
      </c>
      <c r="M445" s="8">
        <v>4</v>
      </c>
      <c r="N445" s="8">
        <v>1200</v>
      </c>
      <c r="O445" s="8">
        <v>0</v>
      </c>
      <c r="P445" s="8">
        <v>4800</v>
      </c>
      <c r="Q445" s="8">
        <v>1</v>
      </c>
      <c r="R445" s="8" t="s">
        <v>48</v>
      </c>
      <c r="S445" s="8" t="s">
        <v>61</v>
      </c>
      <c r="T445" s="8" t="s">
        <v>175</v>
      </c>
      <c r="U445" s="9" t="s">
        <v>1900</v>
      </c>
      <c r="V445" s="8" t="s">
        <v>38</v>
      </c>
    </row>
    <row r="446" spans="1:22">
      <c r="A446" s="3" t="s">
        <v>1901</v>
      </c>
      <c r="B446" s="4" t="s">
        <v>53</v>
      </c>
      <c r="C446" s="4" t="s">
        <v>54</v>
      </c>
      <c r="D446" s="4" t="s">
        <v>1620</v>
      </c>
      <c r="E446" s="4" t="s">
        <v>302</v>
      </c>
      <c r="F446" s="4" t="s">
        <v>163</v>
      </c>
      <c r="G446" s="4" t="s">
        <v>28</v>
      </c>
      <c r="H446" s="4" t="s">
        <v>1902</v>
      </c>
      <c r="I446" s="4" t="s">
        <v>30</v>
      </c>
      <c r="J446" s="4" t="s">
        <v>31</v>
      </c>
      <c r="K446" s="4" t="s">
        <v>46</v>
      </c>
      <c r="L446" s="4" t="s">
        <v>60</v>
      </c>
      <c r="M446" s="4">
        <v>10</v>
      </c>
      <c r="N446" s="4">
        <v>55000</v>
      </c>
      <c r="O446" s="4">
        <v>5</v>
      </c>
      <c r="P446" s="4">
        <v>522500</v>
      </c>
      <c r="Q446" s="4">
        <v>5</v>
      </c>
      <c r="R446" s="4" t="s">
        <v>88</v>
      </c>
      <c r="S446" s="4" t="s">
        <v>115</v>
      </c>
      <c r="T446" s="4" t="s">
        <v>62</v>
      </c>
      <c r="U446" s="6" t="s">
        <v>1903</v>
      </c>
      <c r="V446" s="4" t="s">
        <v>38</v>
      </c>
    </row>
    <row r="447" spans="1:22">
      <c r="A447" s="7" t="s">
        <v>1904</v>
      </c>
      <c r="B447" s="8" t="s">
        <v>221</v>
      </c>
      <c r="C447" s="8" t="s">
        <v>259</v>
      </c>
      <c r="D447" s="8" t="s">
        <v>1905</v>
      </c>
      <c r="E447" s="8" t="s">
        <v>881</v>
      </c>
      <c r="F447" s="8" t="s">
        <v>225</v>
      </c>
      <c r="G447" s="8" t="s">
        <v>76</v>
      </c>
      <c r="H447" s="8" t="s">
        <v>1906</v>
      </c>
      <c r="I447" s="8" t="s">
        <v>30</v>
      </c>
      <c r="J447" s="8" t="s">
        <v>31</v>
      </c>
      <c r="K447" s="8" t="s">
        <v>122</v>
      </c>
      <c r="L447" s="8" t="s">
        <v>263</v>
      </c>
      <c r="M447" s="8">
        <v>20</v>
      </c>
      <c r="N447" s="8">
        <v>45</v>
      </c>
      <c r="O447" s="8">
        <v>15</v>
      </c>
      <c r="P447" s="8">
        <v>765</v>
      </c>
      <c r="Q447" s="8">
        <v>2</v>
      </c>
      <c r="R447" s="8" t="s">
        <v>79</v>
      </c>
      <c r="S447" s="8" t="s">
        <v>35</v>
      </c>
      <c r="T447" s="8" t="s">
        <v>228</v>
      </c>
      <c r="U447" s="9" t="s">
        <v>1907</v>
      </c>
      <c r="V447" s="8" t="s">
        <v>69</v>
      </c>
    </row>
    <row r="448" spans="1:22">
      <c r="A448" s="3" t="s">
        <v>1908</v>
      </c>
      <c r="B448" s="4" t="s">
        <v>23</v>
      </c>
      <c r="C448" s="4" t="s">
        <v>222</v>
      </c>
      <c r="D448" s="4" t="s">
        <v>314</v>
      </c>
      <c r="E448" s="4" t="s">
        <v>170</v>
      </c>
      <c r="F448" s="4" t="s">
        <v>27</v>
      </c>
      <c r="G448" s="4" t="s">
        <v>28</v>
      </c>
      <c r="H448" s="4" t="s">
        <v>1909</v>
      </c>
      <c r="I448" s="4" t="s">
        <v>105</v>
      </c>
      <c r="J448" s="4" t="s">
        <v>106</v>
      </c>
      <c r="K448" s="4" t="s">
        <v>122</v>
      </c>
      <c r="L448" s="4" t="s">
        <v>227</v>
      </c>
      <c r="M448" s="4">
        <v>9</v>
      </c>
      <c r="N448" s="4">
        <v>20</v>
      </c>
      <c r="O448" s="4">
        <v>20</v>
      </c>
      <c r="P448" s="4">
        <v>144</v>
      </c>
      <c r="Q448" s="4">
        <v>3</v>
      </c>
      <c r="R448" s="4" t="s">
        <v>79</v>
      </c>
      <c r="S448" s="4" t="s">
        <v>61</v>
      </c>
      <c r="T448" s="4" t="s">
        <v>50</v>
      </c>
      <c r="U448" s="6" t="s">
        <v>1910</v>
      </c>
      <c r="V448" s="4" t="s">
        <v>38</v>
      </c>
    </row>
    <row r="449" spans="1:22">
      <c r="A449" s="7" t="s">
        <v>1911</v>
      </c>
      <c r="B449" s="8" t="s">
        <v>23</v>
      </c>
      <c r="C449" s="8" t="s">
        <v>54</v>
      </c>
      <c r="D449" s="8" t="s">
        <v>1912</v>
      </c>
      <c r="E449" s="8" t="s">
        <v>910</v>
      </c>
      <c r="F449" s="8" t="s">
        <v>27</v>
      </c>
      <c r="G449" s="8" t="s">
        <v>28</v>
      </c>
      <c r="H449" s="8" t="s">
        <v>1913</v>
      </c>
      <c r="I449" s="8" t="s">
        <v>114</v>
      </c>
      <c r="J449" s="8" t="s">
        <v>106</v>
      </c>
      <c r="K449" s="8" t="s">
        <v>46</v>
      </c>
      <c r="L449" s="8" t="s">
        <v>60</v>
      </c>
      <c r="M449" s="8">
        <v>8</v>
      </c>
      <c r="N449" s="8">
        <v>55000</v>
      </c>
      <c r="O449" s="8">
        <v>0</v>
      </c>
      <c r="P449" s="8">
        <v>440000</v>
      </c>
      <c r="Q449" s="8">
        <v>4</v>
      </c>
      <c r="R449" s="8" t="s">
        <v>34</v>
      </c>
      <c r="S449" s="8" t="s">
        <v>115</v>
      </c>
      <c r="T449" s="8" t="s">
        <v>50</v>
      </c>
      <c r="U449" s="9" t="s">
        <v>1914</v>
      </c>
      <c r="V449" s="8" t="s">
        <v>38</v>
      </c>
    </row>
    <row r="450" spans="1:22">
      <c r="A450" s="3" t="s">
        <v>1915</v>
      </c>
      <c r="B450" s="4" t="s">
        <v>327</v>
      </c>
      <c r="C450" s="4" t="s">
        <v>72</v>
      </c>
      <c r="D450" s="4" t="s">
        <v>1916</v>
      </c>
      <c r="E450" s="4" t="s">
        <v>1430</v>
      </c>
      <c r="F450" s="4" t="s">
        <v>394</v>
      </c>
      <c r="G450" s="4" t="s">
        <v>76</v>
      </c>
      <c r="H450" s="4" t="s">
        <v>1917</v>
      </c>
      <c r="I450" s="4" t="s">
        <v>138</v>
      </c>
      <c r="J450" s="4" t="s">
        <v>106</v>
      </c>
      <c r="K450" s="4" t="s">
        <v>46</v>
      </c>
      <c r="L450" s="4" t="s">
        <v>78</v>
      </c>
      <c r="M450" s="4">
        <v>4</v>
      </c>
      <c r="N450" s="4">
        <v>1200</v>
      </c>
      <c r="O450" s="4">
        <v>10</v>
      </c>
      <c r="P450" s="4">
        <v>4320</v>
      </c>
      <c r="Q450" s="4">
        <v>4</v>
      </c>
      <c r="R450" s="4" t="s">
        <v>88</v>
      </c>
      <c r="S450" s="4" t="s">
        <v>35</v>
      </c>
      <c r="T450" s="5" t="s">
        <v>1918</v>
      </c>
      <c r="U450" s="6" t="s">
        <v>1919</v>
      </c>
      <c r="V450" s="4" t="s">
        <v>69</v>
      </c>
    </row>
    <row r="451" spans="1:22">
      <c r="A451" s="7" t="s">
        <v>1920</v>
      </c>
      <c r="B451" s="8" t="s">
        <v>327</v>
      </c>
      <c r="C451" s="8" t="s">
        <v>169</v>
      </c>
      <c r="D451" s="8" t="s">
        <v>518</v>
      </c>
      <c r="E451" s="8" t="s">
        <v>426</v>
      </c>
      <c r="F451" s="8" t="s">
        <v>394</v>
      </c>
      <c r="G451" s="8" t="s">
        <v>76</v>
      </c>
      <c r="H451" s="8" t="s">
        <v>1921</v>
      </c>
      <c r="I451" s="8" t="s">
        <v>294</v>
      </c>
      <c r="J451" s="8" t="s">
        <v>295</v>
      </c>
      <c r="K451" s="8" t="s">
        <v>32</v>
      </c>
      <c r="L451" s="8" t="s">
        <v>174</v>
      </c>
      <c r="M451" s="8">
        <v>14</v>
      </c>
      <c r="N451" s="8">
        <v>8500</v>
      </c>
      <c r="O451" s="8">
        <v>10</v>
      </c>
      <c r="P451" s="8">
        <v>107100</v>
      </c>
      <c r="Q451" s="8">
        <v>4</v>
      </c>
      <c r="R451" s="8" t="s">
        <v>34</v>
      </c>
      <c r="S451" s="8" t="s">
        <v>35</v>
      </c>
      <c r="T451" s="8" t="s">
        <v>332</v>
      </c>
      <c r="U451" s="9" t="s">
        <v>1922</v>
      </c>
      <c r="V451" s="8" t="s">
        <v>38</v>
      </c>
    </row>
    <row r="452" spans="1:22">
      <c r="A452" s="3" t="s">
        <v>1923</v>
      </c>
      <c r="B452" s="4" t="s">
        <v>71</v>
      </c>
      <c r="C452" s="4" t="s">
        <v>259</v>
      </c>
      <c r="D452" s="4" t="s">
        <v>683</v>
      </c>
      <c r="E452" s="4" t="s">
        <v>1924</v>
      </c>
      <c r="F452" s="4" t="s">
        <v>217</v>
      </c>
      <c r="G452" s="4" t="s">
        <v>76</v>
      </c>
      <c r="H452" s="4" t="s">
        <v>1925</v>
      </c>
      <c r="I452" s="4" t="s">
        <v>30</v>
      </c>
      <c r="J452" s="4" t="s">
        <v>31</v>
      </c>
      <c r="K452" s="4" t="s">
        <v>122</v>
      </c>
      <c r="L452" s="4" t="s">
        <v>263</v>
      </c>
      <c r="M452" s="4">
        <v>1</v>
      </c>
      <c r="N452" s="4">
        <v>45</v>
      </c>
      <c r="O452" s="4">
        <v>0</v>
      </c>
      <c r="P452" s="4">
        <v>45</v>
      </c>
      <c r="Q452" s="4">
        <v>3</v>
      </c>
      <c r="R452" s="4" t="s">
        <v>88</v>
      </c>
      <c r="S452" s="4" t="s">
        <v>151</v>
      </c>
      <c r="T452" s="4" t="s">
        <v>80</v>
      </c>
      <c r="U452" s="6" t="s">
        <v>1926</v>
      </c>
      <c r="V452" s="4" t="s">
        <v>69</v>
      </c>
    </row>
    <row r="453" spans="1:22">
      <c r="A453" s="7" t="s">
        <v>1927</v>
      </c>
      <c r="B453" s="8" t="s">
        <v>71</v>
      </c>
      <c r="C453" s="8" t="s">
        <v>54</v>
      </c>
      <c r="D453" s="8" t="s">
        <v>901</v>
      </c>
      <c r="E453" s="8" t="s">
        <v>1069</v>
      </c>
      <c r="F453" s="8" t="s">
        <v>217</v>
      </c>
      <c r="G453" s="8" t="s">
        <v>76</v>
      </c>
      <c r="H453" s="8" t="s">
        <v>1928</v>
      </c>
      <c r="I453" s="8" t="s">
        <v>44</v>
      </c>
      <c r="J453" s="8" t="s">
        <v>45</v>
      </c>
      <c r="K453" s="8" t="s">
        <v>46</v>
      </c>
      <c r="L453" s="8" t="s">
        <v>60</v>
      </c>
      <c r="M453" s="8">
        <v>16</v>
      </c>
      <c r="N453" s="8">
        <v>55000</v>
      </c>
      <c r="O453" s="8">
        <v>15</v>
      </c>
      <c r="P453" s="8">
        <v>748000</v>
      </c>
      <c r="Q453" s="8">
        <v>1</v>
      </c>
      <c r="R453" s="8" t="s">
        <v>79</v>
      </c>
      <c r="S453" s="8" t="s">
        <v>151</v>
      </c>
      <c r="T453" s="8" t="s">
        <v>80</v>
      </c>
      <c r="U453" s="9" t="s">
        <v>1929</v>
      </c>
      <c r="V453" s="8" t="s">
        <v>69</v>
      </c>
    </row>
    <row r="454" spans="1:22">
      <c r="A454" s="3" t="s">
        <v>1930</v>
      </c>
      <c r="B454" s="4" t="s">
        <v>53</v>
      </c>
      <c r="C454" s="4" t="s">
        <v>184</v>
      </c>
      <c r="D454" s="4" t="s">
        <v>1931</v>
      </c>
      <c r="E454" s="4" t="s">
        <v>1932</v>
      </c>
      <c r="F454" s="4" t="s">
        <v>163</v>
      </c>
      <c r="G454" s="4" t="s">
        <v>28</v>
      </c>
      <c r="H454" s="4" t="s">
        <v>1933</v>
      </c>
      <c r="I454" s="4" t="s">
        <v>138</v>
      </c>
      <c r="J454" s="4" t="s">
        <v>106</v>
      </c>
      <c r="K454" s="4" t="s">
        <v>46</v>
      </c>
      <c r="L454" s="4" t="s">
        <v>189</v>
      </c>
      <c r="M454" s="4">
        <v>8</v>
      </c>
      <c r="N454" s="4">
        <v>700</v>
      </c>
      <c r="O454" s="4">
        <v>0</v>
      </c>
      <c r="P454" s="4">
        <v>5600</v>
      </c>
      <c r="Q454" s="4">
        <v>3</v>
      </c>
      <c r="R454" s="4" t="s">
        <v>34</v>
      </c>
      <c r="S454" s="4" t="s">
        <v>49</v>
      </c>
      <c r="T454" s="4" t="s">
        <v>62</v>
      </c>
      <c r="U454" s="6" t="s">
        <v>1934</v>
      </c>
      <c r="V454" s="4" t="s">
        <v>38</v>
      </c>
    </row>
    <row r="455" spans="1:22">
      <c r="A455" s="7" t="s">
        <v>1935</v>
      </c>
      <c r="B455" s="8" t="s">
        <v>251</v>
      </c>
      <c r="C455" s="8" t="s">
        <v>72</v>
      </c>
      <c r="D455" s="8" t="s">
        <v>66</v>
      </c>
      <c r="E455" s="8" t="s">
        <v>1936</v>
      </c>
      <c r="F455" s="8" t="s">
        <v>254</v>
      </c>
      <c r="G455" s="8" t="s">
        <v>28</v>
      </c>
      <c r="H455" s="8" t="s">
        <v>1937</v>
      </c>
      <c r="I455" s="8" t="s">
        <v>138</v>
      </c>
      <c r="J455" s="8" t="s">
        <v>106</v>
      </c>
      <c r="K455" s="8" t="s">
        <v>46</v>
      </c>
      <c r="L455" s="8" t="s">
        <v>78</v>
      </c>
      <c r="M455" s="8">
        <v>3</v>
      </c>
      <c r="N455" s="8">
        <v>1200</v>
      </c>
      <c r="O455" s="8">
        <v>0</v>
      </c>
      <c r="P455" s="8">
        <v>3600</v>
      </c>
      <c r="Q455" s="8">
        <v>1</v>
      </c>
      <c r="R455" s="8" t="s">
        <v>79</v>
      </c>
      <c r="S455" s="8" t="s">
        <v>49</v>
      </c>
      <c r="T455" s="8" t="s">
        <v>256</v>
      </c>
      <c r="U455" s="9" t="s">
        <v>1938</v>
      </c>
      <c r="V455" s="8" t="s">
        <v>69</v>
      </c>
    </row>
    <row r="456" spans="1:22">
      <c r="A456" s="3" t="s">
        <v>1939</v>
      </c>
      <c r="B456" s="4" t="s">
        <v>71</v>
      </c>
      <c r="C456" s="4" t="s">
        <v>92</v>
      </c>
      <c r="D456" s="4" t="s">
        <v>988</v>
      </c>
      <c r="E456" s="4" t="s">
        <v>387</v>
      </c>
      <c r="F456" s="4" t="s">
        <v>217</v>
      </c>
      <c r="G456" s="4" t="s">
        <v>76</v>
      </c>
      <c r="H456" s="4" t="s">
        <v>1940</v>
      </c>
      <c r="I456" s="4" t="s">
        <v>294</v>
      </c>
      <c r="J456" s="4" t="s">
        <v>295</v>
      </c>
      <c r="K456" s="4" t="s">
        <v>32</v>
      </c>
      <c r="L456" s="4" t="s">
        <v>97</v>
      </c>
      <c r="M456" s="4">
        <v>7</v>
      </c>
      <c r="N456" s="4">
        <v>3500</v>
      </c>
      <c r="O456" s="4">
        <v>15</v>
      </c>
      <c r="P456" s="4">
        <v>20825</v>
      </c>
      <c r="Q456" s="4">
        <v>4</v>
      </c>
      <c r="R456" s="4" t="s">
        <v>79</v>
      </c>
      <c r="S456" s="4" t="s">
        <v>61</v>
      </c>
      <c r="T456" s="4" t="s">
        <v>80</v>
      </c>
      <c r="U456" s="6" t="s">
        <v>1941</v>
      </c>
      <c r="V456" s="4" t="s">
        <v>64</v>
      </c>
    </row>
    <row r="457" spans="1:22">
      <c r="A457" s="7" t="s">
        <v>1942</v>
      </c>
      <c r="B457" s="8" t="s">
        <v>53</v>
      </c>
      <c r="C457" s="8" t="s">
        <v>54</v>
      </c>
      <c r="D457" s="8" t="s">
        <v>1932</v>
      </c>
      <c r="E457" s="8" t="s">
        <v>740</v>
      </c>
      <c r="F457" s="8" t="s">
        <v>163</v>
      </c>
      <c r="G457" s="8" t="s">
        <v>28</v>
      </c>
      <c r="H457" s="8" t="s">
        <v>1943</v>
      </c>
      <c r="I457" s="8" t="s">
        <v>114</v>
      </c>
      <c r="J457" s="8" t="s">
        <v>106</v>
      </c>
      <c r="K457" s="8" t="s">
        <v>46</v>
      </c>
      <c r="L457" s="8" t="s">
        <v>60</v>
      </c>
      <c r="M457" s="8">
        <v>9</v>
      </c>
      <c r="N457" s="8">
        <v>55000</v>
      </c>
      <c r="O457" s="8">
        <v>15</v>
      </c>
      <c r="P457" s="8">
        <v>420750</v>
      </c>
      <c r="Q457" s="8">
        <v>3</v>
      </c>
      <c r="R457" s="8" t="s">
        <v>88</v>
      </c>
      <c r="S457" s="8" t="s">
        <v>35</v>
      </c>
      <c r="T457" s="8" t="s">
        <v>62</v>
      </c>
      <c r="U457" s="9" t="s">
        <v>1944</v>
      </c>
      <c r="V457" s="8" t="s">
        <v>69</v>
      </c>
    </row>
    <row r="458" spans="1:22">
      <c r="A458" s="3" t="s">
        <v>1945</v>
      </c>
      <c r="B458" s="4" t="s">
        <v>327</v>
      </c>
      <c r="C458" s="4" t="s">
        <v>40</v>
      </c>
      <c r="D458" s="4" t="s">
        <v>185</v>
      </c>
      <c r="E458" s="4" t="s">
        <v>918</v>
      </c>
      <c r="F458" s="4" t="s">
        <v>394</v>
      </c>
      <c r="G458" s="4" t="s">
        <v>76</v>
      </c>
      <c r="H458" s="4" t="s">
        <v>1946</v>
      </c>
      <c r="I458" s="4" t="s">
        <v>59</v>
      </c>
      <c r="J458" s="4" t="s">
        <v>31</v>
      </c>
      <c r="K458" s="4" t="s">
        <v>46</v>
      </c>
      <c r="L458" s="4" t="s">
        <v>47</v>
      </c>
      <c r="M458" s="4">
        <v>12</v>
      </c>
      <c r="N458" s="4">
        <v>12000</v>
      </c>
      <c r="O458" s="4">
        <v>0</v>
      </c>
      <c r="P458" s="4">
        <v>144000</v>
      </c>
      <c r="Q458" s="4">
        <v>3</v>
      </c>
      <c r="R458" s="4" t="s">
        <v>79</v>
      </c>
      <c r="S458" s="4" t="s">
        <v>151</v>
      </c>
      <c r="T458" s="4" t="s">
        <v>332</v>
      </c>
      <c r="U458" s="6" t="s">
        <v>1947</v>
      </c>
      <c r="V458" s="4" t="s">
        <v>69</v>
      </c>
    </row>
    <row r="459" spans="1:22">
      <c r="A459" s="7" t="s">
        <v>1948</v>
      </c>
      <c r="B459" s="8" t="s">
        <v>100</v>
      </c>
      <c r="C459" s="8" t="s">
        <v>118</v>
      </c>
      <c r="D459" s="8" t="s">
        <v>42</v>
      </c>
      <c r="E459" s="8" t="s">
        <v>597</v>
      </c>
      <c r="F459" s="8" t="s">
        <v>103</v>
      </c>
      <c r="G459" s="8" t="s">
        <v>28</v>
      </c>
      <c r="H459" s="8" t="s">
        <v>1949</v>
      </c>
      <c r="I459" s="8" t="s">
        <v>138</v>
      </c>
      <c r="J459" s="8" t="s">
        <v>106</v>
      </c>
      <c r="K459" s="8" t="s">
        <v>122</v>
      </c>
      <c r="L459" s="8" t="s">
        <v>123</v>
      </c>
      <c r="M459" s="8">
        <v>7</v>
      </c>
      <c r="N459" s="8">
        <v>60</v>
      </c>
      <c r="O459" s="8">
        <v>10</v>
      </c>
      <c r="P459" s="8">
        <v>378</v>
      </c>
      <c r="Q459" s="8">
        <v>4</v>
      </c>
      <c r="R459" s="8" t="s">
        <v>34</v>
      </c>
      <c r="S459" s="8" t="s">
        <v>49</v>
      </c>
      <c r="T459" s="8" t="s">
        <v>144</v>
      </c>
      <c r="U459" s="9" t="s">
        <v>1950</v>
      </c>
      <c r="V459" s="8" t="s">
        <v>69</v>
      </c>
    </row>
    <row r="460" spans="1:22">
      <c r="A460" s="3" t="s">
        <v>1951</v>
      </c>
      <c r="B460" s="4" t="s">
        <v>221</v>
      </c>
      <c r="C460" s="4" t="s">
        <v>24</v>
      </c>
      <c r="D460" s="4" t="s">
        <v>377</v>
      </c>
      <c r="E460" s="4" t="s">
        <v>674</v>
      </c>
      <c r="F460" s="4" t="s">
        <v>225</v>
      </c>
      <c r="G460" s="4" t="s">
        <v>76</v>
      </c>
      <c r="H460" s="4" t="s">
        <v>1952</v>
      </c>
      <c r="I460" s="4" t="s">
        <v>105</v>
      </c>
      <c r="J460" s="4" t="s">
        <v>106</v>
      </c>
      <c r="K460" s="4" t="s">
        <v>32</v>
      </c>
      <c r="L460" s="4" t="s">
        <v>33</v>
      </c>
      <c r="M460" s="4">
        <v>17</v>
      </c>
      <c r="N460" s="4">
        <v>2200</v>
      </c>
      <c r="O460" s="4">
        <v>15</v>
      </c>
      <c r="P460" s="4">
        <v>31790</v>
      </c>
      <c r="Q460" s="4">
        <v>3</v>
      </c>
      <c r="R460" s="4" t="s">
        <v>88</v>
      </c>
      <c r="S460" s="4" t="s">
        <v>151</v>
      </c>
      <c r="T460" s="4" t="s">
        <v>228</v>
      </c>
      <c r="U460" s="6" t="s">
        <v>1953</v>
      </c>
      <c r="V460" s="4" t="s">
        <v>64</v>
      </c>
    </row>
    <row r="461" spans="1:22">
      <c r="A461" s="7" t="s">
        <v>1954</v>
      </c>
      <c r="B461" s="8" t="s">
        <v>327</v>
      </c>
      <c r="C461" s="8" t="s">
        <v>184</v>
      </c>
      <c r="D461" s="8" t="s">
        <v>351</v>
      </c>
      <c r="E461" s="8" t="s">
        <v>1537</v>
      </c>
      <c r="F461" s="8" t="s">
        <v>394</v>
      </c>
      <c r="G461" s="8" t="s">
        <v>76</v>
      </c>
      <c r="H461" s="8" t="s">
        <v>1955</v>
      </c>
      <c r="I461" s="8" t="s">
        <v>59</v>
      </c>
      <c r="J461" s="8" t="s">
        <v>31</v>
      </c>
      <c r="K461" s="8" t="s">
        <v>46</v>
      </c>
      <c r="L461" s="8" t="s">
        <v>189</v>
      </c>
      <c r="M461" s="8">
        <v>17</v>
      </c>
      <c r="N461" s="8">
        <v>700</v>
      </c>
      <c r="O461" s="8">
        <v>10</v>
      </c>
      <c r="P461" s="8">
        <v>10710</v>
      </c>
      <c r="Q461" s="8">
        <v>2</v>
      </c>
      <c r="R461" s="8" t="s">
        <v>34</v>
      </c>
      <c r="S461" s="8" t="s">
        <v>61</v>
      </c>
      <c r="T461" s="8" t="s">
        <v>332</v>
      </c>
      <c r="U461" s="9" t="s">
        <v>1956</v>
      </c>
      <c r="V461" s="8" t="s">
        <v>64</v>
      </c>
    </row>
    <row r="462" spans="1:22">
      <c r="A462" s="3" t="s">
        <v>1957</v>
      </c>
      <c r="B462" s="4" t="s">
        <v>327</v>
      </c>
      <c r="C462" s="4" t="s">
        <v>54</v>
      </c>
      <c r="D462" s="4" t="s">
        <v>1958</v>
      </c>
      <c r="E462" s="4" t="s">
        <v>1188</v>
      </c>
      <c r="F462" s="4" t="s">
        <v>394</v>
      </c>
      <c r="G462" s="4" t="s">
        <v>76</v>
      </c>
      <c r="H462" s="4" t="s">
        <v>1959</v>
      </c>
      <c r="I462" s="4" t="s">
        <v>44</v>
      </c>
      <c r="J462" s="4" t="s">
        <v>45</v>
      </c>
      <c r="K462" s="4" t="s">
        <v>46</v>
      </c>
      <c r="L462" s="4" t="s">
        <v>60</v>
      </c>
      <c r="M462" s="4">
        <v>19</v>
      </c>
      <c r="N462" s="4">
        <v>55000</v>
      </c>
      <c r="O462" s="4">
        <v>20</v>
      </c>
      <c r="P462" s="4">
        <v>836000</v>
      </c>
      <c r="Q462" s="4">
        <v>5</v>
      </c>
      <c r="R462" s="4" t="s">
        <v>48</v>
      </c>
      <c r="S462" s="4" t="s">
        <v>61</v>
      </c>
      <c r="T462" s="4" t="s">
        <v>332</v>
      </c>
      <c r="U462" s="6" t="s">
        <v>1960</v>
      </c>
      <c r="V462" s="4" t="s">
        <v>38</v>
      </c>
    </row>
    <row r="463" spans="1:22">
      <c r="A463" s="7" t="s">
        <v>1961</v>
      </c>
      <c r="B463" s="8" t="s">
        <v>127</v>
      </c>
      <c r="C463" s="8" t="s">
        <v>118</v>
      </c>
      <c r="D463" s="8" t="s">
        <v>1172</v>
      </c>
      <c r="E463" s="8" t="s">
        <v>128</v>
      </c>
      <c r="F463" s="8" t="s">
        <v>200</v>
      </c>
      <c r="G463" s="8" t="s">
        <v>76</v>
      </c>
      <c r="H463" s="8" t="s">
        <v>1962</v>
      </c>
      <c r="I463" s="8" t="s">
        <v>44</v>
      </c>
      <c r="J463" s="8" t="s">
        <v>45</v>
      </c>
      <c r="K463" s="8" t="s">
        <v>122</v>
      </c>
      <c r="L463" s="8" t="s">
        <v>123</v>
      </c>
      <c r="M463" s="8">
        <v>1</v>
      </c>
      <c r="N463" s="8">
        <v>60</v>
      </c>
      <c r="O463" s="8">
        <v>10</v>
      </c>
      <c r="P463" s="8">
        <v>54</v>
      </c>
      <c r="Q463" s="8">
        <v>4</v>
      </c>
      <c r="R463" s="8" t="s">
        <v>48</v>
      </c>
      <c r="S463" s="8"/>
      <c r="T463" s="10" t="s">
        <v>1963</v>
      </c>
      <c r="U463" s="9" t="s">
        <v>1964</v>
      </c>
      <c r="V463" s="8" t="s">
        <v>69</v>
      </c>
    </row>
    <row r="464" spans="1:22">
      <c r="A464" s="3" t="s">
        <v>1965</v>
      </c>
      <c r="B464" s="4" t="s">
        <v>71</v>
      </c>
      <c r="C464" s="4" t="s">
        <v>92</v>
      </c>
      <c r="D464" s="4" t="s">
        <v>1142</v>
      </c>
      <c r="E464" s="4" t="s">
        <v>554</v>
      </c>
      <c r="F464" s="4" t="s">
        <v>217</v>
      </c>
      <c r="G464" s="4" t="s">
        <v>76</v>
      </c>
      <c r="H464" s="4" t="s">
        <v>1966</v>
      </c>
      <c r="I464" s="4" t="s">
        <v>30</v>
      </c>
      <c r="J464" s="4" t="s">
        <v>31</v>
      </c>
      <c r="K464" s="4" t="s">
        <v>32</v>
      </c>
      <c r="L464" s="4" t="s">
        <v>97</v>
      </c>
      <c r="M464" s="4">
        <v>16</v>
      </c>
      <c r="N464" s="4">
        <v>3500</v>
      </c>
      <c r="O464" s="4">
        <v>0</v>
      </c>
      <c r="P464" s="4">
        <v>56000</v>
      </c>
      <c r="Q464" s="4">
        <v>4</v>
      </c>
      <c r="R464" s="4" t="s">
        <v>48</v>
      </c>
      <c r="S464" s="4" t="s">
        <v>35</v>
      </c>
      <c r="T464" s="4" t="s">
        <v>80</v>
      </c>
      <c r="U464" s="6" t="s">
        <v>1967</v>
      </c>
      <c r="V464" s="4" t="s">
        <v>64</v>
      </c>
    </row>
    <row r="465" spans="1:22">
      <c r="A465" s="7" t="s">
        <v>1968</v>
      </c>
      <c r="B465" s="8" t="s">
        <v>127</v>
      </c>
      <c r="C465" s="8" t="s">
        <v>222</v>
      </c>
      <c r="D465" s="8" t="s">
        <v>957</v>
      </c>
      <c r="E465" s="8" t="s">
        <v>766</v>
      </c>
      <c r="F465" s="8" t="s">
        <v>200</v>
      </c>
      <c r="G465" s="8" t="s">
        <v>76</v>
      </c>
      <c r="H465" s="8" t="s">
        <v>1295</v>
      </c>
      <c r="I465" s="8" t="s">
        <v>114</v>
      </c>
      <c r="J465" s="8" t="s">
        <v>106</v>
      </c>
      <c r="K465" s="8" t="s">
        <v>122</v>
      </c>
      <c r="L465" s="8" t="s">
        <v>227</v>
      </c>
      <c r="M465" s="8">
        <v>14</v>
      </c>
      <c r="N465" s="8">
        <v>20</v>
      </c>
      <c r="O465" s="8">
        <v>10</v>
      </c>
      <c r="P465" s="8">
        <v>252</v>
      </c>
      <c r="Q465" s="8">
        <v>1</v>
      </c>
      <c r="R465" s="8" t="s">
        <v>48</v>
      </c>
      <c r="S465" s="8" t="s">
        <v>61</v>
      </c>
      <c r="T465" s="8" t="s">
        <v>132</v>
      </c>
      <c r="U465" s="9" t="s">
        <v>1969</v>
      </c>
      <c r="V465" s="8" t="s">
        <v>64</v>
      </c>
    </row>
    <row r="466" spans="1:22">
      <c r="A466" s="3" t="s">
        <v>1970</v>
      </c>
      <c r="B466" s="4" t="s">
        <v>71</v>
      </c>
      <c r="C466" s="4" t="s">
        <v>24</v>
      </c>
      <c r="D466" s="4" t="s">
        <v>473</v>
      </c>
      <c r="E466" s="4" t="s">
        <v>454</v>
      </c>
      <c r="F466" s="4" t="s">
        <v>217</v>
      </c>
      <c r="G466" s="4" t="s">
        <v>76</v>
      </c>
      <c r="H466" s="4" t="s">
        <v>1971</v>
      </c>
      <c r="I466" s="4" t="s">
        <v>59</v>
      </c>
      <c r="J466" s="4" t="s">
        <v>31</v>
      </c>
      <c r="K466" s="4" t="s">
        <v>32</v>
      </c>
      <c r="L466" s="4" t="s">
        <v>33</v>
      </c>
      <c r="M466" s="4">
        <v>11</v>
      </c>
      <c r="N466" s="4">
        <v>2200</v>
      </c>
      <c r="O466" s="4">
        <v>15</v>
      </c>
      <c r="P466" s="4">
        <v>20570</v>
      </c>
      <c r="Q466" s="4">
        <v>4</v>
      </c>
      <c r="R466" s="4" t="s">
        <v>48</v>
      </c>
      <c r="S466" s="4" t="s">
        <v>49</v>
      </c>
      <c r="T466" s="4" t="s">
        <v>80</v>
      </c>
      <c r="U466" s="6" t="s">
        <v>1972</v>
      </c>
      <c r="V466" s="4" t="s">
        <v>69</v>
      </c>
    </row>
    <row r="467" spans="1:22">
      <c r="A467" s="7" t="s">
        <v>1973</v>
      </c>
      <c r="B467" s="8" t="s">
        <v>83</v>
      </c>
      <c r="C467" s="8" t="s">
        <v>54</v>
      </c>
      <c r="D467" s="8" t="s">
        <v>756</v>
      </c>
      <c r="E467" s="8" t="s">
        <v>1282</v>
      </c>
      <c r="F467" s="8" t="s">
        <v>180</v>
      </c>
      <c r="G467" s="8" t="s">
        <v>76</v>
      </c>
      <c r="H467" s="8" t="s">
        <v>1974</v>
      </c>
      <c r="I467" s="8" t="s">
        <v>212</v>
      </c>
      <c r="J467" s="8" t="s">
        <v>45</v>
      </c>
      <c r="K467" s="8" t="s">
        <v>46</v>
      </c>
      <c r="L467" s="8" t="s">
        <v>60</v>
      </c>
      <c r="M467" s="8">
        <v>2</v>
      </c>
      <c r="N467" s="8">
        <v>55000</v>
      </c>
      <c r="O467" s="8">
        <v>0</v>
      </c>
      <c r="P467" s="8">
        <v>110000</v>
      </c>
      <c r="Q467" s="8">
        <v>4</v>
      </c>
      <c r="R467" s="8" t="s">
        <v>48</v>
      </c>
      <c r="S467" s="8" t="s">
        <v>49</v>
      </c>
      <c r="T467" s="8" t="s">
        <v>89</v>
      </c>
      <c r="U467" s="9" t="s">
        <v>1975</v>
      </c>
      <c r="V467" s="8" t="s">
        <v>69</v>
      </c>
    </row>
    <row r="468" spans="1:22">
      <c r="A468" s="3" t="s">
        <v>1976</v>
      </c>
      <c r="B468" s="4" t="s">
        <v>53</v>
      </c>
      <c r="C468" s="4" t="s">
        <v>24</v>
      </c>
      <c r="D468" s="4" t="s">
        <v>512</v>
      </c>
      <c r="E468" s="4" t="s">
        <v>513</v>
      </c>
      <c r="F468" s="4" t="s">
        <v>163</v>
      </c>
      <c r="G468" s="4" t="s">
        <v>28</v>
      </c>
      <c r="H468" s="4" t="s">
        <v>1977</v>
      </c>
      <c r="I468" s="4" t="s">
        <v>114</v>
      </c>
      <c r="J468" s="4" t="s">
        <v>106</v>
      </c>
      <c r="K468" s="4" t="s">
        <v>32</v>
      </c>
      <c r="L468" s="4" t="s">
        <v>33</v>
      </c>
      <c r="M468" s="4">
        <v>7</v>
      </c>
      <c r="N468" s="4">
        <v>2200</v>
      </c>
      <c r="O468" s="4">
        <v>5</v>
      </c>
      <c r="P468" s="4">
        <v>14630</v>
      </c>
      <c r="Q468" s="4">
        <v>4</v>
      </c>
      <c r="R468" s="4" t="s">
        <v>79</v>
      </c>
      <c r="S468" s="4" t="s">
        <v>115</v>
      </c>
      <c r="T468" s="4" t="s">
        <v>62</v>
      </c>
      <c r="U468" s="6" t="s">
        <v>1978</v>
      </c>
      <c r="V468" s="4" t="s">
        <v>69</v>
      </c>
    </row>
    <row r="469" spans="1:22">
      <c r="A469" s="7" t="s">
        <v>1979</v>
      </c>
      <c r="B469" s="8" t="s">
        <v>23</v>
      </c>
      <c r="C469" s="8" t="s">
        <v>259</v>
      </c>
      <c r="D469" s="8" t="s">
        <v>1507</v>
      </c>
      <c r="E469" s="8" t="s">
        <v>577</v>
      </c>
      <c r="F469" s="8" t="s">
        <v>27</v>
      </c>
      <c r="G469" s="8" t="s">
        <v>28</v>
      </c>
      <c r="H469" s="8" t="s">
        <v>1980</v>
      </c>
      <c r="I469" s="8" t="s">
        <v>138</v>
      </c>
      <c r="J469" s="8" t="s">
        <v>106</v>
      </c>
      <c r="K469" s="8" t="s">
        <v>122</v>
      </c>
      <c r="L469" s="8" t="s">
        <v>263</v>
      </c>
      <c r="M469" s="8">
        <v>11</v>
      </c>
      <c r="N469" s="8">
        <v>45</v>
      </c>
      <c r="O469" s="8">
        <v>15</v>
      </c>
      <c r="P469" s="8">
        <v>420.75</v>
      </c>
      <c r="Q469" s="8">
        <v>4</v>
      </c>
      <c r="R469" s="8" t="s">
        <v>79</v>
      </c>
      <c r="S469" s="8" t="s">
        <v>61</v>
      </c>
      <c r="T469" s="8" t="s">
        <v>50</v>
      </c>
      <c r="U469" s="9" t="s">
        <v>1981</v>
      </c>
      <c r="V469" s="8" t="s">
        <v>64</v>
      </c>
    </row>
    <row r="470" spans="1:22">
      <c r="A470" s="3" t="s">
        <v>1982</v>
      </c>
      <c r="B470" s="4" t="s">
        <v>100</v>
      </c>
      <c r="C470" s="4" t="s">
        <v>118</v>
      </c>
      <c r="D470" s="4" t="s">
        <v>1114</v>
      </c>
      <c r="E470" s="4" t="s">
        <v>210</v>
      </c>
      <c r="F470" s="4" t="s">
        <v>103</v>
      </c>
      <c r="G470" s="4" t="s">
        <v>28</v>
      </c>
      <c r="H470" s="4" t="s">
        <v>1983</v>
      </c>
      <c r="I470" s="4" t="s">
        <v>105</v>
      </c>
      <c r="J470" s="4" t="s">
        <v>106</v>
      </c>
      <c r="K470" s="4" t="s">
        <v>122</v>
      </c>
      <c r="L470" s="4" t="s">
        <v>123</v>
      </c>
      <c r="M470" s="4">
        <v>16</v>
      </c>
      <c r="N470" s="4">
        <v>60</v>
      </c>
      <c r="O470" s="4">
        <v>5</v>
      </c>
      <c r="P470" s="4">
        <v>912</v>
      </c>
      <c r="Q470" s="4">
        <v>2</v>
      </c>
      <c r="R470" s="4" t="s">
        <v>34</v>
      </c>
      <c r="S470" s="4" t="s">
        <v>115</v>
      </c>
      <c r="T470" s="4" t="s">
        <v>144</v>
      </c>
      <c r="U470" s="6" t="s">
        <v>1984</v>
      </c>
      <c r="V470" s="4" t="s">
        <v>69</v>
      </c>
    </row>
    <row r="471" spans="1:22">
      <c r="A471" s="7" t="s">
        <v>1985</v>
      </c>
      <c r="B471" s="8" t="s">
        <v>327</v>
      </c>
      <c r="C471" s="8" t="s">
        <v>54</v>
      </c>
      <c r="D471" s="8" t="s">
        <v>1102</v>
      </c>
      <c r="E471" s="8" t="s">
        <v>864</v>
      </c>
      <c r="F471" s="8" t="s">
        <v>394</v>
      </c>
      <c r="G471" s="8" t="s">
        <v>76</v>
      </c>
      <c r="H471" s="8" t="s">
        <v>1986</v>
      </c>
      <c r="I471" s="8" t="s">
        <v>114</v>
      </c>
      <c r="J471" s="8" t="s">
        <v>106</v>
      </c>
      <c r="K471" s="8" t="s">
        <v>46</v>
      </c>
      <c r="L471" s="8" t="s">
        <v>60</v>
      </c>
      <c r="M471" s="8">
        <v>18</v>
      </c>
      <c r="N471" s="8">
        <v>55000</v>
      </c>
      <c r="O471" s="8">
        <v>0</v>
      </c>
      <c r="P471" s="8">
        <v>990000</v>
      </c>
      <c r="Q471" s="8">
        <v>5</v>
      </c>
      <c r="R471" s="8" t="s">
        <v>48</v>
      </c>
      <c r="S471" s="8" t="s">
        <v>49</v>
      </c>
      <c r="T471" s="8" t="s">
        <v>332</v>
      </c>
      <c r="U471" s="9" t="s">
        <v>1987</v>
      </c>
      <c r="V471" s="8" t="s">
        <v>64</v>
      </c>
    </row>
    <row r="472" spans="1:22">
      <c r="A472" s="3" t="s">
        <v>1988</v>
      </c>
      <c r="B472" s="4" t="s">
        <v>23</v>
      </c>
      <c r="C472" s="4" t="s">
        <v>72</v>
      </c>
      <c r="D472" s="4" t="s">
        <v>1989</v>
      </c>
      <c r="E472" s="4" t="s">
        <v>1880</v>
      </c>
      <c r="F472" s="4" t="s">
        <v>27</v>
      </c>
      <c r="G472" s="4" t="s">
        <v>28</v>
      </c>
      <c r="H472" s="4" t="s">
        <v>1990</v>
      </c>
      <c r="I472" s="4" t="s">
        <v>59</v>
      </c>
      <c r="J472" s="4" t="s">
        <v>31</v>
      </c>
      <c r="K472" s="4" t="s">
        <v>46</v>
      </c>
      <c r="L472" s="4" t="s">
        <v>78</v>
      </c>
      <c r="M472" s="4">
        <v>17</v>
      </c>
      <c r="N472" s="4">
        <v>1200</v>
      </c>
      <c r="O472" s="4">
        <v>5</v>
      </c>
      <c r="P472" s="4">
        <v>19380</v>
      </c>
      <c r="Q472" s="4">
        <v>1</v>
      </c>
      <c r="R472" s="4" t="s">
        <v>48</v>
      </c>
      <c r="S472" s="4" t="s">
        <v>35</v>
      </c>
      <c r="T472" s="4" t="s">
        <v>50</v>
      </c>
      <c r="U472" s="6" t="s">
        <v>1991</v>
      </c>
      <c r="V472" s="4" t="s">
        <v>64</v>
      </c>
    </row>
    <row r="473" spans="1:22">
      <c r="A473" s="7" t="s">
        <v>1992</v>
      </c>
      <c r="B473" s="8" t="s">
        <v>53</v>
      </c>
      <c r="C473" s="8" t="s">
        <v>54</v>
      </c>
      <c r="D473" s="8" t="s">
        <v>41</v>
      </c>
      <c r="E473" s="8" t="s">
        <v>199</v>
      </c>
      <c r="F473" s="8" t="s">
        <v>163</v>
      </c>
      <c r="G473" s="8" t="s">
        <v>28</v>
      </c>
      <c r="H473" s="8" t="s">
        <v>1993</v>
      </c>
      <c r="I473" s="8" t="s">
        <v>114</v>
      </c>
      <c r="J473" s="8" t="s">
        <v>106</v>
      </c>
      <c r="K473" s="8" t="s">
        <v>46</v>
      </c>
      <c r="L473" s="8" t="s">
        <v>60</v>
      </c>
      <c r="M473" s="8">
        <v>11</v>
      </c>
      <c r="N473" s="8">
        <v>55000</v>
      </c>
      <c r="O473" s="8">
        <v>0</v>
      </c>
      <c r="P473" s="8">
        <v>605000</v>
      </c>
      <c r="Q473" s="8">
        <v>2</v>
      </c>
      <c r="R473" s="8" t="s">
        <v>34</v>
      </c>
      <c r="S473" s="8" t="s">
        <v>61</v>
      </c>
      <c r="T473" s="8" t="s">
        <v>62</v>
      </c>
      <c r="U473" s="9" t="s">
        <v>1994</v>
      </c>
      <c r="V473" s="8" t="s">
        <v>64</v>
      </c>
    </row>
    <row r="474" spans="1:22">
      <c r="A474" s="3" t="s">
        <v>1995</v>
      </c>
      <c r="B474" s="4" t="s">
        <v>251</v>
      </c>
      <c r="C474" s="4" t="s">
        <v>184</v>
      </c>
      <c r="D474" s="4" t="s">
        <v>236</v>
      </c>
      <c r="E474" s="4" t="s">
        <v>678</v>
      </c>
      <c r="F474" s="4" t="s">
        <v>254</v>
      </c>
      <c r="G474" s="4" t="s">
        <v>28</v>
      </c>
      <c r="H474" s="4" t="s">
        <v>1996</v>
      </c>
      <c r="I474" s="4" t="s">
        <v>44</v>
      </c>
      <c r="J474" s="4" t="s">
        <v>45</v>
      </c>
      <c r="K474" s="4" t="s">
        <v>46</v>
      </c>
      <c r="L474" s="4" t="s">
        <v>189</v>
      </c>
      <c r="M474" s="4">
        <v>20</v>
      </c>
      <c r="N474" s="4">
        <v>700</v>
      </c>
      <c r="O474" s="4">
        <v>20</v>
      </c>
      <c r="P474" s="4">
        <v>11200</v>
      </c>
      <c r="Q474" s="4">
        <v>5</v>
      </c>
      <c r="R474" s="4" t="s">
        <v>48</v>
      </c>
      <c r="S474" s="4" t="s">
        <v>61</v>
      </c>
      <c r="T474" s="4" t="s">
        <v>256</v>
      </c>
      <c r="U474" s="6" t="s">
        <v>1997</v>
      </c>
      <c r="V474" s="4" t="s">
        <v>38</v>
      </c>
    </row>
    <row r="475" spans="1:22">
      <c r="A475" s="7" t="s">
        <v>1998</v>
      </c>
      <c r="B475" s="8" t="s">
        <v>71</v>
      </c>
      <c r="C475" s="8" t="s">
        <v>222</v>
      </c>
      <c r="D475" s="8" t="s">
        <v>484</v>
      </c>
      <c r="E475" s="8" t="s">
        <v>322</v>
      </c>
      <c r="F475" s="8" t="s">
        <v>217</v>
      </c>
      <c r="G475" s="8" t="s">
        <v>76</v>
      </c>
      <c r="H475" s="8" t="s">
        <v>1999</v>
      </c>
      <c r="I475" s="8" t="s">
        <v>44</v>
      </c>
      <c r="J475" s="8" t="s">
        <v>45</v>
      </c>
      <c r="K475" s="8" t="s">
        <v>122</v>
      </c>
      <c r="L475" s="8" t="s">
        <v>227</v>
      </c>
      <c r="M475" s="8">
        <v>5</v>
      </c>
      <c r="N475" s="8">
        <v>20</v>
      </c>
      <c r="O475" s="8">
        <v>5</v>
      </c>
      <c r="P475" s="8">
        <v>95</v>
      </c>
      <c r="Q475" s="8">
        <v>4</v>
      </c>
      <c r="R475" s="8" t="s">
        <v>34</v>
      </c>
      <c r="S475" s="8" t="s">
        <v>49</v>
      </c>
      <c r="T475" s="8" t="s">
        <v>80</v>
      </c>
      <c r="U475" s="9" t="s">
        <v>2000</v>
      </c>
      <c r="V475" s="8" t="s">
        <v>69</v>
      </c>
    </row>
    <row r="476" spans="1:22">
      <c r="A476" s="3" t="s">
        <v>2001</v>
      </c>
      <c r="B476" s="4" t="s">
        <v>327</v>
      </c>
      <c r="C476" s="4" t="s">
        <v>54</v>
      </c>
      <c r="D476" s="4" t="s">
        <v>765</v>
      </c>
      <c r="E476" s="4" t="s">
        <v>1373</v>
      </c>
      <c r="F476" s="4" t="s">
        <v>394</v>
      </c>
      <c r="G476" s="4" t="s">
        <v>76</v>
      </c>
      <c r="H476" s="4" t="s">
        <v>2002</v>
      </c>
      <c r="I476" s="4" t="s">
        <v>105</v>
      </c>
      <c r="J476" s="4" t="s">
        <v>106</v>
      </c>
      <c r="K476" s="4" t="s">
        <v>46</v>
      </c>
      <c r="L476" s="4" t="s">
        <v>60</v>
      </c>
      <c r="M476" s="4">
        <v>13</v>
      </c>
      <c r="N476" s="4">
        <v>55000</v>
      </c>
      <c r="O476" s="4">
        <v>5</v>
      </c>
      <c r="P476" s="4">
        <v>679250</v>
      </c>
      <c r="Q476" s="4">
        <v>1</v>
      </c>
      <c r="R476" s="4" t="s">
        <v>48</v>
      </c>
      <c r="S476" s="4" t="s">
        <v>49</v>
      </c>
      <c r="T476" s="4" t="s">
        <v>332</v>
      </c>
      <c r="U476" s="6" t="s">
        <v>2003</v>
      </c>
      <c r="V476" s="4" t="s">
        <v>64</v>
      </c>
    </row>
    <row r="477" spans="1:22">
      <c r="A477" s="7" t="s">
        <v>2004</v>
      </c>
      <c r="B477" s="8" t="s">
        <v>127</v>
      </c>
      <c r="C477" s="8" t="s">
        <v>54</v>
      </c>
      <c r="D477" s="8" t="s">
        <v>102</v>
      </c>
      <c r="E477" s="8" t="s">
        <v>1114</v>
      </c>
      <c r="F477" s="8" t="s">
        <v>200</v>
      </c>
      <c r="G477" s="8" t="s">
        <v>76</v>
      </c>
      <c r="H477" s="8" t="s">
        <v>2005</v>
      </c>
      <c r="I477" s="8" t="s">
        <v>294</v>
      </c>
      <c r="J477" s="8" t="s">
        <v>295</v>
      </c>
      <c r="K477" s="8" t="s">
        <v>46</v>
      </c>
      <c r="L477" s="8" t="s">
        <v>60</v>
      </c>
      <c r="M477" s="8">
        <v>12</v>
      </c>
      <c r="N477" s="8">
        <v>55000</v>
      </c>
      <c r="O477" s="8">
        <v>5</v>
      </c>
      <c r="P477" s="8">
        <v>627000</v>
      </c>
      <c r="Q477" s="8">
        <v>1</v>
      </c>
      <c r="R477" s="8" t="s">
        <v>48</v>
      </c>
      <c r="S477" s="8" t="s">
        <v>115</v>
      </c>
      <c r="T477" s="8" t="s">
        <v>132</v>
      </c>
      <c r="U477" s="9" t="s">
        <v>2006</v>
      </c>
      <c r="V477" s="8" t="s">
        <v>69</v>
      </c>
    </row>
    <row r="478" spans="1:22">
      <c r="A478" s="3" t="s">
        <v>2007</v>
      </c>
      <c r="B478" s="4" t="s">
        <v>53</v>
      </c>
      <c r="C478" s="4" t="s">
        <v>259</v>
      </c>
      <c r="D478" s="4" t="s">
        <v>761</v>
      </c>
      <c r="E478" s="4" t="s">
        <v>1705</v>
      </c>
      <c r="F478" s="4" t="s">
        <v>163</v>
      </c>
      <c r="G478" s="4" t="s">
        <v>28</v>
      </c>
      <c r="H478" s="4" t="s">
        <v>2008</v>
      </c>
      <c r="I478" s="4" t="s">
        <v>105</v>
      </c>
      <c r="J478" s="4" t="s">
        <v>106</v>
      </c>
      <c r="K478" s="4" t="s">
        <v>122</v>
      </c>
      <c r="L478" s="4" t="s">
        <v>263</v>
      </c>
      <c r="M478" s="4">
        <v>16</v>
      </c>
      <c r="N478" s="4">
        <v>45</v>
      </c>
      <c r="O478" s="4">
        <v>20</v>
      </c>
      <c r="P478" s="4">
        <v>576</v>
      </c>
      <c r="Q478" s="4">
        <v>2</v>
      </c>
      <c r="R478" s="4" t="s">
        <v>34</v>
      </c>
      <c r="S478" s="4" t="s">
        <v>49</v>
      </c>
      <c r="T478" s="4" t="s">
        <v>62</v>
      </c>
      <c r="U478" s="6" t="s">
        <v>2009</v>
      </c>
      <c r="V478" s="4" t="s">
        <v>64</v>
      </c>
    </row>
    <row r="479" spans="1:22">
      <c r="A479" s="7" t="s">
        <v>2010</v>
      </c>
      <c r="B479" s="8" t="s">
        <v>23</v>
      </c>
      <c r="C479" s="8" t="s">
        <v>72</v>
      </c>
      <c r="D479" s="8" t="s">
        <v>25</v>
      </c>
      <c r="E479" s="8" t="s">
        <v>73</v>
      </c>
      <c r="F479" s="8" t="s">
        <v>27</v>
      </c>
      <c r="G479" s="8" t="s">
        <v>28</v>
      </c>
      <c r="H479" s="8" t="s">
        <v>2011</v>
      </c>
      <c r="I479" s="8" t="s">
        <v>59</v>
      </c>
      <c r="J479" s="8" t="s">
        <v>31</v>
      </c>
      <c r="K479" s="8" t="s">
        <v>46</v>
      </c>
      <c r="L479" s="8" t="s">
        <v>78</v>
      </c>
      <c r="M479" s="8">
        <v>5</v>
      </c>
      <c r="N479" s="8">
        <v>1200</v>
      </c>
      <c r="O479" s="8">
        <v>10</v>
      </c>
      <c r="P479" s="8">
        <v>5400</v>
      </c>
      <c r="Q479" s="8">
        <v>1</v>
      </c>
      <c r="R479" s="8" t="s">
        <v>34</v>
      </c>
      <c r="S479" s="8"/>
      <c r="T479" s="10" t="s">
        <v>2012</v>
      </c>
      <c r="U479" s="9" t="s">
        <v>2013</v>
      </c>
      <c r="V479" s="8" t="s">
        <v>38</v>
      </c>
    </row>
    <row r="480" spans="1:22">
      <c r="A480" s="3" t="s">
        <v>2014</v>
      </c>
      <c r="B480" s="4" t="s">
        <v>168</v>
      </c>
      <c r="C480" s="4" t="s">
        <v>259</v>
      </c>
      <c r="D480" s="4" t="s">
        <v>282</v>
      </c>
      <c r="E480" s="4" t="s">
        <v>702</v>
      </c>
      <c r="F480" s="4" t="s">
        <v>2015</v>
      </c>
      <c r="G480" s="4" t="s">
        <v>28</v>
      </c>
      <c r="H480" s="4" t="s">
        <v>2016</v>
      </c>
      <c r="I480" s="4" t="s">
        <v>294</v>
      </c>
      <c r="J480" s="4" t="s">
        <v>295</v>
      </c>
      <c r="K480" s="4" t="s">
        <v>122</v>
      </c>
      <c r="L480" s="4" t="s">
        <v>263</v>
      </c>
      <c r="M480" s="4">
        <v>2</v>
      </c>
      <c r="N480" s="4">
        <v>45</v>
      </c>
      <c r="O480" s="4">
        <v>10</v>
      </c>
      <c r="P480" s="4">
        <v>81</v>
      </c>
      <c r="Q480" s="4">
        <v>4</v>
      </c>
      <c r="R480" s="4" t="s">
        <v>88</v>
      </c>
      <c r="S480" s="4" t="s">
        <v>49</v>
      </c>
      <c r="T480" s="4" t="s">
        <v>175</v>
      </c>
      <c r="U480" s="6" t="s">
        <v>2017</v>
      </c>
      <c r="V480" s="4" t="s">
        <v>64</v>
      </c>
    </row>
    <row r="481" spans="1:22">
      <c r="A481" s="7" t="s">
        <v>2018</v>
      </c>
      <c r="B481" s="8" t="s">
        <v>127</v>
      </c>
      <c r="C481" s="8" t="s">
        <v>40</v>
      </c>
      <c r="D481" s="8" t="s">
        <v>85</v>
      </c>
      <c r="E481" s="8" t="s">
        <v>587</v>
      </c>
      <c r="F481" s="8" t="s">
        <v>200</v>
      </c>
      <c r="G481" s="8" t="s">
        <v>76</v>
      </c>
      <c r="H481" s="8" t="s">
        <v>2019</v>
      </c>
      <c r="I481" s="8" t="s">
        <v>138</v>
      </c>
      <c r="J481" s="8" t="s">
        <v>106</v>
      </c>
      <c r="K481" s="8" t="s">
        <v>46</v>
      </c>
      <c r="L481" s="8" t="s">
        <v>47</v>
      </c>
      <c r="M481" s="8">
        <v>3</v>
      </c>
      <c r="N481" s="8">
        <v>12000</v>
      </c>
      <c r="O481" s="8">
        <v>0</v>
      </c>
      <c r="P481" s="8">
        <v>36000</v>
      </c>
      <c r="Q481" s="8">
        <v>2</v>
      </c>
      <c r="R481" s="8" t="s">
        <v>88</v>
      </c>
      <c r="S481" s="8" t="s">
        <v>151</v>
      </c>
      <c r="T481" s="8" t="s">
        <v>132</v>
      </c>
      <c r="U481" s="9" t="s">
        <v>2020</v>
      </c>
      <c r="V481" s="8" t="s">
        <v>64</v>
      </c>
    </row>
    <row r="482" spans="1:22">
      <c r="A482" s="3" t="s">
        <v>2021</v>
      </c>
      <c r="B482" s="4" t="s">
        <v>23</v>
      </c>
      <c r="C482" s="4" t="s">
        <v>40</v>
      </c>
      <c r="D482" s="4" t="s">
        <v>2022</v>
      </c>
      <c r="E482" s="4" t="s">
        <v>1863</v>
      </c>
      <c r="F482" s="4" t="s">
        <v>95</v>
      </c>
      <c r="G482" s="4" t="s">
        <v>28</v>
      </c>
      <c r="H482" s="4" t="s">
        <v>2023</v>
      </c>
      <c r="I482" s="4" t="s">
        <v>59</v>
      </c>
      <c r="J482" s="4" t="s">
        <v>31</v>
      </c>
      <c r="K482" s="4" t="s">
        <v>46</v>
      </c>
      <c r="L482" s="4" t="s">
        <v>47</v>
      </c>
      <c r="M482" s="4">
        <v>3</v>
      </c>
      <c r="N482" s="4">
        <v>12000</v>
      </c>
      <c r="O482" s="4">
        <v>20</v>
      </c>
      <c r="P482" s="4">
        <v>28800</v>
      </c>
      <c r="Q482" s="4">
        <v>3</v>
      </c>
      <c r="R482" s="4" t="s">
        <v>88</v>
      </c>
      <c r="S482" s="4" t="s">
        <v>115</v>
      </c>
      <c r="T482" s="4" t="s">
        <v>50</v>
      </c>
      <c r="U482" s="6" t="s">
        <v>2024</v>
      </c>
      <c r="V482" s="4" t="s">
        <v>38</v>
      </c>
    </row>
    <row r="483" spans="1:22">
      <c r="A483" s="7" t="s">
        <v>2025</v>
      </c>
      <c r="B483" s="8" t="s">
        <v>127</v>
      </c>
      <c r="C483" s="8" t="s">
        <v>169</v>
      </c>
      <c r="D483" s="8" t="s">
        <v>892</v>
      </c>
      <c r="E483" s="8" t="s">
        <v>161</v>
      </c>
      <c r="F483" s="8" t="s">
        <v>200</v>
      </c>
      <c r="G483" s="8" t="s">
        <v>76</v>
      </c>
      <c r="H483" s="8" t="s">
        <v>2026</v>
      </c>
      <c r="I483" s="8" t="s">
        <v>294</v>
      </c>
      <c r="J483" s="8" t="s">
        <v>295</v>
      </c>
      <c r="K483" s="8" t="s">
        <v>32</v>
      </c>
      <c r="L483" s="8" t="s">
        <v>174</v>
      </c>
      <c r="M483" s="8">
        <v>9</v>
      </c>
      <c r="N483" s="8">
        <v>8500</v>
      </c>
      <c r="O483" s="8">
        <v>15</v>
      </c>
      <c r="P483" s="8">
        <v>65025</v>
      </c>
      <c r="Q483" s="8">
        <v>5</v>
      </c>
      <c r="R483" s="8" t="s">
        <v>34</v>
      </c>
      <c r="S483" s="8" t="s">
        <v>49</v>
      </c>
      <c r="T483" s="8" t="s">
        <v>132</v>
      </c>
      <c r="U483" s="9" t="s">
        <v>2027</v>
      </c>
      <c r="V483" s="8" t="s">
        <v>64</v>
      </c>
    </row>
    <row r="484" spans="1:22">
      <c r="A484" s="3" t="s">
        <v>2028</v>
      </c>
      <c r="B484" s="4" t="s">
        <v>71</v>
      </c>
      <c r="C484" s="4" t="s">
        <v>184</v>
      </c>
      <c r="D484" s="4" t="s">
        <v>261</v>
      </c>
      <c r="E484" s="4" t="s">
        <v>881</v>
      </c>
      <c r="F484" s="4" t="s">
        <v>2029</v>
      </c>
      <c r="G484" s="4" t="s">
        <v>76</v>
      </c>
      <c r="H484" s="4" t="s">
        <v>2030</v>
      </c>
      <c r="I484" s="4" t="s">
        <v>294</v>
      </c>
      <c r="J484" s="4" t="s">
        <v>295</v>
      </c>
      <c r="K484" s="4" t="s">
        <v>46</v>
      </c>
      <c r="L484" s="4" t="s">
        <v>189</v>
      </c>
      <c r="M484" s="4">
        <v>17</v>
      </c>
      <c r="N484" s="4">
        <v>700</v>
      </c>
      <c r="O484" s="4">
        <v>0</v>
      </c>
      <c r="P484" s="4">
        <v>11900</v>
      </c>
      <c r="Q484" s="4">
        <v>2</v>
      </c>
      <c r="R484" s="4" t="s">
        <v>34</v>
      </c>
      <c r="S484" s="4" t="s">
        <v>61</v>
      </c>
      <c r="T484" s="4" t="s">
        <v>80</v>
      </c>
      <c r="U484" s="6" t="s">
        <v>2031</v>
      </c>
      <c r="V484" s="4" t="s">
        <v>69</v>
      </c>
    </row>
    <row r="485" spans="1:22">
      <c r="A485" s="7" t="s">
        <v>2032</v>
      </c>
      <c r="B485" s="8" t="s">
        <v>23</v>
      </c>
      <c r="C485" s="8" t="s">
        <v>184</v>
      </c>
      <c r="D485" s="8" t="s">
        <v>1249</v>
      </c>
      <c r="E485" s="8" t="s">
        <v>1572</v>
      </c>
      <c r="F485" s="8" t="s">
        <v>27</v>
      </c>
      <c r="G485" s="8" t="s">
        <v>28</v>
      </c>
      <c r="H485" s="8" t="s">
        <v>2033</v>
      </c>
      <c r="I485" s="8" t="s">
        <v>30</v>
      </c>
      <c r="J485" s="8" t="s">
        <v>31</v>
      </c>
      <c r="K485" s="8" t="s">
        <v>46</v>
      </c>
      <c r="L485" s="8" t="s">
        <v>189</v>
      </c>
      <c r="M485" s="8">
        <v>20</v>
      </c>
      <c r="N485" s="8">
        <v>700</v>
      </c>
      <c r="O485" s="8">
        <v>5</v>
      </c>
      <c r="P485" s="8">
        <v>13300</v>
      </c>
      <c r="Q485" s="8">
        <v>2</v>
      </c>
      <c r="R485" s="8" t="s">
        <v>88</v>
      </c>
      <c r="S485" s="8" t="s">
        <v>35</v>
      </c>
      <c r="T485" s="8" t="s">
        <v>50</v>
      </c>
      <c r="U485" s="9" t="s">
        <v>2034</v>
      </c>
      <c r="V485" s="8" t="s">
        <v>38</v>
      </c>
    </row>
    <row r="486" spans="1:22">
      <c r="A486" s="3" t="s">
        <v>2035</v>
      </c>
      <c r="B486" s="4" t="s">
        <v>327</v>
      </c>
      <c r="C486" s="4" t="s">
        <v>72</v>
      </c>
      <c r="D486" s="4" t="s">
        <v>554</v>
      </c>
      <c r="E486" s="4" t="s">
        <v>65</v>
      </c>
      <c r="F486" s="4" t="s">
        <v>2036</v>
      </c>
      <c r="G486" s="4" t="s">
        <v>76</v>
      </c>
      <c r="H486" s="4" t="s">
        <v>2037</v>
      </c>
      <c r="I486" s="4" t="s">
        <v>138</v>
      </c>
      <c r="J486" s="4" t="s">
        <v>106</v>
      </c>
      <c r="K486" s="4" t="s">
        <v>46</v>
      </c>
      <c r="L486" s="4" t="s">
        <v>78</v>
      </c>
      <c r="M486" s="4">
        <v>13</v>
      </c>
      <c r="N486" s="4">
        <v>1200</v>
      </c>
      <c r="O486" s="4">
        <v>20</v>
      </c>
      <c r="P486" s="4">
        <v>12480</v>
      </c>
      <c r="Q486" s="4">
        <v>5</v>
      </c>
      <c r="R486" s="4" t="s">
        <v>79</v>
      </c>
      <c r="S486" s="4" t="s">
        <v>115</v>
      </c>
      <c r="T486" s="4" t="s">
        <v>332</v>
      </c>
      <c r="U486" s="6" t="s">
        <v>2038</v>
      </c>
      <c r="V486" s="4" t="s">
        <v>38</v>
      </c>
    </row>
    <row r="487" spans="1:22">
      <c r="A487" s="7" t="s">
        <v>2039</v>
      </c>
      <c r="B487" s="8" t="s">
        <v>100</v>
      </c>
      <c r="C487" s="8" t="s">
        <v>54</v>
      </c>
      <c r="D487" s="8" t="s">
        <v>2040</v>
      </c>
      <c r="E487" s="8" t="s">
        <v>1932</v>
      </c>
      <c r="F487" s="8" t="s">
        <v>103</v>
      </c>
      <c r="G487" s="8" t="s">
        <v>28</v>
      </c>
      <c r="H487" s="8" t="s">
        <v>1082</v>
      </c>
      <c r="I487" s="8" t="s">
        <v>212</v>
      </c>
      <c r="J487" s="8" t="s">
        <v>45</v>
      </c>
      <c r="K487" s="8" t="s">
        <v>46</v>
      </c>
      <c r="L487" s="8" t="s">
        <v>60</v>
      </c>
      <c r="M487" s="8">
        <v>20</v>
      </c>
      <c r="N487" s="8">
        <v>55000</v>
      </c>
      <c r="O487" s="8">
        <v>10</v>
      </c>
      <c r="P487" s="8">
        <v>990000</v>
      </c>
      <c r="Q487" s="8">
        <v>1</v>
      </c>
      <c r="R487" s="8" t="s">
        <v>88</v>
      </c>
      <c r="S487" s="8" t="s">
        <v>35</v>
      </c>
      <c r="T487" s="8" t="s">
        <v>144</v>
      </c>
      <c r="U487" s="9" t="s">
        <v>2041</v>
      </c>
      <c r="V487" s="8" t="s">
        <v>64</v>
      </c>
    </row>
    <row r="488" spans="1:22">
      <c r="A488" s="3" t="s">
        <v>2042</v>
      </c>
      <c r="B488" s="4" t="s">
        <v>251</v>
      </c>
      <c r="C488" s="4" t="s">
        <v>72</v>
      </c>
      <c r="D488" s="4" t="s">
        <v>531</v>
      </c>
      <c r="E488" s="4" t="s">
        <v>291</v>
      </c>
      <c r="F488" s="4" t="s">
        <v>254</v>
      </c>
      <c r="G488" s="4" t="s">
        <v>28</v>
      </c>
      <c r="H488" s="4" t="s">
        <v>2043</v>
      </c>
      <c r="I488" s="4" t="s">
        <v>294</v>
      </c>
      <c r="J488" s="4" t="s">
        <v>295</v>
      </c>
      <c r="K488" s="4" t="s">
        <v>46</v>
      </c>
      <c r="L488" s="4" t="s">
        <v>78</v>
      </c>
      <c r="M488" s="4">
        <v>8</v>
      </c>
      <c r="N488" s="4">
        <v>1200</v>
      </c>
      <c r="O488" s="4">
        <v>0</v>
      </c>
      <c r="P488" s="4">
        <v>9600</v>
      </c>
      <c r="Q488" s="4">
        <v>2</v>
      </c>
      <c r="R488" s="4" t="s">
        <v>48</v>
      </c>
      <c r="S488" s="4" t="s">
        <v>151</v>
      </c>
      <c r="T488" s="4" t="s">
        <v>256</v>
      </c>
      <c r="U488" s="6" t="s">
        <v>2044</v>
      </c>
      <c r="V488" s="4" t="s">
        <v>38</v>
      </c>
    </row>
    <row r="489" spans="1:22">
      <c r="A489" s="7" t="s">
        <v>2045</v>
      </c>
      <c r="B489" s="8" t="s">
        <v>53</v>
      </c>
      <c r="C489" s="8" t="s">
        <v>222</v>
      </c>
      <c r="D489" s="8" t="s">
        <v>2046</v>
      </c>
      <c r="E489" s="8" t="s">
        <v>1238</v>
      </c>
      <c r="F489" s="8" t="s">
        <v>163</v>
      </c>
      <c r="G489" s="8" t="s">
        <v>28</v>
      </c>
      <c r="H489" s="8" t="s">
        <v>2047</v>
      </c>
      <c r="I489" s="8" t="s">
        <v>294</v>
      </c>
      <c r="J489" s="8" t="s">
        <v>295</v>
      </c>
      <c r="K489" s="8" t="s">
        <v>122</v>
      </c>
      <c r="L489" s="8" t="s">
        <v>227</v>
      </c>
      <c r="M489" s="8">
        <v>18</v>
      </c>
      <c r="N489" s="8">
        <v>20</v>
      </c>
      <c r="O489" s="8">
        <v>10</v>
      </c>
      <c r="P489" s="8">
        <v>324</v>
      </c>
      <c r="Q489" s="8">
        <v>5</v>
      </c>
      <c r="R489" s="8" t="s">
        <v>79</v>
      </c>
      <c r="S489" s="8"/>
      <c r="T489" s="10" t="s">
        <v>2048</v>
      </c>
      <c r="U489" s="9" t="s">
        <v>2049</v>
      </c>
      <c r="V489" s="8" t="s">
        <v>64</v>
      </c>
    </row>
    <row r="490" spans="1:22">
      <c r="A490" s="3" t="s">
        <v>2050</v>
      </c>
      <c r="B490" s="4" t="s">
        <v>168</v>
      </c>
      <c r="C490" s="4" t="s">
        <v>40</v>
      </c>
      <c r="D490" s="4" t="s">
        <v>2051</v>
      </c>
      <c r="E490" s="4" t="s">
        <v>272</v>
      </c>
      <c r="F490" s="4" t="s">
        <v>361</v>
      </c>
      <c r="G490" s="4" t="s">
        <v>28</v>
      </c>
      <c r="H490" s="4" t="s">
        <v>2052</v>
      </c>
      <c r="I490" s="4" t="s">
        <v>114</v>
      </c>
      <c r="J490" s="4" t="s">
        <v>106</v>
      </c>
      <c r="K490" s="4" t="s">
        <v>46</v>
      </c>
      <c r="L490" s="4" t="s">
        <v>47</v>
      </c>
      <c r="M490" s="4">
        <v>11</v>
      </c>
      <c r="N490" s="4">
        <v>12000</v>
      </c>
      <c r="O490" s="4">
        <v>10</v>
      </c>
      <c r="P490" s="4">
        <v>118800</v>
      </c>
      <c r="Q490" s="4">
        <v>1</v>
      </c>
      <c r="R490" s="4" t="s">
        <v>79</v>
      </c>
      <c r="S490" s="4" t="s">
        <v>49</v>
      </c>
      <c r="T490" s="4" t="s">
        <v>175</v>
      </c>
      <c r="U490" s="6" t="s">
        <v>2053</v>
      </c>
      <c r="V490" s="4" t="s">
        <v>69</v>
      </c>
    </row>
    <row r="491" spans="1:22">
      <c r="A491" s="7" t="s">
        <v>2054</v>
      </c>
      <c r="B491" s="8" t="s">
        <v>327</v>
      </c>
      <c r="C491" s="8" t="s">
        <v>169</v>
      </c>
      <c r="D491" s="8" t="s">
        <v>142</v>
      </c>
      <c r="E491" s="8" t="s">
        <v>1378</v>
      </c>
      <c r="F491" s="8" t="s">
        <v>394</v>
      </c>
      <c r="G491" s="8" t="s">
        <v>76</v>
      </c>
      <c r="H491" s="8" t="s">
        <v>2055</v>
      </c>
      <c r="I491" s="8" t="s">
        <v>30</v>
      </c>
      <c r="J491" s="8" t="s">
        <v>31</v>
      </c>
      <c r="K491" s="8" t="s">
        <v>32</v>
      </c>
      <c r="L491" s="8" t="s">
        <v>174</v>
      </c>
      <c r="M491" s="8">
        <v>2</v>
      </c>
      <c r="N491" s="8">
        <v>8500</v>
      </c>
      <c r="O491" s="8">
        <v>5</v>
      </c>
      <c r="P491" s="8">
        <v>16150</v>
      </c>
      <c r="Q491" s="8">
        <v>1</v>
      </c>
      <c r="R491" s="8" t="s">
        <v>79</v>
      </c>
      <c r="S491" s="8" t="s">
        <v>61</v>
      </c>
      <c r="T491" s="8" t="s">
        <v>332</v>
      </c>
      <c r="U491" s="9" t="s">
        <v>2056</v>
      </c>
      <c r="V491" s="8" t="s">
        <v>38</v>
      </c>
    </row>
    <row r="492" spans="1:22">
      <c r="A492" s="3" t="s">
        <v>2057</v>
      </c>
      <c r="B492" s="4" t="s">
        <v>100</v>
      </c>
      <c r="C492" s="4" t="s">
        <v>24</v>
      </c>
      <c r="D492" s="4" t="s">
        <v>328</v>
      </c>
      <c r="E492" s="4" t="s">
        <v>1507</v>
      </c>
      <c r="F492" s="4" t="s">
        <v>2058</v>
      </c>
      <c r="G492" s="4" t="s">
        <v>28</v>
      </c>
      <c r="H492" s="4" t="s">
        <v>2059</v>
      </c>
      <c r="I492" s="4" t="s">
        <v>114</v>
      </c>
      <c r="J492" s="4" t="s">
        <v>106</v>
      </c>
      <c r="K492" s="4" t="s">
        <v>32</v>
      </c>
      <c r="L492" s="4" t="s">
        <v>33</v>
      </c>
      <c r="M492" s="4">
        <v>7</v>
      </c>
      <c r="N492" s="4">
        <v>2200</v>
      </c>
      <c r="O492" s="4">
        <v>0</v>
      </c>
      <c r="P492" s="4">
        <v>15400</v>
      </c>
      <c r="Q492" s="4">
        <v>5</v>
      </c>
      <c r="R492" s="4" t="s">
        <v>48</v>
      </c>
      <c r="S492" s="4" t="s">
        <v>35</v>
      </c>
      <c r="T492" s="4" t="s">
        <v>144</v>
      </c>
      <c r="U492" s="6" t="s">
        <v>2060</v>
      </c>
      <c r="V492" s="4" t="s">
        <v>64</v>
      </c>
    </row>
    <row r="493" spans="1:22">
      <c r="A493" s="7" t="s">
        <v>2061</v>
      </c>
      <c r="B493" s="8" t="s">
        <v>83</v>
      </c>
      <c r="C493" s="8" t="s">
        <v>169</v>
      </c>
      <c r="D493" s="8" t="s">
        <v>1916</v>
      </c>
      <c r="E493" s="8" t="s">
        <v>1098</v>
      </c>
      <c r="F493" s="8" t="s">
        <v>180</v>
      </c>
      <c r="G493" s="8" t="s">
        <v>76</v>
      </c>
      <c r="H493" s="8" t="s">
        <v>2062</v>
      </c>
      <c r="I493" s="8" t="s">
        <v>44</v>
      </c>
      <c r="J493" s="8" t="s">
        <v>45</v>
      </c>
      <c r="K493" s="8" t="s">
        <v>32</v>
      </c>
      <c r="L493" s="8" t="s">
        <v>174</v>
      </c>
      <c r="M493" s="8">
        <v>20</v>
      </c>
      <c r="N493" s="8">
        <v>8500</v>
      </c>
      <c r="O493" s="8">
        <v>0</v>
      </c>
      <c r="P493" s="8">
        <v>170000</v>
      </c>
      <c r="Q493" s="8">
        <v>3</v>
      </c>
      <c r="R493" s="8" t="s">
        <v>48</v>
      </c>
      <c r="S493" s="8" t="s">
        <v>49</v>
      </c>
      <c r="T493" s="8" t="s">
        <v>89</v>
      </c>
      <c r="U493" s="9" t="s">
        <v>2063</v>
      </c>
      <c r="V493" s="8" t="s">
        <v>38</v>
      </c>
    </row>
    <row r="494" spans="1:22">
      <c r="A494" s="3" t="s">
        <v>2064</v>
      </c>
      <c r="B494" s="4" t="s">
        <v>127</v>
      </c>
      <c r="C494" s="4" t="s">
        <v>72</v>
      </c>
      <c r="D494" s="4" t="s">
        <v>1106</v>
      </c>
      <c r="E494" s="4" t="s">
        <v>839</v>
      </c>
      <c r="F494" s="4" t="s">
        <v>2065</v>
      </c>
      <c r="G494" s="4" t="s">
        <v>76</v>
      </c>
      <c r="H494" s="4" t="s">
        <v>2066</v>
      </c>
      <c r="I494" s="4" t="s">
        <v>30</v>
      </c>
      <c r="J494" s="4" t="s">
        <v>31</v>
      </c>
      <c r="K494" s="4" t="s">
        <v>46</v>
      </c>
      <c r="L494" s="4" t="s">
        <v>78</v>
      </c>
      <c r="M494" s="4">
        <v>11</v>
      </c>
      <c r="N494" s="4">
        <v>1200</v>
      </c>
      <c r="O494" s="4">
        <v>5</v>
      </c>
      <c r="P494" s="4">
        <v>12540</v>
      </c>
      <c r="Q494" s="4">
        <v>2</v>
      </c>
      <c r="R494" s="4" t="s">
        <v>34</v>
      </c>
      <c r="S494" s="4" t="s">
        <v>35</v>
      </c>
      <c r="T494" s="4" t="s">
        <v>132</v>
      </c>
      <c r="U494" s="6" t="s">
        <v>2067</v>
      </c>
      <c r="V494" s="4" t="s">
        <v>64</v>
      </c>
    </row>
    <row r="495" spans="1:22">
      <c r="A495" s="7" t="s">
        <v>2068</v>
      </c>
      <c r="B495" s="8" t="s">
        <v>83</v>
      </c>
      <c r="C495" s="8" t="s">
        <v>184</v>
      </c>
      <c r="D495" s="8" t="s">
        <v>839</v>
      </c>
      <c r="E495" s="8" t="s">
        <v>756</v>
      </c>
      <c r="F495" s="8" t="s">
        <v>180</v>
      </c>
      <c r="G495" s="8" t="s">
        <v>76</v>
      </c>
      <c r="H495" s="8" t="s">
        <v>2069</v>
      </c>
      <c r="I495" s="8" t="s">
        <v>138</v>
      </c>
      <c r="J495" s="8" t="s">
        <v>106</v>
      </c>
      <c r="K495" s="8" t="s">
        <v>46</v>
      </c>
      <c r="L495" s="8" t="s">
        <v>189</v>
      </c>
      <c r="M495" s="8">
        <v>14</v>
      </c>
      <c r="N495" s="8">
        <v>700</v>
      </c>
      <c r="O495" s="8">
        <v>0</v>
      </c>
      <c r="P495" s="8">
        <v>9800</v>
      </c>
      <c r="Q495" s="8">
        <v>2</v>
      </c>
      <c r="R495" s="8" t="s">
        <v>79</v>
      </c>
      <c r="S495" s="8" t="s">
        <v>151</v>
      </c>
      <c r="T495" s="8" t="s">
        <v>89</v>
      </c>
      <c r="U495" s="9" t="s">
        <v>2070</v>
      </c>
      <c r="V495" s="8" t="s">
        <v>69</v>
      </c>
    </row>
    <row r="496" spans="1:22">
      <c r="A496" s="3" t="s">
        <v>2071</v>
      </c>
      <c r="B496" s="4" t="s">
        <v>71</v>
      </c>
      <c r="C496" s="4" t="s">
        <v>72</v>
      </c>
      <c r="D496" s="4" t="s">
        <v>793</v>
      </c>
      <c r="E496" s="4" t="s">
        <v>1650</v>
      </c>
      <c r="F496" s="4" t="s">
        <v>217</v>
      </c>
      <c r="G496" s="4" t="s">
        <v>76</v>
      </c>
      <c r="H496" s="4" t="s">
        <v>2072</v>
      </c>
      <c r="I496" s="4" t="s">
        <v>114</v>
      </c>
      <c r="J496" s="4" t="s">
        <v>106</v>
      </c>
      <c r="K496" s="4" t="s">
        <v>46</v>
      </c>
      <c r="L496" s="4" t="s">
        <v>78</v>
      </c>
      <c r="M496" s="4">
        <v>16</v>
      </c>
      <c r="N496" s="4">
        <v>1200</v>
      </c>
      <c r="O496" s="4">
        <v>15</v>
      </c>
      <c r="P496" s="4">
        <v>16320</v>
      </c>
      <c r="Q496" s="4">
        <v>4</v>
      </c>
      <c r="R496" s="4" t="s">
        <v>34</v>
      </c>
      <c r="S496" s="4" t="s">
        <v>151</v>
      </c>
      <c r="T496" s="4" t="s">
        <v>80</v>
      </c>
      <c r="U496" s="6" t="s">
        <v>2073</v>
      </c>
      <c r="V496" s="4" t="s">
        <v>64</v>
      </c>
    </row>
    <row r="497" spans="1:22">
      <c r="A497" s="7" t="s">
        <v>2074</v>
      </c>
      <c r="B497" s="8" t="s">
        <v>168</v>
      </c>
      <c r="C497" s="8" t="s">
        <v>24</v>
      </c>
      <c r="D497" s="8" t="s">
        <v>493</v>
      </c>
      <c r="E497" s="8" t="s">
        <v>1932</v>
      </c>
      <c r="F497" s="8" t="s">
        <v>2075</v>
      </c>
      <c r="G497" s="8" t="s">
        <v>28</v>
      </c>
      <c r="H497" s="8" t="s">
        <v>2076</v>
      </c>
      <c r="I497" s="8" t="s">
        <v>212</v>
      </c>
      <c r="J497" s="8" t="s">
        <v>45</v>
      </c>
      <c r="K497" s="8" t="s">
        <v>32</v>
      </c>
      <c r="L497" s="8" t="s">
        <v>33</v>
      </c>
      <c r="M497" s="8">
        <v>20</v>
      </c>
      <c r="N497" s="8">
        <v>2200</v>
      </c>
      <c r="O497" s="8">
        <v>0</v>
      </c>
      <c r="P497" s="8">
        <v>44000</v>
      </c>
      <c r="Q497" s="8">
        <v>5</v>
      </c>
      <c r="R497" s="8" t="s">
        <v>34</v>
      </c>
      <c r="S497" s="8" t="s">
        <v>35</v>
      </c>
      <c r="T497" s="8" t="s">
        <v>175</v>
      </c>
      <c r="U497" s="9" t="s">
        <v>2077</v>
      </c>
      <c r="V497" s="8" t="s">
        <v>69</v>
      </c>
    </row>
    <row r="498" spans="1:22">
      <c r="A498" s="3" t="s">
        <v>2078</v>
      </c>
      <c r="B498" s="4" t="s">
        <v>83</v>
      </c>
      <c r="C498" s="4" t="s">
        <v>40</v>
      </c>
      <c r="D498" s="4" t="s">
        <v>2051</v>
      </c>
      <c r="E498" s="4" t="s">
        <v>272</v>
      </c>
      <c r="F498" s="4" t="s">
        <v>180</v>
      </c>
      <c r="G498" s="4" t="s">
        <v>76</v>
      </c>
      <c r="H498" s="4" t="s">
        <v>2079</v>
      </c>
      <c r="I498" s="4" t="s">
        <v>212</v>
      </c>
      <c r="J498" s="4" t="s">
        <v>45</v>
      </c>
      <c r="K498" s="4" t="s">
        <v>46</v>
      </c>
      <c r="L498" s="4" t="s">
        <v>47</v>
      </c>
      <c r="M498" s="4">
        <v>12</v>
      </c>
      <c r="N498" s="4">
        <v>12000</v>
      </c>
      <c r="O498" s="4">
        <v>15</v>
      </c>
      <c r="P498" s="4">
        <v>122400</v>
      </c>
      <c r="Q498" s="4">
        <v>5</v>
      </c>
      <c r="R498" s="4" t="s">
        <v>34</v>
      </c>
      <c r="S498" s="4" t="s">
        <v>151</v>
      </c>
      <c r="T498" s="4" t="s">
        <v>89</v>
      </c>
      <c r="U498" s="6" t="s">
        <v>2080</v>
      </c>
      <c r="V498" s="4" t="s">
        <v>38</v>
      </c>
    </row>
    <row r="499" spans="1:22">
      <c r="A499" s="7" t="s">
        <v>2081</v>
      </c>
      <c r="B499" s="8" t="s">
        <v>221</v>
      </c>
      <c r="C499" s="8" t="s">
        <v>72</v>
      </c>
      <c r="D499" s="8" t="s">
        <v>610</v>
      </c>
      <c r="E499" s="8" t="s">
        <v>611</v>
      </c>
      <c r="F499" s="8" t="s">
        <v>225</v>
      </c>
      <c r="G499" s="8" t="s">
        <v>76</v>
      </c>
      <c r="H499" s="8" t="s">
        <v>2082</v>
      </c>
      <c r="I499" s="8" t="s">
        <v>44</v>
      </c>
      <c r="J499" s="8" t="s">
        <v>45</v>
      </c>
      <c r="K499" s="8" t="s">
        <v>46</v>
      </c>
      <c r="L499" s="8" t="s">
        <v>78</v>
      </c>
      <c r="M499" s="8">
        <v>3</v>
      </c>
      <c r="N499" s="8">
        <v>1200</v>
      </c>
      <c r="O499" s="8">
        <v>20</v>
      </c>
      <c r="P499" s="8">
        <v>2880</v>
      </c>
      <c r="Q499" s="8">
        <v>2</v>
      </c>
      <c r="R499" s="8" t="s">
        <v>48</v>
      </c>
      <c r="S499" s="8" t="s">
        <v>115</v>
      </c>
      <c r="T499" s="8" t="s">
        <v>907</v>
      </c>
      <c r="U499" s="9" t="s">
        <v>2083</v>
      </c>
      <c r="V499" s="8" t="s">
        <v>64</v>
      </c>
    </row>
    <row r="500" spans="1:22">
      <c r="A500" s="3" t="s">
        <v>2084</v>
      </c>
      <c r="B500" s="4" t="s">
        <v>100</v>
      </c>
      <c r="C500" s="4" t="s">
        <v>54</v>
      </c>
      <c r="D500" s="4" t="s">
        <v>276</v>
      </c>
      <c r="E500" s="4" t="s">
        <v>2085</v>
      </c>
      <c r="F500" s="4" t="s">
        <v>103</v>
      </c>
      <c r="G500" s="4" t="s">
        <v>28</v>
      </c>
      <c r="H500" s="4" t="s">
        <v>2086</v>
      </c>
      <c r="I500" s="4" t="s">
        <v>105</v>
      </c>
      <c r="J500" s="4" t="s">
        <v>106</v>
      </c>
      <c r="K500" s="4" t="s">
        <v>46</v>
      </c>
      <c r="L500" s="4" t="s">
        <v>2087</v>
      </c>
      <c r="M500" s="4">
        <v>6</v>
      </c>
      <c r="N500" s="4">
        <v>55000</v>
      </c>
      <c r="O500" s="4">
        <v>20</v>
      </c>
      <c r="P500" s="4">
        <v>264000</v>
      </c>
      <c r="Q500" s="4">
        <v>3</v>
      </c>
      <c r="R500" s="4" t="s">
        <v>34</v>
      </c>
      <c r="S500" s="4" t="s">
        <v>151</v>
      </c>
      <c r="T500" s="4" t="s">
        <v>144</v>
      </c>
      <c r="U500" s="6" t="s">
        <v>2088</v>
      </c>
      <c r="V500" s="4" t="s">
        <v>38</v>
      </c>
    </row>
    <row r="501" spans="1:22">
      <c r="A501" s="11" t="s">
        <v>2089</v>
      </c>
      <c r="B501" s="12" t="s">
        <v>100</v>
      </c>
      <c r="C501" s="12" t="s">
        <v>92</v>
      </c>
      <c r="D501" s="12" t="s">
        <v>2090</v>
      </c>
      <c r="E501" s="12" t="s">
        <v>129</v>
      </c>
      <c r="F501" s="12" t="s">
        <v>103</v>
      </c>
      <c r="G501" s="12" t="s">
        <v>28</v>
      </c>
      <c r="H501" s="12" t="s">
        <v>2091</v>
      </c>
      <c r="I501" s="12" t="s">
        <v>59</v>
      </c>
      <c r="J501" s="12" t="s">
        <v>31</v>
      </c>
      <c r="K501" s="12" t="s">
        <v>32</v>
      </c>
      <c r="L501" s="12" t="s">
        <v>97</v>
      </c>
      <c r="M501" s="12">
        <v>20</v>
      </c>
      <c r="N501" s="12">
        <v>3500</v>
      </c>
      <c r="O501" s="12">
        <v>0</v>
      </c>
      <c r="P501" s="12">
        <v>70000</v>
      </c>
      <c r="Q501" s="12">
        <v>1</v>
      </c>
      <c r="R501" s="12" t="s">
        <v>48</v>
      </c>
      <c r="S501" s="12" t="s">
        <v>151</v>
      </c>
      <c r="T501" s="12" t="s">
        <v>144</v>
      </c>
      <c r="U501" s="13" t="s">
        <v>2092</v>
      </c>
      <c r="V501" s="12" t="s">
        <v>64</v>
      </c>
    </row>
  </sheetData>
  <hyperlinks>
    <hyperlink ref="T2" r:id="rId1" xr:uid="{EDF2F6A2-2D3C-45C5-816D-C9CCC8A49A83}"/>
    <hyperlink ref="T5" r:id="rId2" xr:uid="{97DBB201-479E-4922-9DFD-131FDAC56F34}"/>
    <hyperlink ref="T9" r:id="rId3" xr:uid="{31475482-7300-4430-B73F-3FBC468090C7}"/>
    <hyperlink ref="T11" r:id="rId4" xr:uid="{3BD546EA-0606-46D5-8B3C-B6A9B22DF22B}"/>
    <hyperlink ref="T16" r:id="rId5" xr:uid="{0E7E4715-1719-4334-97A8-B86263F66771}"/>
    <hyperlink ref="T15" r:id="rId6" xr:uid="{53C001FC-B4DD-4223-B6A0-B628D0DAA82D}"/>
    <hyperlink ref="T20" r:id="rId7" xr:uid="{39641245-CBF9-41AB-8ECF-D7FB48E69A46}"/>
    <hyperlink ref="T61" r:id="rId8" xr:uid="{3271CB33-15AD-4B68-A022-22C62AC2BD03}"/>
    <hyperlink ref="T72" r:id="rId9" xr:uid="{DA742258-A108-45FF-B28C-E44872379879}"/>
    <hyperlink ref="T294" r:id="rId10" xr:uid="{2221AC8B-80E7-4E50-AAB6-5A57A2C922D7}"/>
    <hyperlink ref="T489" r:id="rId11" xr:uid="{108DBBB8-5783-4B50-B836-92356B9D51CE}"/>
    <hyperlink ref="T479" r:id="rId12" xr:uid="{BD5C2E4F-3364-4168-A016-22B39499C823}"/>
    <hyperlink ref="T463" r:id="rId13" xr:uid="{E3E6B253-42F0-48F8-B9DB-83A52E41A6B5}"/>
    <hyperlink ref="T450" r:id="rId14" xr:uid="{CDF46F9D-580A-458A-894C-7F1A231814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C2F45-4BBC-4545-82D0-1D7E579FB447}">
  <dimension ref="A1:F11"/>
  <sheetViews>
    <sheetView workbookViewId="0">
      <selection sqref="A1:F11"/>
    </sheetView>
  </sheetViews>
  <sheetFormatPr defaultRowHeight="14.4"/>
  <sheetData>
    <row r="1" spans="1:6">
      <c r="A1" t="s">
        <v>2</v>
      </c>
      <c r="B1" t="s">
        <v>11</v>
      </c>
      <c r="C1" t="s">
        <v>10</v>
      </c>
      <c r="D1" t="s">
        <v>2093</v>
      </c>
      <c r="E1" t="s">
        <v>2094</v>
      </c>
      <c r="F1" t="s">
        <v>2095</v>
      </c>
    </row>
    <row r="2" spans="1:6">
      <c r="A2" t="s">
        <v>54</v>
      </c>
      <c r="B2" t="s">
        <v>60</v>
      </c>
      <c r="C2" t="s">
        <v>46</v>
      </c>
      <c r="D2" t="s">
        <v>2096</v>
      </c>
      <c r="E2">
        <v>41250</v>
      </c>
      <c r="F2">
        <v>12</v>
      </c>
    </row>
    <row r="3" spans="1:6">
      <c r="A3" t="s">
        <v>184</v>
      </c>
      <c r="B3" t="s">
        <v>189</v>
      </c>
      <c r="C3" t="s">
        <v>46</v>
      </c>
      <c r="D3" t="s">
        <v>2096</v>
      </c>
      <c r="E3">
        <v>525</v>
      </c>
      <c r="F3">
        <v>24</v>
      </c>
    </row>
    <row r="4" spans="1:6">
      <c r="A4" t="s">
        <v>72</v>
      </c>
      <c r="B4" t="s">
        <v>78</v>
      </c>
      <c r="C4" t="s">
        <v>46</v>
      </c>
      <c r="D4" t="s">
        <v>2096</v>
      </c>
      <c r="E4">
        <v>900</v>
      </c>
      <c r="F4">
        <v>6</v>
      </c>
    </row>
    <row r="5" spans="1:6">
      <c r="A5" t="s">
        <v>40</v>
      </c>
      <c r="B5" t="s">
        <v>47</v>
      </c>
      <c r="C5" t="s">
        <v>46</v>
      </c>
      <c r="D5" t="s">
        <v>2097</v>
      </c>
      <c r="E5">
        <v>9000</v>
      </c>
      <c r="F5">
        <v>24</v>
      </c>
    </row>
    <row r="6" spans="1:6">
      <c r="A6" t="s">
        <v>92</v>
      </c>
      <c r="B6" t="s">
        <v>97</v>
      </c>
      <c r="C6" t="s">
        <v>32</v>
      </c>
      <c r="D6" t="s">
        <v>2097</v>
      </c>
      <c r="E6">
        <v>2625</v>
      </c>
      <c r="F6">
        <v>6</v>
      </c>
    </row>
    <row r="7" spans="1:6">
      <c r="A7" t="s">
        <v>24</v>
      </c>
      <c r="B7" t="s">
        <v>33</v>
      </c>
      <c r="C7" t="s">
        <v>32</v>
      </c>
      <c r="D7" t="s">
        <v>2097</v>
      </c>
      <c r="E7">
        <v>1650</v>
      </c>
      <c r="F7">
        <v>24</v>
      </c>
    </row>
    <row r="8" spans="1:6">
      <c r="A8" t="s">
        <v>169</v>
      </c>
      <c r="B8" t="s">
        <v>174</v>
      </c>
      <c r="C8" t="s">
        <v>32</v>
      </c>
      <c r="D8" t="s">
        <v>2096</v>
      </c>
      <c r="E8">
        <v>6375</v>
      </c>
      <c r="F8">
        <v>24</v>
      </c>
    </row>
    <row r="9" spans="1:6">
      <c r="A9" t="s">
        <v>118</v>
      </c>
      <c r="B9" t="s">
        <v>123</v>
      </c>
      <c r="C9" t="s">
        <v>122</v>
      </c>
      <c r="D9" t="s">
        <v>2098</v>
      </c>
      <c r="E9">
        <v>45</v>
      </c>
      <c r="F9">
        <v>12</v>
      </c>
    </row>
    <row r="10" spans="1:6">
      <c r="A10" t="s">
        <v>222</v>
      </c>
      <c r="B10" t="s">
        <v>227</v>
      </c>
      <c r="C10" t="s">
        <v>122</v>
      </c>
      <c r="D10" t="s">
        <v>2099</v>
      </c>
      <c r="E10">
        <v>15</v>
      </c>
      <c r="F10">
        <v>12</v>
      </c>
    </row>
    <row r="11" spans="1:6">
      <c r="A11" t="s">
        <v>259</v>
      </c>
      <c r="B11" t="s">
        <v>263</v>
      </c>
      <c r="C11" t="s">
        <v>122</v>
      </c>
      <c r="D11" t="s">
        <v>2096</v>
      </c>
      <c r="E11">
        <v>33.75</v>
      </c>
      <c r="F11">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11521-74E0-4E39-B0CA-D0631DCC9DF1}">
  <dimension ref="A1:D11"/>
  <sheetViews>
    <sheetView workbookViewId="0">
      <selection activeCell="D19" sqref="D19"/>
    </sheetView>
  </sheetViews>
  <sheetFormatPr defaultRowHeight="14.4"/>
  <sheetData>
    <row r="1" spans="1:4">
      <c r="A1" t="s">
        <v>1</v>
      </c>
      <c r="B1" t="s">
        <v>5</v>
      </c>
      <c r="C1" t="s">
        <v>2100</v>
      </c>
      <c r="D1" t="s">
        <v>2101</v>
      </c>
    </row>
    <row r="2" spans="1:4">
      <c r="A2" t="s">
        <v>327</v>
      </c>
      <c r="B2" t="s">
        <v>394</v>
      </c>
      <c r="C2" t="s">
        <v>2102</v>
      </c>
      <c r="D2" t="s">
        <v>2103</v>
      </c>
    </row>
    <row r="3" spans="1:4">
      <c r="A3" t="s">
        <v>100</v>
      </c>
      <c r="B3" t="s">
        <v>103</v>
      </c>
      <c r="C3" t="s">
        <v>2104</v>
      </c>
      <c r="D3" t="s">
        <v>2105</v>
      </c>
    </row>
    <row r="4" spans="1:4">
      <c r="A4" t="s">
        <v>127</v>
      </c>
      <c r="B4" t="s">
        <v>200</v>
      </c>
      <c r="C4" t="s">
        <v>2106</v>
      </c>
      <c r="D4" t="s">
        <v>2107</v>
      </c>
    </row>
    <row r="5" spans="1:4">
      <c r="A5" t="s">
        <v>168</v>
      </c>
      <c r="B5" t="s">
        <v>361</v>
      </c>
      <c r="C5" t="s">
        <v>2106</v>
      </c>
      <c r="D5" t="s">
        <v>2105</v>
      </c>
    </row>
    <row r="6" spans="1:4">
      <c r="A6" t="s">
        <v>221</v>
      </c>
      <c r="B6" t="s">
        <v>225</v>
      </c>
      <c r="C6" t="s">
        <v>2106</v>
      </c>
      <c r="D6" t="s">
        <v>2107</v>
      </c>
    </row>
    <row r="7" spans="1:4">
      <c r="A7" t="s">
        <v>251</v>
      </c>
      <c r="B7" t="s">
        <v>254</v>
      </c>
      <c r="C7" t="s">
        <v>2106</v>
      </c>
      <c r="D7" t="s">
        <v>2105</v>
      </c>
    </row>
    <row r="8" spans="1:4">
      <c r="A8" t="s">
        <v>83</v>
      </c>
      <c r="B8" t="s">
        <v>180</v>
      </c>
      <c r="C8" t="s">
        <v>2102</v>
      </c>
      <c r="D8" t="s">
        <v>2103</v>
      </c>
    </row>
    <row r="9" spans="1:4">
      <c r="A9" t="s">
        <v>23</v>
      </c>
      <c r="B9" t="s">
        <v>27</v>
      </c>
      <c r="C9" t="s">
        <v>2102</v>
      </c>
      <c r="D9" t="s">
        <v>2105</v>
      </c>
    </row>
    <row r="10" spans="1:4">
      <c r="A10" t="s">
        <v>71</v>
      </c>
      <c r="B10" t="s">
        <v>217</v>
      </c>
      <c r="C10" t="s">
        <v>2104</v>
      </c>
      <c r="D10" t="s">
        <v>2108</v>
      </c>
    </row>
    <row r="11" spans="1:4">
      <c r="A11" t="s">
        <v>53</v>
      </c>
      <c r="B11" t="s">
        <v>163</v>
      </c>
      <c r="C11" t="s">
        <v>2102</v>
      </c>
      <c r="D11" t="s">
        <v>2105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4C0E2-1232-4C4E-9E23-BDD284E19773}">
  <dimension ref="A1:W501"/>
  <sheetViews>
    <sheetView topLeftCell="O34" zoomScale="76" workbookViewId="0">
      <selection sqref="A1:W501"/>
    </sheetView>
  </sheetViews>
  <sheetFormatPr defaultRowHeight="14.4"/>
  <cols>
    <col min="1" max="1" width="9.88671875" bestFit="1" customWidth="1"/>
    <col min="2" max="2" width="12.21875" bestFit="1" customWidth="1"/>
    <col min="3" max="3" width="10.77734375" bestFit="1" customWidth="1"/>
    <col min="4" max="4" width="11.109375" bestFit="1" customWidth="1"/>
    <col min="5" max="5" width="13.109375" bestFit="1" customWidth="1"/>
    <col min="6" max="6" width="16.88671875" bestFit="1" customWidth="1"/>
    <col min="7" max="7" width="7.44140625" bestFit="1" customWidth="1"/>
    <col min="8" max="8" width="10.6640625" bestFit="1" customWidth="1"/>
    <col min="9" max="9" width="10.88671875" bestFit="1" customWidth="1"/>
    <col min="10" max="10" width="7" bestFit="1" customWidth="1"/>
    <col min="11" max="11" width="15.33203125" bestFit="1" customWidth="1"/>
    <col min="12" max="12" width="14" bestFit="1" customWidth="1"/>
    <col min="13" max="13" width="8.77734375" bestFit="1" customWidth="1"/>
    <col min="14" max="14" width="9.77734375" bestFit="1" customWidth="1"/>
    <col min="15" max="15" width="11.21875" bestFit="1" customWidth="1"/>
    <col min="16" max="16" width="8.109375" bestFit="1" customWidth="1"/>
    <col min="17" max="17" width="6.5546875" bestFit="1" customWidth="1"/>
    <col min="18" max="18" width="14.88671875" bestFit="1" customWidth="1"/>
    <col min="19" max="19" width="11.5546875" bestFit="1" customWidth="1"/>
    <col min="20" max="20" width="25.88671875" bestFit="1" customWidth="1"/>
    <col min="21" max="21" width="11.21875" bestFit="1" customWidth="1"/>
    <col min="22" max="22" width="12.5546875" bestFit="1" customWidth="1"/>
    <col min="23" max="23" width="21.88671875" bestFit="1" customWidth="1"/>
  </cols>
  <sheetData>
    <row r="1" spans="1:23">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4" t="s">
        <v>17</v>
      </c>
      <c r="S1" s="14" t="s">
        <v>18</v>
      </c>
      <c r="T1" s="14" t="s">
        <v>19</v>
      </c>
      <c r="U1" s="14" t="s">
        <v>20</v>
      </c>
      <c r="V1" s="14" t="s">
        <v>21</v>
      </c>
      <c r="W1" s="23" t="s">
        <v>2109</v>
      </c>
    </row>
    <row r="2" spans="1:23">
      <c r="A2" s="15" t="s">
        <v>22</v>
      </c>
      <c r="B2" s="15" t="s">
        <v>23</v>
      </c>
      <c r="C2" s="15" t="s">
        <v>24</v>
      </c>
      <c r="D2" s="15" t="s">
        <v>25</v>
      </c>
      <c r="E2" s="15" t="s">
        <v>26</v>
      </c>
      <c r="F2" s="15" t="s">
        <v>27</v>
      </c>
      <c r="G2" s="15" t="s">
        <v>28</v>
      </c>
      <c r="H2" s="15" t="s">
        <v>29</v>
      </c>
      <c r="I2" s="15" t="s">
        <v>30</v>
      </c>
      <c r="J2" s="15" t="s">
        <v>31</v>
      </c>
      <c r="K2" s="15" t="s">
        <v>32</v>
      </c>
      <c r="L2" s="15" t="s">
        <v>33</v>
      </c>
      <c r="M2" s="15">
        <v>4</v>
      </c>
      <c r="N2" s="15">
        <v>2200</v>
      </c>
      <c r="O2" s="15">
        <v>10</v>
      </c>
      <c r="P2" s="15">
        <v>7920</v>
      </c>
      <c r="Q2" s="15">
        <v>4</v>
      </c>
      <c r="R2" s="15" t="s">
        <v>34</v>
      </c>
      <c r="S2" s="15" t="s">
        <v>35</v>
      </c>
      <c r="T2" s="16" t="s">
        <v>36</v>
      </c>
      <c r="U2" s="17" t="s">
        <v>37</v>
      </c>
      <c r="V2" s="15" t="s">
        <v>38</v>
      </c>
      <c r="W2" s="24" t="str">
        <f>IF(OR(Q2&lt;=2,V2="Cancelled"),"Blacklisted",IF(AND(P2&gt;=100000,Q2&gt;=4,O2&lt;10,V2="Completed"),"Platinum",IF(AND(P2&gt;=50000,P2&lt;=99999,Q2&gt;=3,V2="Completed"),"Gold",IF(AND(P2&lt;50000,V2="Completed"),"Silver","Blacklisted"))))</f>
        <v>Silver</v>
      </c>
    </row>
    <row r="3" spans="1:23">
      <c r="A3" s="18" t="s">
        <v>39</v>
      </c>
      <c r="B3" s="18" t="s">
        <v>23</v>
      </c>
      <c r="C3" s="18" t="s">
        <v>40</v>
      </c>
      <c r="D3" s="18" t="s">
        <v>41</v>
      </c>
      <c r="E3" s="18" t="s">
        <v>42</v>
      </c>
      <c r="F3" s="18" t="s">
        <v>27</v>
      </c>
      <c r="G3" s="18" t="s">
        <v>28</v>
      </c>
      <c r="H3" s="18" t="s">
        <v>43</v>
      </c>
      <c r="I3" s="18" t="s">
        <v>44</v>
      </c>
      <c r="J3" s="18" t="s">
        <v>45</v>
      </c>
      <c r="K3" s="18" t="s">
        <v>46</v>
      </c>
      <c r="L3" s="18" t="s">
        <v>47</v>
      </c>
      <c r="M3" s="18">
        <v>17</v>
      </c>
      <c r="N3" s="18">
        <v>12000</v>
      </c>
      <c r="O3" s="18">
        <v>10</v>
      </c>
      <c r="P3" s="18">
        <v>183600</v>
      </c>
      <c r="Q3" s="18">
        <v>1</v>
      </c>
      <c r="R3" s="18" t="s">
        <v>48</v>
      </c>
      <c r="S3" s="18" t="s">
        <v>49</v>
      </c>
      <c r="T3" s="18" t="s">
        <v>50</v>
      </c>
      <c r="U3" s="19" t="s">
        <v>51</v>
      </c>
      <c r="V3" s="18" t="s">
        <v>38</v>
      </c>
      <c r="W3" s="24" t="str">
        <f t="shared" ref="W3:W66" si="0">IF(OR(Q3&lt;=2,V3="Cancelled"),"Blacklisted",IF(AND(P3&gt;=100000,Q3&gt;=4,O3&lt;10,V3="Completed"),"Platinum",IF(AND(P3&gt;=50000,P3&lt;=99999,Q3&gt;=3,V3="Completed"),"Gold",IF(AND(P3&lt;50000,V3="Completed"),"Silver","Blacklisted"))))</f>
        <v>Blacklisted</v>
      </c>
    </row>
    <row r="4" spans="1:23">
      <c r="A4" s="15" t="s">
        <v>52</v>
      </c>
      <c r="B4" s="15" t="s">
        <v>53</v>
      </c>
      <c r="C4" s="15" t="s">
        <v>54</v>
      </c>
      <c r="D4" s="15" t="s">
        <v>55</v>
      </c>
      <c r="E4" s="15" t="s">
        <v>56</v>
      </c>
      <c r="F4" s="15" t="s">
        <v>57</v>
      </c>
      <c r="G4" s="15" t="s">
        <v>28</v>
      </c>
      <c r="H4" s="15" t="s">
        <v>58</v>
      </c>
      <c r="I4" s="15" t="s">
        <v>59</v>
      </c>
      <c r="J4" s="15" t="s">
        <v>31</v>
      </c>
      <c r="K4" s="15" t="s">
        <v>46</v>
      </c>
      <c r="L4" s="15" t="s">
        <v>60</v>
      </c>
      <c r="M4" s="15">
        <v>5</v>
      </c>
      <c r="N4" s="15">
        <v>55000</v>
      </c>
      <c r="O4" s="15">
        <v>5</v>
      </c>
      <c r="P4" s="15">
        <v>261250</v>
      </c>
      <c r="Q4" s="15">
        <v>3</v>
      </c>
      <c r="R4" s="15" t="s">
        <v>48</v>
      </c>
      <c r="S4" s="15" t="s">
        <v>61</v>
      </c>
      <c r="T4" s="15" t="s">
        <v>62</v>
      </c>
      <c r="U4" s="17" t="s">
        <v>63</v>
      </c>
      <c r="V4" s="15" t="s">
        <v>64</v>
      </c>
      <c r="W4" s="24" t="str">
        <f t="shared" si="0"/>
        <v>Blacklisted</v>
      </c>
    </row>
    <row r="5" spans="1:23">
      <c r="A5" s="18" t="s">
        <v>39</v>
      </c>
      <c r="B5" s="18" t="s">
        <v>23</v>
      </c>
      <c r="C5" s="18" t="s">
        <v>24</v>
      </c>
      <c r="D5" s="18" t="s">
        <v>65</v>
      </c>
      <c r="E5" s="18" t="s">
        <v>66</v>
      </c>
      <c r="F5" s="18" t="s">
        <v>27</v>
      </c>
      <c r="G5" s="18" t="s">
        <v>28</v>
      </c>
      <c r="H5" s="18" t="s">
        <v>67</v>
      </c>
      <c r="I5" s="18" t="s">
        <v>59</v>
      </c>
      <c r="J5" s="18" t="s">
        <v>31</v>
      </c>
      <c r="K5" s="18" t="s">
        <v>32</v>
      </c>
      <c r="L5" s="18" t="s">
        <v>33</v>
      </c>
      <c r="M5" s="18">
        <v>5</v>
      </c>
      <c r="N5" s="18">
        <v>2200</v>
      </c>
      <c r="O5" s="18">
        <v>5</v>
      </c>
      <c r="P5" s="18">
        <v>10450</v>
      </c>
      <c r="Q5" s="18">
        <v>5</v>
      </c>
      <c r="R5" s="18" t="s">
        <v>48</v>
      </c>
      <c r="S5" s="18" t="s">
        <v>61</v>
      </c>
      <c r="T5" s="20" t="s">
        <v>50</v>
      </c>
      <c r="U5" s="19" t="s">
        <v>68</v>
      </c>
      <c r="V5" s="18" t="s">
        <v>69</v>
      </c>
      <c r="W5" s="24" t="str">
        <f t="shared" si="0"/>
        <v>Blacklisted</v>
      </c>
    </row>
    <row r="6" spans="1:23">
      <c r="A6" s="15" t="s">
        <v>70</v>
      </c>
      <c r="B6" s="15" t="s">
        <v>71</v>
      </c>
      <c r="C6" s="15" t="s">
        <v>72</v>
      </c>
      <c r="D6" s="15" t="s">
        <v>73</v>
      </c>
      <c r="E6" s="15" t="s">
        <v>74</v>
      </c>
      <c r="F6" s="15" t="s">
        <v>75</v>
      </c>
      <c r="G6" s="15" t="s">
        <v>76</v>
      </c>
      <c r="H6" s="15" t="s">
        <v>77</v>
      </c>
      <c r="I6" s="15" t="s">
        <v>44</v>
      </c>
      <c r="J6" s="15" t="s">
        <v>45</v>
      </c>
      <c r="K6" s="15" t="s">
        <v>46</v>
      </c>
      <c r="L6" s="15" t="s">
        <v>78</v>
      </c>
      <c r="M6" s="15">
        <v>8</v>
      </c>
      <c r="N6" s="15">
        <v>1200</v>
      </c>
      <c r="O6" s="15">
        <v>5</v>
      </c>
      <c r="P6" s="15">
        <v>9120</v>
      </c>
      <c r="Q6" s="15">
        <v>2</v>
      </c>
      <c r="R6" s="15" t="s">
        <v>79</v>
      </c>
      <c r="S6" s="15" t="s">
        <v>61</v>
      </c>
      <c r="T6" s="15" t="s">
        <v>80</v>
      </c>
      <c r="U6" s="17" t="s">
        <v>81</v>
      </c>
      <c r="V6" s="15" t="s">
        <v>64</v>
      </c>
      <c r="W6" s="24" t="str">
        <f t="shared" si="0"/>
        <v>Blacklisted</v>
      </c>
    </row>
    <row r="7" spans="1:23">
      <c r="A7" s="18" t="s">
        <v>82</v>
      </c>
      <c r="B7" s="18" t="s">
        <v>83</v>
      </c>
      <c r="C7" s="18" t="s">
        <v>24</v>
      </c>
      <c r="D7" s="18" t="s">
        <v>84</v>
      </c>
      <c r="E7" s="18" t="s">
        <v>85</v>
      </c>
      <c r="F7" s="18" t="s">
        <v>86</v>
      </c>
      <c r="G7" s="18" t="s">
        <v>76</v>
      </c>
      <c r="H7" s="18" t="s">
        <v>87</v>
      </c>
      <c r="I7" s="18" t="s">
        <v>30</v>
      </c>
      <c r="J7" s="18" t="s">
        <v>31</v>
      </c>
      <c r="K7" s="18" t="s">
        <v>32</v>
      </c>
      <c r="L7" s="18" t="s">
        <v>33</v>
      </c>
      <c r="M7" s="18">
        <v>4</v>
      </c>
      <c r="N7" s="18">
        <v>2200</v>
      </c>
      <c r="O7" s="18">
        <v>0</v>
      </c>
      <c r="P7" s="18">
        <v>8800</v>
      </c>
      <c r="Q7" s="18">
        <v>1</v>
      </c>
      <c r="R7" s="18" t="s">
        <v>88</v>
      </c>
      <c r="S7" s="18" t="s">
        <v>35</v>
      </c>
      <c r="T7" s="18" t="s">
        <v>89</v>
      </c>
      <c r="U7" s="19" t="s">
        <v>90</v>
      </c>
      <c r="V7" s="18" t="s">
        <v>38</v>
      </c>
      <c r="W7" s="24" t="str">
        <f t="shared" si="0"/>
        <v>Blacklisted</v>
      </c>
    </row>
    <row r="8" spans="1:23">
      <c r="A8" s="15" t="s">
        <v>91</v>
      </c>
      <c r="B8" s="15" t="s">
        <v>23</v>
      </c>
      <c r="C8" s="15" t="s">
        <v>92</v>
      </c>
      <c r="D8" s="15" t="s">
        <v>93</v>
      </c>
      <c r="E8" s="15" t="s">
        <v>94</v>
      </c>
      <c r="F8" s="15" t="s">
        <v>95</v>
      </c>
      <c r="G8" s="15" t="s">
        <v>28</v>
      </c>
      <c r="H8" s="15" t="s">
        <v>96</v>
      </c>
      <c r="I8" s="15" t="s">
        <v>30</v>
      </c>
      <c r="J8" s="15" t="s">
        <v>31</v>
      </c>
      <c r="K8" s="15" t="s">
        <v>32</v>
      </c>
      <c r="L8" s="15" t="s">
        <v>97</v>
      </c>
      <c r="M8" s="15">
        <v>2</v>
      </c>
      <c r="N8" s="15">
        <v>3500</v>
      </c>
      <c r="O8" s="15">
        <v>5</v>
      </c>
      <c r="P8" s="15">
        <v>6650</v>
      </c>
      <c r="Q8" s="15">
        <v>1</v>
      </c>
      <c r="R8" s="15" t="s">
        <v>88</v>
      </c>
      <c r="S8" s="15" t="s">
        <v>35</v>
      </c>
      <c r="T8" s="15" t="s">
        <v>50</v>
      </c>
      <c r="U8" s="17" t="s">
        <v>98</v>
      </c>
      <c r="V8" s="15" t="s">
        <v>38</v>
      </c>
      <c r="W8" s="24" t="str">
        <f t="shared" si="0"/>
        <v>Blacklisted</v>
      </c>
    </row>
    <row r="9" spans="1:23">
      <c r="A9" s="18" t="s">
        <v>99</v>
      </c>
      <c r="B9" s="18" t="s">
        <v>100</v>
      </c>
      <c r="C9" s="18" t="s">
        <v>40</v>
      </c>
      <c r="D9" s="18" t="s">
        <v>101</v>
      </c>
      <c r="E9" s="18" t="s">
        <v>102</v>
      </c>
      <c r="F9" s="18" t="s">
        <v>103</v>
      </c>
      <c r="G9" s="18" t="s">
        <v>28</v>
      </c>
      <c r="H9" s="18" t="s">
        <v>104</v>
      </c>
      <c r="I9" s="18" t="s">
        <v>105</v>
      </c>
      <c r="J9" s="18" t="s">
        <v>106</v>
      </c>
      <c r="K9" s="18" t="s">
        <v>46</v>
      </c>
      <c r="L9" s="18" t="s">
        <v>47</v>
      </c>
      <c r="M9" s="18">
        <v>14</v>
      </c>
      <c r="N9" s="18">
        <v>12000</v>
      </c>
      <c r="O9" s="18">
        <v>15</v>
      </c>
      <c r="P9" s="18">
        <v>142800</v>
      </c>
      <c r="Q9" s="18">
        <v>4</v>
      </c>
      <c r="R9" s="18" t="s">
        <v>48</v>
      </c>
      <c r="S9" s="18" t="s">
        <v>35</v>
      </c>
      <c r="T9" s="20" t="s">
        <v>107</v>
      </c>
      <c r="U9" s="19" t="s">
        <v>108</v>
      </c>
      <c r="V9" s="18" t="s">
        <v>38</v>
      </c>
      <c r="W9" s="24" t="str">
        <f t="shared" si="0"/>
        <v>Blacklisted</v>
      </c>
    </row>
    <row r="10" spans="1:23">
      <c r="A10" s="15" t="s">
        <v>109</v>
      </c>
      <c r="B10" s="15" t="s">
        <v>23</v>
      </c>
      <c r="C10" s="15" t="s">
        <v>40</v>
      </c>
      <c r="D10" s="15" t="s">
        <v>110</v>
      </c>
      <c r="E10" s="15" t="s">
        <v>111</v>
      </c>
      <c r="F10" s="15" t="s">
        <v>112</v>
      </c>
      <c r="G10" s="15" t="s">
        <v>28</v>
      </c>
      <c r="H10" s="15" t="s">
        <v>113</v>
      </c>
      <c r="I10" s="15" t="s">
        <v>114</v>
      </c>
      <c r="J10" s="15" t="s">
        <v>106</v>
      </c>
      <c r="K10" s="15" t="s">
        <v>46</v>
      </c>
      <c r="L10" s="15" t="s">
        <v>47</v>
      </c>
      <c r="M10" s="15">
        <v>4</v>
      </c>
      <c r="N10" s="15">
        <v>12000</v>
      </c>
      <c r="O10" s="15">
        <v>15</v>
      </c>
      <c r="P10" s="15">
        <v>40800</v>
      </c>
      <c r="Q10" s="15">
        <v>4</v>
      </c>
      <c r="R10" s="15" t="s">
        <v>88</v>
      </c>
      <c r="S10" s="15" t="s">
        <v>115</v>
      </c>
      <c r="T10" s="15" t="s">
        <v>50</v>
      </c>
      <c r="U10" s="17" t="s">
        <v>116</v>
      </c>
      <c r="V10" s="15" t="s">
        <v>38</v>
      </c>
      <c r="W10" s="24" t="str">
        <f t="shared" si="0"/>
        <v>Silver</v>
      </c>
    </row>
    <row r="11" spans="1:23">
      <c r="A11" s="18" t="s">
        <v>117</v>
      </c>
      <c r="B11" s="18" t="s">
        <v>100</v>
      </c>
      <c r="C11" s="18" t="s">
        <v>118</v>
      </c>
      <c r="D11" s="18" t="s">
        <v>119</v>
      </c>
      <c r="E11" s="18" t="s">
        <v>120</v>
      </c>
      <c r="F11" s="18" t="s">
        <v>103</v>
      </c>
      <c r="G11" s="18" t="s">
        <v>28</v>
      </c>
      <c r="H11" s="18" t="s">
        <v>121</v>
      </c>
      <c r="I11" s="18" t="s">
        <v>105</v>
      </c>
      <c r="J11" s="18" t="s">
        <v>106</v>
      </c>
      <c r="K11" s="18" t="s">
        <v>122</v>
      </c>
      <c r="L11" s="18" t="s">
        <v>123</v>
      </c>
      <c r="M11" s="18">
        <v>6</v>
      </c>
      <c r="N11" s="18">
        <v>60</v>
      </c>
      <c r="O11" s="18">
        <v>0</v>
      </c>
      <c r="P11" s="18">
        <v>360</v>
      </c>
      <c r="Q11" s="18">
        <v>4</v>
      </c>
      <c r="R11" s="18" t="s">
        <v>79</v>
      </c>
      <c r="S11" s="18" t="s">
        <v>115</v>
      </c>
      <c r="T11" s="20" t="s">
        <v>124</v>
      </c>
      <c r="U11" s="19" t="s">
        <v>125</v>
      </c>
      <c r="V11" s="18" t="s">
        <v>38</v>
      </c>
      <c r="W11" s="24" t="str">
        <f t="shared" si="0"/>
        <v>Silver</v>
      </c>
    </row>
    <row r="12" spans="1:23">
      <c r="A12" s="15" t="s">
        <v>126</v>
      </c>
      <c r="B12" s="15" t="s">
        <v>127</v>
      </c>
      <c r="C12" s="15" t="s">
        <v>24</v>
      </c>
      <c r="D12" s="15" t="s">
        <v>128</v>
      </c>
      <c r="E12" s="15" t="s">
        <v>129</v>
      </c>
      <c r="F12" s="15" t="s">
        <v>130</v>
      </c>
      <c r="G12" s="15" t="s">
        <v>76</v>
      </c>
      <c r="H12" s="15" t="s">
        <v>131</v>
      </c>
      <c r="I12" s="15" t="s">
        <v>44</v>
      </c>
      <c r="J12" s="15" t="s">
        <v>45</v>
      </c>
      <c r="K12" s="15" t="s">
        <v>32</v>
      </c>
      <c r="L12" s="15" t="s">
        <v>33</v>
      </c>
      <c r="M12" s="15">
        <v>-3</v>
      </c>
      <c r="N12" s="15">
        <v>2200</v>
      </c>
      <c r="O12" s="15">
        <v>0</v>
      </c>
      <c r="P12" s="15">
        <v>35200</v>
      </c>
      <c r="Q12" s="15">
        <v>2</v>
      </c>
      <c r="R12" s="15" t="s">
        <v>79</v>
      </c>
      <c r="S12" s="15" t="s">
        <v>49</v>
      </c>
      <c r="T12" s="15" t="s">
        <v>132</v>
      </c>
      <c r="U12" s="17" t="s">
        <v>133</v>
      </c>
      <c r="V12" s="15" t="s">
        <v>64</v>
      </c>
      <c r="W12" s="24" t="str">
        <f t="shared" si="0"/>
        <v>Blacklisted</v>
      </c>
    </row>
    <row r="13" spans="1:23">
      <c r="A13" s="18" t="s">
        <v>134</v>
      </c>
      <c r="B13" s="18" t="s">
        <v>23</v>
      </c>
      <c r="C13" s="18" t="s">
        <v>92</v>
      </c>
      <c r="D13" s="18" t="s">
        <v>135</v>
      </c>
      <c r="E13" s="18" t="s">
        <v>136</v>
      </c>
      <c r="F13" s="18" t="s">
        <v>27</v>
      </c>
      <c r="G13" s="18" t="s">
        <v>28</v>
      </c>
      <c r="H13" s="18" t="s">
        <v>137</v>
      </c>
      <c r="I13" s="18" t="s">
        <v>138</v>
      </c>
      <c r="J13" s="18" t="s">
        <v>106</v>
      </c>
      <c r="K13" s="18" t="s">
        <v>32</v>
      </c>
      <c r="L13" s="18" t="s">
        <v>97</v>
      </c>
      <c r="M13" s="18">
        <v>10</v>
      </c>
      <c r="N13" s="18">
        <v>3500</v>
      </c>
      <c r="O13" s="18">
        <v>5</v>
      </c>
      <c r="P13" s="18">
        <v>33250</v>
      </c>
      <c r="Q13" s="18">
        <v>5</v>
      </c>
      <c r="R13" s="18" t="s">
        <v>79</v>
      </c>
      <c r="S13" s="18" t="s">
        <v>61</v>
      </c>
      <c r="T13" s="18" t="s">
        <v>50</v>
      </c>
      <c r="U13" s="19" t="s">
        <v>139</v>
      </c>
      <c r="V13" s="18" t="s">
        <v>69</v>
      </c>
      <c r="W13" s="24" t="str">
        <f t="shared" si="0"/>
        <v>Blacklisted</v>
      </c>
    </row>
    <row r="14" spans="1:23">
      <c r="A14" s="15" t="s">
        <v>140</v>
      </c>
      <c r="B14" s="15" t="s">
        <v>100</v>
      </c>
      <c r="C14" s="15" t="s">
        <v>24</v>
      </c>
      <c r="D14" s="15" t="s">
        <v>141</v>
      </c>
      <c r="E14" s="15" t="s">
        <v>142</v>
      </c>
      <c r="F14" s="15" t="s">
        <v>103</v>
      </c>
      <c r="G14" s="15" t="s">
        <v>28</v>
      </c>
      <c r="H14" s="15" t="s">
        <v>143</v>
      </c>
      <c r="I14" s="15" t="s">
        <v>114</v>
      </c>
      <c r="J14" s="15" t="s">
        <v>106</v>
      </c>
      <c r="K14" s="15" t="s">
        <v>32</v>
      </c>
      <c r="L14" s="15" t="s">
        <v>33</v>
      </c>
      <c r="M14" s="15">
        <v>15</v>
      </c>
      <c r="N14" s="15">
        <v>2200</v>
      </c>
      <c r="O14" s="15">
        <v>10</v>
      </c>
      <c r="P14" s="15">
        <v>29700</v>
      </c>
      <c r="Q14" s="15">
        <v>1</v>
      </c>
      <c r="R14" s="15" t="s">
        <v>88</v>
      </c>
      <c r="S14" s="15" t="s">
        <v>115</v>
      </c>
      <c r="T14" s="15" t="s">
        <v>144</v>
      </c>
      <c r="U14" s="17" t="s">
        <v>145</v>
      </c>
      <c r="V14" s="15" t="s">
        <v>64</v>
      </c>
      <c r="W14" s="24" t="str">
        <f t="shared" si="0"/>
        <v>Blacklisted</v>
      </c>
    </row>
    <row r="15" spans="1:23">
      <c r="A15" s="18" t="s">
        <v>146</v>
      </c>
      <c r="B15" s="18" t="s">
        <v>127</v>
      </c>
      <c r="C15" s="18" t="s">
        <v>24</v>
      </c>
      <c r="D15" s="18" t="s">
        <v>147</v>
      </c>
      <c r="E15" s="18" t="s">
        <v>148</v>
      </c>
      <c r="F15" s="18" t="s">
        <v>149</v>
      </c>
      <c r="G15" s="18" t="s">
        <v>76</v>
      </c>
      <c r="H15" s="18" t="s">
        <v>150</v>
      </c>
      <c r="I15" s="18" t="s">
        <v>105</v>
      </c>
      <c r="J15" s="18" t="s">
        <v>106</v>
      </c>
      <c r="K15" s="18" t="s">
        <v>32</v>
      </c>
      <c r="L15" s="18" t="s">
        <v>33</v>
      </c>
      <c r="M15" s="18">
        <v>17</v>
      </c>
      <c r="N15" s="18">
        <v>2200</v>
      </c>
      <c r="O15" s="18">
        <v>5</v>
      </c>
      <c r="P15" s="18">
        <v>35530</v>
      </c>
      <c r="Q15" s="18">
        <v>1</v>
      </c>
      <c r="R15" s="18" t="s">
        <v>34</v>
      </c>
      <c r="S15" s="18" t="s">
        <v>151</v>
      </c>
      <c r="T15" s="20" t="s">
        <v>152</v>
      </c>
      <c r="U15" s="19" t="s">
        <v>153</v>
      </c>
      <c r="V15" s="18" t="s">
        <v>38</v>
      </c>
      <c r="W15" s="24" t="str">
        <f t="shared" si="0"/>
        <v>Blacklisted</v>
      </c>
    </row>
    <row r="16" spans="1:23">
      <c r="A16" s="15" t="s">
        <v>154</v>
      </c>
      <c r="B16" s="15" t="s">
        <v>23</v>
      </c>
      <c r="C16" s="15" t="s">
        <v>92</v>
      </c>
      <c r="D16" s="15" t="s">
        <v>155</v>
      </c>
      <c r="E16" s="15" t="s">
        <v>156</v>
      </c>
      <c r="F16" s="15" t="s">
        <v>157</v>
      </c>
      <c r="G16" s="15" t="s">
        <v>28</v>
      </c>
      <c r="H16" s="15" t="s">
        <v>158</v>
      </c>
      <c r="I16" s="15" t="s">
        <v>105</v>
      </c>
      <c r="J16" s="15" t="s">
        <v>106</v>
      </c>
      <c r="K16" s="15" t="s">
        <v>32</v>
      </c>
      <c r="L16" s="15" t="s">
        <v>97</v>
      </c>
      <c r="M16" s="15">
        <v>15</v>
      </c>
      <c r="N16" s="15">
        <v>3500</v>
      </c>
      <c r="O16" s="15">
        <v>15</v>
      </c>
      <c r="P16" s="15">
        <v>44625</v>
      </c>
      <c r="Q16" s="15">
        <v>2</v>
      </c>
      <c r="R16" s="15" t="s">
        <v>34</v>
      </c>
      <c r="S16" s="15" t="s">
        <v>115</v>
      </c>
      <c r="T16" s="16" t="s">
        <v>50</v>
      </c>
      <c r="U16" s="17" t="s">
        <v>159</v>
      </c>
      <c r="V16" s="15" t="s">
        <v>69</v>
      </c>
      <c r="W16" s="24" t="str">
        <f t="shared" si="0"/>
        <v>Blacklisted</v>
      </c>
    </row>
    <row r="17" spans="1:23">
      <c r="A17" s="18" t="s">
        <v>160</v>
      </c>
      <c r="B17" s="18" t="s">
        <v>53</v>
      </c>
      <c r="C17" s="18" t="s">
        <v>72</v>
      </c>
      <c r="D17" s="18" t="s">
        <v>161</v>
      </c>
      <c r="E17" s="18" t="s">
        <v>162</v>
      </c>
      <c r="F17" s="18" t="s">
        <v>163</v>
      </c>
      <c r="G17" s="18" t="s">
        <v>28</v>
      </c>
      <c r="H17" s="18" t="s">
        <v>164</v>
      </c>
      <c r="I17" s="18" t="s">
        <v>30</v>
      </c>
      <c r="J17" s="18" t="s">
        <v>31</v>
      </c>
      <c r="K17" s="18" t="s">
        <v>46</v>
      </c>
      <c r="L17" s="18" t="s">
        <v>78</v>
      </c>
      <c r="M17" s="18">
        <v>3</v>
      </c>
      <c r="N17" s="18">
        <v>1200</v>
      </c>
      <c r="O17" s="18">
        <v>5</v>
      </c>
      <c r="P17" s="18">
        <v>3420</v>
      </c>
      <c r="Q17" s="18">
        <v>5</v>
      </c>
      <c r="R17" s="18" t="s">
        <v>88</v>
      </c>
      <c r="S17" s="18" t="s">
        <v>35</v>
      </c>
      <c r="T17" s="18" t="s">
        <v>165</v>
      </c>
      <c r="U17" s="19" t="s">
        <v>166</v>
      </c>
      <c r="V17" s="18" t="s">
        <v>38</v>
      </c>
      <c r="W17" s="24" t="str">
        <f t="shared" si="0"/>
        <v>Silver</v>
      </c>
    </row>
    <row r="18" spans="1:23">
      <c r="A18" s="15" t="s">
        <v>167</v>
      </c>
      <c r="B18" s="15" t="s">
        <v>168</v>
      </c>
      <c r="C18" s="15" t="s">
        <v>169</v>
      </c>
      <c r="D18" s="15" t="s">
        <v>170</v>
      </c>
      <c r="E18" s="15" t="s">
        <v>171</v>
      </c>
      <c r="F18" s="15" t="s">
        <v>172</v>
      </c>
      <c r="G18" s="15" t="s">
        <v>28</v>
      </c>
      <c r="H18" s="15" t="s">
        <v>173</v>
      </c>
      <c r="I18" s="15" t="s">
        <v>114</v>
      </c>
      <c r="J18" s="15" t="s">
        <v>106</v>
      </c>
      <c r="K18" s="15" t="s">
        <v>32</v>
      </c>
      <c r="L18" s="15" t="s">
        <v>174</v>
      </c>
      <c r="M18" s="15">
        <v>13</v>
      </c>
      <c r="N18" s="15">
        <v>8500</v>
      </c>
      <c r="O18" s="15">
        <v>20</v>
      </c>
      <c r="P18" s="15">
        <v>88400</v>
      </c>
      <c r="Q18" s="15">
        <v>4</v>
      </c>
      <c r="R18" s="15" t="s">
        <v>79</v>
      </c>
      <c r="S18" s="15" t="s">
        <v>49</v>
      </c>
      <c r="T18" s="15" t="s">
        <v>175</v>
      </c>
      <c r="U18" s="17" t="s">
        <v>176</v>
      </c>
      <c r="V18" s="15" t="s">
        <v>64</v>
      </c>
      <c r="W18" s="24" t="str">
        <f t="shared" si="0"/>
        <v>Blacklisted</v>
      </c>
    </row>
    <row r="19" spans="1:23">
      <c r="A19" s="18" t="s">
        <v>177</v>
      </c>
      <c r="B19" s="18" t="s">
        <v>83</v>
      </c>
      <c r="C19" s="18" t="s">
        <v>169</v>
      </c>
      <c r="D19" s="18" t="s">
        <v>178</v>
      </c>
      <c r="E19" s="18" t="s">
        <v>179</v>
      </c>
      <c r="F19" s="18" t="s">
        <v>180</v>
      </c>
      <c r="G19" s="18" t="s">
        <v>76</v>
      </c>
      <c r="H19" s="18" t="s">
        <v>181</v>
      </c>
      <c r="I19" s="18" t="s">
        <v>138</v>
      </c>
      <c r="J19" s="18" t="s">
        <v>106</v>
      </c>
      <c r="K19" s="18" t="s">
        <v>32</v>
      </c>
      <c r="L19" s="18" t="s">
        <v>174</v>
      </c>
      <c r="M19" s="18">
        <v>4</v>
      </c>
      <c r="N19" s="18">
        <v>8500</v>
      </c>
      <c r="O19" s="18">
        <v>20</v>
      </c>
      <c r="P19" s="18">
        <v>27200</v>
      </c>
      <c r="Q19" s="18">
        <v>5</v>
      </c>
      <c r="R19" s="18" t="s">
        <v>79</v>
      </c>
      <c r="S19" s="18" t="s">
        <v>61</v>
      </c>
      <c r="T19" s="18" t="s">
        <v>89</v>
      </c>
      <c r="U19" s="19" t="s">
        <v>182</v>
      </c>
      <c r="V19" s="18" t="s">
        <v>64</v>
      </c>
      <c r="W19" s="24" t="str">
        <f t="shared" si="0"/>
        <v>Blacklisted</v>
      </c>
    </row>
    <row r="20" spans="1:23">
      <c r="A20" s="15" t="s">
        <v>183</v>
      </c>
      <c r="B20" s="15" t="s">
        <v>83</v>
      </c>
      <c r="C20" s="15" t="s">
        <v>184</v>
      </c>
      <c r="D20" s="15" t="s">
        <v>185</v>
      </c>
      <c r="E20" s="15" t="s">
        <v>186</v>
      </c>
      <c r="F20" s="15" t="s">
        <v>187</v>
      </c>
      <c r="G20" s="15" t="s">
        <v>76</v>
      </c>
      <c r="H20" s="15" t="s">
        <v>188</v>
      </c>
      <c r="I20" s="15" t="s">
        <v>105</v>
      </c>
      <c r="J20" s="15" t="s">
        <v>106</v>
      </c>
      <c r="K20" s="15" t="s">
        <v>46</v>
      </c>
      <c r="L20" s="15" t="s">
        <v>189</v>
      </c>
      <c r="M20" s="15">
        <v>9</v>
      </c>
      <c r="N20" s="15">
        <v>700</v>
      </c>
      <c r="O20" s="15">
        <v>5</v>
      </c>
      <c r="P20" s="15">
        <v>5985</v>
      </c>
      <c r="Q20" s="15">
        <v>3</v>
      </c>
      <c r="R20" s="15" t="s">
        <v>88</v>
      </c>
      <c r="S20" s="15" t="s">
        <v>35</v>
      </c>
      <c r="T20" s="16" t="s">
        <v>190</v>
      </c>
      <c r="U20" s="17" t="s">
        <v>191</v>
      </c>
      <c r="V20" s="15" t="s">
        <v>64</v>
      </c>
      <c r="W20" s="24" t="str">
        <f t="shared" si="0"/>
        <v>Blacklisted</v>
      </c>
    </row>
    <row r="21" spans="1:23">
      <c r="A21" s="18" t="s">
        <v>192</v>
      </c>
      <c r="B21" s="18" t="s">
        <v>23</v>
      </c>
      <c r="C21" s="18" t="s">
        <v>54</v>
      </c>
      <c r="D21" s="18" t="s">
        <v>193</v>
      </c>
      <c r="E21" s="18" t="s">
        <v>194</v>
      </c>
      <c r="F21" s="18" t="s">
        <v>27</v>
      </c>
      <c r="G21" s="18" t="s">
        <v>28</v>
      </c>
      <c r="H21" s="18" t="s">
        <v>195</v>
      </c>
      <c r="I21" s="18" t="s">
        <v>138</v>
      </c>
      <c r="J21" s="18" t="s">
        <v>106</v>
      </c>
      <c r="K21" s="18" t="s">
        <v>46</v>
      </c>
      <c r="L21" s="18" t="s">
        <v>60</v>
      </c>
      <c r="M21" s="18">
        <v>8</v>
      </c>
      <c r="N21" s="18">
        <v>55000</v>
      </c>
      <c r="O21" s="18">
        <v>20</v>
      </c>
      <c r="P21" s="18">
        <v>352000</v>
      </c>
      <c r="Q21" s="18">
        <v>1</v>
      </c>
      <c r="R21" s="18" t="s">
        <v>34</v>
      </c>
      <c r="S21" s="18" t="s">
        <v>151</v>
      </c>
      <c r="T21" s="18" t="s">
        <v>50</v>
      </c>
      <c r="U21" s="19" t="s">
        <v>196</v>
      </c>
      <c r="V21" s="18" t="s">
        <v>38</v>
      </c>
      <c r="W21" s="24" t="str">
        <f t="shared" si="0"/>
        <v>Blacklisted</v>
      </c>
    </row>
    <row r="22" spans="1:23">
      <c r="A22" s="15" t="s">
        <v>197</v>
      </c>
      <c r="B22" s="15" t="s">
        <v>127</v>
      </c>
      <c r="C22" s="15" t="s">
        <v>184</v>
      </c>
      <c r="D22" s="15" t="s">
        <v>198</v>
      </c>
      <c r="E22" s="15" t="s">
        <v>199</v>
      </c>
      <c r="F22" s="15" t="s">
        <v>200</v>
      </c>
      <c r="G22" s="15" t="s">
        <v>76</v>
      </c>
      <c r="H22" s="15" t="s">
        <v>201</v>
      </c>
      <c r="I22" s="15" t="s">
        <v>44</v>
      </c>
      <c r="J22" s="15" t="s">
        <v>45</v>
      </c>
      <c r="K22" s="15" t="s">
        <v>202</v>
      </c>
      <c r="L22" s="15" t="s">
        <v>189</v>
      </c>
      <c r="M22" s="15">
        <v>10</v>
      </c>
      <c r="N22" s="15">
        <v>700</v>
      </c>
      <c r="O22" s="15">
        <v>20</v>
      </c>
      <c r="P22" s="15">
        <v>5600</v>
      </c>
      <c r="Q22" s="15">
        <v>4</v>
      </c>
      <c r="R22" s="15" t="s">
        <v>79</v>
      </c>
      <c r="S22" s="15" t="s">
        <v>61</v>
      </c>
      <c r="T22" s="15" t="s">
        <v>132</v>
      </c>
      <c r="U22" s="17" t="s">
        <v>203</v>
      </c>
      <c r="V22" s="15" t="s">
        <v>69</v>
      </c>
      <c r="W22" s="24" t="str">
        <f t="shared" si="0"/>
        <v>Blacklisted</v>
      </c>
    </row>
    <row r="23" spans="1:23">
      <c r="A23" s="18" t="s">
        <v>204</v>
      </c>
      <c r="B23" s="18" t="s">
        <v>23</v>
      </c>
      <c r="C23" s="18" t="s">
        <v>92</v>
      </c>
      <c r="D23" s="18" t="s">
        <v>205</v>
      </c>
      <c r="E23" s="18" t="s">
        <v>206</v>
      </c>
      <c r="F23" s="18" t="s">
        <v>112</v>
      </c>
      <c r="G23" s="18" t="s">
        <v>28</v>
      </c>
      <c r="H23" s="18" t="s">
        <v>207</v>
      </c>
      <c r="I23" s="18" t="s">
        <v>59</v>
      </c>
      <c r="J23" s="18" t="s">
        <v>31</v>
      </c>
      <c r="K23" s="18" t="s">
        <v>32</v>
      </c>
      <c r="L23" s="18" t="s">
        <v>97</v>
      </c>
      <c r="M23" s="18">
        <v>1</v>
      </c>
      <c r="N23" s="18">
        <v>3500</v>
      </c>
      <c r="O23" s="18">
        <v>5</v>
      </c>
      <c r="P23" s="18">
        <v>3325</v>
      </c>
      <c r="Q23" s="18">
        <v>3</v>
      </c>
      <c r="R23" s="18" t="s">
        <v>88</v>
      </c>
      <c r="S23" s="18" t="s">
        <v>115</v>
      </c>
      <c r="T23" s="18" t="s">
        <v>50</v>
      </c>
      <c r="U23" s="19" t="s">
        <v>208</v>
      </c>
      <c r="V23" s="18" t="s">
        <v>69</v>
      </c>
      <c r="W23" s="24" t="str">
        <f t="shared" si="0"/>
        <v>Blacklisted</v>
      </c>
    </row>
    <row r="24" spans="1:23">
      <c r="A24" s="15" t="s">
        <v>209</v>
      </c>
      <c r="B24" s="15" t="s">
        <v>100</v>
      </c>
      <c r="C24" s="15" t="s">
        <v>184</v>
      </c>
      <c r="D24" s="15" t="s">
        <v>102</v>
      </c>
      <c r="E24" s="15" t="s">
        <v>210</v>
      </c>
      <c r="F24" s="15" t="s">
        <v>103</v>
      </c>
      <c r="G24" s="15" t="s">
        <v>28</v>
      </c>
      <c r="H24" s="15" t="s">
        <v>211</v>
      </c>
      <c r="I24" s="15" t="s">
        <v>212</v>
      </c>
      <c r="J24" s="15" t="s">
        <v>45</v>
      </c>
      <c r="K24" s="15" t="s">
        <v>46</v>
      </c>
      <c r="L24" s="15" t="s">
        <v>189</v>
      </c>
      <c r="M24" s="15">
        <v>19</v>
      </c>
      <c r="N24" s="15">
        <v>700</v>
      </c>
      <c r="O24" s="15">
        <v>15</v>
      </c>
      <c r="P24" s="15">
        <v>11305</v>
      </c>
      <c r="Q24" s="15">
        <v>3</v>
      </c>
      <c r="R24" s="15" t="s">
        <v>48</v>
      </c>
      <c r="S24" s="15" t="s">
        <v>151</v>
      </c>
      <c r="T24" s="15" t="s">
        <v>144</v>
      </c>
      <c r="U24" s="17" t="s">
        <v>213</v>
      </c>
      <c r="V24" s="15" t="s">
        <v>64</v>
      </c>
      <c r="W24" s="24" t="str">
        <f t="shared" si="0"/>
        <v>Blacklisted</v>
      </c>
    </row>
    <row r="25" spans="1:23">
      <c r="A25" s="18" t="s">
        <v>214</v>
      </c>
      <c r="B25" s="18" t="s">
        <v>71</v>
      </c>
      <c r="C25" s="18" t="s">
        <v>54</v>
      </c>
      <c r="D25" s="18" t="s">
        <v>215</v>
      </c>
      <c r="E25" s="18" t="s">
        <v>216</v>
      </c>
      <c r="F25" s="18" t="s">
        <v>217</v>
      </c>
      <c r="G25" s="18" t="s">
        <v>76</v>
      </c>
      <c r="H25" s="18" t="s">
        <v>218</v>
      </c>
      <c r="I25" s="18" t="s">
        <v>59</v>
      </c>
      <c r="J25" s="18" t="s">
        <v>31</v>
      </c>
      <c r="K25" s="18" t="s">
        <v>46</v>
      </c>
      <c r="L25" s="18" t="s">
        <v>60</v>
      </c>
      <c r="M25" s="18">
        <v>12</v>
      </c>
      <c r="N25" s="18">
        <v>55000</v>
      </c>
      <c r="O25" s="18">
        <v>0</v>
      </c>
      <c r="P25" s="18">
        <v>660000</v>
      </c>
      <c r="Q25" s="18">
        <v>1</v>
      </c>
      <c r="R25" s="18" t="s">
        <v>79</v>
      </c>
      <c r="S25" s="18" t="s">
        <v>49</v>
      </c>
      <c r="T25" s="18" t="s">
        <v>80</v>
      </c>
      <c r="U25" s="19" t="s">
        <v>219</v>
      </c>
      <c r="V25" s="18" t="s">
        <v>64</v>
      </c>
      <c r="W25" s="24" t="str">
        <f t="shared" si="0"/>
        <v>Blacklisted</v>
      </c>
    </row>
    <row r="26" spans="1:23">
      <c r="A26" s="15" t="s">
        <v>220</v>
      </c>
      <c r="B26" s="15" t="s">
        <v>221</v>
      </c>
      <c r="C26" s="15" t="s">
        <v>222</v>
      </c>
      <c r="D26" s="15" t="s">
        <v>223</v>
      </c>
      <c r="E26" s="15" t="s">
        <v>224</v>
      </c>
      <c r="F26" s="15" t="s">
        <v>225</v>
      </c>
      <c r="G26" s="15" t="s">
        <v>76</v>
      </c>
      <c r="H26" s="15" t="s">
        <v>226</v>
      </c>
      <c r="I26" s="15" t="s">
        <v>105</v>
      </c>
      <c r="J26" s="15" t="s">
        <v>106</v>
      </c>
      <c r="K26" s="15" t="s">
        <v>122</v>
      </c>
      <c r="L26" s="15" t="s">
        <v>227</v>
      </c>
      <c r="M26" s="15">
        <v>1</v>
      </c>
      <c r="N26" s="15">
        <v>20</v>
      </c>
      <c r="O26" s="15">
        <v>5</v>
      </c>
      <c r="P26" s="15">
        <v>19</v>
      </c>
      <c r="Q26" s="15">
        <v>5</v>
      </c>
      <c r="R26" s="15" t="s">
        <v>79</v>
      </c>
      <c r="S26" s="15" t="s">
        <v>35</v>
      </c>
      <c r="T26" s="15" t="s">
        <v>228</v>
      </c>
      <c r="U26" s="17" t="s">
        <v>229</v>
      </c>
      <c r="V26" s="15" t="s">
        <v>69</v>
      </c>
      <c r="W26" s="24" t="str">
        <f t="shared" si="0"/>
        <v>Blacklisted</v>
      </c>
    </row>
    <row r="27" spans="1:23">
      <c r="A27" s="18" t="s">
        <v>230</v>
      </c>
      <c r="B27" s="18" t="s">
        <v>83</v>
      </c>
      <c r="C27" s="18" t="s">
        <v>222</v>
      </c>
      <c r="D27" s="18" t="s">
        <v>231</v>
      </c>
      <c r="E27" s="18" t="s">
        <v>232</v>
      </c>
      <c r="F27" s="18" t="s">
        <v>180</v>
      </c>
      <c r="G27" s="18" t="s">
        <v>76</v>
      </c>
      <c r="H27" s="18" t="s">
        <v>233</v>
      </c>
      <c r="I27" s="18" t="s">
        <v>105</v>
      </c>
      <c r="J27" s="18" t="s">
        <v>106</v>
      </c>
      <c r="K27" s="18" t="s">
        <v>122</v>
      </c>
      <c r="L27" s="18" t="s">
        <v>227</v>
      </c>
      <c r="M27" s="18">
        <v>2</v>
      </c>
      <c r="N27" s="18">
        <v>20</v>
      </c>
      <c r="O27" s="18">
        <v>15</v>
      </c>
      <c r="P27" s="18">
        <v>34</v>
      </c>
      <c r="Q27" s="18">
        <v>1</v>
      </c>
      <c r="R27" s="18" t="s">
        <v>88</v>
      </c>
      <c r="S27" s="18" t="s">
        <v>35</v>
      </c>
      <c r="T27" s="18" t="s">
        <v>89</v>
      </c>
      <c r="U27" s="19" t="s">
        <v>234</v>
      </c>
      <c r="V27" s="18" t="s">
        <v>64</v>
      </c>
      <c r="W27" s="24" t="str">
        <f t="shared" si="0"/>
        <v>Blacklisted</v>
      </c>
    </row>
    <row r="28" spans="1:23">
      <c r="A28" s="15" t="s">
        <v>235</v>
      </c>
      <c r="B28" s="15" t="s">
        <v>71</v>
      </c>
      <c r="C28" s="15" t="s">
        <v>92</v>
      </c>
      <c r="D28" s="15" t="s">
        <v>236</v>
      </c>
      <c r="E28" s="15" t="s">
        <v>237</v>
      </c>
      <c r="F28" s="15" t="s">
        <v>217</v>
      </c>
      <c r="G28" s="15" t="s">
        <v>76</v>
      </c>
      <c r="H28" s="15" t="s">
        <v>238</v>
      </c>
      <c r="I28" s="15" t="s">
        <v>138</v>
      </c>
      <c r="J28" s="15" t="s">
        <v>106</v>
      </c>
      <c r="K28" s="15" t="s">
        <v>32</v>
      </c>
      <c r="L28" s="15" t="s">
        <v>97</v>
      </c>
      <c r="M28" s="15">
        <v>12</v>
      </c>
      <c r="N28" s="15">
        <v>3500</v>
      </c>
      <c r="O28" s="15">
        <v>15</v>
      </c>
      <c r="P28" s="15">
        <v>35700</v>
      </c>
      <c r="Q28" s="15">
        <v>4</v>
      </c>
      <c r="R28" s="15" t="s">
        <v>34</v>
      </c>
      <c r="S28" s="15" t="s">
        <v>49</v>
      </c>
      <c r="T28" s="15" t="s">
        <v>80</v>
      </c>
      <c r="U28" s="17" t="s">
        <v>239</v>
      </c>
      <c r="V28" s="15" t="s">
        <v>69</v>
      </c>
      <c r="W28" s="24" t="str">
        <f t="shared" si="0"/>
        <v>Blacklisted</v>
      </c>
    </row>
    <row r="29" spans="1:23">
      <c r="A29" s="18" t="s">
        <v>240</v>
      </c>
      <c r="B29" s="18" t="s">
        <v>23</v>
      </c>
      <c r="C29" s="18" t="s">
        <v>72</v>
      </c>
      <c r="D29" s="18" t="s">
        <v>241</v>
      </c>
      <c r="E29" s="18" t="s">
        <v>242</v>
      </c>
      <c r="F29" s="18" t="s">
        <v>27</v>
      </c>
      <c r="G29" s="18" t="s">
        <v>28</v>
      </c>
      <c r="H29" s="18" t="s">
        <v>243</v>
      </c>
      <c r="I29" s="18" t="s">
        <v>138</v>
      </c>
      <c r="J29" s="18" t="s">
        <v>106</v>
      </c>
      <c r="K29" s="18" t="s">
        <v>46</v>
      </c>
      <c r="L29" s="18" t="s">
        <v>78</v>
      </c>
      <c r="M29" s="18">
        <v>11</v>
      </c>
      <c r="N29" s="18">
        <v>1200</v>
      </c>
      <c r="O29" s="18">
        <v>0</v>
      </c>
      <c r="P29" s="18">
        <v>13200</v>
      </c>
      <c r="Q29" s="18">
        <v>2</v>
      </c>
      <c r="R29" s="18" t="s">
        <v>88</v>
      </c>
      <c r="S29" s="18" t="s">
        <v>151</v>
      </c>
      <c r="T29" s="18" t="s">
        <v>50</v>
      </c>
      <c r="U29" s="19" t="s">
        <v>244</v>
      </c>
      <c r="V29" s="18" t="s">
        <v>38</v>
      </c>
      <c r="W29" s="24" t="str">
        <f t="shared" si="0"/>
        <v>Blacklisted</v>
      </c>
    </row>
    <row r="30" spans="1:23">
      <c r="A30" s="15" t="s">
        <v>245</v>
      </c>
      <c r="B30" s="15" t="s">
        <v>127</v>
      </c>
      <c r="C30" s="15" t="s">
        <v>169</v>
      </c>
      <c r="D30" s="15" t="s">
        <v>246</v>
      </c>
      <c r="E30" s="15" t="s">
        <v>247</v>
      </c>
      <c r="F30" s="15" t="s">
        <v>200</v>
      </c>
      <c r="G30" s="15" t="s">
        <v>76</v>
      </c>
      <c r="H30" s="15" t="s">
        <v>248</v>
      </c>
      <c r="I30" s="15" t="s">
        <v>114</v>
      </c>
      <c r="J30" s="15" t="s">
        <v>106</v>
      </c>
      <c r="K30" s="15" t="s">
        <v>32</v>
      </c>
      <c r="L30" s="15" t="s">
        <v>174</v>
      </c>
      <c r="M30" s="15">
        <v>6</v>
      </c>
      <c r="N30" s="15">
        <v>8500</v>
      </c>
      <c r="O30" s="15">
        <v>65</v>
      </c>
      <c r="P30" s="15">
        <v>51000</v>
      </c>
      <c r="Q30" s="15">
        <v>1</v>
      </c>
      <c r="R30" s="15" t="s">
        <v>79</v>
      </c>
      <c r="S30" s="15" t="s">
        <v>61</v>
      </c>
      <c r="T30" s="15" t="s">
        <v>132</v>
      </c>
      <c r="U30" s="17" t="s">
        <v>249</v>
      </c>
      <c r="V30" s="15" t="s">
        <v>38</v>
      </c>
      <c r="W30" s="24" t="str">
        <f t="shared" si="0"/>
        <v>Blacklisted</v>
      </c>
    </row>
    <row r="31" spans="1:23">
      <c r="A31" s="18" t="s">
        <v>250</v>
      </c>
      <c r="B31" s="18" t="s">
        <v>251</v>
      </c>
      <c r="C31" s="18" t="s">
        <v>118</v>
      </c>
      <c r="D31" s="18" t="s">
        <v>252</v>
      </c>
      <c r="E31" s="18" t="s">
        <v>253</v>
      </c>
      <c r="F31" s="18" t="s">
        <v>254</v>
      </c>
      <c r="G31" s="18" t="s">
        <v>28</v>
      </c>
      <c r="H31" s="18" t="s">
        <v>255</v>
      </c>
      <c r="I31" s="18" t="s">
        <v>114</v>
      </c>
      <c r="J31" s="18" t="s">
        <v>106</v>
      </c>
      <c r="K31" s="18" t="s">
        <v>122</v>
      </c>
      <c r="L31" s="18" t="s">
        <v>123</v>
      </c>
      <c r="M31" s="18">
        <v>2</v>
      </c>
      <c r="N31" s="18">
        <v>60</v>
      </c>
      <c r="O31" s="18">
        <v>5</v>
      </c>
      <c r="P31" s="18">
        <v>114</v>
      </c>
      <c r="Q31" s="18">
        <v>3</v>
      </c>
      <c r="R31" s="18" t="s">
        <v>34</v>
      </c>
      <c r="S31" s="18" t="s">
        <v>151</v>
      </c>
      <c r="T31" s="18" t="s">
        <v>256</v>
      </c>
      <c r="U31" s="19" t="s">
        <v>257</v>
      </c>
      <c r="V31" s="18" t="s">
        <v>69</v>
      </c>
      <c r="W31" s="24" t="str">
        <f t="shared" si="0"/>
        <v>Blacklisted</v>
      </c>
    </row>
    <row r="32" spans="1:23">
      <c r="A32" s="15" t="s">
        <v>258</v>
      </c>
      <c r="B32" s="15" t="s">
        <v>23</v>
      </c>
      <c r="C32" s="15" t="s">
        <v>259</v>
      </c>
      <c r="D32" s="15" t="s">
        <v>260</v>
      </c>
      <c r="E32" s="15" t="s">
        <v>261</v>
      </c>
      <c r="F32" s="15" t="s">
        <v>27</v>
      </c>
      <c r="G32" s="15" t="s">
        <v>28</v>
      </c>
      <c r="H32" s="15" t="s">
        <v>262</v>
      </c>
      <c r="I32" s="15" t="s">
        <v>59</v>
      </c>
      <c r="J32" s="15" t="s">
        <v>31</v>
      </c>
      <c r="K32" s="15" t="s">
        <v>122</v>
      </c>
      <c r="L32" s="15" t="s">
        <v>263</v>
      </c>
      <c r="M32" s="15">
        <v>19</v>
      </c>
      <c r="N32" s="15">
        <v>45</v>
      </c>
      <c r="O32" s="15">
        <v>20</v>
      </c>
      <c r="P32" s="15">
        <v>684</v>
      </c>
      <c r="Q32" s="15">
        <v>4</v>
      </c>
      <c r="R32" s="15" t="s">
        <v>48</v>
      </c>
      <c r="S32" s="15" t="s">
        <v>61</v>
      </c>
      <c r="T32" s="15" t="s">
        <v>50</v>
      </c>
      <c r="U32" s="17" t="s">
        <v>264</v>
      </c>
      <c r="V32" s="15" t="s">
        <v>69</v>
      </c>
      <c r="W32" s="24" t="str">
        <f t="shared" si="0"/>
        <v>Blacklisted</v>
      </c>
    </row>
    <row r="33" spans="1:23">
      <c r="A33" s="18" t="s">
        <v>265</v>
      </c>
      <c r="B33" s="18" t="s">
        <v>100</v>
      </c>
      <c r="C33" s="18" t="s">
        <v>40</v>
      </c>
      <c r="D33" s="18" t="s">
        <v>266</v>
      </c>
      <c r="E33" s="18" t="s">
        <v>267</v>
      </c>
      <c r="F33" s="18" t="s">
        <v>268</v>
      </c>
      <c r="G33" s="18" t="s">
        <v>28</v>
      </c>
      <c r="H33" s="18" t="s">
        <v>269</v>
      </c>
      <c r="I33" s="18" t="s">
        <v>138</v>
      </c>
      <c r="J33" s="18" t="s">
        <v>106</v>
      </c>
      <c r="K33" s="18" t="s">
        <v>46</v>
      </c>
      <c r="L33" s="18" t="s">
        <v>47</v>
      </c>
      <c r="M33" s="18">
        <v>11</v>
      </c>
      <c r="N33" s="18">
        <v>12000</v>
      </c>
      <c r="O33" s="18">
        <v>0</v>
      </c>
      <c r="P33" s="18">
        <v>132000</v>
      </c>
      <c r="Q33" s="18">
        <v>3</v>
      </c>
      <c r="R33" s="18" t="s">
        <v>88</v>
      </c>
      <c r="S33" s="18" t="s">
        <v>35</v>
      </c>
      <c r="T33" s="18" t="s">
        <v>144</v>
      </c>
      <c r="U33" s="19" t="s">
        <v>270</v>
      </c>
      <c r="V33" s="18" t="s">
        <v>64</v>
      </c>
      <c r="W33" s="24" t="str">
        <f t="shared" si="0"/>
        <v>Blacklisted</v>
      </c>
    </row>
    <row r="34" spans="1:23">
      <c r="A34" s="15" t="s">
        <v>271</v>
      </c>
      <c r="B34" s="15" t="s">
        <v>251</v>
      </c>
      <c r="C34" s="15" t="s">
        <v>24</v>
      </c>
      <c r="D34" s="15" t="s">
        <v>272</v>
      </c>
      <c r="E34" s="15" t="s">
        <v>136</v>
      </c>
      <c r="F34" s="15" t="s">
        <v>254</v>
      </c>
      <c r="G34" s="15" t="s">
        <v>28</v>
      </c>
      <c r="H34" s="15" t="s">
        <v>273</v>
      </c>
      <c r="I34" s="15" t="s">
        <v>59</v>
      </c>
      <c r="J34" s="15" t="s">
        <v>31</v>
      </c>
      <c r="K34" s="15" t="s">
        <v>32</v>
      </c>
      <c r="L34" s="15" t="s">
        <v>33</v>
      </c>
      <c r="M34" s="15">
        <v>20</v>
      </c>
      <c r="N34" s="15">
        <v>2200</v>
      </c>
      <c r="O34" s="15">
        <v>5</v>
      </c>
      <c r="P34" s="15">
        <v>41800</v>
      </c>
      <c r="Q34" s="15">
        <v>1</v>
      </c>
      <c r="R34" s="15" t="s">
        <v>34</v>
      </c>
      <c r="S34" s="15" t="s">
        <v>49</v>
      </c>
      <c r="T34" s="15" t="s">
        <v>256</v>
      </c>
      <c r="U34" s="17" t="s">
        <v>274</v>
      </c>
      <c r="V34" s="15" t="s">
        <v>64</v>
      </c>
      <c r="W34" s="24" t="str">
        <f t="shared" si="0"/>
        <v>Blacklisted</v>
      </c>
    </row>
    <row r="35" spans="1:23">
      <c r="A35" s="18" t="s">
        <v>275</v>
      </c>
      <c r="B35" s="18" t="s">
        <v>83</v>
      </c>
      <c r="C35" s="18" t="s">
        <v>222</v>
      </c>
      <c r="D35" s="18" t="s">
        <v>231</v>
      </c>
      <c r="E35" s="18" t="s">
        <v>276</v>
      </c>
      <c r="F35" s="18" t="s">
        <v>180</v>
      </c>
      <c r="G35" s="18" t="s">
        <v>76</v>
      </c>
      <c r="H35" s="18" t="s">
        <v>277</v>
      </c>
      <c r="I35" s="18" t="s">
        <v>138</v>
      </c>
      <c r="J35" s="18" t="s">
        <v>106</v>
      </c>
      <c r="K35" s="18" t="s">
        <v>122</v>
      </c>
      <c r="L35" s="18" t="s">
        <v>227</v>
      </c>
      <c r="M35" s="18">
        <v>3</v>
      </c>
      <c r="N35" s="18">
        <v>20</v>
      </c>
      <c r="O35" s="18">
        <v>0</v>
      </c>
      <c r="P35" s="18">
        <v>60</v>
      </c>
      <c r="Q35" s="18">
        <v>2</v>
      </c>
      <c r="R35" s="18" t="s">
        <v>79</v>
      </c>
      <c r="S35" s="18" t="s">
        <v>35</v>
      </c>
      <c r="T35" s="18" t="s">
        <v>278</v>
      </c>
      <c r="U35" s="19" t="s">
        <v>279</v>
      </c>
      <c r="V35" s="18" t="s">
        <v>69</v>
      </c>
      <c r="W35" s="24" t="str">
        <f t="shared" si="0"/>
        <v>Blacklisted</v>
      </c>
    </row>
    <row r="36" spans="1:23">
      <c r="A36" s="15" t="s">
        <v>280</v>
      </c>
      <c r="B36" s="15" t="s">
        <v>127</v>
      </c>
      <c r="C36" s="15" t="s">
        <v>259</v>
      </c>
      <c r="D36" s="15" t="s">
        <v>281</v>
      </c>
      <c r="E36" s="15" t="s">
        <v>282</v>
      </c>
      <c r="F36" s="15" t="s">
        <v>200</v>
      </c>
      <c r="G36" s="15" t="s">
        <v>76</v>
      </c>
      <c r="H36" s="15" t="s">
        <v>283</v>
      </c>
      <c r="I36" s="15" t="s">
        <v>114</v>
      </c>
      <c r="J36" s="15" t="s">
        <v>106</v>
      </c>
      <c r="K36" s="15" t="s">
        <v>122</v>
      </c>
      <c r="L36" s="15" t="s">
        <v>263</v>
      </c>
      <c r="M36" s="15">
        <v>18</v>
      </c>
      <c r="N36" s="15">
        <v>45</v>
      </c>
      <c r="O36" s="15">
        <v>20</v>
      </c>
      <c r="P36" s="15">
        <v>648</v>
      </c>
      <c r="Q36" s="15">
        <v>4</v>
      </c>
      <c r="R36" s="15" t="s">
        <v>48</v>
      </c>
      <c r="S36" s="15" t="s">
        <v>35</v>
      </c>
      <c r="T36" s="15" t="s">
        <v>132</v>
      </c>
      <c r="U36" s="17" t="s">
        <v>284</v>
      </c>
      <c r="V36" s="15" t="s">
        <v>69</v>
      </c>
      <c r="W36" s="24" t="str">
        <f t="shared" si="0"/>
        <v>Blacklisted</v>
      </c>
    </row>
    <row r="37" spans="1:23">
      <c r="A37" s="18" t="s">
        <v>285</v>
      </c>
      <c r="B37" s="18" t="s">
        <v>127</v>
      </c>
      <c r="C37" s="18" t="s">
        <v>72</v>
      </c>
      <c r="D37" s="18" t="s">
        <v>286</v>
      </c>
      <c r="E37" s="18" t="s">
        <v>287</v>
      </c>
      <c r="F37" s="18" t="s">
        <v>200</v>
      </c>
      <c r="G37" s="18" t="s">
        <v>76</v>
      </c>
      <c r="H37" s="18" t="s">
        <v>288</v>
      </c>
      <c r="I37" s="18" t="s">
        <v>59</v>
      </c>
      <c r="J37" s="18" t="s">
        <v>31</v>
      </c>
      <c r="K37" s="18" t="s">
        <v>46</v>
      </c>
      <c r="L37" s="18" t="s">
        <v>78</v>
      </c>
      <c r="M37" s="18">
        <v>4</v>
      </c>
      <c r="N37" s="18">
        <v>1200</v>
      </c>
      <c r="O37" s="18">
        <v>20</v>
      </c>
      <c r="P37" s="18">
        <v>3840</v>
      </c>
      <c r="Q37" s="18">
        <v>3</v>
      </c>
      <c r="R37" s="18" t="s">
        <v>48</v>
      </c>
      <c r="S37" s="18" t="s">
        <v>61</v>
      </c>
      <c r="T37" s="18" t="s">
        <v>132</v>
      </c>
      <c r="U37" s="19" t="s">
        <v>289</v>
      </c>
      <c r="V37" s="18" t="s">
        <v>38</v>
      </c>
      <c r="W37" s="24" t="str">
        <f t="shared" si="0"/>
        <v>Silver</v>
      </c>
    </row>
    <row r="38" spans="1:23">
      <c r="A38" s="15" t="s">
        <v>290</v>
      </c>
      <c r="B38" s="15" t="s">
        <v>71</v>
      </c>
      <c r="C38" s="15" t="s">
        <v>54</v>
      </c>
      <c r="D38" s="15" t="s">
        <v>291</v>
      </c>
      <c r="E38" s="15" t="s">
        <v>292</v>
      </c>
      <c r="F38" s="15" t="s">
        <v>217</v>
      </c>
      <c r="G38" s="15" t="s">
        <v>76</v>
      </c>
      <c r="H38" s="15" t="s">
        <v>293</v>
      </c>
      <c r="I38" s="15" t="s">
        <v>294</v>
      </c>
      <c r="J38" s="15" t="s">
        <v>295</v>
      </c>
      <c r="K38" s="15" t="s">
        <v>46</v>
      </c>
      <c r="L38" s="15" t="s">
        <v>60</v>
      </c>
      <c r="M38" s="15">
        <v>10</v>
      </c>
      <c r="N38" s="15">
        <v>55000</v>
      </c>
      <c r="O38" s="15">
        <v>0</v>
      </c>
      <c r="P38" s="15">
        <v>550000</v>
      </c>
      <c r="Q38" s="15">
        <v>1</v>
      </c>
      <c r="R38" s="15" t="s">
        <v>88</v>
      </c>
      <c r="S38" s="15" t="s">
        <v>49</v>
      </c>
      <c r="T38" s="15" t="s">
        <v>80</v>
      </c>
      <c r="U38" s="17" t="s">
        <v>296</v>
      </c>
      <c r="V38" s="15" t="s">
        <v>69</v>
      </c>
      <c r="W38" s="24" t="str">
        <f t="shared" si="0"/>
        <v>Blacklisted</v>
      </c>
    </row>
    <row r="39" spans="1:23">
      <c r="A39" s="18" t="s">
        <v>297</v>
      </c>
      <c r="B39" s="18" t="s">
        <v>251</v>
      </c>
      <c r="C39" s="18" t="s">
        <v>92</v>
      </c>
      <c r="D39" s="18" t="s">
        <v>298</v>
      </c>
      <c r="E39" s="18" t="s">
        <v>242</v>
      </c>
      <c r="F39" s="18" t="s">
        <v>254</v>
      </c>
      <c r="G39" s="18" t="s">
        <v>28</v>
      </c>
      <c r="H39" s="18" t="s">
        <v>299</v>
      </c>
      <c r="I39" s="18" t="s">
        <v>44</v>
      </c>
      <c r="J39" s="18" t="s">
        <v>45</v>
      </c>
      <c r="K39" s="18" t="s">
        <v>32</v>
      </c>
      <c r="L39" s="18" t="s">
        <v>97</v>
      </c>
      <c r="M39" s="18">
        <v>20</v>
      </c>
      <c r="N39" s="18">
        <v>3500</v>
      </c>
      <c r="O39" s="18">
        <v>10</v>
      </c>
      <c r="P39" s="18">
        <v>63000</v>
      </c>
      <c r="Q39" s="18">
        <v>3</v>
      </c>
      <c r="R39" s="18" t="s">
        <v>79</v>
      </c>
      <c r="S39" s="18" t="s">
        <v>49</v>
      </c>
      <c r="T39" s="18" t="s">
        <v>256</v>
      </c>
      <c r="U39" s="19" t="s">
        <v>300</v>
      </c>
      <c r="V39" s="18" t="s">
        <v>69</v>
      </c>
      <c r="W39" s="24" t="str">
        <f t="shared" si="0"/>
        <v>Blacklisted</v>
      </c>
    </row>
    <row r="40" spans="1:23">
      <c r="A40" s="15" t="s">
        <v>301</v>
      </c>
      <c r="B40" s="15" t="s">
        <v>23</v>
      </c>
      <c r="C40" s="15" t="s">
        <v>222</v>
      </c>
      <c r="D40" s="15" t="s">
        <v>302</v>
      </c>
      <c r="E40" s="15" t="s">
        <v>303</v>
      </c>
      <c r="F40" s="15" t="s">
        <v>27</v>
      </c>
      <c r="G40" s="15" t="s">
        <v>28</v>
      </c>
      <c r="H40" s="15" t="s">
        <v>304</v>
      </c>
      <c r="I40" s="15" t="s">
        <v>114</v>
      </c>
      <c r="J40" s="15" t="s">
        <v>106</v>
      </c>
      <c r="K40" s="15" t="s">
        <v>122</v>
      </c>
      <c r="L40" s="15" t="s">
        <v>227</v>
      </c>
      <c r="M40" s="15">
        <v>5</v>
      </c>
      <c r="N40" s="15" t="s">
        <v>305</v>
      </c>
      <c r="O40" s="15">
        <v>0</v>
      </c>
      <c r="P40" s="15">
        <v>100</v>
      </c>
      <c r="Q40" s="15">
        <v>1</v>
      </c>
      <c r="R40" s="15" t="s">
        <v>34</v>
      </c>
      <c r="S40" s="15" t="s">
        <v>49</v>
      </c>
      <c r="T40" s="15" t="s">
        <v>50</v>
      </c>
      <c r="U40" s="17" t="s">
        <v>306</v>
      </c>
      <c r="V40" s="15" t="s">
        <v>69</v>
      </c>
      <c r="W40" s="24" t="str">
        <f t="shared" si="0"/>
        <v>Blacklisted</v>
      </c>
    </row>
    <row r="41" spans="1:23">
      <c r="A41" s="18" t="s">
        <v>307</v>
      </c>
      <c r="B41" s="18" t="s">
        <v>53</v>
      </c>
      <c r="C41" s="18" t="s">
        <v>169</v>
      </c>
      <c r="D41" s="18" t="s">
        <v>308</v>
      </c>
      <c r="E41" s="18" t="s">
        <v>309</v>
      </c>
      <c r="F41" s="18" t="s">
        <v>163</v>
      </c>
      <c r="G41" s="18" t="s">
        <v>28</v>
      </c>
      <c r="H41" s="18" t="s">
        <v>310</v>
      </c>
      <c r="I41" s="18" t="s">
        <v>105</v>
      </c>
      <c r="J41" s="18" t="s">
        <v>106</v>
      </c>
      <c r="K41" s="18" t="s">
        <v>32</v>
      </c>
      <c r="L41" s="18" t="s">
        <v>174</v>
      </c>
      <c r="M41" s="18">
        <v>20</v>
      </c>
      <c r="N41" s="18">
        <v>8500</v>
      </c>
      <c r="O41" s="18">
        <v>0</v>
      </c>
      <c r="P41" s="18">
        <v>170000</v>
      </c>
      <c r="Q41" s="18">
        <v>1</v>
      </c>
      <c r="R41" s="18" t="s">
        <v>88</v>
      </c>
      <c r="S41" s="18" t="s">
        <v>115</v>
      </c>
      <c r="T41" s="18" t="s">
        <v>62</v>
      </c>
      <c r="U41" s="19" t="s">
        <v>311</v>
      </c>
      <c r="V41" s="18" t="s">
        <v>69</v>
      </c>
      <c r="W41" s="24" t="str">
        <f t="shared" si="0"/>
        <v>Blacklisted</v>
      </c>
    </row>
    <row r="42" spans="1:23">
      <c r="A42" s="15" t="s">
        <v>312</v>
      </c>
      <c r="B42" s="15" t="s">
        <v>83</v>
      </c>
      <c r="C42" s="15" t="s">
        <v>118</v>
      </c>
      <c r="D42" s="15" t="s">
        <v>313</v>
      </c>
      <c r="E42" s="15" t="s">
        <v>314</v>
      </c>
      <c r="F42" s="15" t="s">
        <v>180</v>
      </c>
      <c r="G42" s="15" t="s">
        <v>76</v>
      </c>
      <c r="H42" s="15" t="s">
        <v>315</v>
      </c>
      <c r="I42" s="15" t="s">
        <v>59</v>
      </c>
      <c r="J42" s="15" t="s">
        <v>31</v>
      </c>
      <c r="K42" s="15" t="s">
        <v>122</v>
      </c>
      <c r="L42" s="15" t="s">
        <v>123</v>
      </c>
      <c r="M42" s="15">
        <v>8</v>
      </c>
      <c r="N42" s="15">
        <v>60</v>
      </c>
      <c r="O42" s="15">
        <v>15</v>
      </c>
      <c r="P42" s="15">
        <v>408</v>
      </c>
      <c r="Q42" s="15">
        <v>5</v>
      </c>
      <c r="R42" s="15" t="s">
        <v>88</v>
      </c>
      <c r="S42" s="15" t="s">
        <v>49</v>
      </c>
      <c r="T42" s="15" t="s">
        <v>89</v>
      </c>
      <c r="U42" s="17" t="s">
        <v>316</v>
      </c>
      <c r="V42" s="15" t="s">
        <v>64</v>
      </c>
      <c r="W42" s="24" t="str">
        <f t="shared" si="0"/>
        <v>Blacklisted</v>
      </c>
    </row>
    <row r="43" spans="1:23">
      <c r="A43" s="18" t="s">
        <v>317</v>
      </c>
      <c r="B43" s="18" t="s">
        <v>53</v>
      </c>
      <c r="C43" s="18" t="s">
        <v>92</v>
      </c>
      <c r="D43" s="18" t="s">
        <v>318</v>
      </c>
      <c r="E43" s="18" t="s">
        <v>260</v>
      </c>
      <c r="F43" s="18" t="s">
        <v>163</v>
      </c>
      <c r="G43" s="18" t="s">
        <v>28</v>
      </c>
      <c r="H43" s="18" t="s">
        <v>319</v>
      </c>
      <c r="I43" s="18" t="s">
        <v>114</v>
      </c>
      <c r="J43" s="18" t="s">
        <v>106</v>
      </c>
      <c r="K43" s="18" t="s">
        <v>32</v>
      </c>
      <c r="L43" s="18" t="s">
        <v>97</v>
      </c>
      <c r="M43" s="18">
        <v>8</v>
      </c>
      <c r="N43" s="18">
        <v>3500</v>
      </c>
      <c r="O43" s="18">
        <v>5</v>
      </c>
      <c r="P43" s="18">
        <v>26600</v>
      </c>
      <c r="Q43" s="18">
        <v>1</v>
      </c>
      <c r="R43" s="18" t="s">
        <v>79</v>
      </c>
      <c r="S43" s="18" t="s">
        <v>115</v>
      </c>
      <c r="T43" s="18" t="s">
        <v>62</v>
      </c>
      <c r="U43" s="19" t="s">
        <v>320</v>
      </c>
      <c r="V43" s="18" t="s">
        <v>64</v>
      </c>
      <c r="W43" s="24" t="str">
        <f t="shared" si="0"/>
        <v>Blacklisted</v>
      </c>
    </row>
    <row r="44" spans="1:23">
      <c r="A44" s="15" t="s">
        <v>321</v>
      </c>
      <c r="B44" s="15" t="s">
        <v>71</v>
      </c>
      <c r="C44" s="15" t="s">
        <v>169</v>
      </c>
      <c r="D44" s="15" t="s">
        <v>322</v>
      </c>
      <c r="E44" s="15" t="s">
        <v>323</v>
      </c>
      <c r="F44" s="15" t="s">
        <v>217</v>
      </c>
      <c r="G44" s="15" t="s">
        <v>76</v>
      </c>
      <c r="H44" s="15" t="s">
        <v>324</v>
      </c>
      <c r="I44" s="15" t="s">
        <v>212</v>
      </c>
      <c r="J44" s="15" t="s">
        <v>45</v>
      </c>
      <c r="K44" s="15" t="s">
        <v>32</v>
      </c>
      <c r="L44" s="15" t="s">
        <v>174</v>
      </c>
      <c r="M44" s="15">
        <v>1</v>
      </c>
      <c r="N44" s="15">
        <v>8500</v>
      </c>
      <c r="O44" s="15">
        <v>0</v>
      </c>
      <c r="P44" s="15">
        <v>8500</v>
      </c>
      <c r="Q44" s="15">
        <v>2</v>
      </c>
      <c r="R44" s="15" t="s">
        <v>79</v>
      </c>
      <c r="S44" s="15" t="s">
        <v>115</v>
      </c>
      <c r="T44" s="15" t="s">
        <v>80</v>
      </c>
      <c r="U44" s="17" t="s">
        <v>325</v>
      </c>
      <c r="V44" s="15" t="s">
        <v>64</v>
      </c>
      <c r="W44" s="24" t="str">
        <f t="shared" si="0"/>
        <v>Blacklisted</v>
      </c>
    </row>
    <row r="45" spans="1:23">
      <c r="A45" s="18" t="s">
        <v>326</v>
      </c>
      <c r="B45" s="18" t="s">
        <v>327</v>
      </c>
      <c r="C45" s="18" t="s">
        <v>259</v>
      </c>
      <c r="D45" s="18" t="s">
        <v>328</v>
      </c>
      <c r="E45" s="18" t="s">
        <v>329</v>
      </c>
      <c r="F45" s="18" t="s">
        <v>330</v>
      </c>
      <c r="G45" s="18" t="s">
        <v>76</v>
      </c>
      <c r="H45" s="18" t="s">
        <v>331</v>
      </c>
      <c r="I45" s="18" t="s">
        <v>114</v>
      </c>
      <c r="J45" s="18" t="s">
        <v>106</v>
      </c>
      <c r="K45" s="18" t="s">
        <v>122</v>
      </c>
      <c r="L45" s="18" t="s">
        <v>263</v>
      </c>
      <c r="M45" s="18">
        <v>8</v>
      </c>
      <c r="N45" s="18">
        <v>45</v>
      </c>
      <c r="O45" s="18">
        <v>15</v>
      </c>
      <c r="P45" s="18">
        <v>306</v>
      </c>
      <c r="Q45" s="18">
        <v>2</v>
      </c>
      <c r="R45" s="18" t="s">
        <v>79</v>
      </c>
      <c r="S45" s="18" t="s">
        <v>61</v>
      </c>
      <c r="T45" s="18" t="s">
        <v>332</v>
      </c>
      <c r="U45" s="19" t="s">
        <v>333</v>
      </c>
      <c r="V45" s="18" t="s">
        <v>38</v>
      </c>
      <c r="W45" s="24" t="str">
        <f t="shared" si="0"/>
        <v>Blacklisted</v>
      </c>
    </row>
    <row r="46" spans="1:23">
      <c r="A46" s="15" t="s">
        <v>334</v>
      </c>
      <c r="B46" s="15" t="s">
        <v>251</v>
      </c>
      <c r="C46" s="15" t="s">
        <v>24</v>
      </c>
      <c r="D46" s="15" t="s">
        <v>335</v>
      </c>
      <c r="E46" s="15" t="s">
        <v>336</v>
      </c>
      <c r="F46" s="15" t="s">
        <v>254</v>
      </c>
      <c r="G46" s="15" t="s">
        <v>28</v>
      </c>
      <c r="H46" s="15" t="s">
        <v>337</v>
      </c>
      <c r="I46" s="15" t="s">
        <v>114</v>
      </c>
      <c r="J46" s="15" t="s">
        <v>106</v>
      </c>
      <c r="K46" s="15" t="s">
        <v>32</v>
      </c>
      <c r="L46" s="15" t="s">
        <v>33</v>
      </c>
      <c r="M46" s="15">
        <v>16</v>
      </c>
      <c r="N46" s="15">
        <v>2200</v>
      </c>
      <c r="O46" s="15">
        <v>5</v>
      </c>
      <c r="P46" s="15">
        <v>33440</v>
      </c>
      <c r="Q46" s="15">
        <v>5</v>
      </c>
      <c r="R46" s="15" t="s">
        <v>79</v>
      </c>
      <c r="S46" s="15" t="s">
        <v>61</v>
      </c>
      <c r="T46" s="15" t="s">
        <v>256</v>
      </c>
      <c r="U46" s="17" t="s">
        <v>338</v>
      </c>
      <c r="V46" s="15" t="s">
        <v>69</v>
      </c>
      <c r="W46" s="24" t="str">
        <f t="shared" si="0"/>
        <v>Blacklisted</v>
      </c>
    </row>
    <row r="47" spans="1:23">
      <c r="A47" s="18" t="s">
        <v>339</v>
      </c>
      <c r="B47" s="18" t="s">
        <v>71</v>
      </c>
      <c r="C47" s="18" t="s">
        <v>92</v>
      </c>
      <c r="D47" s="18" t="s">
        <v>340</v>
      </c>
      <c r="E47" s="18" t="s">
        <v>341</v>
      </c>
      <c r="F47" s="18" t="s">
        <v>217</v>
      </c>
      <c r="G47" s="18" t="s">
        <v>76</v>
      </c>
      <c r="H47" s="18" t="s">
        <v>342</v>
      </c>
      <c r="I47" s="18" t="s">
        <v>59</v>
      </c>
      <c r="J47" s="18" t="s">
        <v>31</v>
      </c>
      <c r="K47" s="18" t="s">
        <v>32</v>
      </c>
      <c r="L47" s="18" t="s">
        <v>97</v>
      </c>
      <c r="M47" s="18">
        <v>19</v>
      </c>
      <c r="N47" s="18">
        <v>3500</v>
      </c>
      <c r="O47" s="18">
        <v>20</v>
      </c>
      <c r="P47" s="18">
        <v>53200</v>
      </c>
      <c r="Q47" s="18">
        <v>3</v>
      </c>
      <c r="R47" s="18" t="s">
        <v>34</v>
      </c>
      <c r="S47" s="18" t="s">
        <v>151</v>
      </c>
      <c r="T47" s="18" t="s">
        <v>80</v>
      </c>
      <c r="U47" s="19" t="s">
        <v>343</v>
      </c>
      <c r="V47" s="18" t="s">
        <v>69</v>
      </c>
      <c r="W47" s="24" t="str">
        <f t="shared" si="0"/>
        <v>Blacklisted</v>
      </c>
    </row>
    <row r="48" spans="1:23">
      <c r="A48" s="15" t="s">
        <v>344</v>
      </c>
      <c r="B48" s="15" t="s">
        <v>251</v>
      </c>
      <c r="C48" s="15" t="s">
        <v>184</v>
      </c>
      <c r="D48" s="15" t="s">
        <v>345</v>
      </c>
      <c r="E48" s="15" t="s">
        <v>346</v>
      </c>
      <c r="F48" s="15" t="s">
        <v>254</v>
      </c>
      <c r="G48" s="15" t="s">
        <v>28</v>
      </c>
      <c r="H48" s="15" t="s">
        <v>347</v>
      </c>
      <c r="I48" s="15" t="s">
        <v>114</v>
      </c>
      <c r="J48" s="15" t="s">
        <v>106</v>
      </c>
      <c r="K48" s="15" t="s">
        <v>46</v>
      </c>
      <c r="L48" s="15" t="s">
        <v>189</v>
      </c>
      <c r="M48" s="15">
        <v>15</v>
      </c>
      <c r="N48" s="15">
        <v>700</v>
      </c>
      <c r="O48" s="15">
        <v>15</v>
      </c>
      <c r="P48" s="15">
        <v>8925</v>
      </c>
      <c r="Q48" s="15">
        <v>4</v>
      </c>
      <c r="R48" s="15" t="s">
        <v>88</v>
      </c>
      <c r="S48" s="15" t="s">
        <v>115</v>
      </c>
      <c r="T48" s="15" t="s">
        <v>348</v>
      </c>
      <c r="U48" s="17" t="s">
        <v>349</v>
      </c>
      <c r="V48" s="15" t="s">
        <v>38</v>
      </c>
      <c r="W48" s="24" t="str">
        <f t="shared" si="0"/>
        <v>Silver</v>
      </c>
    </row>
    <row r="49" spans="1:23">
      <c r="A49" s="18" t="s">
        <v>350</v>
      </c>
      <c r="B49" s="18" t="s">
        <v>251</v>
      </c>
      <c r="C49" s="18" t="s">
        <v>184</v>
      </c>
      <c r="D49" s="18" t="s">
        <v>351</v>
      </c>
      <c r="E49" s="18" t="s">
        <v>352</v>
      </c>
      <c r="F49" s="18" t="s">
        <v>254</v>
      </c>
      <c r="G49" s="18" t="s">
        <v>28</v>
      </c>
      <c r="H49" s="18" t="s">
        <v>353</v>
      </c>
      <c r="I49" s="18" t="s">
        <v>212</v>
      </c>
      <c r="J49" s="18" t="s">
        <v>45</v>
      </c>
      <c r="K49" s="18" t="s">
        <v>46</v>
      </c>
      <c r="L49" s="18" t="s">
        <v>189</v>
      </c>
      <c r="M49" s="18">
        <v>19</v>
      </c>
      <c r="N49" s="18">
        <v>700</v>
      </c>
      <c r="O49" s="18">
        <v>20</v>
      </c>
      <c r="P49" s="18">
        <v>10640</v>
      </c>
      <c r="Q49" s="18">
        <v>1</v>
      </c>
      <c r="R49" s="18" t="s">
        <v>34</v>
      </c>
      <c r="S49" s="18" t="s">
        <v>115</v>
      </c>
      <c r="T49" s="18" t="s">
        <v>256</v>
      </c>
      <c r="U49" s="19" t="s">
        <v>354</v>
      </c>
      <c r="V49" s="18" t="s">
        <v>38</v>
      </c>
      <c r="W49" s="24" t="str">
        <f t="shared" si="0"/>
        <v>Blacklisted</v>
      </c>
    </row>
    <row r="50" spans="1:23">
      <c r="A50" s="15" t="s">
        <v>355</v>
      </c>
      <c r="B50" s="15" t="s">
        <v>71</v>
      </c>
      <c r="C50" s="15" t="s">
        <v>40</v>
      </c>
      <c r="D50" s="15" t="s">
        <v>356</v>
      </c>
      <c r="E50" s="15"/>
      <c r="F50" s="15" t="s">
        <v>217</v>
      </c>
      <c r="G50" s="15" t="s">
        <v>76</v>
      </c>
      <c r="H50" s="15" t="s">
        <v>357</v>
      </c>
      <c r="I50" s="15" t="s">
        <v>44</v>
      </c>
      <c r="J50" s="15" t="s">
        <v>45</v>
      </c>
      <c r="K50" s="15" t="s">
        <v>46</v>
      </c>
      <c r="L50" s="15" t="s">
        <v>47</v>
      </c>
      <c r="M50" s="15">
        <v>19</v>
      </c>
      <c r="N50" s="15">
        <v>12000</v>
      </c>
      <c r="O50" s="15">
        <v>0</v>
      </c>
      <c r="P50" s="15">
        <v>228000</v>
      </c>
      <c r="Q50" s="15">
        <v>1</v>
      </c>
      <c r="R50" s="15" t="s">
        <v>48</v>
      </c>
      <c r="S50" s="15" t="s">
        <v>61</v>
      </c>
      <c r="T50" s="15" t="s">
        <v>80</v>
      </c>
      <c r="U50" s="17" t="s">
        <v>358</v>
      </c>
      <c r="V50" s="15" t="s">
        <v>38</v>
      </c>
      <c r="W50" s="24" t="str">
        <f t="shared" si="0"/>
        <v>Blacklisted</v>
      </c>
    </row>
    <row r="51" spans="1:23">
      <c r="A51" s="18" t="s">
        <v>359</v>
      </c>
      <c r="B51" s="18" t="s">
        <v>168</v>
      </c>
      <c r="C51" s="18" t="s">
        <v>72</v>
      </c>
      <c r="D51" s="18" t="s">
        <v>356</v>
      </c>
      <c r="E51" s="18" t="s">
        <v>360</v>
      </c>
      <c r="F51" s="18" t="s">
        <v>361</v>
      </c>
      <c r="G51" s="18" t="s">
        <v>28</v>
      </c>
      <c r="H51" s="18" t="s">
        <v>362</v>
      </c>
      <c r="I51" s="18" t="s">
        <v>114</v>
      </c>
      <c r="J51" s="18" t="s">
        <v>106</v>
      </c>
      <c r="K51" s="18" t="s">
        <v>46</v>
      </c>
      <c r="L51" s="18" t="s">
        <v>78</v>
      </c>
      <c r="M51" s="18">
        <v>6</v>
      </c>
      <c r="N51" s="18">
        <v>1200</v>
      </c>
      <c r="O51" s="18">
        <v>5</v>
      </c>
      <c r="P51" s="18">
        <v>6840</v>
      </c>
      <c r="Q51" s="18">
        <v>2</v>
      </c>
      <c r="R51" s="18" t="s">
        <v>34</v>
      </c>
      <c r="S51" s="18" t="s">
        <v>35</v>
      </c>
      <c r="T51" s="18" t="s">
        <v>175</v>
      </c>
      <c r="U51" s="19" t="s">
        <v>363</v>
      </c>
      <c r="V51" s="18" t="s">
        <v>64</v>
      </c>
      <c r="W51" s="24" t="str">
        <f t="shared" si="0"/>
        <v>Blacklisted</v>
      </c>
    </row>
    <row r="52" spans="1:23">
      <c r="A52" s="15" t="s">
        <v>364</v>
      </c>
      <c r="B52" s="15" t="s">
        <v>53</v>
      </c>
      <c r="C52" s="15" t="s">
        <v>24</v>
      </c>
      <c r="D52" s="15" t="s">
        <v>365</v>
      </c>
      <c r="E52" s="15" t="s">
        <v>366</v>
      </c>
      <c r="F52" s="15" t="s">
        <v>367</v>
      </c>
      <c r="G52" s="15" t="s">
        <v>28</v>
      </c>
      <c r="H52" s="15" t="s">
        <v>368</v>
      </c>
      <c r="I52" s="15" t="s">
        <v>59</v>
      </c>
      <c r="J52" s="15" t="s">
        <v>31</v>
      </c>
      <c r="K52" s="15" t="s">
        <v>32</v>
      </c>
      <c r="L52" s="15" t="s">
        <v>33</v>
      </c>
      <c r="M52" s="15">
        <v>7</v>
      </c>
      <c r="N52" s="15">
        <v>2200</v>
      </c>
      <c r="O52" s="15">
        <v>15</v>
      </c>
      <c r="P52" s="15">
        <v>13090</v>
      </c>
      <c r="Q52" s="15">
        <v>1</v>
      </c>
      <c r="R52" s="15" t="s">
        <v>88</v>
      </c>
      <c r="S52" s="15" t="s">
        <v>61</v>
      </c>
      <c r="T52" s="15" t="s">
        <v>62</v>
      </c>
      <c r="U52" s="17" t="s">
        <v>369</v>
      </c>
      <c r="V52" s="15" t="s">
        <v>38</v>
      </c>
      <c r="W52" s="24" t="str">
        <f t="shared" si="0"/>
        <v>Blacklisted</v>
      </c>
    </row>
    <row r="53" spans="1:23">
      <c r="A53" s="18" t="s">
        <v>370</v>
      </c>
      <c r="B53" s="18" t="s">
        <v>100</v>
      </c>
      <c r="C53" s="18" t="s">
        <v>118</v>
      </c>
      <c r="D53" s="18" t="s">
        <v>371</v>
      </c>
      <c r="E53" s="18" t="s">
        <v>372</v>
      </c>
      <c r="F53" s="18" t="s">
        <v>103</v>
      </c>
      <c r="G53" s="18" t="s">
        <v>28</v>
      </c>
      <c r="H53" s="18" t="s">
        <v>373</v>
      </c>
      <c r="I53" s="18" t="s">
        <v>212</v>
      </c>
      <c r="J53" s="18" t="s">
        <v>45</v>
      </c>
      <c r="K53" s="18" t="s">
        <v>122</v>
      </c>
      <c r="L53" s="18" t="s">
        <v>123</v>
      </c>
      <c r="M53" s="18">
        <v>8</v>
      </c>
      <c r="N53" s="18">
        <v>60</v>
      </c>
      <c r="O53" s="18">
        <v>10</v>
      </c>
      <c r="P53" s="18">
        <v>432</v>
      </c>
      <c r="Q53" s="18">
        <v>5</v>
      </c>
      <c r="R53" s="18" t="s">
        <v>79</v>
      </c>
      <c r="S53" s="18" t="s">
        <v>61</v>
      </c>
      <c r="T53" s="18" t="s">
        <v>144</v>
      </c>
      <c r="U53" s="19" t="s">
        <v>374</v>
      </c>
      <c r="V53" s="18" t="s">
        <v>69</v>
      </c>
      <c r="W53" s="24" t="str">
        <f t="shared" si="0"/>
        <v>Blacklisted</v>
      </c>
    </row>
    <row r="54" spans="1:23">
      <c r="A54" s="15" t="s">
        <v>375</v>
      </c>
      <c r="B54" s="15" t="s">
        <v>221</v>
      </c>
      <c r="C54" s="15" t="s">
        <v>54</v>
      </c>
      <c r="D54" s="15" t="s">
        <v>376</v>
      </c>
      <c r="E54" s="15" t="s">
        <v>377</v>
      </c>
      <c r="F54" s="15" t="s">
        <v>225</v>
      </c>
      <c r="G54" s="15" t="s">
        <v>76</v>
      </c>
      <c r="H54" s="15" t="s">
        <v>378</v>
      </c>
      <c r="I54" s="15" t="s">
        <v>294</v>
      </c>
      <c r="J54" s="15" t="s">
        <v>295</v>
      </c>
      <c r="K54" s="15" t="s">
        <v>46</v>
      </c>
      <c r="L54" s="15" t="s">
        <v>60</v>
      </c>
      <c r="M54" s="15">
        <v>12</v>
      </c>
      <c r="N54" s="15">
        <v>55000</v>
      </c>
      <c r="O54" s="15">
        <v>5</v>
      </c>
      <c r="P54" s="15">
        <v>627000</v>
      </c>
      <c r="Q54" s="15">
        <v>2</v>
      </c>
      <c r="R54" s="15" t="s">
        <v>88</v>
      </c>
      <c r="S54" s="15" t="s">
        <v>49</v>
      </c>
      <c r="T54" s="15" t="s">
        <v>228</v>
      </c>
      <c r="U54" s="17" t="s">
        <v>379</v>
      </c>
      <c r="V54" s="15" t="s">
        <v>64</v>
      </c>
      <c r="W54" s="24" t="str">
        <f t="shared" si="0"/>
        <v>Blacklisted</v>
      </c>
    </row>
    <row r="55" spans="1:23">
      <c r="A55" s="18" t="s">
        <v>380</v>
      </c>
      <c r="B55" s="18" t="s">
        <v>23</v>
      </c>
      <c r="C55" s="18" t="s">
        <v>184</v>
      </c>
      <c r="D55" s="18" t="s">
        <v>381</v>
      </c>
      <c r="E55" s="18" t="s">
        <v>382</v>
      </c>
      <c r="F55" s="18" t="s">
        <v>27</v>
      </c>
      <c r="G55" s="18" t="s">
        <v>28</v>
      </c>
      <c r="H55" s="18" t="s">
        <v>383</v>
      </c>
      <c r="I55" s="18" t="s">
        <v>212</v>
      </c>
      <c r="J55" s="18" t="s">
        <v>45</v>
      </c>
      <c r="K55" s="18" t="s">
        <v>46</v>
      </c>
      <c r="L55" s="18" t="s">
        <v>189</v>
      </c>
      <c r="M55" s="18">
        <v>3</v>
      </c>
      <c r="N55" s="18">
        <v>700</v>
      </c>
      <c r="O55" s="18">
        <v>0</v>
      </c>
      <c r="P55" s="18">
        <v>2100</v>
      </c>
      <c r="Q55" s="18">
        <v>3</v>
      </c>
      <c r="R55" s="18" t="s">
        <v>79</v>
      </c>
      <c r="S55" s="18" t="s">
        <v>151</v>
      </c>
      <c r="T55" s="18" t="s">
        <v>50</v>
      </c>
      <c r="U55" s="19" t="s">
        <v>384</v>
      </c>
      <c r="V55" s="18" t="s">
        <v>69</v>
      </c>
      <c r="W55" s="24" t="str">
        <f t="shared" si="0"/>
        <v>Blacklisted</v>
      </c>
    </row>
    <row r="56" spans="1:23">
      <c r="A56" s="15" t="s">
        <v>385</v>
      </c>
      <c r="B56" s="15" t="s">
        <v>127</v>
      </c>
      <c r="C56" s="15" t="s">
        <v>118</v>
      </c>
      <c r="D56" s="15" t="s">
        <v>386</v>
      </c>
      <c r="E56" s="15" t="s">
        <v>387</v>
      </c>
      <c r="F56" s="15" t="s">
        <v>388</v>
      </c>
      <c r="G56" s="15" t="s">
        <v>76</v>
      </c>
      <c r="H56" s="15" t="s">
        <v>389</v>
      </c>
      <c r="I56" s="15" t="s">
        <v>138</v>
      </c>
      <c r="J56" s="15" t="s">
        <v>106</v>
      </c>
      <c r="K56" s="15" t="s">
        <v>122</v>
      </c>
      <c r="L56" s="15" t="s">
        <v>123</v>
      </c>
      <c r="M56" s="15">
        <v>19</v>
      </c>
      <c r="N56" s="15">
        <v>60</v>
      </c>
      <c r="O56" s="15">
        <v>15</v>
      </c>
      <c r="P56" s="15">
        <v>969</v>
      </c>
      <c r="Q56" s="15">
        <v>4</v>
      </c>
      <c r="R56" s="15" t="s">
        <v>79</v>
      </c>
      <c r="S56" s="15" t="s">
        <v>49</v>
      </c>
      <c r="T56" s="15" t="s">
        <v>132</v>
      </c>
      <c r="U56" s="17" t="s">
        <v>390</v>
      </c>
      <c r="V56" s="15" t="s">
        <v>69</v>
      </c>
      <c r="W56" s="24" t="str">
        <f t="shared" si="0"/>
        <v>Blacklisted</v>
      </c>
    </row>
    <row r="57" spans="1:23">
      <c r="A57" s="18" t="s">
        <v>391</v>
      </c>
      <c r="B57" s="18" t="s">
        <v>327</v>
      </c>
      <c r="C57" s="18" t="s">
        <v>118</v>
      </c>
      <c r="D57" s="18" t="s">
        <v>392</v>
      </c>
      <c r="E57" s="18" t="s">
        <v>393</v>
      </c>
      <c r="F57" s="18" t="s">
        <v>394</v>
      </c>
      <c r="G57" s="18" t="s">
        <v>76</v>
      </c>
      <c r="H57" s="18" t="s">
        <v>395</v>
      </c>
      <c r="I57" s="18" t="s">
        <v>212</v>
      </c>
      <c r="J57" s="18" t="s">
        <v>45</v>
      </c>
      <c r="K57" s="18" t="s">
        <v>122</v>
      </c>
      <c r="L57" s="18" t="s">
        <v>123</v>
      </c>
      <c r="M57" s="18">
        <v>9</v>
      </c>
      <c r="N57" s="18">
        <v>60</v>
      </c>
      <c r="O57" s="18">
        <v>20</v>
      </c>
      <c r="P57" s="18">
        <v>432</v>
      </c>
      <c r="Q57" s="18">
        <v>1</v>
      </c>
      <c r="R57" s="18" t="s">
        <v>48</v>
      </c>
      <c r="S57" s="18" t="s">
        <v>115</v>
      </c>
      <c r="T57" s="18" t="s">
        <v>332</v>
      </c>
      <c r="U57" s="19" t="s">
        <v>396</v>
      </c>
      <c r="V57" s="18" t="s">
        <v>64</v>
      </c>
      <c r="W57" s="24" t="str">
        <f t="shared" si="0"/>
        <v>Blacklisted</v>
      </c>
    </row>
    <row r="58" spans="1:23">
      <c r="A58" s="15" t="s">
        <v>397</v>
      </c>
      <c r="B58" s="15" t="s">
        <v>327</v>
      </c>
      <c r="C58" s="15" t="s">
        <v>184</v>
      </c>
      <c r="D58" s="15" t="s">
        <v>398</v>
      </c>
      <c r="E58" s="15" t="s">
        <v>399</v>
      </c>
      <c r="F58" s="15" t="s">
        <v>394</v>
      </c>
      <c r="G58" s="15" t="s">
        <v>76</v>
      </c>
      <c r="H58" s="15" t="s">
        <v>400</v>
      </c>
      <c r="I58" s="15" t="s">
        <v>59</v>
      </c>
      <c r="J58" s="15" t="s">
        <v>31</v>
      </c>
      <c r="K58" s="15" t="s">
        <v>46</v>
      </c>
      <c r="L58" s="15" t="s">
        <v>189</v>
      </c>
      <c r="M58" s="15">
        <v>6</v>
      </c>
      <c r="N58" s="15">
        <v>700</v>
      </c>
      <c r="O58" s="15">
        <v>0</v>
      </c>
      <c r="P58" s="15">
        <v>4200</v>
      </c>
      <c r="Q58" s="15">
        <v>4</v>
      </c>
      <c r="R58" s="15" t="s">
        <v>88</v>
      </c>
      <c r="S58" s="15" t="s">
        <v>49</v>
      </c>
      <c r="T58" s="15" t="s">
        <v>401</v>
      </c>
      <c r="U58" s="17" t="s">
        <v>402</v>
      </c>
      <c r="V58" s="15" t="s">
        <v>69</v>
      </c>
      <c r="W58" s="24" t="str">
        <f t="shared" si="0"/>
        <v>Blacklisted</v>
      </c>
    </row>
    <row r="59" spans="1:23">
      <c r="A59" s="18" t="s">
        <v>403</v>
      </c>
      <c r="B59" s="18" t="s">
        <v>127</v>
      </c>
      <c r="C59" s="18" t="s">
        <v>259</v>
      </c>
      <c r="D59" s="18" t="s">
        <v>241</v>
      </c>
      <c r="E59" s="18" t="s">
        <v>404</v>
      </c>
      <c r="F59" s="18" t="s">
        <v>200</v>
      </c>
      <c r="G59" s="18" t="s">
        <v>76</v>
      </c>
      <c r="H59" s="18" t="s">
        <v>405</v>
      </c>
      <c r="I59" s="18" t="s">
        <v>44</v>
      </c>
      <c r="J59" s="18" t="s">
        <v>45</v>
      </c>
      <c r="K59" s="18" t="s">
        <v>122</v>
      </c>
      <c r="L59" s="18" t="s">
        <v>263</v>
      </c>
      <c r="M59" s="18">
        <v>18</v>
      </c>
      <c r="N59" s="18">
        <v>45</v>
      </c>
      <c r="O59" s="18">
        <v>5</v>
      </c>
      <c r="P59" s="18">
        <v>769.5</v>
      </c>
      <c r="Q59" s="18">
        <v>1</v>
      </c>
      <c r="R59" s="18" t="s">
        <v>79</v>
      </c>
      <c r="S59" s="18" t="s">
        <v>61</v>
      </c>
      <c r="T59" s="18" t="s">
        <v>132</v>
      </c>
      <c r="U59" s="19" t="s">
        <v>406</v>
      </c>
      <c r="V59" s="18" t="s">
        <v>64</v>
      </c>
      <c r="W59" s="24" t="str">
        <f t="shared" si="0"/>
        <v>Blacklisted</v>
      </c>
    </row>
    <row r="60" spans="1:23">
      <c r="A60" s="15" t="s">
        <v>407</v>
      </c>
      <c r="B60" s="15" t="s">
        <v>83</v>
      </c>
      <c r="C60" s="15" t="s">
        <v>222</v>
      </c>
      <c r="D60" s="15" t="s">
        <v>408</v>
      </c>
      <c r="E60" s="15" t="s">
        <v>261</v>
      </c>
      <c r="F60" s="15" t="s">
        <v>180</v>
      </c>
      <c r="G60" s="15" t="s">
        <v>76</v>
      </c>
      <c r="H60" s="15" t="s">
        <v>409</v>
      </c>
      <c r="I60" s="15" t="s">
        <v>212</v>
      </c>
      <c r="J60" s="15" t="s">
        <v>45</v>
      </c>
      <c r="K60" s="15" t="s">
        <v>122</v>
      </c>
      <c r="L60" s="15" t="s">
        <v>227</v>
      </c>
      <c r="M60" s="15">
        <v>8</v>
      </c>
      <c r="N60" s="15">
        <v>20</v>
      </c>
      <c r="O60" s="15">
        <v>5</v>
      </c>
      <c r="P60" s="15">
        <v>152</v>
      </c>
      <c r="Q60" s="15">
        <v>1</v>
      </c>
      <c r="R60" s="15" t="s">
        <v>79</v>
      </c>
      <c r="S60" s="15" t="s">
        <v>35</v>
      </c>
      <c r="T60" s="15" t="s">
        <v>89</v>
      </c>
      <c r="U60" s="17" t="s">
        <v>410</v>
      </c>
      <c r="V60" s="15" t="s">
        <v>411</v>
      </c>
      <c r="W60" s="24" t="str">
        <f t="shared" si="0"/>
        <v>Blacklisted</v>
      </c>
    </row>
    <row r="61" spans="1:23">
      <c r="A61" s="18" t="s">
        <v>412</v>
      </c>
      <c r="B61" s="18" t="s">
        <v>221</v>
      </c>
      <c r="C61" s="18" t="s">
        <v>184</v>
      </c>
      <c r="D61" s="18" t="s">
        <v>413</v>
      </c>
      <c r="E61" s="18" t="s">
        <v>414</v>
      </c>
      <c r="F61" s="18" t="s">
        <v>225</v>
      </c>
      <c r="G61" s="18" t="s">
        <v>76</v>
      </c>
      <c r="H61" s="18" t="s">
        <v>415</v>
      </c>
      <c r="I61" s="18" t="s">
        <v>212</v>
      </c>
      <c r="J61" s="18" t="s">
        <v>45</v>
      </c>
      <c r="K61" s="18" t="s">
        <v>46</v>
      </c>
      <c r="L61" s="18" t="s">
        <v>189</v>
      </c>
      <c r="M61" s="18">
        <v>8</v>
      </c>
      <c r="N61" s="18">
        <v>700</v>
      </c>
      <c r="O61" s="18">
        <v>10</v>
      </c>
      <c r="P61" s="18">
        <v>5040</v>
      </c>
      <c r="Q61" s="18">
        <v>1</v>
      </c>
      <c r="R61" s="18" t="s">
        <v>48</v>
      </c>
      <c r="S61" s="18" t="s">
        <v>61</v>
      </c>
      <c r="T61" s="20" t="s">
        <v>416</v>
      </c>
      <c r="U61" s="19" t="s">
        <v>417</v>
      </c>
      <c r="V61" s="18" t="s">
        <v>69</v>
      </c>
      <c r="W61" s="24" t="str">
        <f t="shared" si="0"/>
        <v>Blacklisted</v>
      </c>
    </row>
    <row r="62" spans="1:23">
      <c r="A62" s="15" t="s">
        <v>418</v>
      </c>
      <c r="B62" s="15" t="s">
        <v>23</v>
      </c>
      <c r="C62" s="15" t="s">
        <v>222</v>
      </c>
      <c r="D62" s="15" t="s">
        <v>223</v>
      </c>
      <c r="E62" s="15" t="s">
        <v>356</v>
      </c>
      <c r="F62" s="15" t="s">
        <v>27</v>
      </c>
      <c r="G62" s="15" t="s">
        <v>28</v>
      </c>
      <c r="H62" s="15" t="s">
        <v>419</v>
      </c>
      <c r="I62" s="15" t="s">
        <v>44</v>
      </c>
      <c r="J62" s="15" t="s">
        <v>45</v>
      </c>
      <c r="K62" s="15" t="s">
        <v>122</v>
      </c>
      <c r="L62" s="15" t="s">
        <v>227</v>
      </c>
      <c r="M62" s="15">
        <v>7</v>
      </c>
      <c r="N62" s="15">
        <v>20</v>
      </c>
      <c r="O62" s="15">
        <v>15</v>
      </c>
      <c r="P62" s="15">
        <v>119</v>
      </c>
      <c r="Q62" s="15">
        <v>5</v>
      </c>
      <c r="R62" s="15" t="s">
        <v>79</v>
      </c>
      <c r="S62" s="15" t="s">
        <v>49</v>
      </c>
      <c r="T62" s="15" t="s">
        <v>50</v>
      </c>
      <c r="U62" s="17" t="s">
        <v>420</v>
      </c>
      <c r="V62" s="15" t="s">
        <v>38</v>
      </c>
      <c r="W62" s="24" t="str">
        <f t="shared" si="0"/>
        <v>Silver</v>
      </c>
    </row>
    <row r="63" spans="1:23">
      <c r="A63" s="18" t="s">
        <v>421</v>
      </c>
      <c r="B63" s="18" t="s">
        <v>100</v>
      </c>
      <c r="C63" s="18" t="s">
        <v>222</v>
      </c>
      <c r="D63" s="18" t="s">
        <v>422</v>
      </c>
      <c r="E63" s="18" t="s">
        <v>371</v>
      </c>
      <c r="F63" s="18" t="s">
        <v>103</v>
      </c>
      <c r="G63" s="18" t="s">
        <v>28</v>
      </c>
      <c r="H63" s="18" t="s">
        <v>423</v>
      </c>
      <c r="I63" s="18" t="s">
        <v>114</v>
      </c>
      <c r="J63" s="18" t="s">
        <v>106</v>
      </c>
      <c r="K63" s="18" t="s">
        <v>122</v>
      </c>
      <c r="L63" s="18" t="s">
        <v>227</v>
      </c>
      <c r="M63" s="18">
        <v>16</v>
      </c>
      <c r="N63" s="18">
        <v>20</v>
      </c>
      <c r="O63" s="18">
        <v>0</v>
      </c>
      <c r="P63" s="18">
        <v>320</v>
      </c>
      <c r="Q63" s="18">
        <v>5</v>
      </c>
      <c r="R63" s="18" t="s">
        <v>48</v>
      </c>
      <c r="S63" s="18" t="s">
        <v>61</v>
      </c>
      <c r="T63" s="18" t="s">
        <v>144</v>
      </c>
      <c r="U63" s="19" t="s">
        <v>424</v>
      </c>
      <c r="V63" s="18" t="s">
        <v>64</v>
      </c>
      <c r="W63" s="24" t="str">
        <f t="shared" si="0"/>
        <v>Blacklisted</v>
      </c>
    </row>
    <row r="64" spans="1:23">
      <c r="A64" s="15" t="s">
        <v>425</v>
      </c>
      <c r="B64" s="15" t="s">
        <v>53</v>
      </c>
      <c r="C64" s="15" t="s">
        <v>259</v>
      </c>
      <c r="D64" s="15" t="s">
        <v>426</v>
      </c>
      <c r="E64" s="15" t="s">
        <v>427</v>
      </c>
      <c r="F64" s="15" t="s">
        <v>163</v>
      </c>
      <c r="G64" s="15" t="s">
        <v>28</v>
      </c>
      <c r="H64" s="15" t="s">
        <v>428</v>
      </c>
      <c r="I64" s="15" t="s">
        <v>105</v>
      </c>
      <c r="J64" s="15" t="s">
        <v>106</v>
      </c>
      <c r="K64" s="15" t="s">
        <v>122</v>
      </c>
      <c r="L64" s="15" t="s">
        <v>263</v>
      </c>
      <c r="M64" s="15">
        <v>15</v>
      </c>
      <c r="N64" s="15">
        <v>45</v>
      </c>
      <c r="O64" s="15">
        <v>0</v>
      </c>
      <c r="P64" s="15">
        <v>675</v>
      </c>
      <c r="Q64" s="15">
        <v>4</v>
      </c>
      <c r="R64" s="15" t="s">
        <v>34</v>
      </c>
      <c r="S64" s="15" t="s">
        <v>61</v>
      </c>
      <c r="T64" s="15" t="s">
        <v>62</v>
      </c>
      <c r="U64" s="17" t="s">
        <v>429</v>
      </c>
      <c r="V64" s="15" t="s">
        <v>69</v>
      </c>
      <c r="W64" s="24" t="str">
        <f t="shared" si="0"/>
        <v>Blacklisted</v>
      </c>
    </row>
    <row r="65" spans="1:23">
      <c r="A65" s="18" t="s">
        <v>430</v>
      </c>
      <c r="B65" s="18" t="s">
        <v>251</v>
      </c>
      <c r="C65" s="18" t="s">
        <v>184</v>
      </c>
      <c r="D65" s="18" t="s">
        <v>431</v>
      </c>
      <c r="E65" s="18" t="s">
        <v>413</v>
      </c>
      <c r="F65" s="18" t="s">
        <v>254</v>
      </c>
      <c r="G65" s="18" t="s">
        <v>28</v>
      </c>
      <c r="H65" s="18" t="s">
        <v>432</v>
      </c>
      <c r="I65" s="18" t="s">
        <v>138</v>
      </c>
      <c r="J65" s="18" t="s">
        <v>106</v>
      </c>
      <c r="K65" s="18" t="s">
        <v>46</v>
      </c>
      <c r="L65" s="18" t="s">
        <v>189</v>
      </c>
      <c r="M65" s="18">
        <v>15</v>
      </c>
      <c r="N65" s="18">
        <v>700</v>
      </c>
      <c r="O65" s="18">
        <v>10</v>
      </c>
      <c r="P65" s="18">
        <v>9450</v>
      </c>
      <c r="Q65" s="18">
        <v>3</v>
      </c>
      <c r="R65" s="18" t="s">
        <v>48</v>
      </c>
      <c r="S65" s="18" t="s">
        <v>151</v>
      </c>
      <c r="T65" s="18" t="s">
        <v>256</v>
      </c>
      <c r="U65" s="19" t="s">
        <v>433</v>
      </c>
      <c r="V65" s="18" t="s">
        <v>38</v>
      </c>
      <c r="W65" s="24" t="str">
        <f t="shared" si="0"/>
        <v>Silver</v>
      </c>
    </row>
    <row r="66" spans="1:23">
      <c r="A66" s="15" t="s">
        <v>434</v>
      </c>
      <c r="B66" s="15" t="s">
        <v>53</v>
      </c>
      <c r="C66" s="15" t="s">
        <v>259</v>
      </c>
      <c r="D66" s="15" t="s">
        <v>435</v>
      </c>
      <c r="E66" s="15" t="s">
        <v>436</v>
      </c>
      <c r="F66" s="15" t="s">
        <v>163</v>
      </c>
      <c r="G66" s="15" t="s">
        <v>28</v>
      </c>
      <c r="H66" s="15" t="s">
        <v>437</v>
      </c>
      <c r="I66" s="15" t="s">
        <v>294</v>
      </c>
      <c r="J66" s="15" t="s">
        <v>295</v>
      </c>
      <c r="K66" s="15" t="s">
        <v>122</v>
      </c>
      <c r="L66" s="15" t="s">
        <v>263</v>
      </c>
      <c r="M66" s="15">
        <v>3</v>
      </c>
      <c r="N66" s="15">
        <v>45</v>
      </c>
      <c r="O66" s="15">
        <v>15</v>
      </c>
      <c r="P66" s="15">
        <v>114.75</v>
      </c>
      <c r="Q66" s="15">
        <v>2</v>
      </c>
      <c r="R66" s="15" t="s">
        <v>88</v>
      </c>
      <c r="S66" s="15" t="s">
        <v>115</v>
      </c>
      <c r="T66" s="15" t="s">
        <v>62</v>
      </c>
      <c r="U66" s="17" t="s">
        <v>438</v>
      </c>
      <c r="V66" s="15" t="s">
        <v>64</v>
      </c>
      <c r="W66" s="24" t="str">
        <f t="shared" si="0"/>
        <v>Blacklisted</v>
      </c>
    </row>
    <row r="67" spans="1:23">
      <c r="A67" s="18" t="s">
        <v>439</v>
      </c>
      <c r="B67" s="18" t="s">
        <v>100</v>
      </c>
      <c r="C67" s="18" t="s">
        <v>24</v>
      </c>
      <c r="D67" s="18" t="s">
        <v>440</v>
      </c>
      <c r="E67" s="18" t="s">
        <v>441</v>
      </c>
      <c r="F67" s="18" t="s">
        <v>103</v>
      </c>
      <c r="G67" s="18" t="s">
        <v>28</v>
      </c>
      <c r="H67" s="18" t="s">
        <v>442</v>
      </c>
      <c r="I67" s="18" t="s">
        <v>294</v>
      </c>
      <c r="J67" s="18" t="s">
        <v>295</v>
      </c>
      <c r="K67" s="18" t="s">
        <v>32</v>
      </c>
      <c r="L67" s="18" t="s">
        <v>33</v>
      </c>
      <c r="M67" s="18">
        <v>7</v>
      </c>
      <c r="N67" s="18">
        <v>2200</v>
      </c>
      <c r="O67" s="18">
        <v>15</v>
      </c>
      <c r="P67" s="18">
        <v>13090</v>
      </c>
      <c r="Q67" s="18">
        <v>5</v>
      </c>
      <c r="R67" s="18" t="s">
        <v>88</v>
      </c>
      <c r="S67" s="18" t="s">
        <v>115</v>
      </c>
      <c r="T67" s="18" t="s">
        <v>144</v>
      </c>
      <c r="U67" s="19" t="s">
        <v>443</v>
      </c>
      <c r="V67" s="18" t="s">
        <v>38</v>
      </c>
      <c r="W67" s="24" t="str">
        <f t="shared" ref="W67:W130" si="1">IF(OR(Q67&lt;=2,V67="Cancelled"),"Blacklisted",IF(AND(P67&gt;=100000,Q67&gt;=4,O67&lt;10,V67="Completed"),"Platinum",IF(AND(P67&gt;=50000,P67&lt;=99999,Q67&gt;=3,V67="Completed"),"Gold",IF(AND(P67&lt;50000,V67="Completed"),"Silver","Blacklisted"))))</f>
        <v>Silver</v>
      </c>
    </row>
    <row r="68" spans="1:23">
      <c r="A68" s="15" t="s">
        <v>444</v>
      </c>
      <c r="B68" s="15" t="s">
        <v>23</v>
      </c>
      <c r="C68" s="15" t="s">
        <v>259</v>
      </c>
      <c r="D68" s="15" t="s">
        <v>445</v>
      </c>
      <c r="E68" s="15" t="s">
        <v>446</v>
      </c>
      <c r="F68" s="15" t="s">
        <v>27</v>
      </c>
      <c r="G68" s="15" t="s">
        <v>28</v>
      </c>
      <c r="H68" s="15" t="s">
        <v>447</v>
      </c>
      <c r="I68" s="15" t="s">
        <v>44</v>
      </c>
      <c r="J68" s="15" t="s">
        <v>45</v>
      </c>
      <c r="K68" s="15" t="s">
        <v>122</v>
      </c>
      <c r="L68" s="15" t="s">
        <v>263</v>
      </c>
      <c r="M68" s="15">
        <v>19</v>
      </c>
      <c r="N68" s="15">
        <v>45</v>
      </c>
      <c r="O68" s="15">
        <v>10</v>
      </c>
      <c r="P68" s="15">
        <v>769.5</v>
      </c>
      <c r="Q68" s="15">
        <v>5</v>
      </c>
      <c r="R68" s="15" t="s">
        <v>79</v>
      </c>
      <c r="S68" s="15" t="s">
        <v>115</v>
      </c>
      <c r="T68" s="15" t="s">
        <v>50</v>
      </c>
      <c r="U68" s="17" t="s">
        <v>448</v>
      </c>
      <c r="V68" s="15" t="s">
        <v>69</v>
      </c>
      <c r="W68" s="24" t="str">
        <f t="shared" si="1"/>
        <v>Blacklisted</v>
      </c>
    </row>
    <row r="69" spans="1:23">
      <c r="A69" s="18" t="s">
        <v>449</v>
      </c>
      <c r="B69" s="18" t="s">
        <v>251</v>
      </c>
      <c r="C69" s="18" t="s">
        <v>92</v>
      </c>
      <c r="D69" s="18" t="s">
        <v>450</v>
      </c>
      <c r="E69" s="18" t="s">
        <v>323</v>
      </c>
      <c r="F69" s="18" t="s">
        <v>254</v>
      </c>
      <c r="G69" s="18" t="s">
        <v>28</v>
      </c>
      <c r="H69" s="18" t="s">
        <v>451</v>
      </c>
      <c r="I69" s="18" t="s">
        <v>30</v>
      </c>
      <c r="J69" s="18" t="s">
        <v>31</v>
      </c>
      <c r="K69" s="18" t="s">
        <v>32</v>
      </c>
      <c r="L69" s="18" t="s">
        <v>97</v>
      </c>
      <c r="M69" s="18">
        <v>7</v>
      </c>
      <c r="N69" s="18">
        <v>3500</v>
      </c>
      <c r="O69" s="18">
        <v>15</v>
      </c>
      <c r="P69" s="18">
        <v>20825</v>
      </c>
      <c r="Q69" s="18">
        <v>1</v>
      </c>
      <c r="R69" s="18" t="s">
        <v>34</v>
      </c>
      <c r="S69" s="18" t="s">
        <v>151</v>
      </c>
      <c r="T69" s="18" t="s">
        <v>256</v>
      </c>
      <c r="U69" s="19" t="s">
        <v>452</v>
      </c>
      <c r="V69" s="18" t="s">
        <v>64</v>
      </c>
      <c r="W69" s="24" t="str">
        <f t="shared" si="1"/>
        <v>Blacklisted</v>
      </c>
    </row>
    <row r="70" spans="1:23">
      <c r="A70" s="15" t="s">
        <v>453</v>
      </c>
      <c r="B70" s="15" t="s">
        <v>53</v>
      </c>
      <c r="C70" s="15" t="s">
        <v>169</v>
      </c>
      <c r="D70" s="15" t="s">
        <v>454</v>
      </c>
      <c r="E70" s="15" t="s">
        <v>455</v>
      </c>
      <c r="F70" s="15" t="s">
        <v>163</v>
      </c>
      <c r="G70" s="15" t="s">
        <v>28</v>
      </c>
      <c r="H70" s="15" t="s">
        <v>456</v>
      </c>
      <c r="I70" s="15" t="s">
        <v>212</v>
      </c>
      <c r="J70" s="15" t="s">
        <v>45</v>
      </c>
      <c r="K70" s="15" t="s">
        <v>32</v>
      </c>
      <c r="L70" s="15" t="s">
        <v>174</v>
      </c>
      <c r="M70" s="15">
        <v>7</v>
      </c>
      <c r="N70" s="15">
        <v>8500</v>
      </c>
      <c r="O70" s="15">
        <v>20</v>
      </c>
      <c r="P70" s="15">
        <v>47600</v>
      </c>
      <c r="Q70" s="15">
        <v>4</v>
      </c>
      <c r="R70" s="15" t="s">
        <v>48</v>
      </c>
      <c r="S70" s="15" t="s">
        <v>115</v>
      </c>
      <c r="T70" s="15" t="s">
        <v>62</v>
      </c>
      <c r="U70" s="17" t="s">
        <v>457</v>
      </c>
      <c r="V70" s="15" t="s">
        <v>38</v>
      </c>
      <c r="W70" s="24" t="str">
        <f t="shared" si="1"/>
        <v>Silver</v>
      </c>
    </row>
    <row r="71" spans="1:23">
      <c r="A71" s="18" t="s">
        <v>458</v>
      </c>
      <c r="B71" s="18" t="s">
        <v>23</v>
      </c>
      <c r="C71" s="18" t="s">
        <v>54</v>
      </c>
      <c r="D71" s="18" t="s">
        <v>366</v>
      </c>
      <c r="E71" s="18" t="s">
        <v>459</v>
      </c>
      <c r="F71" s="18" t="s">
        <v>27</v>
      </c>
      <c r="G71" s="18" t="s">
        <v>28</v>
      </c>
      <c r="H71" s="18" t="s">
        <v>460</v>
      </c>
      <c r="I71" s="18" t="s">
        <v>59</v>
      </c>
      <c r="J71" s="18" t="s">
        <v>31</v>
      </c>
      <c r="K71" s="18" t="s">
        <v>46</v>
      </c>
      <c r="L71" s="18" t="s">
        <v>60</v>
      </c>
      <c r="M71" s="18">
        <v>16</v>
      </c>
      <c r="N71" s="18">
        <v>55000</v>
      </c>
      <c r="O71" s="18">
        <v>10</v>
      </c>
      <c r="P71" s="18">
        <v>792000</v>
      </c>
      <c r="Q71" s="18">
        <v>1</v>
      </c>
      <c r="R71" s="18" t="s">
        <v>79</v>
      </c>
      <c r="S71" s="18" t="s">
        <v>61</v>
      </c>
      <c r="T71" s="18" t="s">
        <v>50</v>
      </c>
      <c r="U71" s="19" t="s">
        <v>461</v>
      </c>
      <c r="V71" s="18" t="s">
        <v>38</v>
      </c>
      <c r="W71" s="24" t="str">
        <f t="shared" si="1"/>
        <v>Blacklisted</v>
      </c>
    </row>
    <row r="72" spans="1:23">
      <c r="A72" s="15" t="s">
        <v>462</v>
      </c>
      <c r="B72" s="15" t="s">
        <v>168</v>
      </c>
      <c r="C72" s="15" t="s">
        <v>40</v>
      </c>
      <c r="D72" s="15" t="s">
        <v>463</v>
      </c>
      <c r="E72" s="15" t="s">
        <v>464</v>
      </c>
      <c r="F72" s="15" t="s">
        <v>361</v>
      </c>
      <c r="G72" s="15" t="s">
        <v>28</v>
      </c>
      <c r="H72" s="15" t="s">
        <v>465</v>
      </c>
      <c r="I72" s="15" t="s">
        <v>105</v>
      </c>
      <c r="J72" s="15" t="s">
        <v>106</v>
      </c>
      <c r="K72" s="15" t="s">
        <v>46</v>
      </c>
      <c r="L72" s="15" t="s">
        <v>47</v>
      </c>
      <c r="M72" s="15">
        <v>2</v>
      </c>
      <c r="N72" s="15">
        <v>12000</v>
      </c>
      <c r="O72" s="15">
        <v>20</v>
      </c>
      <c r="P72" s="15">
        <v>19200</v>
      </c>
      <c r="Q72" s="15">
        <v>1</v>
      </c>
      <c r="R72" s="15" t="s">
        <v>34</v>
      </c>
      <c r="S72" s="15" t="s">
        <v>151</v>
      </c>
      <c r="T72" s="16" t="s">
        <v>466</v>
      </c>
      <c r="U72" s="17" t="s">
        <v>467</v>
      </c>
      <c r="V72" s="15" t="s">
        <v>64</v>
      </c>
      <c r="W72" s="24" t="str">
        <f t="shared" si="1"/>
        <v>Blacklisted</v>
      </c>
    </row>
    <row r="73" spans="1:23">
      <c r="A73" s="18" t="s">
        <v>468</v>
      </c>
      <c r="B73" s="18" t="s">
        <v>127</v>
      </c>
      <c r="C73" s="18" t="s">
        <v>259</v>
      </c>
      <c r="D73" s="18" t="s">
        <v>469</v>
      </c>
      <c r="E73" s="18" t="s">
        <v>446</v>
      </c>
      <c r="F73" s="18" t="s">
        <v>200</v>
      </c>
      <c r="G73" s="18" t="s">
        <v>76</v>
      </c>
      <c r="H73" s="18" t="s">
        <v>470</v>
      </c>
      <c r="I73" s="18" t="s">
        <v>59</v>
      </c>
      <c r="J73" s="18" t="s">
        <v>31</v>
      </c>
      <c r="K73" s="18" t="s">
        <v>122</v>
      </c>
      <c r="L73" s="18" t="s">
        <v>263</v>
      </c>
      <c r="M73" s="18">
        <v>4</v>
      </c>
      <c r="N73" s="18">
        <v>45</v>
      </c>
      <c r="O73" s="18">
        <v>5</v>
      </c>
      <c r="P73" s="18">
        <v>171</v>
      </c>
      <c r="Q73" s="18">
        <v>1</v>
      </c>
      <c r="R73" s="18" t="s">
        <v>79</v>
      </c>
      <c r="S73" s="18" t="s">
        <v>49</v>
      </c>
      <c r="T73" s="18" t="s">
        <v>132</v>
      </c>
      <c r="U73" s="19" t="s">
        <v>471</v>
      </c>
      <c r="V73" s="18" t="s">
        <v>64</v>
      </c>
      <c r="W73" s="24" t="str">
        <f t="shared" si="1"/>
        <v>Blacklisted</v>
      </c>
    </row>
    <row r="74" spans="1:23">
      <c r="A74" s="15" t="s">
        <v>472</v>
      </c>
      <c r="B74" s="15" t="s">
        <v>23</v>
      </c>
      <c r="C74" s="15" t="s">
        <v>72</v>
      </c>
      <c r="D74" s="15" t="s">
        <v>473</v>
      </c>
      <c r="E74" s="15" t="s">
        <v>474</v>
      </c>
      <c r="F74" s="15" t="s">
        <v>27</v>
      </c>
      <c r="G74" s="15" t="s">
        <v>28</v>
      </c>
      <c r="H74" s="15" t="s">
        <v>475</v>
      </c>
      <c r="I74" s="15" t="s">
        <v>212</v>
      </c>
      <c r="J74" s="15" t="s">
        <v>45</v>
      </c>
      <c r="K74" s="15" t="s">
        <v>46</v>
      </c>
      <c r="L74" s="15" t="s">
        <v>78</v>
      </c>
      <c r="M74" s="15">
        <v>1</v>
      </c>
      <c r="N74" s="15">
        <v>1200</v>
      </c>
      <c r="O74" s="15">
        <v>5</v>
      </c>
      <c r="P74" s="15">
        <v>1140</v>
      </c>
      <c r="Q74" s="15">
        <v>3</v>
      </c>
      <c r="R74" s="15" t="s">
        <v>88</v>
      </c>
      <c r="S74" s="15" t="s">
        <v>61</v>
      </c>
      <c r="T74" s="15" t="s">
        <v>50</v>
      </c>
      <c r="U74" s="17" t="s">
        <v>476</v>
      </c>
      <c r="V74" s="15" t="s">
        <v>69</v>
      </c>
      <c r="W74" s="24" t="str">
        <f t="shared" si="1"/>
        <v>Blacklisted</v>
      </c>
    </row>
    <row r="75" spans="1:23">
      <c r="A75" s="18" t="s">
        <v>477</v>
      </c>
      <c r="B75" s="18" t="s">
        <v>53</v>
      </c>
      <c r="C75" s="18" t="s">
        <v>24</v>
      </c>
      <c r="D75" s="18" t="s">
        <v>478</v>
      </c>
      <c r="E75" s="18" t="s">
        <v>479</v>
      </c>
      <c r="F75" s="18" t="s">
        <v>163</v>
      </c>
      <c r="G75" s="18" t="s">
        <v>28</v>
      </c>
      <c r="H75" s="18" t="s">
        <v>480</v>
      </c>
      <c r="I75" s="18"/>
      <c r="J75" s="18" t="s">
        <v>31</v>
      </c>
      <c r="K75" s="18" t="s">
        <v>32</v>
      </c>
      <c r="L75" s="18" t="s">
        <v>33</v>
      </c>
      <c r="M75" s="18">
        <v>1</v>
      </c>
      <c r="N75" s="18">
        <v>2200</v>
      </c>
      <c r="O75" s="18">
        <v>15</v>
      </c>
      <c r="P75" s="18">
        <v>1870</v>
      </c>
      <c r="Q75" s="18">
        <v>4</v>
      </c>
      <c r="R75" s="18" t="s">
        <v>79</v>
      </c>
      <c r="S75" s="18" t="s">
        <v>61</v>
      </c>
      <c r="T75" s="18" t="s">
        <v>62</v>
      </c>
      <c r="U75" s="19" t="s">
        <v>481</v>
      </c>
      <c r="V75" s="18" t="s">
        <v>38</v>
      </c>
      <c r="W75" s="24" t="str">
        <f t="shared" si="1"/>
        <v>Silver</v>
      </c>
    </row>
    <row r="76" spans="1:23">
      <c r="A76" s="15" t="s">
        <v>482</v>
      </c>
      <c r="B76" s="15" t="s">
        <v>127</v>
      </c>
      <c r="C76" s="15" t="s">
        <v>72</v>
      </c>
      <c r="D76" s="15" t="s">
        <v>483</v>
      </c>
      <c r="E76" s="15" t="s">
        <v>484</v>
      </c>
      <c r="F76" s="15" t="s">
        <v>200</v>
      </c>
      <c r="G76" s="15" t="s">
        <v>76</v>
      </c>
      <c r="H76" s="15" t="s">
        <v>485</v>
      </c>
      <c r="I76" s="15" t="s">
        <v>114</v>
      </c>
      <c r="J76" s="15" t="s">
        <v>106</v>
      </c>
      <c r="K76" s="15" t="s">
        <v>46</v>
      </c>
      <c r="L76" s="15" t="s">
        <v>78</v>
      </c>
      <c r="M76" s="15">
        <v>3</v>
      </c>
      <c r="N76" s="15">
        <v>1200</v>
      </c>
      <c r="O76" s="15">
        <v>10</v>
      </c>
      <c r="P76" s="15">
        <v>3240</v>
      </c>
      <c r="Q76" s="15">
        <v>5</v>
      </c>
      <c r="R76" s="15" t="s">
        <v>34</v>
      </c>
      <c r="S76" s="15" t="s">
        <v>49</v>
      </c>
      <c r="T76" s="15" t="s">
        <v>132</v>
      </c>
      <c r="U76" s="17" t="s">
        <v>486</v>
      </c>
      <c r="V76" s="15" t="s">
        <v>38</v>
      </c>
      <c r="W76" s="24" t="str">
        <f t="shared" si="1"/>
        <v>Silver</v>
      </c>
    </row>
    <row r="77" spans="1:23">
      <c r="A77" s="18" t="s">
        <v>487</v>
      </c>
      <c r="B77" s="18" t="s">
        <v>23</v>
      </c>
      <c r="C77" s="18" t="s">
        <v>92</v>
      </c>
      <c r="D77" s="18" t="s">
        <v>488</v>
      </c>
      <c r="E77" s="18" t="s">
        <v>489</v>
      </c>
      <c r="F77" s="18" t="s">
        <v>27</v>
      </c>
      <c r="G77" s="18" t="s">
        <v>28</v>
      </c>
      <c r="H77" s="18" t="s">
        <v>490</v>
      </c>
      <c r="I77" s="18" t="s">
        <v>59</v>
      </c>
      <c r="J77" s="18" t="s">
        <v>31</v>
      </c>
      <c r="K77" s="18" t="s">
        <v>32</v>
      </c>
      <c r="L77" s="18" t="s">
        <v>97</v>
      </c>
      <c r="M77" s="18">
        <v>10</v>
      </c>
      <c r="N77" s="18">
        <v>3500</v>
      </c>
      <c r="O77" s="18">
        <v>20</v>
      </c>
      <c r="P77" s="18">
        <v>28000</v>
      </c>
      <c r="Q77" s="18">
        <v>5</v>
      </c>
      <c r="R77" s="18" t="s">
        <v>79</v>
      </c>
      <c r="S77" s="18" t="s">
        <v>35</v>
      </c>
      <c r="T77" s="18" t="s">
        <v>50</v>
      </c>
      <c r="U77" s="19" t="s">
        <v>491</v>
      </c>
      <c r="V77" s="18" t="s">
        <v>38</v>
      </c>
      <c r="W77" s="24" t="str">
        <f t="shared" si="1"/>
        <v>Silver</v>
      </c>
    </row>
    <row r="78" spans="1:23">
      <c r="A78" s="15" t="s">
        <v>492</v>
      </c>
      <c r="B78" s="15" t="s">
        <v>83</v>
      </c>
      <c r="C78" s="15" t="s">
        <v>184</v>
      </c>
      <c r="D78" s="15" t="s">
        <v>493</v>
      </c>
      <c r="E78" s="15" t="s">
        <v>404</v>
      </c>
      <c r="F78" s="15" t="s">
        <v>180</v>
      </c>
      <c r="G78" s="15" t="s">
        <v>76</v>
      </c>
      <c r="H78" s="15" t="s">
        <v>494</v>
      </c>
      <c r="I78" s="15" t="s">
        <v>44</v>
      </c>
      <c r="J78" s="15" t="s">
        <v>45</v>
      </c>
      <c r="K78" s="15" t="s">
        <v>46</v>
      </c>
      <c r="L78" s="15" t="s">
        <v>189</v>
      </c>
      <c r="M78" s="15">
        <v>18</v>
      </c>
      <c r="N78" s="15">
        <v>700</v>
      </c>
      <c r="O78" s="15">
        <v>5</v>
      </c>
      <c r="P78" s="15">
        <v>11970</v>
      </c>
      <c r="Q78" s="15">
        <v>3</v>
      </c>
      <c r="R78" s="15" t="s">
        <v>79</v>
      </c>
      <c r="S78" s="15" t="s">
        <v>115</v>
      </c>
      <c r="T78" s="15" t="s">
        <v>89</v>
      </c>
      <c r="U78" s="17" t="s">
        <v>495</v>
      </c>
      <c r="V78" s="15" t="s">
        <v>69</v>
      </c>
      <c r="W78" s="24" t="str">
        <f t="shared" si="1"/>
        <v>Blacklisted</v>
      </c>
    </row>
    <row r="79" spans="1:23">
      <c r="A79" s="18" t="s">
        <v>496</v>
      </c>
      <c r="B79" s="18" t="s">
        <v>221</v>
      </c>
      <c r="C79" s="18" t="s">
        <v>184</v>
      </c>
      <c r="D79" s="18" t="s">
        <v>497</v>
      </c>
      <c r="E79" s="18" t="s">
        <v>498</v>
      </c>
      <c r="F79" s="18" t="s">
        <v>225</v>
      </c>
      <c r="G79" s="18" t="s">
        <v>76</v>
      </c>
      <c r="H79" s="18" t="s">
        <v>499</v>
      </c>
      <c r="I79" s="18" t="s">
        <v>59</v>
      </c>
      <c r="J79" s="18" t="s">
        <v>31</v>
      </c>
      <c r="K79" s="18" t="s">
        <v>46</v>
      </c>
      <c r="L79" s="18" t="s">
        <v>189</v>
      </c>
      <c r="M79" s="18">
        <v>12</v>
      </c>
      <c r="N79" s="18">
        <v>700</v>
      </c>
      <c r="O79" s="18">
        <v>15</v>
      </c>
      <c r="P79" s="18">
        <v>7140</v>
      </c>
      <c r="Q79" s="18">
        <v>2</v>
      </c>
      <c r="R79" s="18" t="s">
        <v>88</v>
      </c>
      <c r="S79" s="18" t="s">
        <v>49</v>
      </c>
      <c r="T79" s="18" t="s">
        <v>228</v>
      </c>
      <c r="U79" s="19" t="s">
        <v>500</v>
      </c>
      <c r="V79" s="18" t="s">
        <v>38</v>
      </c>
      <c r="W79" s="24" t="str">
        <f t="shared" si="1"/>
        <v>Blacklisted</v>
      </c>
    </row>
    <row r="80" spans="1:23">
      <c r="A80" s="15" t="s">
        <v>501</v>
      </c>
      <c r="B80" s="15" t="s">
        <v>71</v>
      </c>
      <c r="C80" s="15" t="s">
        <v>72</v>
      </c>
      <c r="D80" s="15" t="s">
        <v>502</v>
      </c>
      <c r="E80" s="15" t="s">
        <v>503</v>
      </c>
      <c r="F80" s="15" t="s">
        <v>217</v>
      </c>
      <c r="G80" s="15" t="s">
        <v>76</v>
      </c>
      <c r="H80" s="15" t="s">
        <v>504</v>
      </c>
      <c r="I80" s="15" t="s">
        <v>105</v>
      </c>
      <c r="J80" s="15" t="s">
        <v>106</v>
      </c>
      <c r="K80" s="15" t="s">
        <v>46</v>
      </c>
      <c r="L80" s="15" t="s">
        <v>78</v>
      </c>
      <c r="M80" s="15">
        <v>8</v>
      </c>
      <c r="N80" s="15">
        <v>1200</v>
      </c>
      <c r="O80" s="15">
        <v>0</v>
      </c>
      <c r="P80" s="15">
        <v>9600</v>
      </c>
      <c r="Q80" s="15">
        <v>4</v>
      </c>
      <c r="R80" s="15" t="s">
        <v>79</v>
      </c>
      <c r="S80" s="15" t="s">
        <v>49</v>
      </c>
      <c r="T80" s="15" t="s">
        <v>80</v>
      </c>
      <c r="U80" s="17" t="s">
        <v>505</v>
      </c>
      <c r="V80" s="15" t="s">
        <v>64</v>
      </c>
      <c r="W80" s="24" t="str">
        <f t="shared" si="1"/>
        <v>Blacklisted</v>
      </c>
    </row>
    <row r="81" spans="1:23">
      <c r="A81" s="18" t="s">
        <v>506</v>
      </c>
      <c r="B81" s="18" t="s">
        <v>127</v>
      </c>
      <c r="C81" s="18" t="s">
        <v>118</v>
      </c>
      <c r="D81" s="18" t="s">
        <v>507</v>
      </c>
      <c r="E81" s="18" t="s">
        <v>508</v>
      </c>
      <c r="F81" s="18" t="s">
        <v>200</v>
      </c>
      <c r="G81" s="18" t="s">
        <v>76</v>
      </c>
      <c r="H81" s="18" t="s">
        <v>509</v>
      </c>
      <c r="I81" s="18" t="s">
        <v>114</v>
      </c>
      <c r="J81" s="18" t="s">
        <v>106</v>
      </c>
      <c r="K81" s="18" t="s">
        <v>122</v>
      </c>
      <c r="L81" s="18" t="s">
        <v>123</v>
      </c>
      <c r="M81" s="18">
        <v>2</v>
      </c>
      <c r="N81" s="18">
        <v>60</v>
      </c>
      <c r="O81" s="18">
        <v>0</v>
      </c>
      <c r="P81" s="18">
        <v>120</v>
      </c>
      <c r="Q81" s="18">
        <v>2</v>
      </c>
      <c r="R81" s="18" t="s">
        <v>88</v>
      </c>
      <c r="S81" s="18" t="s">
        <v>49</v>
      </c>
      <c r="T81" s="18" t="s">
        <v>132</v>
      </c>
      <c r="U81" s="19" t="s">
        <v>510</v>
      </c>
      <c r="V81" s="18" t="s">
        <v>38</v>
      </c>
      <c r="W81" s="24" t="str">
        <f t="shared" si="1"/>
        <v>Blacklisted</v>
      </c>
    </row>
    <row r="82" spans="1:23">
      <c r="A82" s="15" t="s">
        <v>511</v>
      </c>
      <c r="B82" s="15" t="s">
        <v>327</v>
      </c>
      <c r="C82" s="15" t="s">
        <v>259</v>
      </c>
      <c r="D82" s="15" t="s">
        <v>512</v>
      </c>
      <c r="E82" s="15" t="s">
        <v>513</v>
      </c>
      <c r="F82" s="15" t="s">
        <v>394</v>
      </c>
      <c r="G82" s="15" t="s">
        <v>76</v>
      </c>
      <c r="H82" s="15" t="s">
        <v>514</v>
      </c>
      <c r="I82" s="15" t="s">
        <v>114</v>
      </c>
      <c r="J82" s="15" t="s">
        <v>106</v>
      </c>
      <c r="K82" s="15" t="s">
        <v>122</v>
      </c>
      <c r="L82" s="15" t="s">
        <v>263</v>
      </c>
      <c r="M82" s="15">
        <v>10</v>
      </c>
      <c r="N82" s="15">
        <v>45</v>
      </c>
      <c r="O82" s="15">
        <v>15</v>
      </c>
      <c r="P82" s="15">
        <v>382.5</v>
      </c>
      <c r="Q82" s="15">
        <v>3</v>
      </c>
      <c r="R82" s="15" t="s">
        <v>48</v>
      </c>
      <c r="S82" s="15" t="s">
        <v>35</v>
      </c>
      <c r="T82" s="15" t="s">
        <v>332</v>
      </c>
      <c r="U82" s="17" t="s">
        <v>515</v>
      </c>
      <c r="V82" s="15" t="s">
        <v>69</v>
      </c>
      <c r="W82" s="24" t="str">
        <f t="shared" si="1"/>
        <v>Blacklisted</v>
      </c>
    </row>
    <row r="83" spans="1:23">
      <c r="A83" s="18" t="s">
        <v>516</v>
      </c>
      <c r="B83" s="18" t="s">
        <v>221</v>
      </c>
      <c r="C83" s="18" t="s">
        <v>92</v>
      </c>
      <c r="D83" s="18" t="s">
        <v>517</v>
      </c>
      <c r="E83" s="18" t="s">
        <v>518</v>
      </c>
      <c r="F83" s="18" t="s">
        <v>225</v>
      </c>
      <c r="G83" s="18" t="s">
        <v>76</v>
      </c>
      <c r="H83" s="18" t="s">
        <v>519</v>
      </c>
      <c r="I83" s="18" t="s">
        <v>294</v>
      </c>
      <c r="J83" s="18" t="s">
        <v>295</v>
      </c>
      <c r="K83" s="18" t="s">
        <v>32</v>
      </c>
      <c r="L83" s="18" t="s">
        <v>97</v>
      </c>
      <c r="M83" s="18">
        <v>12</v>
      </c>
      <c r="N83" s="18">
        <v>3500</v>
      </c>
      <c r="O83" s="18">
        <v>5</v>
      </c>
      <c r="P83" s="18">
        <v>39900</v>
      </c>
      <c r="Q83" s="18">
        <v>3</v>
      </c>
      <c r="R83" s="18" t="s">
        <v>48</v>
      </c>
      <c r="S83" s="18" t="s">
        <v>61</v>
      </c>
      <c r="T83" s="18" t="s">
        <v>228</v>
      </c>
      <c r="U83" s="19" t="s">
        <v>520</v>
      </c>
      <c r="V83" s="18" t="s">
        <v>64</v>
      </c>
      <c r="W83" s="24" t="str">
        <f t="shared" si="1"/>
        <v>Blacklisted</v>
      </c>
    </row>
    <row r="84" spans="1:23">
      <c r="A84" s="15" t="s">
        <v>521</v>
      </c>
      <c r="B84" s="15" t="s">
        <v>127</v>
      </c>
      <c r="C84" s="15" t="s">
        <v>118</v>
      </c>
      <c r="D84" s="15" t="s">
        <v>128</v>
      </c>
      <c r="E84" s="15" t="s">
        <v>73</v>
      </c>
      <c r="F84" s="15" t="s">
        <v>200</v>
      </c>
      <c r="G84" s="15" t="s">
        <v>76</v>
      </c>
      <c r="H84" s="15" t="s">
        <v>522</v>
      </c>
      <c r="I84" s="15" t="s">
        <v>105</v>
      </c>
      <c r="J84" s="15" t="s">
        <v>106</v>
      </c>
      <c r="K84" s="15" t="s">
        <v>122</v>
      </c>
      <c r="L84" s="15" t="s">
        <v>123</v>
      </c>
      <c r="M84" s="15">
        <v>2</v>
      </c>
      <c r="N84" s="15">
        <v>60</v>
      </c>
      <c r="O84" s="15">
        <v>15</v>
      </c>
      <c r="P84" s="15">
        <v>102</v>
      </c>
      <c r="Q84" s="15">
        <v>1</v>
      </c>
      <c r="R84" s="15" t="s">
        <v>88</v>
      </c>
      <c r="S84" s="15" t="s">
        <v>115</v>
      </c>
      <c r="T84" s="15" t="s">
        <v>132</v>
      </c>
      <c r="U84" s="17" t="s">
        <v>523</v>
      </c>
      <c r="V84" s="15" t="s">
        <v>38</v>
      </c>
      <c r="W84" s="24" t="str">
        <f t="shared" si="1"/>
        <v>Blacklisted</v>
      </c>
    </row>
    <row r="85" spans="1:23">
      <c r="A85" s="18" t="s">
        <v>524</v>
      </c>
      <c r="B85" s="18" t="s">
        <v>127</v>
      </c>
      <c r="C85" s="18" t="s">
        <v>72</v>
      </c>
      <c r="D85" s="18" t="s">
        <v>525</v>
      </c>
      <c r="E85" s="18" t="s">
        <v>526</v>
      </c>
      <c r="F85" s="18" t="s">
        <v>200</v>
      </c>
      <c r="G85" s="18" t="s">
        <v>76</v>
      </c>
      <c r="H85" s="18" t="s">
        <v>527</v>
      </c>
      <c r="I85" s="18" t="s">
        <v>30</v>
      </c>
      <c r="J85" s="18" t="s">
        <v>31</v>
      </c>
      <c r="K85" s="18" t="s">
        <v>46</v>
      </c>
      <c r="L85" s="18" t="s">
        <v>78</v>
      </c>
      <c r="M85" s="18">
        <v>18</v>
      </c>
      <c r="N85" s="18">
        <v>1200</v>
      </c>
      <c r="O85" s="18">
        <v>15</v>
      </c>
      <c r="P85" s="18">
        <v>18360</v>
      </c>
      <c r="Q85" s="18">
        <v>3</v>
      </c>
      <c r="R85" s="18" t="s">
        <v>79</v>
      </c>
      <c r="S85" s="18" t="s">
        <v>115</v>
      </c>
      <c r="T85" s="18" t="s">
        <v>132</v>
      </c>
      <c r="U85" s="19" t="s">
        <v>528</v>
      </c>
      <c r="V85" s="18" t="s">
        <v>64</v>
      </c>
      <c r="W85" s="24" t="str">
        <f t="shared" si="1"/>
        <v>Blacklisted</v>
      </c>
    </row>
    <row r="86" spans="1:23">
      <c r="A86" s="15" t="s">
        <v>529</v>
      </c>
      <c r="B86" s="15" t="s">
        <v>23</v>
      </c>
      <c r="C86" s="15" t="s">
        <v>40</v>
      </c>
      <c r="D86" s="15" t="s">
        <v>530</v>
      </c>
      <c r="E86" s="15" t="s">
        <v>531</v>
      </c>
      <c r="F86" s="15" t="s">
        <v>27</v>
      </c>
      <c r="G86" s="15" t="s">
        <v>28</v>
      </c>
      <c r="H86" s="15" t="s">
        <v>532</v>
      </c>
      <c r="I86" s="15" t="s">
        <v>105</v>
      </c>
      <c r="J86" s="15" t="s">
        <v>106</v>
      </c>
      <c r="K86" s="15" t="s">
        <v>46</v>
      </c>
      <c r="L86" s="15" t="s">
        <v>47</v>
      </c>
      <c r="M86" s="15">
        <v>18</v>
      </c>
      <c r="N86" s="15">
        <v>12000</v>
      </c>
      <c r="O86" s="15">
        <v>15</v>
      </c>
      <c r="P86" s="15">
        <v>183600</v>
      </c>
      <c r="Q86" s="15">
        <v>2</v>
      </c>
      <c r="R86" s="15" t="s">
        <v>34</v>
      </c>
      <c r="S86" s="15" t="s">
        <v>49</v>
      </c>
      <c r="T86" s="15" t="s">
        <v>50</v>
      </c>
      <c r="U86" s="17" t="s">
        <v>533</v>
      </c>
      <c r="V86" s="15" t="s">
        <v>38</v>
      </c>
      <c r="W86" s="24" t="str">
        <f t="shared" si="1"/>
        <v>Blacklisted</v>
      </c>
    </row>
    <row r="87" spans="1:23">
      <c r="A87" s="18" t="s">
        <v>534</v>
      </c>
      <c r="B87" s="18" t="s">
        <v>83</v>
      </c>
      <c r="C87" s="18" t="s">
        <v>222</v>
      </c>
      <c r="D87" s="18" t="s">
        <v>531</v>
      </c>
      <c r="E87" s="18" t="s">
        <v>535</v>
      </c>
      <c r="F87" s="18" t="s">
        <v>180</v>
      </c>
      <c r="G87" s="18" t="s">
        <v>76</v>
      </c>
      <c r="H87" s="18" t="s">
        <v>536</v>
      </c>
      <c r="I87" s="18" t="s">
        <v>138</v>
      </c>
      <c r="J87" s="18" t="s">
        <v>106</v>
      </c>
      <c r="K87" s="18" t="s">
        <v>122</v>
      </c>
      <c r="L87" s="18" t="s">
        <v>227</v>
      </c>
      <c r="M87" s="18">
        <v>7</v>
      </c>
      <c r="N87" s="18">
        <v>20</v>
      </c>
      <c r="O87" s="18">
        <v>0</v>
      </c>
      <c r="P87" s="18">
        <v>140</v>
      </c>
      <c r="Q87" s="18">
        <v>2</v>
      </c>
      <c r="R87" s="18" t="s">
        <v>79</v>
      </c>
      <c r="S87" s="18" t="s">
        <v>35</v>
      </c>
      <c r="T87" s="18" t="s">
        <v>89</v>
      </c>
      <c r="U87" s="19" t="s">
        <v>537</v>
      </c>
      <c r="V87" s="18" t="s">
        <v>69</v>
      </c>
      <c r="W87" s="24" t="str">
        <f t="shared" si="1"/>
        <v>Blacklisted</v>
      </c>
    </row>
    <row r="88" spans="1:23">
      <c r="A88" s="15" t="s">
        <v>538</v>
      </c>
      <c r="B88" s="15" t="s">
        <v>251</v>
      </c>
      <c r="C88" s="15" t="s">
        <v>92</v>
      </c>
      <c r="D88" s="15" t="s">
        <v>459</v>
      </c>
      <c r="E88" s="15" t="s">
        <v>539</v>
      </c>
      <c r="F88" s="15" t="s">
        <v>254</v>
      </c>
      <c r="G88" s="15" t="s">
        <v>28</v>
      </c>
      <c r="H88" s="15" t="s">
        <v>540</v>
      </c>
      <c r="I88" s="15" t="s">
        <v>114</v>
      </c>
      <c r="J88" s="15" t="s">
        <v>106</v>
      </c>
      <c r="K88" s="15" t="s">
        <v>32</v>
      </c>
      <c r="L88" s="15" t="s">
        <v>97</v>
      </c>
      <c r="M88" s="15">
        <v>20</v>
      </c>
      <c r="N88" s="15">
        <v>3500</v>
      </c>
      <c r="O88" s="15">
        <v>20</v>
      </c>
      <c r="P88" s="15">
        <v>56000</v>
      </c>
      <c r="Q88" s="15">
        <v>4</v>
      </c>
      <c r="R88" s="15" t="s">
        <v>79</v>
      </c>
      <c r="S88" s="15" t="s">
        <v>115</v>
      </c>
      <c r="T88" s="15" t="s">
        <v>256</v>
      </c>
      <c r="U88" s="17" t="s">
        <v>541</v>
      </c>
      <c r="V88" s="15" t="s">
        <v>64</v>
      </c>
      <c r="W88" s="24" t="str">
        <f t="shared" si="1"/>
        <v>Blacklisted</v>
      </c>
    </row>
    <row r="89" spans="1:23">
      <c r="A89" s="18" t="s">
        <v>542</v>
      </c>
      <c r="B89" s="18" t="s">
        <v>100</v>
      </c>
      <c r="C89" s="18" t="s">
        <v>169</v>
      </c>
      <c r="D89" s="18" t="s">
        <v>543</v>
      </c>
      <c r="E89" s="18" t="s">
        <v>544</v>
      </c>
      <c r="F89" s="18" t="s">
        <v>103</v>
      </c>
      <c r="G89" s="18" t="s">
        <v>28</v>
      </c>
      <c r="H89" s="18" t="s">
        <v>545</v>
      </c>
      <c r="I89" s="18" t="s">
        <v>138</v>
      </c>
      <c r="J89" s="18" t="s">
        <v>106</v>
      </c>
      <c r="K89" s="18" t="s">
        <v>32</v>
      </c>
      <c r="L89" s="18" t="s">
        <v>174</v>
      </c>
      <c r="M89" s="18">
        <v>8</v>
      </c>
      <c r="N89" s="18">
        <v>8500</v>
      </c>
      <c r="O89" s="18">
        <v>20</v>
      </c>
      <c r="P89" s="18">
        <v>54400</v>
      </c>
      <c r="Q89" s="18">
        <v>3</v>
      </c>
      <c r="R89" s="18" t="s">
        <v>79</v>
      </c>
      <c r="S89" s="18" t="s">
        <v>115</v>
      </c>
      <c r="T89" s="18" t="s">
        <v>144</v>
      </c>
      <c r="U89" s="19" t="s">
        <v>546</v>
      </c>
      <c r="V89" s="18" t="s">
        <v>64</v>
      </c>
      <c r="W89" s="24" t="str">
        <f t="shared" si="1"/>
        <v>Blacklisted</v>
      </c>
    </row>
    <row r="90" spans="1:23">
      <c r="A90" s="15" t="s">
        <v>547</v>
      </c>
      <c r="B90" s="15" t="s">
        <v>327</v>
      </c>
      <c r="C90" s="15" t="s">
        <v>40</v>
      </c>
      <c r="D90" s="15" t="s">
        <v>548</v>
      </c>
      <c r="E90" s="15" t="s">
        <v>549</v>
      </c>
      <c r="F90" s="15" t="s">
        <v>394</v>
      </c>
      <c r="G90" s="15" t="s">
        <v>76</v>
      </c>
      <c r="H90" s="15" t="s">
        <v>550</v>
      </c>
      <c r="I90" s="15" t="s">
        <v>138</v>
      </c>
      <c r="J90" s="15" t="s">
        <v>551</v>
      </c>
      <c r="K90" s="15" t="s">
        <v>46</v>
      </c>
      <c r="L90" s="15" t="s">
        <v>47</v>
      </c>
      <c r="M90" s="15">
        <v>6</v>
      </c>
      <c r="N90" s="15">
        <v>12000</v>
      </c>
      <c r="O90" s="15">
        <v>5</v>
      </c>
      <c r="P90" s="15">
        <v>68400</v>
      </c>
      <c r="Q90" s="15">
        <v>4</v>
      </c>
      <c r="R90" s="15" t="s">
        <v>48</v>
      </c>
      <c r="S90" s="15" t="s">
        <v>35</v>
      </c>
      <c r="T90" s="15" t="s">
        <v>332</v>
      </c>
      <c r="U90" s="17" t="s">
        <v>552</v>
      </c>
      <c r="V90" s="15" t="s">
        <v>38</v>
      </c>
      <c r="W90" s="24" t="str">
        <f t="shared" si="1"/>
        <v>Gold</v>
      </c>
    </row>
    <row r="91" spans="1:23">
      <c r="A91" s="18" t="s">
        <v>553</v>
      </c>
      <c r="B91" s="18" t="s">
        <v>23</v>
      </c>
      <c r="C91" s="18" t="s">
        <v>169</v>
      </c>
      <c r="D91" s="18" t="s">
        <v>554</v>
      </c>
      <c r="E91" s="18" t="s">
        <v>404</v>
      </c>
      <c r="F91" s="18" t="s">
        <v>27</v>
      </c>
      <c r="G91" s="18" t="s">
        <v>28</v>
      </c>
      <c r="H91" s="18" t="s">
        <v>555</v>
      </c>
      <c r="I91" s="18" t="s">
        <v>114</v>
      </c>
      <c r="J91" s="18" t="s">
        <v>106</v>
      </c>
      <c r="K91" s="18" t="s">
        <v>32</v>
      </c>
      <c r="L91" s="18" t="s">
        <v>174</v>
      </c>
      <c r="M91" s="18">
        <v>15</v>
      </c>
      <c r="N91" s="18">
        <v>8500</v>
      </c>
      <c r="O91" s="18">
        <v>0</v>
      </c>
      <c r="P91" s="18">
        <v>127500</v>
      </c>
      <c r="Q91" s="18">
        <v>4</v>
      </c>
      <c r="R91" s="18" t="s">
        <v>48</v>
      </c>
      <c r="S91" s="18" t="s">
        <v>35</v>
      </c>
      <c r="T91" s="18" t="s">
        <v>50</v>
      </c>
      <c r="U91" s="19" t="s">
        <v>556</v>
      </c>
      <c r="V91" s="18" t="s">
        <v>69</v>
      </c>
      <c r="W91" s="24" t="str">
        <f t="shared" si="1"/>
        <v>Blacklisted</v>
      </c>
    </row>
    <row r="92" spans="1:23">
      <c r="A92" s="15" t="s">
        <v>557</v>
      </c>
      <c r="B92" s="15" t="s">
        <v>53</v>
      </c>
      <c r="C92" s="15" t="s">
        <v>72</v>
      </c>
      <c r="D92" s="15" t="s">
        <v>558</v>
      </c>
      <c r="E92" s="15" t="s">
        <v>377</v>
      </c>
      <c r="F92" s="15" t="s">
        <v>163</v>
      </c>
      <c r="G92" s="15" t="s">
        <v>28</v>
      </c>
      <c r="H92" s="15" t="s">
        <v>559</v>
      </c>
      <c r="I92" s="15" t="s">
        <v>212</v>
      </c>
      <c r="J92" s="15" t="s">
        <v>45</v>
      </c>
      <c r="K92" s="15" t="s">
        <v>46</v>
      </c>
      <c r="L92" s="15" t="s">
        <v>78</v>
      </c>
      <c r="M92" s="15">
        <v>5</v>
      </c>
      <c r="N92" s="15">
        <v>1200</v>
      </c>
      <c r="O92" s="15">
        <v>15</v>
      </c>
      <c r="P92" s="15">
        <v>5100</v>
      </c>
      <c r="Q92" s="15">
        <v>1</v>
      </c>
      <c r="R92" s="15" t="s">
        <v>48</v>
      </c>
      <c r="S92" s="15" t="s">
        <v>35</v>
      </c>
      <c r="T92" s="15" t="s">
        <v>62</v>
      </c>
      <c r="U92" s="17" t="s">
        <v>560</v>
      </c>
      <c r="V92" s="15" t="s">
        <v>69</v>
      </c>
      <c r="W92" s="24" t="str">
        <f t="shared" si="1"/>
        <v>Blacklisted</v>
      </c>
    </row>
    <row r="93" spans="1:23">
      <c r="A93" s="18" t="s">
        <v>561</v>
      </c>
      <c r="B93" s="18" t="s">
        <v>53</v>
      </c>
      <c r="C93" s="18" t="s">
        <v>222</v>
      </c>
      <c r="D93" s="18" t="s">
        <v>562</v>
      </c>
      <c r="E93" s="18" t="s">
        <v>563</v>
      </c>
      <c r="F93" s="18" t="s">
        <v>163</v>
      </c>
      <c r="G93" s="18" t="s">
        <v>28</v>
      </c>
      <c r="H93" s="18" t="s">
        <v>564</v>
      </c>
      <c r="I93" s="18" t="s">
        <v>30</v>
      </c>
      <c r="J93" s="18" t="s">
        <v>31</v>
      </c>
      <c r="K93" s="18" t="s">
        <v>122</v>
      </c>
      <c r="L93" s="18" t="s">
        <v>227</v>
      </c>
      <c r="M93" s="18">
        <v>4</v>
      </c>
      <c r="N93" s="18">
        <v>20</v>
      </c>
      <c r="O93" s="18">
        <v>0</v>
      </c>
      <c r="P93" s="18">
        <v>80</v>
      </c>
      <c r="Q93" s="18">
        <v>4</v>
      </c>
      <c r="R93" s="18" t="s">
        <v>48</v>
      </c>
      <c r="S93" s="18" t="s">
        <v>49</v>
      </c>
      <c r="T93" s="18" t="s">
        <v>62</v>
      </c>
      <c r="U93" s="19" t="s">
        <v>565</v>
      </c>
      <c r="V93" s="18" t="s">
        <v>38</v>
      </c>
      <c r="W93" s="24" t="str">
        <f t="shared" si="1"/>
        <v>Silver</v>
      </c>
    </row>
    <row r="94" spans="1:23">
      <c r="A94" s="15" t="s">
        <v>566</v>
      </c>
      <c r="B94" s="15" t="s">
        <v>23</v>
      </c>
      <c r="C94" s="15" t="s">
        <v>222</v>
      </c>
      <c r="D94" s="15" t="s">
        <v>567</v>
      </c>
      <c r="E94" s="15" t="s">
        <v>568</v>
      </c>
      <c r="F94" s="15" t="s">
        <v>27</v>
      </c>
      <c r="G94" s="15" t="s">
        <v>28</v>
      </c>
      <c r="H94" s="15" t="s">
        <v>569</v>
      </c>
      <c r="I94" s="15" t="s">
        <v>59</v>
      </c>
      <c r="J94" s="15" t="s">
        <v>31</v>
      </c>
      <c r="K94" s="15" t="s">
        <v>122</v>
      </c>
      <c r="L94" s="15" t="s">
        <v>227</v>
      </c>
      <c r="M94" s="15">
        <v>10</v>
      </c>
      <c r="N94" s="15">
        <v>20</v>
      </c>
      <c r="O94" s="15">
        <v>0</v>
      </c>
      <c r="P94" s="15">
        <v>200</v>
      </c>
      <c r="Q94" s="15">
        <v>3</v>
      </c>
      <c r="R94" s="15" t="s">
        <v>34</v>
      </c>
      <c r="S94" s="15" t="s">
        <v>151</v>
      </c>
      <c r="T94" s="15" t="s">
        <v>50</v>
      </c>
      <c r="U94" s="17" t="s">
        <v>570</v>
      </c>
      <c r="V94" s="15" t="s">
        <v>64</v>
      </c>
      <c r="W94" s="24" t="str">
        <f t="shared" si="1"/>
        <v>Blacklisted</v>
      </c>
    </row>
    <row r="95" spans="1:23">
      <c r="A95" s="18" t="s">
        <v>571</v>
      </c>
      <c r="B95" s="18" t="s">
        <v>168</v>
      </c>
      <c r="C95" s="18" t="s">
        <v>24</v>
      </c>
      <c r="D95" s="18" t="s">
        <v>572</v>
      </c>
      <c r="E95" s="18" t="s">
        <v>573</v>
      </c>
      <c r="F95" s="18" t="s">
        <v>361</v>
      </c>
      <c r="G95" s="18" t="s">
        <v>28</v>
      </c>
      <c r="H95" s="18" t="s">
        <v>574</v>
      </c>
      <c r="I95" s="18" t="s">
        <v>44</v>
      </c>
      <c r="J95" s="18" t="s">
        <v>45</v>
      </c>
      <c r="K95" s="18" t="s">
        <v>32</v>
      </c>
      <c r="L95" s="18" t="s">
        <v>33</v>
      </c>
      <c r="M95" s="18">
        <v>18</v>
      </c>
      <c r="N95" s="18">
        <v>2200</v>
      </c>
      <c r="O95" s="18">
        <v>10</v>
      </c>
      <c r="P95" s="18">
        <v>35640</v>
      </c>
      <c r="Q95" s="18">
        <v>3</v>
      </c>
      <c r="R95" s="18" t="s">
        <v>34</v>
      </c>
      <c r="S95" s="18" t="s">
        <v>35</v>
      </c>
      <c r="T95" s="18" t="s">
        <v>175</v>
      </c>
      <c r="U95" s="19" t="s">
        <v>575</v>
      </c>
      <c r="V95" s="18" t="s">
        <v>69</v>
      </c>
      <c r="W95" s="24" t="str">
        <f t="shared" si="1"/>
        <v>Blacklisted</v>
      </c>
    </row>
    <row r="96" spans="1:23">
      <c r="A96" s="15" t="s">
        <v>576</v>
      </c>
      <c r="B96" s="15" t="s">
        <v>327</v>
      </c>
      <c r="C96" s="15" t="s">
        <v>92</v>
      </c>
      <c r="D96" s="15" t="s">
        <v>577</v>
      </c>
      <c r="E96" s="15" t="s">
        <v>578</v>
      </c>
      <c r="F96" s="15" t="s">
        <v>394</v>
      </c>
      <c r="G96" s="15" t="s">
        <v>76</v>
      </c>
      <c r="H96" s="15" t="s">
        <v>579</v>
      </c>
      <c r="I96" s="15" t="s">
        <v>44</v>
      </c>
      <c r="J96" s="15" t="s">
        <v>45</v>
      </c>
      <c r="K96" s="15" t="s">
        <v>32</v>
      </c>
      <c r="L96" s="15" t="s">
        <v>97</v>
      </c>
      <c r="M96" s="15">
        <v>7</v>
      </c>
      <c r="N96" s="15">
        <v>3500</v>
      </c>
      <c r="O96" s="15">
        <v>15</v>
      </c>
      <c r="P96" s="15">
        <v>20825</v>
      </c>
      <c r="Q96" s="15">
        <v>3</v>
      </c>
      <c r="R96" s="15" t="s">
        <v>48</v>
      </c>
      <c r="S96" s="15" t="s">
        <v>49</v>
      </c>
      <c r="T96" s="15" t="s">
        <v>332</v>
      </c>
      <c r="U96" s="17" t="s">
        <v>580</v>
      </c>
      <c r="V96" s="15" t="s">
        <v>38</v>
      </c>
      <c r="W96" s="24" t="str">
        <f t="shared" si="1"/>
        <v>Silver</v>
      </c>
    </row>
    <row r="97" spans="1:23">
      <c r="A97" s="18" t="s">
        <v>581</v>
      </c>
      <c r="B97" s="18" t="s">
        <v>100</v>
      </c>
      <c r="C97" s="18" t="s">
        <v>169</v>
      </c>
      <c r="D97" s="18" t="s">
        <v>582</v>
      </c>
      <c r="E97" s="18" t="s">
        <v>583</v>
      </c>
      <c r="F97" s="18" t="s">
        <v>103</v>
      </c>
      <c r="G97" s="18" t="s">
        <v>28</v>
      </c>
      <c r="H97" s="18" t="s">
        <v>584</v>
      </c>
      <c r="I97" s="18" t="s">
        <v>294</v>
      </c>
      <c r="J97" s="18" t="s">
        <v>295</v>
      </c>
      <c r="K97" s="18" t="s">
        <v>32</v>
      </c>
      <c r="L97" s="18" t="s">
        <v>174</v>
      </c>
      <c r="M97" s="18">
        <v>19</v>
      </c>
      <c r="N97" s="18">
        <v>8500</v>
      </c>
      <c r="O97" s="18">
        <v>15</v>
      </c>
      <c r="P97" s="18">
        <v>137275</v>
      </c>
      <c r="Q97" s="18">
        <v>4</v>
      </c>
      <c r="R97" s="18" t="s">
        <v>79</v>
      </c>
      <c r="S97" s="18" t="s">
        <v>151</v>
      </c>
      <c r="T97" s="18" t="s">
        <v>144</v>
      </c>
      <c r="U97" s="19" t="s">
        <v>585</v>
      </c>
      <c r="V97" s="18" t="s">
        <v>64</v>
      </c>
      <c r="W97" s="24" t="str">
        <f t="shared" si="1"/>
        <v>Blacklisted</v>
      </c>
    </row>
    <row r="98" spans="1:23">
      <c r="A98" s="15" t="s">
        <v>586</v>
      </c>
      <c r="B98" s="15" t="s">
        <v>251</v>
      </c>
      <c r="C98" s="15" t="s">
        <v>40</v>
      </c>
      <c r="D98" s="15" t="s">
        <v>587</v>
      </c>
      <c r="E98" s="15" t="s">
        <v>588</v>
      </c>
      <c r="F98" s="15" t="s">
        <v>254</v>
      </c>
      <c r="G98" s="15" t="s">
        <v>28</v>
      </c>
      <c r="H98" s="15" t="s">
        <v>589</v>
      </c>
      <c r="I98" s="15" t="s">
        <v>138</v>
      </c>
      <c r="J98" s="15" t="s">
        <v>106</v>
      </c>
      <c r="K98" s="15" t="s">
        <v>46</v>
      </c>
      <c r="L98" s="15" t="s">
        <v>47</v>
      </c>
      <c r="M98" s="15">
        <v>13</v>
      </c>
      <c r="N98" s="15">
        <v>12000</v>
      </c>
      <c r="O98" s="15">
        <v>15</v>
      </c>
      <c r="P98" s="15">
        <v>132600</v>
      </c>
      <c r="Q98" s="15">
        <v>4</v>
      </c>
      <c r="R98" s="15" t="s">
        <v>34</v>
      </c>
      <c r="S98" s="15" t="s">
        <v>49</v>
      </c>
      <c r="T98" s="15" t="s">
        <v>256</v>
      </c>
      <c r="U98" s="17" t="s">
        <v>590</v>
      </c>
      <c r="V98" s="15" t="s">
        <v>38</v>
      </c>
      <c r="W98" s="24" t="str">
        <f t="shared" si="1"/>
        <v>Blacklisted</v>
      </c>
    </row>
    <row r="99" spans="1:23">
      <c r="A99" s="18" t="s">
        <v>591</v>
      </c>
      <c r="B99" s="18" t="s">
        <v>327</v>
      </c>
      <c r="C99" s="18" t="s">
        <v>222</v>
      </c>
      <c r="D99" s="18" t="s">
        <v>592</v>
      </c>
      <c r="E99" s="18" t="s">
        <v>398</v>
      </c>
      <c r="F99" s="18" t="s">
        <v>394</v>
      </c>
      <c r="G99" s="18" t="s">
        <v>76</v>
      </c>
      <c r="H99" s="18" t="s">
        <v>593</v>
      </c>
      <c r="I99" s="18" t="s">
        <v>114</v>
      </c>
      <c r="J99" s="18" t="s">
        <v>106</v>
      </c>
      <c r="K99" s="18" t="s">
        <v>122</v>
      </c>
      <c r="L99" s="18" t="s">
        <v>227</v>
      </c>
      <c r="M99" s="18">
        <v>7</v>
      </c>
      <c r="N99" s="18">
        <v>20</v>
      </c>
      <c r="O99" s="18">
        <v>0</v>
      </c>
      <c r="P99" s="18">
        <v>140</v>
      </c>
      <c r="Q99" s="18">
        <v>1</v>
      </c>
      <c r="R99" s="18" t="s">
        <v>79</v>
      </c>
      <c r="S99" s="18" t="s">
        <v>151</v>
      </c>
      <c r="T99" s="18" t="s">
        <v>332</v>
      </c>
      <c r="U99" s="19" t="s">
        <v>594</v>
      </c>
      <c r="V99" s="18" t="s">
        <v>69</v>
      </c>
      <c r="W99" s="24" t="str">
        <f t="shared" si="1"/>
        <v>Blacklisted</v>
      </c>
    </row>
    <row r="100" spans="1:23">
      <c r="A100" s="15" t="s">
        <v>595</v>
      </c>
      <c r="B100" s="15" t="s">
        <v>168</v>
      </c>
      <c r="C100" s="15" t="s">
        <v>184</v>
      </c>
      <c r="D100" s="15" t="s">
        <v>596</v>
      </c>
      <c r="E100" s="15" t="s">
        <v>597</v>
      </c>
      <c r="F100" s="15" t="s">
        <v>361</v>
      </c>
      <c r="G100" s="15" t="s">
        <v>28</v>
      </c>
      <c r="H100" s="15" t="s">
        <v>598</v>
      </c>
      <c r="I100" s="15" t="s">
        <v>44</v>
      </c>
      <c r="J100" s="15" t="s">
        <v>45</v>
      </c>
      <c r="K100" s="15" t="s">
        <v>46</v>
      </c>
      <c r="L100" s="15" t="s">
        <v>189</v>
      </c>
      <c r="M100" s="15">
        <v>5</v>
      </c>
      <c r="N100" s="15">
        <v>700</v>
      </c>
      <c r="O100" s="15">
        <v>15</v>
      </c>
      <c r="P100" s="15">
        <v>999999</v>
      </c>
      <c r="Q100" s="15">
        <v>4</v>
      </c>
      <c r="R100" s="15" t="s">
        <v>79</v>
      </c>
      <c r="S100" s="15" t="s">
        <v>35</v>
      </c>
      <c r="T100" s="15" t="s">
        <v>175</v>
      </c>
      <c r="U100" s="17" t="s">
        <v>599</v>
      </c>
      <c r="V100" s="15" t="s">
        <v>64</v>
      </c>
      <c r="W100" s="24" t="str">
        <f t="shared" si="1"/>
        <v>Blacklisted</v>
      </c>
    </row>
    <row r="101" spans="1:23">
      <c r="A101" s="18" t="s">
        <v>600</v>
      </c>
      <c r="B101" s="18" t="s">
        <v>83</v>
      </c>
      <c r="C101" s="18" t="s">
        <v>259</v>
      </c>
      <c r="D101" s="18" t="s">
        <v>583</v>
      </c>
      <c r="E101" s="18" t="s">
        <v>601</v>
      </c>
      <c r="F101" s="18" t="s">
        <v>180</v>
      </c>
      <c r="G101" s="18" t="s">
        <v>76</v>
      </c>
      <c r="H101" s="18" t="s">
        <v>602</v>
      </c>
      <c r="I101" s="18" t="s">
        <v>59</v>
      </c>
      <c r="J101" s="18" t="s">
        <v>31</v>
      </c>
      <c r="K101" s="18" t="s">
        <v>122</v>
      </c>
      <c r="L101" s="18" t="s">
        <v>263</v>
      </c>
      <c r="M101" s="18">
        <v>9</v>
      </c>
      <c r="N101" s="18">
        <v>45</v>
      </c>
      <c r="O101" s="18">
        <v>5</v>
      </c>
      <c r="P101" s="18">
        <v>384.75</v>
      </c>
      <c r="Q101" s="18">
        <v>3</v>
      </c>
      <c r="R101" s="18" t="s">
        <v>34</v>
      </c>
      <c r="S101" s="18" t="s">
        <v>35</v>
      </c>
      <c r="T101" s="18" t="s">
        <v>89</v>
      </c>
      <c r="U101" s="19" t="s">
        <v>603</v>
      </c>
      <c r="V101" s="18" t="s">
        <v>38</v>
      </c>
      <c r="W101" s="24" t="str">
        <f t="shared" si="1"/>
        <v>Silver</v>
      </c>
    </row>
    <row r="102" spans="1:23">
      <c r="A102" s="15" t="s">
        <v>604</v>
      </c>
      <c r="B102" s="15" t="s">
        <v>127</v>
      </c>
      <c r="C102" s="15" t="s">
        <v>118</v>
      </c>
      <c r="D102" s="15" t="s">
        <v>605</v>
      </c>
      <c r="E102" s="15" t="s">
        <v>606</v>
      </c>
      <c r="F102" s="15" t="s">
        <v>200</v>
      </c>
      <c r="G102" s="15" t="s">
        <v>76</v>
      </c>
      <c r="H102" s="15" t="s">
        <v>607</v>
      </c>
      <c r="I102" s="15" t="s">
        <v>294</v>
      </c>
      <c r="J102" s="15" t="s">
        <v>295</v>
      </c>
      <c r="K102" s="15" t="s">
        <v>122</v>
      </c>
      <c r="L102" s="15" t="s">
        <v>123</v>
      </c>
      <c r="M102" s="15">
        <v>19</v>
      </c>
      <c r="N102" s="15">
        <v>60</v>
      </c>
      <c r="O102" s="15">
        <v>10</v>
      </c>
      <c r="P102" s="15">
        <v>1026</v>
      </c>
      <c r="Q102" s="15">
        <v>5</v>
      </c>
      <c r="R102" s="15" t="s">
        <v>48</v>
      </c>
      <c r="S102" s="15" t="s">
        <v>115</v>
      </c>
      <c r="T102" s="15" t="s">
        <v>132</v>
      </c>
      <c r="U102" s="17" t="s">
        <v>608</v>
      </c>
      <c r="V102" s="15" t="s">
        <v>38</v>
      </c>
      <c r="W102" s="24" t="str">
        <f t="shared" si="1"/>
        <v>Silver</v>
      </c>
    </row>
    <row r="103" spans="1:23">
      <c r="A103" s="18" t="s">
        <v>609</v>
      </c>
      <c r="B103" s="18" t="s">
        <v>327</v>
      </c>
      <c r="C103" s="18" t="s">
        <v>184</v>
      </c>
      <c r="D103" s="18" t="s">
        <v>610</v>
      </c>
      <c r="E103" s="18" t="s">
        <v>611</v>
      </c>
      <c r="F103" s="18" t="s">
        <v>394</v>
      </c>
      <c r="G103" s="18" t="s">
        <v>76</v>
      </c>
      <c r="H103" s="18" t="s">
        <v>612</v>
      </c>
      <c r="I103" s="18" t="s">
        <v>138</v>
      </c>
      <c r="J103" s="18" t="s">
        <v>106</v>
      </c>
      <c r="K103" s="18" t="s">
        <v>46</v>
      </c>
      <c r="L103" s="18" t="s">
        <v>189</v>
      </c>
      <c r="M103" s="18">
        <v>4</v>
      </c>
      <c r="N103" s="18">
        <v>700</v>
      </c>
      <c r="O103" s="18">
        <v>5</v>
      </c>
      <c r="P103" s="18">
        <v>2660</v>
      </c>
      <c r="Q103" s="18">
        <v>3</v>
      </c>
      <c r="R103" s="18" t="s">
        <v>48</v>
      </c>
      <c r="S103" s="18" t="s">
        <v>61</v>
      </c>
      <c r="T103" s="18" t="s">
        <v>332</v>
      </c>
      <c r="U103" s="19" t="s">
        <v>613</v>
      </c>
      <c r="V103" s="18" t="s">
        <v>38</v>
      </c>
      <c r="W103" s="24" t="str">
        <f t="shared" si="1"/>
        <v>Silver</v>
      </c>
    </row>
    <row r="104" spans="1:23">
      <c r="A104" s="15" t="s">
        <v>614</v>
      </c>
      <c r="B104" s="15" t="s">
        <v>327</v>
      </c>
      <c r="C104" s="15" t="s">
        <v>92</v>
      </c>
      <c r="D104" s="15" t="s">
        <v>583</v>
      </c>
      <c r="E104" s="15" t="s">
        <v>615</v>
      </c>
      <c r="F104" s="15" t="s">
        <v>394</v>
      </c>
      <c r="G104" s="15" t="s">
        <v>76</v>
      </c>
      <c r="H104" s="15" t="s">
        <v>616</v>
      </c>
      <c r="I104" s="15" t="s">
        <v>114</v>
      </c>
      <c r="J104" s="15" t="s">
        <v>106</v>
      </c>
      <c r="K104" s="15" t="s">
        <v>32</v>
      </c>
      <c r="L104" s="15" t="s">
        <v>97</v>
      </c>
      <c r="M104" s="15">
        <v>16</v>
      </c>
      <c r="N104" s="15">
        <v>3500</v>
      </c>
      <c r="O104" s="15">
        <v>0</v>
      </c>
      <c r="P104" s="15">
        <v>56000</v>
      </c>
      <c r="Q104" s="15">
        <v>2</v>
      </c>
      <c r="R104" s="15" t="s">
        <v>79</v>
      </c>
      <c r="S104" s="15" t="s">
        <v>49</v>
      </c>
      <c r="T104" s="15" t="s">
        <v>332</v>
      </c>
      <c r="U104" s="17" t="s">
        <v>617</v>
      </c>
      <c r="V104" s="15" t="s">
        <v>38</v>
      </c>
      <c r="W104" s="24" t="str">
        <f t="shared" si="1"/>
        <v>Blacklisted</v>
      </c>
    </row>
    <row r="105" spans="1:23">
      <c r="A105" s="18" t="s">
        <v>618</v>
      </c>
      <c r="B105" s="18" t="s">
        <v>251</v>
      </c>
      <c r="C105" s="18" t="s">
        <v>259</v>
      </c>
      <c r="D105" s="18" t="s">
        <v>619</v>
      </c>
      <c r="E105" s="18" t="s">
        <v>620</v>
      </c>
      <c r="F105" s="18" t="s">
        <v>254</v>
      </c>
      <c r="G105" s="18" t="s">
        <v>28</v>
      </c>
      <c r="H105" s="18" t="s">
        <v>621</v>
      </c>
      <c r="I105" s="18" t="s">
        <v>59</v>
      </c>
      <c r="J105" s="18" t="s">
        <v>31</v>
      </c>
      <c r="K105" s="18" t="s">
        <v>122</v>
      </c>
      <c r="L105" s="18" t="s">
        <v>263</v>
      </c>
      <c r="M105" s="18">
        <v>5</v>
      </c>
      <c r="N105" s="18">
        <v>45</v>
      </c>
      <c r="O105" s="18">
        <v>20</v>
      </c>
      <c r="P105" s="18">
        <v>180</v>
      </c>
      <c r="Q105" s="18">
        <v>3</v>
      </c>
      <c r="R105" s="18" t="s">
        <v>79</v>
      </c>
      <c r="S105" s="18" t="s">
        <v>35</v>
      </c>
      <c r="T105" s="18" t="s">
        <v>256</v>
      </c>
      <c r="U105" s="19" t="s">
        <v>622</v>
      </c>
      <c r="V105" s="18" t="s">
        <v>38</v>
      </c>
      <c r="W105" s="24" t="str">
        <f t="shared" si="1"/>
        <v>Silver</v>
      </c>
    </row>
    <row r="106" spans="1:23">
      <c r="A106" s="15" t="s">
        <v>623</v>
      </c>
      <c r="B106" s="15" t="s">
        <v>83</v>
      </c>
      <c r="C106" s="15" t="s">
        <v>222</v>
      </c>
      <c r="D106" s="15" t="s">
        <v>624</v>
      </c>
      <c r="E106" s="15" t="s">
        <v>525</v>
      </c>
      <c r="F106" s="15" t="s">
        <v>180</v>
      </c>
      <c r="G106" s="15" t="s">
        <v>76</v>
      </c>
      <c r="H106" s="15" t="s">
        <v>625</v>
      </c>
      <c r="I106" s="15" t="s">
        <v>105</v>
      </c>
      <c r="J106" s="15" t="s">
        <v>106</v>
      </c>
      <c r="K106" s="15" t="s">
        <v>122</v>
      </c>
      <c r="L106" s="15" t="s">
        <v>227</v>
      </c>
      <c r="M106" s="15">
        <v>9</v>
      </c>
      <c r="N106" s="15">
        <v>20</v>
      </c>
      <c r="O106" s="15">
        <v>10</v>
      </c>
      <c r="P106" s="15">
        <v>162</v>
      </c>
      <c r="Q106" s="15">
        <v>4</v>
      </c>
      <c r="R106" s="15" t="s">
        <v>79</v>
      </c>
      <c r="S106" s="15" t="s">
        <v>35</v>
      </c>
      <c r="T106" s="15" t="s">
        <v>89</v>
      </c>
      <c r="U106" s="17" t="s">
        <v>626</v>
      </c>
      <c r="V106" s="15" t="s">
        <v>64</v>
      </c>
      <c r="W106" s="24" t="str">
        <f t="shared" si="1"/>
        <v>Blacklisted</v>
      </c>
    </row>
    <row r="107" spans="1:23">
      <c r="A107" s="18" t="s">
        <v>627</v>
      </c>
      <c r="B107" s="18" t="s">
        <v>53</v>
      </c>
      <c r="C107" s="18" t="s">
        <v>72</v>
      </c>
      <c r="D107" s="18" t="s">
        <v>628</v>
      </c>
      <c r="E107" s="18" t="s">
        <v>431</v>
      </c>
      <c r="F107" s="18" t="s">
        <v>163</v>
      </c>
      <c r="G107" s="18" t="s">
        <v>28</v>
      </c>
      <c r="H107" s="18" t="s">
        <v>629</v>
      </c>
      <c r="I107" s="18" t="s">
        <v>44</v>
      </c>
      <c r="J107" s="18" t="s">
        <v>45</v>
      </c>
      <c r="K107" s="18" t="s">
        <v>46</v>
      </c>
      <c r="L107" s="18" t="s">
        <v>78</v>
      </c>
      <c r="M107" s="18">
        <v>9</v>
      </c>
      <c r="N107" s="18">
        <v>1200</v>
      </c>
      <c r="O107" s="18">
        <v>5</v>
      </c>
      <c r="P107" s="18">
        <v>10260</v>
      </c>
      <c r="Q107" s="18">
        <v>3</v>
      </c>
      <c r="R107" s="18" t="s">
        <v>88</v>
      </c>
      <c r="S107" s="18" t="s">
        <v>35</v>
      </c>
      <c r="T107" s="18" t="s">
        <v>62</v>
      </c>
      <c r="U107" s="19" t="s">
        <v>630</v>
      </c>
      <c r="V107" s="18" t="s">
        <v>64</v>
      </c>
      <c r="W107" s="24" t="str">
        <f t="shared" si="1"/>
        <v>Blacklisted</v>
      </c>
    </row>
    <row r="108" spans="1:23">
      <c r="A108" s="15" t="s">
        <v>631</v>
      </c>
      <c r="B108" s="15" t="s">
        <v>100</v>
      </c>
      <c r="C108" s="15" t="s">
        <v>92</v>
      </c>
      <c r="D108" s="15" t="s">
        <v>387</v>
      </c>
      <c r="E108" s="15" t="s">
        <v>632</v>
      </c>
      <c r="F108" s="15" t="s">
        <v>103</v>
      </c>
      <c r="G108" s="15" t="s">
        <v>28</v>
      </c>
      <c r="H108" s="15" t="s">
        <v>633</v>
      </c>
      <c r="I108" s="15" t="s">
        <v>44</v>
      </c>
      <c r="J108" s="15" t="s">
        <v>45</v>
      </c>
      <c r="K108" s="15" t="s">
        <v>32</v>
      </c>
      <c r="L108" s="15" t="s">
        <v>97</v>
      </c>
      <c r="M108" s="15">
        <v>3</v>
      </c>
      <c r="N108" s="15">
        <v>3500</v>
      </c>
      <c r="O108" s="15">
        <v>10</v>
      </c>
      <c r="P108" s="15">
        <v>9450</v>
      </c>
      <c r="Q108" s="15">
        <v>2</v>
      </c>
      <c r="R108" s="15" t="s">
        <v>79</v>
      </c>
      <c r="S108" s="15" t="s">
        <v>151</v>
      </c>
      <c r="T108" s="15" t="s">
        <v>144</v>
      </c>
      <c r="U108" s="17" t="s">
        <v>634</v>
      </c>
      <c r="V108" s="15" t="s">
        <v>69</v>
      </c>
      <c r="W108" s="24" t="str">
        <f t="shared" si="1"/>
        <v>Blacklisted</v>
      </c>
    </row>
    <row r="109" spans="1:23">
      <c r="A109" s="18" t="s">
        <v>635</v>
      </c>
      <c r="B109" s="18" t="s">
        <v>221</v>
      </c>
      <c r="C109" s="18" t="s">
        <v>72</v>
      </c>
      <c r="D109" s="18" t="s">
        <v>241</v>
      </c>
      <c r="E109" s="18" t="s">
        <v>636</v>
      </c>
      <c r="F109" s="18" t="s">
        <v>225</v>
      </c>
      <c r="G109" s="18" t="s">
        <v>76</v>
      </c>
      <c r="H109" s="18" t="s">
        <v>637</v>
      </c>
      <c r="I109" s="18" t="s">
        <v>105</v>
      </c>
      <c r="J109" s="18" t="s">
        <v>106</v>
      </c>
      <c r="K109" s="18" t="s">
        <v>46</v>
      </c>
      <c r="L109" s="18" t="s">
        <v>78</v>
      </c>
      <c r="M109" s="18">
        <v>6</v>
      </c>
      <c r="N109" s="18">
        <v>1200</v>
      </c>
      <c r="O109" s="18">
        <v>15</v>
      </c>
      <c r="P109" s="18">
        <v>6120</v>
      </c>
      <c r="Q109" s="18">
        <v>4</v>
      </c>
      <c r="R109" s="18" t="s">
        <v>88</v>
      </c>
      <c r="S109" s="18" t="s">
        <v>35</v>
      </c>
      <c r="T109" s="18" t="s">
        <v>228</v>
      </c>
      <c r="U109" s="19" t="s">
        <v>638</v>
      </c>
      <c r="V109" s="18" t="s">
        <v>69</v>
      </c>
      <c r="W109" s="24" t="str">
        <f t="shared" si="1"/>
        <v>Blacklisted</v>
      </c>
    </row>
    <row r="110" spans="1:23">
      <c r="A110" s="15" t="s">
        <v>639</v>
      </c>
      <c r="B110" s="15" t="s">
        <v>83</v>
      </c>
      <c r="C110" s="15" t="s">
        <v>72</v>
      </c>
      <c r="D110" s="15" t="s">
        <v>640</v>
      </c>
      <c r="E110" s="15" t="s">
        <v>641</v>
      </c>
      <c r="F110" s="15" t="s">
        <v>180</v>
      </c>
      <c r="G110" s="15" t="s">
        <v>76</v>
      </c>
      <c r="H110" s="15" t="s">
        <v>642</v>
      </c>
      <c r="I110" s="15" t="s">
        <v>212</v>
      </c>
      <c r="J110" s="15" t="s">
        <v>45</v>
      </c>
      <c r="K110" s="15" t="s">
        <v>46</v>
      </c>
      <c r="L110" s="15" t="s">
        <v>78</v>
      </c>
      <c r="M110" s="15">
        <v>17</v>
      </c>
      <c r="N110" s="15">
        <v>1200</v>
      </c>
      <c r="O110" s="15">
        <v>15</v>
      </c>
      <c r="P110" s="15">
        <v>17340</v>
      </c>
      <c r="Q110" s="15">
        <v>1</v>
      </c>
      <c r="R110" s="15" t="s">
        <v>34</v>
      </c>
      <c r="S110" s="15" t="s">
        <v>61</v>
      </c>
      <c r="T110" s="15" t="s">
        <v>89</v>
      </c>
      <c r="U110" s="17" t="s">
        <v>643</v>
      </c>
      <c r="V110" s="15" t="s">
        <v>38</v>
      </c>
      <c r="W110" s="24" t="str">
        <f t="shared" si="1"/>
        <v>Blacklisted</v>
      </c>
    </row>
    <row r="111" spans="1:23">
      <c r="A111" s="18" t="s">
        <v>644</v>
      </c>
      <c r="B111" s="18" t="s">
        <v>221</v>
      </c>
      <c r="C111" s="18" t="s">
        <v>169</v>
      </c>
      <c r="D111" s="18" t="s">
        <v>645</v>
      </c>
      <c r="E111" s="18" t="s">
        <v>287</v>
      </c>
      <c r="F111" s="18" t="s">
        <v>225</v>
      </c>
      <c r="G111" s="18" t="s">
        <v>76</v>
      </c>
      <c r="H111" s="18" t="s">
        <v>646</v>
      </c>
      <c r="I111" s="18" t="s">
        <v>59</v>
      </c>
      <c r="J111" s="18" t="s">
        <v>31</v>
      </c>
      <c r="K111" s="18" t="s">
        <v>32</v>
      </c>
      <c r="L111" s="18" t="s">
        <v>174</v>
      </c>
      <c r="M111" s="18">
        <v>15</v>
      </c>
      <c r="N111" s="18">
        <v>8500</v>
      </c>
      <c r="O111" s="18">
        <v>0</v>
      </c>
      <c r="P111" s="18">
        <v>127500</v>
      </c>
      <c r="Q111" s="18">
        <v>3</v>
      </c>
      <c r="R111" s="18" t="s">
        <v>34</v>
      </c>
      <c r="S111" s="18" t="s">
        <v>115</v>
      </c>
      <c r="T111" s="18" t="s">
        <v>228</v>
      </c>
      <c r="U111" s="19" t="s">
        <v>647</v>
      </c>
      <c r="V111" s="18" t="s">
        <v>64</v>
      </c>
      <c r="W111" s="24" t="str">
        <f t="shared" si="1"/>
        <v>Blacklisted</v>
      </c>
    </row>
    <row r="112" spans="1:23">
      <c r="A112" s="15" t="s">
        <v>648</v>
      </c>
      <c r="B112" s="15" t="s">
        <v>127</v>
      </c>
      <c r="C112" s="15" t="s">
        <v>72</v>
      </c>
      <c r="D112" s="15" t="s">
        <v>101</v>
      </c>
      <c r="E112" s="15" t="s">
        <v>102</v>
      </c>
      <c r="F112" s="15" t="s">
        <v>200</v>
      </c>
      <c r="G112" s="15" t="s">
        <v>76</v>
      </c>
      <c r="H112" s="15" t="s">
        <v>649</v>
      </c>
      <c r="I112" s="15" t="s">
        <v>30</v>
      </c>
      <c r="J112" s="15" t="s">
        <v>31</v>
      </c>
      <c r="K112" s="15" t="s">
        <v>46</v>
      </c>
      <c r="L112" s="15" t="s">
        <v>78</v>
      </c>
      <c r="M112" s="15">
        <v>1</v>
      </c>
      <c r="N112" s="15">
        <v>1200</v>
      </c>
      <c r="O112" s="15">
        <v>20</v>
      </c>
      <c r="P112" s="15">
        <v>960</v>
      </c>
      <c r="Q112" s="15">
        <v>1</v>
      </c>
      <c r="R112" s="15" t="s">
        <v>88</v>
      </c>
      <c r="S112" s="15" t="s">
        <v>115</v>
      </c>
      <c r="T112" s="15" t="s">
        <v>132</v>
      </c>
      <c r="U112" s="17" t="s">
        <v>650</v>
      </c>
      <c r="V112" s="15" t="s">
        <v>64</v>
      </c>
      <c r="W112" s="24" t="str">
        <f t="shared" si="1"/>
        <v>Blacklisted</v>
      </c>
    </row>
    <row r="113" spans="1:23">
      <c r="A113" s="18" t="s">
        <v>651</v>
      </c>
      <c r="B113" s="18" t="s">
        <v>127</v>
      </c>
      <c r="C113" s="18" t="s">
        <v>169</v>
      </c>
      <c r="D113" s="18" t="s">
        <v>652</v>
      </c>
      <c r="E113" s="18" t="s">
        <v>539</v>
      </c>
      <c r="F113" s="18" t="s">
        <v>200</v>
      </c>
      <c r="G113" s="18" t="s">
        <v>76</v>
      </c>
      <c r="H113" s="18" t="s">
        <v>653</v>
      </c>
      <c r="I113" s="18" t="s">
        <v>294</v>
      </c>
      <c r="J113" s="18" t="s">
        <v>295</v>
      </c>
      <c r="K113" s="18" t="s">
        <v>32</v>
      </c>
      <c r="L113" s="18" t="s">
        <v>174</v>
      </c>
      <c r="M113" s="18">
        <v>5</v>
      </c>
      <c r="N113" s="18">
        <v>8500</v>
      </c>
      <c r="O113" s="18">
        <v>10</v>
      </c>
      <c r="P113" s="18">
        <v>38250</v>
      </c>
      <c r="Q113" s="18">
        <v>1</v>
      </c>
      <c r="R113" s="18" t="s">
        <v>79</v>
      </c>
      <c r="S113" s="18" t="s">
        <v>61</v>
      </c>
      <c r="T113" s="18" t="s">
        <v>132</v>
      </c>
      <c r="U113" s="19" t="s">
        <v>654</v>
      </c>
      <c r="V113" s="18" t="s">
        <v>38</v>
      </c>
      <c r="W113" s="24" t="str">
        <f t="shared" si="1"/>
        <v>Blacklisted</v>
      </c>
    </row>
    <row r="114" spans="1:23">
      <c r="A114" s="15" t="s">
        <v>655</v>
      </c>
      <c r="B114" s="15" t="s">
        <v>53</v>
      </c>
      <c r="C114" s="15" t="s">
        <v>259</v>
      </c>
      <c r="D114" s="15" t="s">
        <v>656</v>
      </c>
      <c r="E114" s="15" t="s">
        <v>657</v>
      </c>
      <c r="F114" s="15" t="s">
        <v>163</v>
      </c>
      <c r="G114" s="15" t="s">
        <v>28</v>
      </c>
      <c r="H114" s="15" t="s">
        <v>658</v>
      </c>
      <c r="I114" s="15" t="s">
        <v>30</v>
      </c>
      <c r="J114" s="15" t="s">
        <v>31</v>
      </c>
      <c r="K114" s="15" t="s">
        <v>122</v>
      </c>
      <c r="L114" s="15" t="s">
        <v>263</v>
      </c>
      <c r="M114" s="15">
        <v>12</v>
      </c>
      <c r="N114" s="15">
        <v>45</v>
      </c>
      <c r="O114" s="15">
        <v>5</v>
      </c>
      <c r="P114" s="15">
        <v>513</v>
      </c>
      <c r="Q114" s="15">
        <v>2</v>
      </c>
      <c r="R114" s="15" t="s">
        <v>48</v>
      </c>
      <c r="S114" s="15" t="s">
        <v>35</v>
      </c>
      <c r="T114" s="15" t="s">
        <v>62</v>
      </c>
      <c r="U114" s="17" t="s">
        <v>659</v>
      </c>
      <c r="V114" s="15" t="s">
        <v>69</v>
      </c>
      <c r="W114" s="24" t="str">
        <f t="shared" si="1"/>
        <v>Blacklisted</v>
      </c>
    </row>
    <row r="115" spans="1:23">
      <c r="A115" s="18" t="s">
        <v>660</v>
      </c>
      <c r="B115" s="18" t="s">
        <v>221</v>
      </c>
      <c r="C115" s="18" t="s">
        <v>118</v>
      </c>
      <c r="D115" s="18" t="s">
        <v>341</v>
      </c>
      <c r="E115" s="18" t="s">
        <v>661</v>
      </c>
      <c r="F115" s="18" t="s">
        <v>225</v>
      </c>
      <c r="G115" s="18" t="s">
        <v>76</v>
      </c>
      <c r="H115" s="18" t="s">
        <v>662</v>
      </c>
      <c r="I115" s="18" t="s">
        <v>114</v>
      </c>
      <c r="J115" s="18" t="s">
        <v>106</v>
      </c>
      <c r="K115" s="18" t="s">
        <v>122</v>
      </c>
      <c r="L115" s="18" t="s">
        <v>123</v>
      </c>
      <c r="M115" s="18">
        <v>5</v>
      </c>
      <c r="N115" s="18">
        <v>60</v>
      </c>
      <c r="O115" s="18">
        <v>5</v>
      </c>
      <c r="P115" s="18">
        <v>285</v>
      </c>
      <c r="Q115" s="18">
        <v>2</v>
      </c>
      <c r="R115" s="18" t="s">
        <v>34</v>
      </c>
      <c r="S115" s="18" t="s">
        <v>61</v>
      </c>
      <c r="T115" s="18" t="s">
        <v>228</v>
      </c>
      <c r="U115" s="19" t="s">
        <v>663</v>
      </c>
      <c r="V115" s="18" t="s">
        <v>38</v>
      </c>
      <c r="W115" s="24" t="str">
        <f t="shared" si="1"/>
        <v>Blacklisted</v>
      </c>
    </row>
    <row r="116" spans="1:23">
      <c r="A116" s="15" t="s">
        <v>664</v>
      </c>
      <c r="B116" s="15" t="s">
        <v>53</v>
      </c>
      <c r="C116" s="15" t="s">
        <v>184</v>
      </c>
      <c r="D116" s="15" t="s">
        <v>665</v>
      </c>
      <c r="E116" s="15" t="s">
        <v>666</v>
      </c>
      <c r="F116" s="15" t="s">
        <v>163</v>
      </c>
      <c r="G116" s="15" t="s">
        <v>28</v>
      </c>
      <c r="H116" s="15" t="s">
        <v>667</v>
      </c>
      <c r="I116" s="15" t="s">
        <v>294</v>
      </c>
      <c r="J116" s="15" t="s">
        <v>295</v>
      </c>
      <c r="K116" s="15" t="s">
        <v>46</v>
      </c>
      <c r="L116" s="15" t="s">
        <v>189</v>
      </c>
      <c r="M116" s="15">
        <v>3</v>
      </c>
      <c r="N116" s="15">
        <v>700</v>
      </c>
      <c r="O116" s="15">
        <v>0</v>
      </c>
      <c r="P116" s="15">
        <v>2100</v>
      </c>
      <c r="Q116" s="15">
        <v>4</v>
      </c>
      <c r="R116" s="15" t="s">
        <v>79</v>
      </c>
      <c r="S116" s="15" t="s">
        <v>61</v>
      </c>
      <c r="T116" s="15" t="s">
        <v>62</v>
      </c>
      <c r="U116" s="17" t="s">
        <v>668</v>
      </c>
      <c r="V116" s="15" t="s">
        <v>38</v>
      </c>
      <c r="W116" s="24" t="str">
        <f t="shared" si="1"/>
        <v>Silver</v>
      </c>
    </row>
    <row r="117" spans="1:23">
      <c r="A117" s="18" t="s">
        <v>669</v>
      </c>
      <c r="B117" s="18" t="s">
        <v>168</v>
      </c>
      <c r="C117" s="18" t="s">
        <v>222</v>
      </c>
      <c r="D117" s="18" t="s">
        <v>335</v>
      </c>
      <c r="E117" s="18" t="s">
        <v>606</v>
      </c>
      <c r="F117" s="18" t="s">
        <v>361</v>
      </c>
      <c r="G117" s="18" t="s">
        <v>28</v>
      </c>
      <c r="H117" s="18" t="s">
        <v>670</v>
      </c>
      <c r="I117" s="18" t="s">
        <v>44</v>
      </c>
      <c r="J117" s="18" t="s">
        <v>45</v>
      </c>
      <c r="K117" s="18" t="s">
        <v>122</v>
      </c>
      <c r="L117" s="18" t="s">
        <v>227</v>
      </c>
      <c r="M117" s="18">
        <v>6</v>
      </c>
      <c r="N117" s="18">
        <v>20</v>
      </c>
      <c r="O117" s="18">
        <v>15</v>
      </c>
      <c r="P117" s="18">
        <v>102</v>
      </c>
      <c r="Q117" s="18">
        <v>5</v>
      </c>
      <c r="R117" s="18" t="s">
        <v>79</v>
      </c>
      <c r="S117" s="18" t="s">
        <v>151</v>
      </c>
      <c r="T117" s="18" t="s">
        <v>175</v>
      </c>
      <c r="U117" s="19" t="s">
        <v>671</v>
      </c>
      <c r="V117" s="18" t="s">
        <v>38</v>
      </c>
      <c r="W117" s="24" t="str">
        <f t="shared" si="1"/>
        <v>Silver</v>
      </c>
    </row>
    <row r="118" spans="1:23">
      <c r="A118" s="15" t="s">
        <v>672</v>
      </c>
      <c r="B118" s="15" t="s">
        <v>100</v>
      </c>
      <c r="C118" s="15" t="s">
        <v>184</v>
      </c>
      <c r="D118" s="15" t="s">
        <v>673</v>
      </c>
      <c r="E118" s="15" t="s">
        <v>674</v>
      </c>
      <c r="F118" s="15" t="s">
        <v>103</v>
      </c>
      <c r="G118" s="15" t="s">
        <v>28</v>
      </c>
      <c r="H118" s="15" t="s">
        <v>675</v>
      </c>
      <c r="I118" s="15" t="s">
        <v>59</v>
      </c>
      <c r="J118" s="15" t="s">
        <v>31</v>
      </c>
      <c r="K118" s="15" t="s">
        <v>46</v>
      </c>
      <c r="L118" s="15" t="s">
        <v>189</v>
      </c>
      <c r="M118" s="15">
        <v>2</v>
      </c>
      <c r="N118" s="15">
        <v>700</v>
      </c>
      <c r="O118" s="15">
        <v>15</v>
      </c>
      <c r="P118" s="15">
        <v>1190</v>
      </c>
      <c r="Q118" s="15">
        <v>4</v>
      </c>
      <c r="R118" s="15" t="s">
        <v>34</v>
      </c>
      <c r="S118" s="15" t="s">
        <v>151</v>
      </c>
      <c r="T118" s="15" t="s">
        <v>144</v>
      </c>
      <c r="U118" s="17" t="s">
        <v>676</v>
      </c>
      <c r="V118" s="15" t="s">
        <v>64</v>
      </c>
      <c r="W118" s="24" t="str">
        <f t="shared" si="1"/>
        <v>Blacklisted</v>
      </c>
    </row>
    <row r="119" spans="1:23">
      <c r="A119" s="18" t="s">
        <v>677</v>
      </c>
      <c r="B119" s="18" t="s">
        <v>327</v>
      </c>
      <c r="C119" s="18" t="s">
        <v>259</v>
      </c>
      <c r="D119" s="18" t="s">
        <v>678</v>
      </c>
      <c r="E119" s="18" t="s">
        <v>679</v>
      </c>
      <c r="F119" s="18" t="s">
        <v>394</v>
      </c>
      <c r="G119" s="18" t="s">
        <v>76</v>
      </c>
      <c r="H119" s="18" t="s">
        <v>680</v>
      </c>
      <c r="I119" s="18" t="s">
        <v>114</v>
      </c>
      <c r="J119" s="18" t="s">
        <v>106</v>
      </c>
      <c r="K119" s="18" t="s">
        <v>122</v>
      </c>
      <c r="L119" s="18" t="s">
        <v>263</v>
      </c>
      <c r="M119" s="18">
        <v>16</v>
      </c>
      <c r="N119" s="18">
        <v>45</v>
      </c>
      <c r="O119" s="18">
        <v>0</v>
      </c>
      <c r="P119" s="18">
        <v>720</v>
      </c>
      <c r="Q119" s="18">
        <v>1</v>
      </c>
      <c r="R119" s="18" t="s">
        <v>48</v>
      </c>
      <c r="S119" s="18" t="s">
        <v>61</v>
      </c>
      <c r="T119" s="18" t="s">
        <v>332</v>
      </c>
      <c r="U119" s="19" t="s">
        <v>681</v>
      </c>
      <c r="V119" s="18" t="s">
        <v>38</v>
      </c>
      <c r="W119" s="24" t="str">
        <f t="shared" si="1"/>
        <v>Blacklisted</v>
      </c>
    </row>
    <row r="120" spans="1:23">
      <c r="A120" s="15" t="s">
        <v>682</v>
      </c>
      <c r="B120" s="15" t="s">
        <v>71</v>
      </c>
      <c r="C120" s="15" t="s">
        <v>72</v>
      </c>
      <c r="D120" s="15" t="s">
        <v>683</v>
      </c>
      <c r="E120" s="15" t="s">
        <v>684</v>
      </c>
      <c r="F120" s="15" t="s">
        <v>217</v>
      </c>
      <c r="G120" s="15" t="s">
        <v>76</v>
      </c>
      <c r="H120" s="15" t="s">
        <v>685</v>
      </c>
      <c r="I120" s="15" t="s">
        <v>138</v>
      </c>
      <c r="J120" s="15" t="s">
        <v>106</v>
      </c>
      <c r="K120" s="15" t="s">
        <v>46</v>
      </c>
      <c r="L120" s="15" t="s">
        <v>78</v>
      </c>
      <c r="M120" s="15" t="s">
        <v>686</v>
      </c>
      <c r="N120" s="15">
        <v>1200</v>
      </c>
      <c r="O120" s="15">
        <v>15</v>
      </c>
      <c r="P120" s="15">
        <v>7140</v>
      </c>
      <c r="Q120" s="15">
        <v>4</v>
      </c>
      <c r="R120" s="15" t="s">
        <v>88</v>
      </c>
      <c r="S120" s="15" t="s">
        <v>151</v>
      </c>
      <c r="T120" s="15" t="s">
        <v>80</v>
      </c>
      <c r="U120" s="17" t="s">
        <v>687</v>
      </c>
      <c r="V120" s="15" t="s">
        <v>64</v>
      </c>
      <c r="W120" s="24" t="str">
        <f t="shared" si="1"/>
        <v>Blacklisted</v>
      </c>
    </row>
    <row r="121" spans="1:23">
      <c r="A121" s="18" t="s">
        <v>688</v>
      </c>
      <c r="B121" s="18" t="s">
        <v>100</v>
      </c>
      <c r="C121" s="18" t="s">
        <v>40</v>
      </c>
      <c r="D121" s="18" t="s">
        <v>376</v>
      </c>
      <c r="E121" s="18" t="s">
        <v>469</v>
      </c>
      <c r="F121" s="18" t="s">
        <v>103</v>
      </c>
      <c r="G121" s="18" t="s">
        <v>28</v>
      </c>
      <c r="H121" s="18" t="s">
        <v>689</v>
      </c>
      <c r="I121" s="18" t="s">
        <v>212</v>
      </c>
      <c r="J121" s="18" t="s">
        <v>45</v>
      </c>
      <c r="K121" s="18" t="s">
        <v>46</v>
      </c>
      <c r="L121" s="18" t="s">
        <v>47</v>
      </c>
      <c r="M121" s="18">
        <v>14</v>
      </c>
      <c r="N121" s="18">
        <v>12000</v>
      </c>
      <c r="O121" s="18">
        <v>15</v>
      </c>
      <c r="P121" s="18">
        <v>142800</v>
      </c>
      <c r="Q121" s="18">
        <v>2</v>
      </c>
      <c r="R121" s="18" t="s">
        <v>48</v>
      </c>
      <c r="S121" s="18" t="s">
        <v>61</v>
      </c>
      <c r="T121" s="18" t="s">
        <v>144</v>
      </c>
      <c r="U121" s="19" t="s">
        <v>690</v>
      </c>
      <c r="V121" s="18" t="s">
        <v>64</v>
      </c>
      <c r="W121" s="24" t="str">
        <f t="shared" si="1"/>
        <v>Blacklisted</v>
      </c>
    </row>
    <row r="122" spans="1:23">
      <c r="A122" s="15" t="s">
        <v>691</v>
      </c>
      <c r="B122" s="15" t="s">
        <v>127</v>
      </c>
      <c r="C122" s="15" t="s">
        <v>169</v>
      </c>
      <c r="D122" s="15" t="s">
        <v>454</v>
      </c>
      <c r="E122" s="15" t="s">
        <v>692</v>
      </c>
      <c r="F122" s="15" t="s">
        <v>200</v>
      </c>
      <c r="G122" s="15" t="s">
        <v>76</v>
      </c>
      <c r="H122" s="15" t="s">
        <v>693</v>
      </c>
      <c r="I122" s="15" t="s">
        <v>114</v>
      </c>
      <c r="J122" s="15" t="s">
        <v>106</v>
      </c>
      <c r="K122" s="15" t="s">
        <v>32</v>
      </c>
      <c r="L122" s="15" t="s">
        <v>174</v>
      </c>
      <c r="M122" s="15">
        <v>8</v>
      </c>
      <c r="N122" s="15">
        <v>8500</v>
      </c>
      <c r="O122" s="15">
        <v>20</v>
      </c>
      <c r="P122" s="15">
        <v>54400</v>
      </c>
      <c r="Q122" s="15">
        <v>3</v>
      </c>
      <c r="R122" s="15" t="s">
        <v>79</v>
      </c>
      <c r="S122" s="15" t="s">
        <v>49</v>
      </c>
      <c r="T122" s="15" t="s">
        <v>132</v>
      </c>
      <c r="U122" s="17" t="s">
        <v>694</v>
      </c>
      <c r="V122" s="15" t="s">
        <v>38</v>
      </c>
      <c r="W122" s="24" t="str">
        <f t="shared" si="1"/>
        <v>Gold</v>
      </c>
    </row>
    <row r="123" spans="1:23">
      <c r="A123" s="18" t="s">
        <v>695</v>
      </c>
      <c r="B123" s="18" t="s">
        <v>83</v>
      </c>
      <c r="C123" s="18" t="s">
        <v>259</v>
      </c>
      <c r="D123" s="18" t="s">
        <v>110</v>
      </c>
      <c r="E123" s="18" t="s">
        <v>313</v>
      </c>
      <c r="F123" s="18" t="s">
        <v>180</v>
      </c>
      <c r="G123" s="18" t="s">
        <v>76</v>
      </c>
      <c r="H123" s="18" t="s">
        <v>696</v>
      </c>
      <c r="I123" s="18" t="s">
        <v>59</v>
      </c>
      <c r="J123" s="18" t="s">
        <v>31</v>
      </c>
      <c r="K123" s="18" t="s">
        <v>122</v>
      </c>
      <c r="L123" s="18" t="s">
        <v>263</v>
      </c>
      <c r="M123" s="18">
        <v>3</v>
      </c>
      <c r="N123" s="18">
        <v>45</v>
      </c>
      <c r="O123" s="18">
        <v>0</v>
      </c>
      <c r="P123" s="18">
        <v>135</v>
      </c>
      <c r="Q123" s="18">
        <v>4</v>
      </c>
      <c r="R123" s="18" t="s">
        <v>88</v>
      </c>
      <c r="S123" s="18" t="s">
        <v>61</v>
      </c>
      <c r="T123" s="18" t="s">
        <v>89</v>
      </c>
      <c r="U123" s="19" t="s">
        <v>697</v>
      </c>
      <c r="V123" s="18" t="s">
        <v>69</v>
      </c>
      <c r="W123" s="24" t="str">
        <f t="shared" si="1"/>
        <v>Blacklisted</v>
      </c>
    </row>
    <row r="124" spans="1:23">
      <c r="A124" s="15" t="s">
        <v>698</v>
      </c>
      <c r="B124" s="15" t="s">
        <v>327</v>
      </c>
      <c r="C124" s="15" t="s">
        <v>184</v>
      </c>
      <c r="D124" s="15" t="s">
        <v>464</v>
      </c>
      <c r="E124" s="15" t="s">
        <v>84</v>
      </c>
      <c r="F124" s="15" t="s">
        <v>394</v>
      </c>
      <c r="G124" s="15" t="s">
        <v>76</v>
      </c>
      <c r="H124" s="15" t="s">
        <v>699</v>
      </c>
      <c r="I124" s="15" t="s">
        <v>212</v>
      </c>
      <c r="J124" s="15" t="s">
        <v>45</v>
      </c>
      <c r="K124" s="15" t="s">
        <v>46</v>
      </c>
      <c r="L124" s="15" t="s">
        <v>189</v>
      </c>
      <c r="M124" s="15">
        <v>13</v>
      </c>
      <c r="N124" s="15">
        <v>700</v>
      </c>
      <c r="O124" s="15">
        <v>5</v>
      </c>
      <c r="P124" s="15">
        <v>8645</v>
      </c>
      <c r="Q124" s="15">
        <v>3</v>
      </c>
      <c r="R124" s="15" t="s">
        <v>79</v>
      </c>
      <c r="S124" s="15" t="s">
        <v>115</v>
      </c>
      <c r="T124" s="15" t="s">
        <v>332</v>
      </c>
      <c r="U124" s="17" t="s">
        <v>700</v>
      </c>
      <c r="V124" s="15" t="s">
        <v>64</v>
      </c>
      <c r="W124" s="24" t="str">
        <f t="shared" si="1"/>
        <v>Blacklisted</v>
      </c>
    </row>
    <row r="125" spans="1:23">
      <c r="A125" s="18" t="s">
        <v>701</v>
      </c>
      <c r="B125" s="18" t="s">
        <v>168</v>
      </c>
      <c r="C125" s="18" t="s">
        <v>72</v>
      </c>
      <c r="D125" s="18" t="s">
        <v>702</v>
      </c>
      <c r="E125" s="18" t="s">
        <v>703</v>
      </c>
      <c r="F125" s="18" t="s">
        <v>361</v>
      </c>
      <c r="G125" s="18" t="s">
        <v>28</v>
      </c>
      <c r="H125" s="18" t="s">
        <v>704</v>
      </c>
      <c r="I125" s="18" t="s">
        <v>105</v>
      </c>
      <c r="J125" s="18" t="s">
        <v>106</v>
      </c>
      <c r="K125" s="18" t="s">
        <v>46</v>
      </c>
      <c r="L125" s="18" t="s">
        <v>78</v>
      </c>
      <c r="M125" s="18">
        <v>14</v>
      </c>
      <c r="N125" s="18">
        <v>1200</v>
      </c>
      <c r="O125" s="18">
        <v>20</v>
      </c>
      <c r="P125" s="18">
        <v>13440</v>
      </c>
      <c r="Q125" s="18">
        <v>5</v>
      </c>
      <c r="R125" s="18" t="s">
        <v>48</v>
      </c>
      <c r="S125" s="18" t="s">
        <v>61</v>
      </c>
      <c r="T125" s="18" t="s">
        <v>175</v>
      </c>
      <c r="U125" s="19" t="s">
        <v>705</v>
      </c>
      <c r="V125" s="18" t="s">
        <v>38</v>
      </c>
      <c r="W125" s="24" t="str">
        <f t="shared" si="1"/>
        <v>Silver</v>
      </c>
    </row>
    <row r="126" spans="1:23">
      <c r="A126" s="15" t="s">
        <v>706</v>
      </c>
      <c r="B126" s="15" t="s">
        <v>100</v>
      </c>
      <c r="C126" s="15" t="s">
        <v>259</v>
      </c>
      <c r="D126" s="15" t="s">
        <v>597</v>
      </c>
      <c r="E126" s="15" t="s">
        <v>707</v>
      </c>
      <c r="F126" s="15" t="s">
        <v>103</v>
      </c>
      <c r="G126" s="15" t="s">
        <v>28</v>
      </c>
      <c r="H126" s="15" t="s">
        <v>708</v>
      </c>
      <c r="I126" s="15" t="s">
        <v>44</v>
      </c>
      <c r="J126" s="15" t="s">
        <v>45</v>
      </c>
      <c r="K126" s="15" t="s">
        <v>122</v>
      </c>
      <c r="L126" s="15" t="s">
        <v>263</v>
      </c>
      <c r="M126" s="15">
        <v>2</v>
      </c>
      <c r="N126" s="15">
        <v>45</v>
      </c>
      <c r="O126" s="15">
        <v>5</v>
      </c>
      <c r="P126" s="15">
        <v>85.5</v>
      </c>
      <c r="Q126" s="15">
        <v>3</v>
      </c>
      <c r="R126" s="15" t="s">
        <v>88</v>
      </c>
      <c r="S126" s="15" t="s">
        <v>35</v>
      </c>
      <c r="T126" s="15" t="s">
        <v>144</v>
      </c>
      <c r="U126" s="17" t="s">
        <v>709</v>
      </c>
      <c r="V126" s="15" t="s">
        <v>69</v>
      </c>
      <c r="W126" s="24" t="str">
        <f t="shared" si="1"/>
        <v>Blacklisted</v>
      </c>
    </row>
    <row r="127" spans="1:23">
      <c r="A127" s="18" t="s">
        <v>710</v>
      </c>
      <c r="B127" s="18" t="s">
        <v>168</v>
      </c>
      <c r="C127" s="18" t="s">
        <v>72</v>
      </c>
      <c r="D127" s="18" t="s">
        <v>711</v>
      </c>
      <c r="E127" s="18" t="s">
        <v>712</v>
      </c>
      <c r="F127" s="18" t="s">
        <v>361</v>
      </c>
      <c r="G127" s="18" t="s">
        <v>28</v>
      </c>
      <c r="H127" s="18" t="s">
        <v>713</v>
      </c>
      <c r="I127" s="18" t="s">
        <v>59</v>
      </c>
      <c r="J127" s="18" t="s">
        <v>31</v>
      </c>
      <c r="K127" s="18" t="s">
        <v>46</v>
      </c>
      <c r="L127" s="18" t="s">
        <v>78</v>
      </c>
      <c r="M127" s="18">
        <v>2</v>
      </c>
      <c r="N127" s="18">
        <v>1200</v>
      </c>
      <c r="O127" s="18">
        <v>20</v>
      </c>
      <c r="P127" s="18">
        <v>1920</v>
      </c>
      <c r="Q127" s="18">
        <v>3</v>
      </c>
      <c r="R127" s="18" t="s">
        <v>79</v>
      </c>
      <c r="S127" s="18" t="s">
        <v>115</v>
      </c>
      <c r="T127" s="18" t="s">
        <v>175</v>
      </c>
      <c r="U127" s="19" t="s">
        <v>714</v>
      </c>
      <c r="V127" s="18" t="s">
        <v>38</v>
      </c>
      <c r="W127" s="24" t="str">
        <f t="shared" si="1"/>
        <v>Silver</v>
      </c>
    </row>
    <row r="128" spans="1:23">
      <c r="A128" s="15" t="s">
        <v>715</v>
      </c>
      <c r="B128" s="15" t="s">
        <v>127</v>
      </c>
      <c r="C128" s="15" t="s">
        <v>54</v>
      </c>
      <c r="D128" s="15" t="s">
        <v>224</v>
      </c>
      <c r="E128" s="15" t="s">
        <v>716</v>
      </c>
      <c r="F128" s="15" t="s">
        <v>200</v>
      </c>
      <c r="G128" s="15" t="s">
        <v>76</v>
      </c>
      <c r="H128" s="15" t="s">
        <v>717</v>
      </c>
      <c r="I128" s="15" t="s">
        <v>59</v>
      </c>
      <c r="J128" s="15" t="s">
        <v>31</v>
      </c>
      <c r="K128" s="15" t="s">
        <v>46</v>
      </c>
      <c r="L128" s="15" t="s">
        <v>60</v>
      </c>
      <c r="M128" s="15">
        <v>10</v>
      </c>
      <c r="N128" s="15">
        <v>55000</v>
      </c>
      <c r="O128" s="15">
        <v>5</v>
      </c>
      <c r="P128" s="15">
        <v>522500</v>
      </c>
      <c r="Q128" s="15">
        <v>5</v>
      </c>
      <c r="R128" s="15" t="s">
        <v>88</v>
      </c>
      <c r="S128" s="15" t="s">
        <v>61</v>
      </c>
      <c r="T128" s="15" t="s">
        <v>132</v>
      </c>
      <c r="U128" s="17" t="s">
        <v>718</v>
      </c>
      <c r="V128" s="15" t="s">
        <v>64</v>
      </c>
      <c r="W128" s="24" t="str">
        <f t="shared" si="1"/>
        <v>Blacklisted</v>
      </c>
    </row>
    <row r="129" spans="1:23">
      <c r="A129" s="18" t="s">
        <v>719</v>
      </c>
      <c r="B129" s="18" t="s">
        <v>251</v>
      </c>
      <c r="C129" s="18" t="s">
        <v>92</v>
      </c>
      <c r="D129" s="18" t="s">
        <v>720</v>
      </c>
      <c r="E129" s="18" t="s">
        <v>382</v>
      </c>
      <c r="F129" s="18" t="s">
        <v>254</v>
      </c>
      <c r="G129" s="18" t="s">
        <v>28</v>
      </c>
      <c r="H129" s="18" t="s">
        <v>721</v>
      </c>
      <c r="I129" s="18" t="s">
        <v>212</v>
      </c>
      <c r="J129" s="18" t="s">
        <v>45</v>
      </c>
      <c r="K129" s="18" t="s">
        <v>32</v>
      </c>
      <c r="L129" s="18" t="s">
        <v>97</v>
      </c>
      <c r="M129" s="18">
        <v>15</v>
      </c>
      <c r="N129" s="18">
        <v>3500</v>
      </c>
      <c r="O129" s="18">
        <v>10</v>
      </c>
      <c r="P129" s="18">
        <v>47250</v>
      </c>
      <c r="Q129" s="18">
        <v>3</v>
      </c>
      <c r="R129" s="18" t="s">
        <v>48</v>
      </c>
      <c r="S129" s="18" t="s">
        <v>115</v>
      </c>
      <c r="T129" s="18" t="s">
        <v>256</v>
      </c>
      <c r="U129" s="19" t="s">
        <v>722</v>
      </c>
      <c r="V129" s="18" t="s">
        <v>38</v>
      </c>
      <c r="W129" s="24" t="str">
        <f t="shared" si="1"/>
        <v>Silver</v>
      </c>
    </row>
    <row r="130" spans="1:23">
      <c r="A130" s="15" t="s">
        <v>723</v>
      </c>
      <c r="B130" s="15" t="s">
        <v>100</v>
      </c>
      <c r="C130" s="15" t="s">
        <v>24</v>
      </c>
      <c r="D130" s="15" t="s">
        <v>562</v>
      </c>
      <c r="E130" s="15" t="s">
        <v>724</v>
      </c>
      <c r="F130" s="15" t="s">
        <v>103</v>
      </c>
      <c r="G130" s="15" t="s">
        <v>28</v>
      </c>
      <c r="H130" s="15" t="s">
        <v>725</v>
      </c>
      <c r="I130" s="15" t="s">
        <v>59</v>
      </c>
      <c r="J130" s="15" t="s">
        <v>31</v>
      </c>
      <c r="K130" s="15" t="s">
        <v>32</v>
      </c>
      <c r="L130" s="15" t="s">
        <v>33</v>
      </c>
      <c r="M130" s="15">
        <v>10</v>
      </c>
      <c r="N130" s="15">
        <v>2200</v>
      </c>
      <c r="O130" s="15">
        <v>15</v>
      </c>
      <c r="P130" s="15">
        <v>18700</v>
      </c>
      <c r="Q130" s="15">
        <v>4</v>
      </c>
      <c r="R130" s="15" t="s">
        <v>79</v>
      </c>
      <c r="S130" s="15" t="s">
        <v>49</v>
      </c>
      <c r="T130" s="15" t="s">
        <v>144</v>
      </c>
      <c r="U130" s="17" t="s">
        <v>726</v>
      </c>
      <c r="V130" s="15" t="s">
        <v>64</v>
      </c>
      <c r="W130" s="24" t="str">
        <f t="shared" si="1"/>
        <v>Blacklisted</v>
      </c>
    </row>
    <row r="131" spans="1:23">
      <c r="A131" s="18" t="s">
        <v>727</v>
      </c>
      <c r="B131" s="18" t="s">
        <v>251</v>
      </c>
      <c r="C131" s="18" t="s">
        <v>92</v>
      </c>
      <c r="D131" s="18" t="s">
        <v>260</v>
      </c>
      <c r="E131" s="18" t="s">
        <v>231</v>
      </c>
      <c r="F131" s="18" t="s">
        <v>254</v>
      </c>
      <c r="G131" s="18" t="s">
        <v>28</v>
      </c>
      <c r="H131" s="18" t="s">
        <v>728</v>
      </c>
      <c r="I131" s="18" t="s">
        <v>114</v>
      </c>
      <c r="J131" s="18" t="s">
        <v>106</v>
      </c>
      <c r="K131" s="18" t="s">
        <v>32</v>
      </c>
      <c r="L131" s="18" t="s">
        <v>97</v>
      </c>
      <c r="M131" s="18">
        <v>11</v>
      </c>
      <c r="N131" s="18">
        <v>3500</v>
      </c>
      <c r="O131" s="18">
        <v>5</v>
      </c>
      <c r="P131" s="18">
        <v>36575</v>
      </c>
      <c r="Q131" s="18">
        <v>5</v>
      </c>
      <c r="R131" s="18" t="s">
        <v>34</v>
      </c>
      <c r="S131" s="18" t="s">
        <v>35</v>
      </c>
      <c r="T131" s="18" t="s">
        <v>256</v>
      </c>
      <c r="U131" s="19" t="s">
        <v>729</v>
      </c>
      <c r="V131" s="18" t="s">
        <v>69</v>
      </c>
      <c r="W131" s="24" t="str">
        <f t="shared" ref="W131:W194" si="2">IF(OR(Q131&lt;=2,V131="Cancelled"),"Blacklisted",IF(AND(P131&gt;=100000,Q131&gt;=4,O131&lt;10,V131="Completed"),"Platinum",IF(AND(P131&gt;=50000,P131&lt;=99999,Q131&gt;=3,V131="Completed"),"Gold",IF(AND(P131&lt;50000,V131="Completed"),"Silver","Blacklisted"))))</f>
        <v>Blacklisted</v>
      </c>
    </row>
    <row r="132" spans="1:23">
      <c r="A132" s="15" t="s">
        <v>730</v>
      </c>
      <c r="B132" s="15" t="s">
        <v>168</v>
      </c>
      <c r="C132" s="15" t="s">
        <v>72</v>
      </c>
      <c r="D132" s="15" t="s">
        <v>731</v>
      </c>
      <c r="E132" s="15" t="s">
        <v>732</v>
      </c>
      <c r="F132" s="15" t="s">
        <v>361</v>
      </c>
      <c r="G132" s="15" t="s">
        <v>28</v>
      </c>
      <c r="H132" s="15" t="s">
        <v>733</v>
      </c>
      <c r="I132" s="15" t="s">
        <v>59</v>
      </c>
      <c r="J132" s="15" t="s">
        <v>31</v>
      </c>
      <c r="K132" s="15" t="s">
        <v>46</v>
      </c>
      <c r="L132" s="15" t="s">
        <v>78</v>
      </c>
      <c r="M132" s="15">
        <v>14</v>
      </c>
      <c r="N132" s="15">
        <v>1200</v>
      </c>
      <c r="O132" s="15">
        <v>0</v>
      </c>
      <c r="P132" s="15">
        <v>16800</v>
      </c>
      <c r="Q132" s="15">
        <v>5</v>
      </c>
      <c r="R132" s="15" t="s">
        <v>34</v>
      </c>
      <c r="S132" s="15" t="s">
        <v>49</v>
      </c>
      <c r="T132" s="15" t="s">
        <v>175</v>
      </c>
      <c r="U132" s="17" t="s">
        <v>734</v>
      </c>
      <c r="V132" s="15" t="s">
        <v>69</v>
      </c>
      <c r="W132" s="24" t="str">
        <f t="shared" si="2"/>
        <v>Blacklisted</v>
      </c>
    </row>
    <row r="133" spans="1:23">
      <c r="A133" s="18" t="s">
        <v>735</v>
      </c>
      <c r="B133" s="18" t="s">
        <v>100</v>
      </c>
      <c r="C133" s="18" t="s">
        <v>222</v>
      </c>
      <c r="D133" s="18" t="s">
        <v>736</v>
      </c>
      <c r="E133" s="18" t="s">
        <v>170</v>
      </c>
      <c r="F133" s="18" t="s">
        <v>103</v>
      </c>
      <c r="G133" s="18" t="s">
        <v>28</v>
      </c>
      <c r="H133" s="18" t="s">
        <v>737</v>
      </c>
      <c r="I133" s="18" t="s">
        <v>44</v>
      </c>
      <c r="J133" s="18" t="s">
        <v>45</v>
      </c>
      <c r="K133" s="18" t="s">
        <v>122</v>
      </c>
      <c r="L133" s="18" t="s">
        <v>227</v>
      </c>
      <c r="M133" s="18">
        <v>11</v>
      </c>
      <c r="N133" s="18">
        <v>20</v>
      </c>
      <c r="O133" s="18">
        <v>20</v>
      </c>
      <c r="P133" s="18">
        <v>176</v>
      </c>
      <c r="Q133" s="18">
        <v>4</v>
      </c>
      <c r="R133" s="18" t="s">
        <v>48</v>
      </c>
      <c r="S133" s="18" t="s">
        <v>35</v>
      </c>
      <c r="T133" s="18" t="s">
        <v>144</v>
      </c>
      <c r="U133" s="19" t="s">
        <v>738</v>
      </c>
      <c r="V133" s="18" t="s">
        <v>38</v>
      </c>
      <c r="W133" s="24" t="str">
        <f t="shared" si="2"/>
        <v>Silver</v>
      </c>
    </row>
    <row r="134" spans="1:23">
      <c r="A134" s="15" t="s">
        <v>739</v>
      </c>
      <c r="B134" s="15" t="s">
        <v>71</v>
      </c>
      <c r="C134" s="15" t="s">
        <v>40</v>
      </c>
      <c r="D134" s="15" t="s">
        <v>740</v>
      </c>
      <c r="E134" s="15" t="s">
        <v>657</v>
      </c>
      <c r="F134" s="15" t="s">
        <v>217</v>
      </c>
      <c r="G134" s="15" t="s">
        <v>76</v>
      </c>
      <c r="H134" s="15" t="s">
        <v>741</v>
      </c>
      <c r="I134" s="15" t="s">
        <v>114</v>
      </c>
      <c r="J134" s="15" t="s">
        <v>106</v>
      </c>
      <c r="K134" s="15" t="s">
        <v>46</v>
      </c>
      <c r="L134" s="15" t="s">
        <v>47</v>
      </c>
      <c r="M134" s="15">
        <v>6</v>
      </c>
      <c r="N134" s="15">
        <v>12000</v>
      </c>
      <c r="O134" s="15">
        <v>10</v>
      </c>
      <c r="P134" s="15">
        <v>64800</v>
      </c>
      <c r="Q134" s="15">
        <v>5</v>
      </c>
      <c r="R134" s="15" t="s">
        <v>88</v>
      </c>
      <c r="S134" s="15" t="s">
        <v>151</v>
      </c>
      <c r="T134" s="15" t="s">
        <v>80</v>
      </c>
      <c r="U134" s="17" t="s">
        <v>742</v>
      </c>
      <c r="V134" s="15" t="s">
        <v>38</v>
      </c>
      <c r="W134" s="24" t="str">
        <f t="shared" si="2"/>
        <v>Gold</v>
      </c>
    </row>
    <row r="135" spans="1:23">
      <c r="A135" s="18" t="s">
        <v>743</v>
      </c>
      <c r="B135" s="18" t="s">
        <v>71</v>
      </c>
      <c r="C135" s="18" t="s">
        <v>24</v>
      </c>
      <c r="D135" s="18" t="s">
        <v>652</v>
      </c>
      <c r="E135" s="18" t="s">
        <v>539</v>
      </c>
      <c r="F135" s="18" t="s">
        <v>217</v>
      </c>
      <c r="G135" s="18" t="s">
        <v>76</v>
      </c>
      <c r="H135" s="18" t="s">
        <v>744</v>
      </c>
      <c r="I135" s="18" t="s">
        <v>30</v>
      </c>
      <c r="J135" s="18" t="s">
        <v>31</v>
      </c>
      <c r="K135" s="18" t="s">
        <v>32</v>
      </c>
      <c r="L135" s="18" t="s">
        <v>33</v>
      </c>
      <c r="M135" s="18">
        <v>6</v>
      </c>
      <c r="N135" s="18">
        <v>2200</v>
      </c>
      <c r="O135" s="18">
        <v>5</v>
      </c>
      <c r="P135" s="18">
        <v>12540</v>
      </c>
      <c r="Q135" s="18">
        <v>4</v>
      </c>
      <c r="R135" s="18" t="s">
        <v>34</v>
      </c>
      <c r="S135" s="18" t="s">
        <v>49</v>
      </c>
      <c r="T135" s="18" t="s">
        <v>80</v>
      </c>
      <c r="U135" s="19" t="s">
        <v>745</v>
      </c>
      <c r="V135" s="18" t="s">
        <v>38</v>
      </c>
      <c r="W135" s="24" t="str">
        <f t="shared" si="2"/>
        <v>Silver</v>
      </c>
    </row>
    <row r="136" spans="1:23">
      <c r="A136" s="15" t="s">
        <v>746</v>
      </c>
      <c r="B136" s="15" t="s">
        <v>53</v>
      </c>
      <c r="C136" s="15" t="s">
        <v>92</v>
      </c>
      <c r="D136" s="15" t="s">
        <v>408</v>
      </c>
      <c r="E136" s="15" t="s">
        <v>488</v>
      </c>
      <c r="F136" s="15" t="s">
        <v>163</v>
      </c>
      <c r="G136" s="15" t="s">
        <v>28</v>
      </c>
      <c r="H136" s="15" t="s">
        <v>747</v>
      </c>
      <c r="I136" s="15" t="s">
        <v>44</v>
      </c>
      <c r="J136" s="15" t="s">
        <v>45</v>
      </c>
      <c r="K136" s="15" t="s">
        <v>32</v>
      </c>
      <c r="L136" s="15" t="s">
        <v>97</v>
      </c>
      <c r="M136" s="15">
        <v>3</v>
      </c>
      <c r="N136" s="15">
        <v>3500</v>
      </c>
      <c r="O136" s="15">
        <v>5</v>
      </c>
      <c r="P136" s="15">
        <v>9975</v>
      </c>
      <c r="Q136" s="15">
        <v>4</v>
      </c>
      <c r="R136" s="15" t="s">
        <v>48</v>
      </c>
      <c r="S136" s="15" t="s">
        <v>49</v>
      </c>
      <c r="T136" s="15" t="s">
        <v>62</v>
      </c>
      <c r="U136" s="17" t="s">
        <v>748</v>
      </c>
      <c r="V136" s="15" t="s">
        <v>64</v>
      </c>
      <c r="W136" s="24" t="str">
        <f t="shared" si="2"/>
        <v>Blacklisted</v>
      </c>
    </row>
    <row r="137" spans="1:23">
      <c r="A137" s="18" t="s">
        <v>749</v>
      </c>
      <c r="B137" s="18" t="s">
        <v>71</v>
      </c>
      <c r="C137" s="18" t="s">
        <v>169</v>
      </c>
      <c r="D137" s="18" t="s">
        <v>750</v>
      </c>
      <c r="E137" s="18" t="s">
        <v>751</v>
      </c>
      <c r="F137" s="18" t="s">
        <v>217</v>
      </c>
      <c r="G137" s="18" t="s">
        <v>76</v>
      </c>
      <c r="H137" s="18" t="s">
        <v>752</v>
      </c>
      <c r="I137" s="18" t="s">
        <v>30</v>
      </c>
      <c r="J137" s="18" t="s">
        <v>31</v>
      </c>
      <c r="K137" s="18" t="s">
        <v>32</v>
      </c>
      <c r="L137" s="18" t="s">
        <v>174</v>
      </c>
      <c r="M137" s="18">
        <v>5</v>
      </c>
      <c r="N137" s="18">
        <v>8500</v>
      </c>
      <c r="O137" s="18">
        <v>20</v>
      </c>
      <c r="P137" s="18">
        <v>34000</v>
      </c>
      <c r="Q137" s="18">
        <v>5</v>
      </c>
      <c r="R137" s="18" t="s">
        <v>34</v>
      </c>
      <c r="S137" s="18" t="s">
        <v>61</v>
      </c>
      <c r="T137" s="18" t="s">
        <v>80</v>
      </c>
      <c r="U137" s="19" t="s">
        <v>753</v>
      </c>
      <c r="V137" s="18" t="s">
        <v>64</v>
      </c>
      <c r="W137" s="24" t="str">
        <f t="shared" si="2"/>
        <v>Blacklisted</v>
      </c>
    </row>
    <row r="138" spans="1:23">
      <c r="A138" s="15" t="s">
        <v>754</v>
      </c>
      <c r="B138" s="15" t="s">
        <v>23</v>
      </c>
      <c r="C138" s="15" t="s">
        <v>92</v>
      </c>
      <c r="D138" s="15" t="s">
        <v>755</v>
      </c>
      <c r="E138" s="15" t="s">
        <v>756</v>
      </c>
      <c r="F138" s="15" t="s">
        <v>27</v>
      </c>
      <c r="G138" s="15" t="s">
        <v>28</v>
      </c>
      <c r="H138" s="15" t="s">
        <v>757</v>
      </c>
      <c r="I138" s="15" t="s">
        <v>59</v>
      </c>
      <c r="J138" s="15" t="s">
        <v>31</v>
      </c>
      <c r="K138" s="15" t="s">
        <v>32</v>
      </c>
      <c r="L138" s="15" t="s">
        <v>97</v>
      </c>
      <c r="M138" s="15">
        <v>14</v>
      </c>
      <c r="N138" s="15">
        <v>3500</v>
      </c>
      <c r="O138" s="15">
        <v>10</v>
      </c>
      <c r="P138" s="15">
        <v>44100</v>
      </c>
      <c r="Q138" s="15">
        <v>4</v>
      </c>
      <c r="R138" s="15" t="s">
        <v>88</v>
      </c>
      <c r="S138" s="15" t="s">
        <v>35</v>
      </c>
      <c r="T138" s="15" t="s">
        <v>50</v>
      </c>
      <c r="U138" s="17" t="s">
        <v>758</v>
      </c>
      <c r="V138" s="15" t="s">
        <v>69</v>
      </c>
      <c r="W138" s="24" t="str">
        <f t="shared" si="2"/>
        <v>Blacklisted</v>
      </c>
    </row>
    <row r="139" spans="1:23">
      <c r="A139" s="18" t="s">
        <v>759</v>
      </c>
      <c r="B139" s="18" t="s">
        <v>327</v>
      </c>
      <c r="C139" s="18" t="s">
        <v>259</v>
      </c>
      <c r="D139" s="18" t="s">
        <v>760</v>
      </c>
      <c r="E139" s="18" t="s">
        <v>761</v>
      </c>
      <c r="F139" s="18" t="s">
        <v>394</v>
      </c>
      <c r="G139" s="18" t="s">
        <v>76</v>
      </c>
      <c r="H139" s="18" t="s">
        <v>762</v>
      </c>
      <c r="I139" s="18" t="s">
        <v>138</v>
      </c>
      <c r="J139" s="18" t="s">
        <v>106</v>
      </c>
      <c r="K139" s="18" t="s">
        <v>122</v>
      </c>
      <c r="L139" s="18" t="s">
        <v>263</v>
      </c>
      <c r="M139" s="18">
        <v>8</v>
      </c>
      <c r="N139" s="18">
        <v>45</v>
      </c>
      <c r="O139" s="18">
        <v>0</v>
      </c>
      <c r="P139" s="18">
        <v>360</v>
      </c>
      <c r="Q139" s="18">
        <v>1</v>
      </c>
      <c r="R139" s="18" t="s">
        <v>79</v>
      </c>
      <c r="S139" s="18" t="s">
        <v>151</v>
      </c>
      <c r="T139" s="18" t="s">
        <v>332</v>
      </c>
      <c r="U139" s="19" t="s">
        <v>763</v>
      </c>
      <c r="V139" s="18" t="s">
        <v>69</v>
      </c>
      <c r="W139" s="24" t="str">
        <f t="shared" si="2"/>
        <v>Blacklisted</v>
      </c>
    </row>
    <row r="140" spans="1:23">
      <c r="A140" s="15" t="s">
        <v>764</v>
      </c>
      <c r="B140" s="15" t="s">
        <v>221</v>
      </c>
      <c r="C140" s="15" t="s">
        <v>259</v>
      </c>
      <c r="D140" s="15" t="s">
        <v>765</v>
      </c>
      <c r="E140" s="15" t="s">
        <v>766</v>
      </c>
      <c r="F140" s="15" t="s">
        <v>225</v>
      </c>
      <c r="G140" s="15" t="s">
        <v>76</v>
      </c>
      <c r="H140" s="15" t="s">
        <v>767</v>
      </c>
      <c r="I140" s="15" t="s">
        <v>44</v>
      </c>
      <c r="J140" s="15" t="s">
        <v>45</v>
      </c>
      <c r="K140" s="15" t="s">
        <v>122</v>
      </c>
      <c r="L140" s="15" t="s">
        <v>263</v>
      </c>
      <c r="M140" s="15">
        <v>11</v>
      </c>
      <c r="N140" s="15">
        <v>45</v>
      </c>
      <c r="O140" s="15">
        <v>5</v>
      </c>
      <c r="P140" s="15">
        <v>470.25</v>
      </c>
      <c r="Q140" s="15">
        <v>3</v>
      </c>
      <c r="R140" s="15" t="s">
        <v>79</v>
      </c>
      <c r="S140" s="15" t="s">
        <v>49</v>
      </c>
      <c r="T140" s="15" t="s">
        <v>228</v>
      </c>
      <c r="U140" s="17" t="s">
        <v>768</v>
      </c>
      <c r="V140" s="15" t="s">
        <v>38</v>
      </c>
      <c r="W140" s="24" t="str">
        <f t="shared" si="2"/>
        <v>Silver</v>
      </c>
    </row>
    <row r="141" spans="1:23">
      <c r="A141" s="18" t="s">
        <v>769</v>
      </c>
      <c r="B141" s="18" t="s">
        <v>83</v>
      </c>
      <c r="C141" s="18" t="s">
        <v>54</v>
      </c>
      <c r="D141" s="18" t="s">
        <v>770</v>
      </c>
      <c r="E141" s="18" t="s">
        <v>771</v>
      </c>
      <c r="F141" s="18" t="s">
        <v>180</v>
      </c>
      <c r="G141" s="18" t="s">
        <v>76</v>
      </c>
      <c r="H141" s="18" t="s">
        <v>772</v>
      </c>
      <c r="I141" s="18" t="s">
        <v>138</v>
      </c>
      <c r="J141" s="18" t="s">
        <v>106</v>
      </c>
      <c r="K141" s="18" t="s">
        <v>46</v>
      </c>
      <c r="L141" s="18" t="s">
        <v>60</v>
      </c>
      <c r="M141" s="18">
        <v>19</v>
      </c>
      <c r="N141" s="18">
        <v>55000</v>
      </c>
      <c r="O141" s="18">
        <v>0</v>
      </c>
      <c r="P141" s="18">
        <v>1045000</v>
      </c>
      <c r="Q141" s="18">
        <v>2</v>
      </c>
      <c r="R141" s="18" t="s">
        <v>79</v>
      </c>
      <c r="S141" s="18" t="s">
        <v>35</v>
      </c>
      <c r="T141" s="18" t="s">
        <v>89</v>
      </c>
      <c r="U141" s="19" t="s">
        <v>773</v>
      </c>
      <c r="V141" s="18" t="s">
        <v>69</v>
      </c>
      <c r="W141" s="24" t="str">
        <f t="shared" si="2"/>
        <v>Blacklisted</v>
      </c>
    </row>
    <row r="142" spans="1:23">
      <c r="A142" s="15" t="s">
        <v>774</v>
      </c>
      <c r="B142" s="15" t="s">
        <v>53</v>
      </c>
      <c r="C142" s="15" t="s">
        <v>92</v>
      </c>
      <c r="D142" s="15" t="s">
        <v>775</v>
      </c>
      <c r="E142" s="15" t="s">
        <v>539</v>
      </c>
      <c r="F142" s="15" t="s">
        <v>163</v>
      </c>
      <c r="G142" s="15" t="s">
        <v>28</v>
      </c>
      <c r="H142" s="15" t="s">
        <v>776</v>
      </c>
      <c r="I142" s="15" t="s">
        <v>114</v>
      </c>
      <c r="J142" s="15" t="s">
        <v>106</v>
      </c>
      <c r="K142" s="15" t="s">
        <v>32</v>
      </c>
      <c r="L142" s="15" t="s">
        <v>97</v>
      </c>
      <c r="M142" s="15">
        <v>20</v>
      </c>
      <c r="N142" s="15">
        <v>3500</v>
      </c>
      <c r="O142" s="15">
        <v>20</v>
      </c>
      <c r="P142" s="15">
        <v>56000</v>
      </c>
      <c r="Q142" s="15">
        <v>4</v>
      </c>
      <c r="R142" s="15" t="s">
        <v>48</v>
      </c>
      <c r="S142" s="15" t="s">
        <v>49</v>
      </c>
      <c r="T142" s="15" t="s">
        <v>62</v>
      </c>
      <c r="U142" s="17" t="s">
        <v>777</v>
      </c>
      <c r="V142" s="15" t="s">
        <v>38</v>
      </c>
      <c r="W142" s="24" t="str">
        <f t="shared" si="2"/>
        <v>Gold</v>
      </c>
    </row>
    <row r="143" spans="1:23">
      <c r="A143" s="18" t="s">
        <v>778</v>
      </c>
      <c r="B143" s="18" t="s">
        <v>83</v>
      </c>
      <c r="C143" s="18" t="s">
        <v>24</v>
      </c>
      <c r="D143" s="18" t="s">
        <v>276</v>
      </c>
      <c r="E143" s="18" t="s">
        <v>779</v>
      </c>
      <c r="F143" s="18" t="s">
        <v>180</v>
      </c>
      <c r="G143" s="18" t="s">
        <v>76</v>
      </c>
      <c r="H143" s="18" t="s">
        <v>780</v>
      </c>
      <c r="I143" s="18" t="s">
        <v>114</v>
      </c>
      <c r="J143" s="18" t="s">
        <v>106</v>
      </c>
      <c r="K143" s="18" t="s">
        <v>32</v>
      </c>
      <c r="L143" s="18" t="s">
        <v>33</v>
      </c>
      <c r="M143" s="18">
        <v>17</v>
      </c>
      <c r="N143" s="18">
        <v>2200</v>
      </c>
      <c r="O143" s="18">
        <v>0</v>
      </c>
      <c r="P143" s="18">
        <v>37400</v>
      </c>
      <c r="Q143" s="18">
        <v>5</v>
      </c>
      <c r="R143" s="18" t="s">
        <v>48</v>
      </c>
      <c r="S143" s="18" t="s">
        <v>35</v>
      </c>
      <c r="T143" s="18" t="s">
        <v>89</v>
      </c>
      <c r="U143" s="19" t="s">
        <v>781</v>
      </c>
      <c r="V143" s="18" t="s">
        <v>64</v>
      </c>
      <c r="W143" s="24" t="str">
        <f t="shared" si="2"/>
        <v>Blacklisted</v>
      </c>
    </row>
    <row r="144" spans="1:23">
      <c r="A144" s="15" t="s">
        <v>782</v>
      </c>
      <c r="B144" s="15" t="s">
        <v>83</v>
      </c>
      <c r="C144" s="15" t="s">
        <v>72</v>
      </c>
      <c r="D144" s="15" t="s">
        <v>770</v>
      </c>
      <c r="E144" s="15" t="s">
        <v>783</v>
      </c>
      <c r="F144" s="15" t="s">
        <v>180</v>
      </c>
      <c r="G144" s="15" t="s">
        <v>76</v>
      </c>
      <c r="H144" s="15" t="s">
        <v>784</v>
      </c>
      <c r="I144" s="15" t="s">
        <v>114</v>
      </c>
      <c r="J144" s="15" t="s">
        <v>106</v>
      </c>
      <c r="K144" s="15" t="s">
        <v>46</v>
      </c>
      <c r="L144" s="15" t="s">
        <v>78</v>
      </c>
      <c r="M144" s="15">
        <v>10</v>
      </c>
      <c r="N144" s="15">
        <v>1200</v>
      </c>
      <c r="O144" s="15">
        <v>5</v>
      </c>
      <c r="P144" s="15">
        <v>11400</v>
      </c>
      <c r="Q144" s="15">
        <v>2</v>
      </c>
      <c r="R144" s="15" t="s">
        <v>34</v>
      </c>
      <c r="S144" s="15" t="s">
        <v>49</v>
      </c>
      <c r="T144" s="15" t="s">
        <v>89</v>
      </c>
      <c r="U144" s="17" t="s">
        <v>785</v>
      </c>
      <c r="V144" s="15" t="s">
        <v>69</v>
      </c>
      <c r="W144" s="24" t="str">
        <f t="shared" si="2"/>
        <v>Blacklisted</v>
      </c>
    </row>
    <row r="145" spans="1:23">
      <c r="A145" s="18" t="s">
        <v>786</v>
      </c>
      <c r="B145" s="18" t="s">
        <v>221</v>
      </c>
      <c r="C145" s="18" t="s">
        <v>118</v>
      </c>
      <c r="D145" s="18" t="s">
        <v>787</v>
      </c>
      <c r="E145" s="18" t="s">
        <v>788</v>
      </c>
      <c r="F145" s="18" t="s">
        <v>225</v>
      </c>
      <c r="G145" s="18" t="s">
        <v>76</v>
      </c>
      <c r="H145" s="18" t="s">
        <v>789</v>
      </c>
      <c r="I145" s="18" t="s">
        <v>30</v>
      </c>
      <c r="J145" s="18" t="s">
        <v>31</v>
      </c>
      <c r="K145" s="18" t="s">
        <v>122</v>
      </c>
      <c r="L145" s="18" t="s">
        <v>123</v>
      </c>
      <c r="M145" s="18">
        <v>3</v>
      </c>
      <c r="N145" s="18">
        <v>60</v>
      </c>
      <c r="O145" s="18">
        <v>0</v>
      </c>
      <c r="P145" s="18">
        <v>180</v>
      </c>
      <c r="Q145" s="18">
        <v>4</v>
      </c>
      <c r="R145" s="18" t="s">
        <v>48</v>
      </c>
      <c r="S145" s="18" t="s">
        <v>151</v>
      </c>
      <c r="T145" s="18" t="s">
        <v>228</v>
      </c>
      <c r="U145" s="19" t="s">
        <v>790</v>
      </c>
      <c r="V145" s="18" t="s">
        <v>38</v>
      </c>
      <c r="W145" s="24" t="str">
        <f t="shared" si="2"/>
        <v>Silver</v>
      </c>
    </row>
    <row r="146" spans="1:23">
      <c r="A146" s="15" t="s">
        <v>791</v>
      </c>
      <c r="B146" s="15" t="s">
        <v>53</v>
      </c>
      <c r="C146" s="15" t="s">
        <v>24</v>
      </c>
      <c r="D146" s="15" t="s">
        <v>792</v>
      </c>
      <c r="E146" s="15" t="s">
        <v>793</v>
      </c>
      <c r="F146" s="15" t="s">
        <v>163</v>
      </c>
      <c r="G146" s="15" t="s">
        <v>28</v>
      </c>
      <c r="H146" s="15" t="s">
        <v>794</v>
      </c>
      <c r="I146" s="15" t="s">
        <v>105</v>
      </c>
      <c r="J146" s="15" t="s">
        <v>106</v>
      </c>
      <c r="K146" s="15" t="s">
        <v>32</v>
      </c>
      <c r="L146" s="15" t="s">
        <v>33</v>
      </c>
      <c r="M146" s="15">
        <v>18</v>
      </c>
      <c r="N146" s="15">
        <v>2200</v>
      </c>
      <c r="O146" s="15">
        <v>10</v>
      </c>
      <c r="P146" s="15">
        <v>35640</v>
      </c>
      <c r="Q146" s="15">
        <v>1</v>
      </c>
      <c r="R146" s="15" t="s">
        <v>79</v>
      </c>
      <c r="S146" s="15" t="s">
        <v>151</v>
      </c>
      <c r="T146" s="15" t="s">
        <v>62</v>
      </c>
      <c r="U146" s="17" t="s">
        <v>795</v>
      </c>
      <c r="V146" s="15" t="s">
        <v>69</v>
      </c>
      <c r="W146" s="24" t="str">
        <f t="shared" si="2"/>
        <v>Blacklisted</v>
      </c>
    </row>
    <row r="147" spans="1:23">
      <c r="A147" s="18" t="s">
        <v>796</v>
      </c>
      <c r="B147" s="18" t="s">
        <v>71</v>
      </c>
      <c r="C147" s="18" t="s">
        <v>118</v>
      </c>
      <c r="D147" s="18" t="s">
        <v>797</v>
      </c>
      <c r="E147" s="18" t="s">
        <v>798</v>
      </c>
      <c r="F147" s="18" t="s">
        <v>217</v>
      </c>
      <c r="G147" s="18" t="s">
        <v>76</v>
      </c>
      <c r="H147" s="18" t="s">
        <v>799</v>
      </c>
      <c r="I147" s="18" t="s">
        <v>44</v>
      </c>
      <c r="J147" s="18" t="s">
        <v>45</v>
      </c>
      <c r="K147" s="18" t="s">
        <v>122</v>
      </c>
      <c r="L147" s="18" t="s">
        <v>123</v>
      </c>
      <c r="M147" s="18">
        <v>18</v>
      </c>
      <c r="N147" s="18">
        <v>60</v>
      </c>
      <c r="O147" s="18">
        <v>5</v>
      </c>
      <c r="P147" s="18">
        <v>1026</v>
      </c>
      <c r="Q147" s="18">
        <v>3</v>
      </c>
      <c r="R147" s="18" t="s">
        <v>79</v>
      </c>
      <c r="S147" s="18" t="s">
        <v>49</v>
      </c>
      <c r="T147" s="18" t="s">
        <v>80</v>
      </c>
      <c r="U147" s="19" t="s">
        <v>800</v>
      </c>
      <c r="V147" s="18" t="s">
        <v>64</v>
      </c>
      <c r="W147" s="24" t="str">
        <f t="shared" si="2"/>
        <v>Blacklisted</v>
      </c>
    </row>
    <row r="148" spans="1:23">
      <c r="A148" s="15" t="s">
        <v>801</v>
      </c>
      <c r="B148" s="15" t="s">
        <v>127</v>
      </c>
      <c r="C148" s="15" t="s">
        <v>54</v>
      </c>
      <c r="D148" s="15" t="s">
        <v>422</v>
      </c>
      <c r="E148" s="15" t="s">
        <v>377</v>
      </c>
      <c r="F148" s="15" t="s">
        <v>200</v>
      </c>
      <c r="G148" s="15" t="s">
        <v>76</v>
      </c>
      <c r="H148" s="15" t="s">
        <v>802</v>
      </c>
      <c r="I148" s="15" t="s">
        <v>114</v>
      </c>
      <c r="J148" s="15" t="s">
        <v>106</v>
      </c>
      <c r="K148" s="15" t="s">
        <v>46</v>
      </c>
      <c r="L148" s="15" t="s">
        <v>60</v>
      </c>
      <c r="M148" s="15">
        <v>11</v>
      </c>
      <c r="N148" s="15">
        <v>55000</v>
      </c>
      <c r="O148" s="15">
        <v>15</v>
      </c>
      <c r="P148" s="15">
        <v>514250</v>
      </c>
      <c r="Q148" s="15">
        <v>4</v>
      </c>
      <c r="R148" s="15" t="s">
        <v>88</v>
      </c>
      <c r="S148" s="15" t="s">
        <v>115</v>
      </c>
      <c r="T148" s="15" t="s">
        <v>132</v>
      </c>
      <c r="U148" s="17" t="s">
        <v>803</v>
      </c>
      <c r="V148" s="15" t="s">
        <v>69</v>
      </c>
      <c r="W148" s="24" t="str">
        <f t="shared" si="2"/>
        <v>Blacklisted</v>
      </c>
    </row>
    <row r="149" spans="1:23">
      <c r="A149" s="18" t="s">
        <v>804</v>
      </c>
      <c r="B149" s="18" t="s">
        <v>251</v>
      </c>
      <c r="C149" s="18" t="s">
        <v>169</v>
      </c>
      <c r="D149" s="18" t="s">
        <v>474</v>
      </c>
      <c r="E149" s="18" t="s">
        <v>464</v>
      </c>
      <c r="F149" s="18" t="s">
        <v>254</v>
      </c>
      <c r="G149" s="18" t="s">
        <v>28</v>
      </c>
      <c r="H149" s="18" t="s">
        <v>805</v>
      </c>
      <c r="I149" s="18" t="s">
        <v>294</v>
      </c>
      <c r="J149" s="18" t="s">
        <v>295</v>
      </c>
      <c r="K149" s="18" t="s">
        <v>32</v>
      </c>
      <c r="L149" s="18" t="s">
        <v>174</v>
      </c>
      <c r="M149" s="18">
        <v>5</v>
      </c>
      <c r="N149" s="18">
        <v>8500</v>
      </c>
      <c r="O149" s="18">
        <v>5</v>
      </c>
      <c r="P149" s="18">
        <v>40375</v>
      </c>
      <c r="Q149" s="18">
        <v>4</v>
      </c>
      <c r="R149" s="18" t="s">
        <v>34</v>
      </c>
      <c r="S149" s="18" t="s">
        <v>151</v>
      </c>
      <c r="T149" s="18" t="s">
        <v>256</v>
      </c>
      <c r="U149" s="19" t="s">
        <v>806</v>
      </c>
      <c r="V149" s="18" t="s">
        <v>38</v>
      </c>
      <c r="W149" s="24" t="str">
        <f t="shared" si="2"/>
        <v>Silver</v>
      </c>
    </row>
    <row r="150" spans="1:23">
      <c r="A150" s="15" t="s">
        <v>192</v>
      </c>
      <c r="B150" s="15" t="s">
        <v>100</v>
      </c>
      <c r="C150" s="15" t="s">
        <v>184</v>
      </c>
      <c r="D150" s="15" t="s">
        <v>246</v>
      </c>
      <c r="E150" s="15" t="s">
        <v>128</v>
      </c>
      <c r="F150" s="15" t="s">
        <v>103</v>
      </c>
      <c r="G150" s="15" t="s">
        <v>28</v>
      </c>
      <c r="H150" s="15" t="s">
        <v>807</v>
      </c>
      <c r="I150" s="15" t="s">
        <v>212</v>
      </c>
      <c r="J150" s="15" t="s">
        <v>45</v>
      </c>
      <c r="K150" s="15" t="s">
        <v>46</v>
      </c>
      <c r="L150" s="15" t="s">
        <v>189</v>
      </c>
      <c r="M150" s="15">
        <v>16</v>
      </c>
      <c r="N150" s="15">
        <v>700</v>
      </c>
      <c r="O150" s="15">
        <v>15</v>
      </c>
      <c r="P150" s="15">
        <v>9520</v>
      </c>
      <c r="Q150" s="15">
        <v>4</v>
      </c>
      <c r="R150" s="15" t="s">
        <v>79</v>
      </c>
      <c r="S150" s="15" t="s">
        <v>61</v>
      </c>
      <c r="T150" s="15" t="s">
        <v>144</v>
      </c>
      <c r="U150" s="17" t="s">
        <v>808</v>
      </c>
      <c r="V150" s="15" t="s">
        <v>38</v>
      </c>
      <c r="W150" s="24" t="str">
        <f t="shared" si="2"/>
        <v>Silver</v>
      </c>
    </row>
    <row r="151" spans="1:23">
      <c r="A151" s="18" t="s">
        <v>809</v>
      </c>
      <c r="B151" s="18" t="s">
        <v>127</v>
      </c>
      <c r="C151" s="18" t="s">
        <v>184</v>
      </c>
      <c r="D151" s="18" t="s">
        <v>489</v>
      </c>
      <c r="E151" s="18" t="s">
        <v>267</v>
      </c>
      <c r="F151" s="18" t="s">
        <v>200</v>
      </c>
      <c r="G151" s="18" t="s">
        <v>76</v>
      </c>
      <c r="H151" s="18" t="s">
        <v>810</v>
      </c>
      <c r="I151" s="18" t="s">
        <v>114</v>
      </c>
      <c r="J151" s="18" t="s">
        <v>106</v>
      </c>
      <c r="K151" s="18" t="s">
        <v>46</v>
      </c>
      <c r="L151" s="18" t="s">
        <v>189</v>
      </c>
      <c r="M151" s="18">
        <v>6</v>
      </c>
      <c r="N151" s="18">
        <v>700</v>
      </c>
      <c r="O151" s="18">
        <v>10</v>
      </c>
      <c r="P151" s="18">
        <v>3780</v>
      </c>
      <c r="Q151" s="18">
        <v>4</v>
      </c>
      <c r="R151" s="18" t="s">
        <v>34</v>
      </c>
      <c r="S151" s="18" t="s">
        <v>49</v>
      </c>
      <c r="T151" s="18" t="s">
        <v>132</v>
      </c>
      <c r="U151" s="19" t="s">
        <v>811</v>
      </c>
      <c r="V151" s="18" t="s">
        <v>69</v>
      </c>
      <c r="W151" s="24" t="str">
        <f t="shared" si="2"/>
        <v>Blacklisted</v>
      </c>
    </row>
    <row r="152" spans="1:23">
      <c r="A152" s="15" t="s">
        <v>812</v>
      </c>
      <c r="B152" s="15" t="s">
        <v>53</v>
      </c>
      <c r="C152" s="15" t="s">
        <v>92</v>
      </c>
      <c r="D152" s="15" t="s">
        <v>518</v>
      </c>
      <c r="E152" s="15" t="s">
        <v>615</v>
      </c>
      <c r="F152" s="15" t="s">
        <v>163</v>
      </c>
      <c r="G152" s="15" t="s">
        <v>28</v>
      </c>
      <c r="H152" s="15" t="s">
        <v>813</v>
      </c>
      <c r="I152" s="15" t="s">
        <v>44</v>
      </c>
      <c r="J152" s="15" t="s">
        <v>45</v>
      </c>
      <c r="K152" s="15" t="s">
        <v>32</v>
      </c>
      <c r="L152" s="15" t="s">
        <v>97</v>
      </c>
      <c r="M152" s="15">
        <v>20</v>
      </c>
      <c r="N152" s="15">
        <v>3500</v>
      </c>
      <c r="O152" s="15">
        <v>10</v>
      </c>
      <c r="P152" s="15">
        <v>63000</v>
      </c>
      <c r="Q152" s="15">
        <v>4</v>
      </c>
      <c r="R152" s="15" t="s">
        <v>88</v>
      </c>
      <c r="S152" s="15" t="s">
        <v>49</v>
      </c>
      <c r="T152" s="15" t="s">
        <v>62</v>
      </c>
      <c r="U152" s="17" t="s">
        <v>814</v>
      </c>
      <c r="V152" s="15" t="s">
        <v>64</v>
      </c>
      <c r="W152" s="24" t="str">
        <f t="shared" si="2"/>
        <v>Blacklisted</v>
      </c>
    </row>
    <row r="153" spans="1:23">
      <c r="A153" s="18" t="s">
        <v>815</v>
      </c>
      <c r="B153" s="18" t="s">
        <v>23</v>
      </c>
      <c r="C153" s="18" t="s">
        <v>222</v>
      </c>
      <c r="D153" s="18" t="s">
        <v>816</v>
      </c>
      <c r="E153" s="18" t="s">
        <v>817</v>
      </c>
      <c r="F153" s="18" t="s">
        <v>27</v>
      </c>
      <c r="G153" s="18" t="s">
        <v>28</v>
      </c>
      <c r="H153" s="18" t="s">
        <v>818</v>
      </c>
      <c r="I153" s="18" t="s">
        <v>59</v>
      </c>
      <c r="J153" s="18" t="s">
        <v>31</v>
      </c>
      <c r="K153" s="18" t="s">
        <v>122</v>
      </c>
      <c r="L153" s="18" t="s">
        <v>227</v>
      </c>
      <c r="M153" s="18">
        <v>2</v>
      </c>
      <c r="N153" s="18">
        <v>20</v>
      </c>
      <c r="O153" s="18">
        <v>10</v>
      </c>
      <c r="P153" s="18">
        <v>36</v>
      </c>
      <c r="Q153" s="18">
        <v>1</v>
      </c>
      <c r="R153" s="18" t="s">
        <v>48</v>
      </c>
      <c r="S153" s="18" t="s">
        <v>115</v>
      </c>
      <c r="T153" s="18" t="s">
        <v>50</v>
      </c>
      <c r="U153" s="19" t="s">
        <v>819</v>
      </c>
      <c r="V153" s="18" t="s">
        <v>64</v>
      </c>
      <c r="W153" s="24" t="str">
        <f t="shared" si="2"/>
        <v>Blacklisted</v>
      </c>
    </row>
    <row r="154" spans="1:23">
      <c r="A154" s="15" t="s">
        <v>820</v>
      </c>
      <c r="B154" s="15" t="s">
        <v>100</v>
      </c>
      <c r="C154" s="15" t="s">
        <v>24</v>
      </c>
      <c r="D154" s="15" t="s">
        <v>779</v>
      </c>
      <c r="E154" s="15" t="s">
        <v>821</v>
      </c>
      <c r="F154" s="15" t="s">
        <v>103</v>
      </c>
      <c r="G154" s="15" t="s">
        <v>28</v>
      </c>
      <c r="H154" s="15" t="s">
        <v>822</v>
      </c>
      <c r="I154" s="15" t="s">
        <v>114</v>
      </c>
      <c r="J154" s="15" t="s">
        <v>106</v>
      </c>
      <c r="K154" s="15" t="s">
        <v>32</v>
      </c>
      <c r="L154" s="15" t="s">
        <v>33</v>
      </c>
      <c r="M154" s="15">
        <v>16</v>
      </c>
      <c r="N154" s="15">
        <v>2200</v>
      </c>
      <c r="O154" s="15">
        <v>20</v>
      </c>
      <c r="P154" s="15">
        <v>28160</v>
      </c>
      <c r="Q154" s="15">
        <v>2</v>
      </c>
      <c r="R154" s="15" t="s">
        <v>88</v>
      </c>
      <c r="S154" s="15" t="s">
        <v>151</v>
      </c>
      <c r="T154" s="15" t="s">
        <v>144</v>
      </c>
      <c r="U154" s="17" t="s">
        <v>823</v>
      </c>
      <c r="V154" s="15" t="s">
        <v>64</v>
      </c>
      <c r="W154" s="24" t="str">
        <f t="shared" si="2"/>
        <v>Blacklisted</v>
      </c>
    </row>
    <row r="155" spans="1:23">
      <c r="A155" s="18" t="s">
        <v>824</v>
      </c>
      <c r="B155" s="18" t="s">
        <v>221</v>
      </c>
      <c r="C155" s="18" t="s">
        <v>40</v>
      </c>
      <c r="D155" s="18" t="s">
        <v>148</v>
      </c>
      <c r="E155" s="18" t="s">
        <v>825</v>
      </c>
      <c r="F155" s="18" t="s">
        <v>225</v>
      </c>
      <c r="G155" s="18" t="s">
        <v>76</v>
      </c>
      <c r="H155" s="18" t="s">
        <v>826</v>
      </c>
      <c r="I155" s="18" t="s">
        <v>114</v>
      </c>
      <c r="J155" s="18" t="s">
        <v>106</v>
      </c>
      <c r="K155" s="18" t="s">
        <v>46</v>
      </c>
      <c r="L155" s="18" t="s">
        <v>47</v>
      </c>
      <c r="M155" s="18">
        <v>15</v>
      </c>
      <c r="N155" s="18">
        <v>12000</v>
      </c>
      <c r="O155" s="18">
        <v>0</v>
      </c>
      <c r="P155" s="18">
        <v>180000</v>
      </c>
      <c r="Q155" s="18">
        <v>1</v>
      </c>
      <c r="R155" s="18" t="s">
        <v>79</v>
      </c>
      <c r="S155" s="18" t="s">
        <v>61</v>
      </c>
      <c r="T155" s="18" t="s">
        <v>228</v>
      </c>
      <c r="U155" s="19" t="s">
        <v>827</v>
      </c>
      <c r="V155" s="18" t="s">
        <v>64</v>
      </c>
      <c r="W155" s="24" t="str">
        <f t="shared" si="2"/>
        <v>Blacklisted</v>
      </c>
    </row>
    <row r="156" spans="1:23">
      <c r="A156" s="15" t="s">
        <v>828</v>
      </c>
      <c r="B156" s="15" t="s">
        <v>23</v>
      </c>
      <c r="C156" s="15" t="s">
        <v>118</v>
      </c>
      <c r="D156" s="15" t="s">
        <v>829</v>
      </c>
      <c r="E156" s="15" t="s">
        <v>830</v>
      </c>
      <c r="F156" s="15" t="s">
        <v>27</v>
      </c>
      <c r="G156" s="15" t="s">
        <v>28</v>
      </c>
      <c r="H156" s="15" t="s">
        <v>831</v>
      </c>
      <c r="I156" s="15" t="s">
        <v>44</v>
      </c>
      <c r="J156" s="15" t="s">
        <v>45</v>
      </c>
      <c r="K156" s="15" t="s">
        <v>122</v>
      </c>
      <c r="L156" s="15" t="s">
        <v>123</v>
      </c>
      <c r="M156" s="15">
        <v>14</v>
      </c>
      <c r="N156" s="15">
        <v>60</v>
      </c>
      <c r="O156" s="15">
        <v>15</v>
      </c>
      <c r="P156" s="15">
        <v>714</v>
      </c>
      <c r="Q156" s="15">
        <v>4</v>
      </c>
      <c r="R156" s="15" t="s">
        <v>88</v>
      </c>
      <c r="S156" s="15" t="s">
        <v>49</v>
      </c>
      <c r="T156" s="15" t="s">
        <v>50</v>
      </c>
      <c r="U156" s="17" t="s">
        <v>832</v>
      </c>
      <c r="V156" s="15" t="s">
        <v>38</v>
      </c>
      <c r="W156" s="24" t="str">
        <f t="shared" si="2"/>
        <v>Silver</v>
      </c>
    </row>
    <row r="157" spans="1:23">
      <c r="A157" s="18" t="s">
        <v>833</v>
      </c>
      <c r="B157" s="18" t="s">
        <v>53</v>
      </c>
      <c r="C157" s="18" t="s">
        <v>72</v>
      </c>
      <c r="D157" s="18" t="s">
        <v>834</v>
      </c>
      <c r="E157" s="18" t="s">
        <v>835</v>
      </c>
      <c r="F157" s="18" t="s">
        <v>163</v>
      </c>
      <c r="G157" s="18" t="s">
        <v>28</v>
      </c>
      <c r="H157" s="18" t="s">
        <v>836</v>
      </c>
      <c r="I157" s="18" t="s">
        <v>30</v>
      </c>
      <c r="J157" s="18" t="s">
        <v>31</v>
      </c>
      <c r="K157" s="18" t="s">
        <v>46</v>
      </c>
      <c r="L157" s="18" t="s">
        <v>78</v>
      </c>
      <c r="M157" s="18">
        <v>9</v>
      </c>
      <c r="N157" s="18">
        <v>1200</v>
      </c>
      <c r="O157" s="18">
        <v>5</v>
      </c>
      <c r="P157" s="18">
        <v>10260</v>
      </c>
      <c r="Q157" s="18">
        <v>5</v>
      </c>
      <c r="R157" s="18" t="s">
        <v>48</v>
      </c>
      <c r="S157" s="18" t="s">
        <v>61</v>
      </c>
      <c r="T157" s="18" t="s">
        <v>62</v>
      </c>
      <c r="U157" s="19" t="s">
        <v>837</v>
      </c>
      <c r="V157" s="18" t="s">
        <v>64</v>
      </c>
      <c r="W157" s="24" t="str">
        <f t="shared" si="2"/>
        <v>Blacklisted</v>
      </c>
    </row>
    <row r="158" spans="1:23">
      <c r="A158" s="15" t="s">
        <v>838</v>
      </c>
      <c r="B158" s="15" t="s">
        <v>221</v>
      </c>
      <c r="C158" s="15" t="s">
        <v>72</v>
      </c>
      <c r="D158" s="15" t="s">
        <v>821</v>
      </c>
      <c r="E158" s="15" t="s">
        <v>839</v>
      </c>
      <c r="F158" s="15" t="s">
        <v>225</v>
      </c>
      <c r="G158" s="15" t="s">
        <v>76</v>
      </c>
      <c r="H158" s="15" t="s">
        <v>840</v>
      </c>
      <c r="I158" s="15" t="s">
        <v>294</v>
      </c>
      <c r="J158" s="15" t="s">
        <v>295</v>
      </c>
      <c r="K158" s="15" t="s">
        <v>46</v>
      </c>
      <c r="L158" s="15" t="s">
        <v>78</v>
      </c>
      <c r="M158" s="15">
        <v>3</v>
      </c>
      <c r="N158" s="15">
        <v>1200</v>
      </c>
      <c r="O158" s="15">
        <v>10</v>
      </c>
      <c r="P158" s="15">
        <v>3240</v>
      </c>
      <c r="Q158" s="15">
        <v>2</v>
      </c>
      <c r="R158" s="15" t="s">
        <v>79</v>
      </c>
      <c r="S158" s="15" t="s">
        <v>151</v>
      </c>
      <c r="T158" s="15" t="s">
        <v>228</v>
      </c>
      <c r="U158" s="17" t="s">
        <v>841</v>
      </c>
      <c r="V158" s="15" t="s">
        <v>69</v>
      </c>
      <c r="W158" s="24" t="str">
        <f t="shared" si="2"/>
        <v>Blacklisted</v>
      </c>
    </row>
    <row r="159" spans="1:23">
      <c r="A159" s="18" t="s">
        <v>842</v>
      </c>
      <c r="B159" s="18" t="s">
        <v>327</v>
      </c>
      <c r="C159" s="18" t="s">
        <v>118</v>
      </c>
      <c r="D159" s="18" t="s">
        <v>459</v>
      </c>
      <c r="E159" s="18" t="s">
        <v>577</v>
      </c>
      <c r="F159" s="18" t="s">
        <v>394</v>
      </c>
      <c r="G159" s="18" t="s">
        <v>76</v>
      </c>
      <c r="H159" s="18" t="s">
        <v>843</v>
      </c>
      <c r="I159" s="18" t="s">
        <v>30</v>
      </c>
      <c r="J159" s="18" t="s">
        <v>31</v>
      </c>
      <c r="K159" s="18" t="s">
        <v>122</v>
      </c>
      <c r="L159" s="18" t="s">
        <v>123</v>
      </c>
      <c r="M159" s="18">
        <v>2</v>
      </c>
      <c r="N159" s="18">
        <v>60</v>
      </c>
      <c r="O159" s="18">
        <v>10</v>
      </c>
      <c r="P159" s="18">
        <v>108</v>
      </c>
      <c r="Q159" s="18">
        <v>2</v>
      </c>
      <c r="R159" s="18" t="s">
        <v>88</v>
      </c>
      <c r="S159" s="18" t="s">
        <v>61</v>
      </c>
      <c r="T159" s="18" t="s">
        <v>332</v>
      </c>
      <c r="U159" s="19" t="s">
        <v>844</v>
      </c>
      <c r="V159" s="18" t="s">
        <v>38</v>
      </c>
      <c r="W159" s="24" t="str">
        <f t="shared" si="2"/>
        <v>Blacklisted</v>
      </c>
    </row>
    <row r="160" spans="1:23">
      <c r="A160" s="15" t="s">
        <v>845</v>
      </c>
      <c r="B160" s="15" t="s">
        <v>71</v>
      </c>
      <c r="C160" s="15" t="s">
        <v>92</v>
      </c>
      <c r="D160" s="15" t="s">
        <v>426</v>
      </c>
      <c r="E160" s="15" t="s">
        <v>846</v>
      </c>
      <c r="F160" s="15" t="s">
        <v>217</v>
      </c>
      <c r="G160" s="15" t="s">
        <v>76</v>
      </c>
      <c r="H160" s="15" t="s">
        <v>847</v>
      </c>
      <c r="I160" s="15" t="s">
        <v>44</v>
      </c>
      <c r="J160" s="15" t="s">
        <v>45</v>
      </c>
      <c r="K160" s="15" t="s">
        <v>32</v>
      </c>
      <c r="L160" s="15" t="s">
        <v>97</v>
      </c>
      <c r="M160" s="15">
        <v>9</v>
      </c>
      <c r="N160" s="15">
        <v>3500</v>
      </c>
      <c r="O160" s="15">
        <v>20</v>
      </c>
      <c r="P160" s="15">
        <v>25200</v>
      </c>
      <c r="Q160" s="15">
        <v>1</v>
      </c>
      <c r="R160" s="15" t="s">
        <v>48</v>
      </c>
      <c r="S160" s="15" t="s">
        <v>35</v>
      </c>
      <c r="T160" s="15" t="s">
        <v>80</v>
      </c>
      <c r="U160" s="17" t="s">
        <v>848</v>
      </c>
      <c r="V160" s="15" t="s">
        <v>38</v>
      </c>
      <c r="W160" s="24" t="str">
        <f t="shared" si="2"/>
        <v>Blacklisted</v>
      </c>
    </row>
    <row r="161" spans="1:23">
      <c r="A161" s="18" t="s">
        <v>849</v>
      </c>
      <c r="B161" s="18" t="s">
        <v>221</v>
      </c>
      <c r="C161" s="18" t="s">
        <v>54</v>
      </c>
      <c r="D161" s="18" t="s">
        <v>241</v>
      </c>
      <c r="E161" s="18" t="s">
        <v>543</v>
      </c>
      <c r="F161" s="18" t="s">
        <v>225</v>
      </c>
      <c r="G161" s="18" t="s">
        <v>76</v>
      </c>
      <c r="H161" s="18" t="s">
        <v>850</v>
      </c>
      <c r="I161" s="18" t="s">
        <v>212</v>
      </c>
      <c r="J161" s="18" t="s">
        <v>45</v>
      </c>
      <c r="K161" s="18" t="s">
        <v>46</v>
      </c>
      <c r="L161" s="18" t="s">
        <v>60</v>
      </c>
      <c r="M161" s="18">
        <v>4</v>
      </c>
      <c r="N161" s="18">
        <v>55000</v>
      </c>
      <c r="O161" s="18">
        <v>5</v>
      </c>
      <c r="P161" s="18">
        <v>209000</v>
      </c>
      <c r="Q161" s="18">
        <v>2</v>
      </c>
      <c r="R161" s="18" t="s">
        <v>34</v>
      </c>
      <c r="S161" s="18" t="s">
        <v>151</v>
      </c>
      <c r="T161" s="18" t="s">
        <v>228</v>
      </c>
      <c r="U161" s="19" t="s">
        <v>851</v>
      </c>
      <c r="V161" s="18" t="s">
        <v>64</v>
      </c>
      <c r="W161" s="24" t="str">
        <f t="shared" si="2"/>
        <v>Blacklisted</v>
      </c>
    </row>
    <row r="162" spans="1:23">
      <c r="A162" s="15" t="s">
        <v>852</v>
      </c>
      <c r="B162" s="15" t="s">
        <v>327</v>
      </c>
      <c r="C162" s="15" t="s">
        <v>184</v>
      </c>
      <c r="D162" s="15" t="s">
        <v>488</v>
      </c>
      <c r="E162" s="15" t="s">
        <v>266</v>
      </c>
      <c r="F162" s="15" t="s">
        <v>853</v>
      </c>
      <c r="G162" s="15" t="s">
        <v>76</v>
      </c>
      <c r="H162" s="15" t="s">
        <v>854</v>
      </c>
      <c r="I162" s="15" t="s">
        <v>44</v>
      </c>
      <c r="J162" s="15" t="s">
        <v>45</v>
      </c>
      <c r="K162" s="15" t="s">
        <v>46</v>
      </c>
      <c r="L162" s="15" t="s">
        <v>189</v>
      </c>
      <c r="M162" s="15">
        <v>11</v>
      </c>
      <c r="N162" s="15">
        <v>700</v>
      </c>
      <c r="O162" s="15">
        <v>20</v>
      </c>
      <c r="P162" s="15">
        <v>6160</v>
      </c>
      <c r="Q162" s="15">
        <v>4</v>
      </c>
      <c r="R162" s="15" t="s">
        <v>34</v>
      </c>
      <c r="S162" s="15" t="s">
        <v>151</v>
      </c>
      <c r="T162" s="15" t="s">
        <v>332</v>
      </c>
      <c r="U162" s="17" t="s">
        <v>855</v>
      </c>
      <c r="V162" s="15" t="s">
        <v>69</v>
      </c>
      <c r="W162" s="24" t="str">
        <f t="shared" si="2"/>
        <v>Blacklisted</v>
      </c>
    </row>
    <row r="163" spans="1:23">
      <c r="A163" s="18" t="s">
        <v>856</v>
      </c>
      <c r="B163" s="18" t="s">
        <v>168</v>
      </c>
      <c r="C163" s="18" t="s">
        <v>72</v>
      </c>
      <c r="D163" s="18" t="s">
        <v>286</v>
      </c>
      <c r="E163" s="18" t="s">
        <v>816</v>
      </c>
      <c r="F163" s="18" t="s">
        <v>361</v>
      </c>
      <c r="G163" s="18" t="s">
        <v>28</v>
      </c>
      <c r="H163" s="18" t="s">
        <v>857</v>
      </c>
      <c r="I163" s="18" t="s">
        <v>294</v>
      </c>
      <c r="J163" s="18" t="s">
        <v>295</v>
      </c>
      <c r="K163" s="18" t="s">
        <v>46</v>
      </c>
      <c r="L163" s="18" t="s">
        <v>78</v>
      </c>
      <c r="M163" s="18">
        <v>16</v>
      </c>
      <c r="N163" s="18">
        <v>1200</v>
      </c>
      <c r="O163" s="18">
        <v>5</v>
      </c>
      <c r="P163" s="18">
        <v>18240</v>
      </c>
      <c r="Q163" s="18">
        <v>1</v>
      </c>
      <c r="R163" s="18" t="s">
        <v>79</v>
      </c>
      <c r="S163" s="18" t="s">
        <v>35</v>
      </c>
      <c r="T163" s="18" t="s">
        <v>175</v>
      </c>
      <c r="U163" s="19" t="s">
        <v>858</v>
      </c>
      <c r="V163" s="18" t="s">
        <v>64</v>
      </c>
      <c r="W163" s="24" t="str">
        <f t="shared" si="2"/>
        <v>Blacklisted</v>
      </c>
    </row>
    <row r="164" spans="1:23">
      <c r="A164" s="15" t="s">
        <v>859</v>
      </c>
      <c r="B164" s="15" t="s">
        <v>168</v>
      </c>
      <c r="C164" s="15" t="s">
        <v>72</v>
      </c>
      <c r="D164" s="15" t="s">
        <v>548</v>
      </c>
      <c r="E164" s="15" t="s">
        <v>860</v>
      </c>
      <c r="F164" s="15" t="s">
        <v>361</v>
      </c>
      <c r="G164" s="15" t="s">
        <v>28</v>
      </c>
      <c r="H164" s="15" t="s">
        <v>861</v>
      </c>
      <c r="I164" s="15" t="s">
        <v>114</v>
      </c>
      <c r="J164" s="15" t="s">
        <v>106</v>
      </c>
      <c r="K164" s="15" t="s">
        <v>46</v>
      </c>
      <c r="L164" s="15" t="s">
        <v>78</v>
      </c>
      <c r="M164" s="15">
        <v>1</v>
      </c>
      <c r="N164" s="15">
        <v>1200</v>
      </c>
      <c r="O164" s="15">
        <v>5</v>
      </c>
      <c r="P164" s="15">
        <v>1140</v>
      </c>
      <c r="Q164" s="15">
        <v>4</v>
      </c>
      <c r="R164" s="15" t="s">
        <v>79</v>
      </c>
      <c r="S164" s="15" t="s">
        <v>35</v>
      </c>
      <c r="T164" s="15" t="s">
        <v>175</v>
      </c>
      <c r="U164" s="17" t="s">
        <v>862</v>
      </c>
      <c r="V164" s="15" t="s">
        <v>38</v>
      </c>
      <c r="W164" s="24" t="str">
        <f t="shared" si="2"/>
        <v>Silver</v>
      </c>
    </row>
    <row r="165" spans="1:23">
      <c r="A165" s="18" t="s">
        <v>863</v>
      </c>
      <c r="B165" s="18" t="s">
        <v>327</v>
      </c>
      <c r="C165" s="18" t="s">
        <v>118</v>
      </c>
      <c r="D165" s="18" t="s">
        <v>864</v>
      </c>
      <c r="E165" s="18" t="s">
        <v>865</v>
      </c>
      <c r="F165" s="18" t="s">
        <v>853</v>
      </c>
      <c r="G165" s="18" t="s">
        <v>76</v>
      </c>
      <c r="H165" s="18" t="s">
        <v>866</v>
      </c>
      <c r="I165" s="18" t="s">
        <v>212</v>
      </c>
      <c r="J165" s="18" t="s">
        <v>45</v>
      </c>
      <c r="K165" s="18" t="s">
        <v>122</v>
      </c>
      <c r="L165" s="18" t="s">
        <v>123</v>
      </c>
      <c r="M165" s="18">
        <v>7</v>
      </c>
      <c r="N165" s="18">
        <v>60</v>
      </c>
      <c r="O165" s="18">
        <v>0</v>
      </c>
      <c r="P165" s="18">
        <v>420</v>
      </c>
      <c r="Q165" s="18">
        <v>2</v>
      </c>
      <c r="R165" s="18" t="s">
        <v>88</v>
      </c>
      <c r="S165" s="18" t="s">
        <v>151</v>
      </c>
      <c r="T165" s="18" t="s">
        <v>332</v>
      </c>
      <c r="U165" s="19" t="s">
        <v>867</v>
      </c>
      <c r="V165" s="18" t="s">
        <v>38</v>
      </c>
      <c r="W165" s="24" t="str">
        <f t="shared" si="2"/>
        <v>Blacklisted</v>
      </c>
    </row>
    <row r="166" spans="1:23">
      <c r="A166" s="15" t="s">
        <v>868</v>
      </c>
      <c r="B166" s="15" t="s">
        <v>168</v>
      </c>
      <c r="C166" s="15" t="s">
        <v>24</v>
      </c>
      <c r="D166" s="15" t="s">
        <v>205</v>
      </c>
      <c r="E166" s="15" t="s">
        <v>513</v>
      </c>
      <c r="F166" s="15" t="s">
        <v>361</v>
      </c>
      <c r="G166" s="15" t="s">
        <v>28</v>
      </c>
      <c r="H166" s="15" t="s">
        <v>869</v>
      </c>
      <c r="I166" s="15" t="s">
        <v>114</v>
      </c>
      <c r="J166" s="15" t="s">
        <v>106</v>
      </c>
      <c r="K166" s="15" t="s">
        <v>32</v>
      </c>
      <c r="L166" s="15" t="s">
        <v>33</v>
      </c>
      <c r="M166" s="15">
        <v>14</v>
      </c>
      <c r="N166" s="15">
        <v>2200</v>
      </c>
      <c r="O166" s="15">
        <v>0</v>
      </c>
      <c r="P166" s="15">
        <v>30800</v>
      </c>
      <c r="Q166" s="15">
        <v>2</v>
      </c>
      <c r="R166" s="15" t="s">
        <v>88</v>
      </c>
      <c r="S166" s="15" t="s">
        <v>35</v>
      </c>
      <c r="T166" s="15" t="s">
        <v>175</v>
      </c>
      <c r="U166" s="17" t="s">
        <v>870</v>
      </c>
      <c r="V166" s="15" t="s">
        <v>69</v>
      </c>
      <c r="W166" s="24" t="str">
        <f t="shared" si="2"/>
        <v>Blacklisted</v>
      </c>
    </row>
    <row r="167" spans="1:23">
      <c r="A167" s="18" t="s">
        <v>871</v>
      </c>
      <c r="B167" s="18" t="s">
        <v>168</v>
      </c>
      <c r="C167" s="18" t="s">
        <v>92</v>
      </c>
      <c r="D167" s="18" t="s">
        <v>872</v>
      </c>
      <c r="E167" s="18" t="s">
        <v>488</v>
      </c>
      <c r="F167" s="18" t="s">
        <v>361</v>
      </c>
      <c r="G167" s="18" t="s">
        <v>28</v>
      </c>
      <c r="H167" s="18" t="s">
        <v>873</v>
      </c>
      <c r="I167" s="18" t="s">
        <v>138</v>
      </c>
      <c r="J167" s="18" t="s">
        <v>106</v>
      </c>
      <c r="K167" s="18" t="s">
        <v>32</v>
      </c>
      <c r="L167" s="18" t="s">
        <v>97</v>
      </c>
      <c r="M167" s="18">
        <v>15</v>
      </c>
      <c r="N167" s="18">
        <v>3500</v>
      </c>
      <c r="O167" s="18">
        <v>15</v>
      </c>
      <c r="P167" s="18">
        <v>44625</v>
      </c>
      <c r="Q167" s="18">
        <v>2</v>
      </c>
      <c r="R167" s="18" t="s">
        <v>88</v>
      </c>
      <c r="S167" s="18" t="s">
        <v>61</v>
      </c>
      <c r="T167" s="18" t="s">
        <v>175</v>
      </c>
      <c r="U167" s="19" t="s">
        <v>874</v>
      </c>
      <c r="V167" s="18" t="s">
        <v>64</v>
      </c>
      <c r="W167" s="24" t="str">
        <f t="shared" si="2"/>
        <v>Blacklisted</v>
      </c>
    </row>
    <row r="168" spans="1:23">
      <c r="A168" s="15" t="s">
        <v>875</v>
      </c>
      <c r="B168" s="15" t="s">
        <v>127</v>
      </c>
      <c r="C168" s="15" t="s">
        <v>92</v>
      </c>
      <c r="D168" s="15" t="s">
        <v>876</v>
      </c>
      <c r="E168" s="15" t="s">
        <v>877</v>
      </c>
      <c r="F168" s="15" t="s">
        <v>200</v>
      </c>
      <c r="G168" s="15" t="s">
        <v>76</v>
      </c>
      <c r="H168" s="15" t="s">
        <v>878</v>
      </c>
      <c r="I168" s="15" t="s">
        <v>294</v>
      </c>
      <c r="J168" s="15" t="s">
        <v>295</v>
      </c>
      <c r="K168" s="15" t="s">
        <v>32</v>
      </c>
      <c r="L168" s="15" t="s">
        <v>97</v>
      </c>
      <c r="M168" s="15">
        <v>19</v>
      </c>
      <c r="N168" s="15">
        <v>3500</v>
      </c>
      <c r="O168" s="15">
        <v>5</v>
      </c>
      <c r="P168" s="15">
        <v>63175</v>
      </c>
      <c r="Q168" s="15">
        <v>2</v>
      </c>
      <c r="R168" s="15" t="s">
        <v>34</v>
      </c>
      <c r="S168" s="15" t="s">
        <v>115</v>
      </c>
      <c r="T168" s="15" t="s">
        <v>132</v>
      </c>
      <c r="U168" s="17" t="s">
        <v>879</v>
      </c>
      <c r="V168" s="15" t="s">
        <v>69</v>
      </c>
      <c r="W168" s="24" t="str">
        <f t="shared" si="2"/>
        <v>Blacklisted</v>
      </c>
    </row>
    <row r="169" spans="1:23">
      <c r="A169" s="18" t="s">
        <v>880</v>
      </c>
      <c r="B169" s="18" t="s">
        <v>327</v>
      </c>
      <c r="C169" s="18" t="s">
        <v>54</v>
      </c>
      <c r="D169" s="18" t="s">
        <v>881</v>
      </c>
      <c r="E169" s="18" t="s">
        <v>640</v>
      </c>
      <c r="F169" s="18" t="s">
        <v>394</v>
      </c>
      <c r="G169" s="18" t="s">
        <v>76</v>
      </c>
      <c r="H169" s="18" t="s">
        <v>882</v>
      </c>
      <c r="I169" s="18" t="s">
        <v>59</v>
      </c>
      <c r="J169" s="18" t="s">
        <v>31</v>
      </c>
      <c r="K169" s="18" t="s">
        <v>46</v>
      </c>
      <c r="L169" s="18" t="s">
        <v>60</v>
      </c>
      <c r="M169" s="18">
        <v>12</v>
      </c>
      <c r="N169" s="18">
        <v>55000</v>
      </c>
      <c r="O169" s="18">
        <v>5</v>
      </c>
      <c r="P169" s="18">
        <v>627000</v>
      </c>
      <c r="Q169" s="18">
        <v>4</v>
      </c>
      <c r="R169" s="18" t="s">
        <v>79</v>
      </c>
      <c r="S169" s="18" t="s">
        <v>61</v>
      </c>
      <c r="T169" s="18" t="s">
        <v>332</v>
      </c>
      <c r="U169" s="19" t="s">
        <v>883</v>
      </c>
      <c r="V169" s="18" t="s">
        <v>69</v>
      </c>
      <c r="W169" s="24" t="str">
        <f t="shared" si="2"/>
        <v>Blacklisted</v>
      </c>
    </row>
    <row r="170" spans="1:23">
      <c r="A170" s="15" t="s">
        <v>884</v>
      </c>
      <c r="B170" s="15" t="s">
        <v>53</v>
      </c>
      <c r="C170" s="15" t="s">
        <v>72</v>
      </c>
      <c r="D170" s="15" t="s">
        <v>587</v>
      </c>
      <c r="E170" s="15" t="s">
        <v>483</v>
      </c>
      <c r="F170" s="15" t="s">
        <v>163</v>
      </c>
      <c r="G170" s="15" t="s">
        <v>28</v>
      </c>
      <c r="H170" s="15" t="s">
        <v>885</v>
      </c>
      <c r="I170" s="15" t="s">
        <v>105</v>
      </c>
      <c r="J170" s="15" t="s">
        <v>106</v>
      </c>
      <c r="K170" s="15" t="s">
        <v>46</v>
      </c>
      <c r="L170" s="15" t="s">
        <v>78</v>
      </c>
      <c r="M170" s="15">
        <v>6</v>
      </c>
      <c r="N170" s="15">
        <v>1200</v>
      </c>
      <c r="O170" s="15">
        <v>10</v>
      </c>
      <c r="P170" s="15">
        <v>6480</v>
      </c>
      <c r="Q170" s="15">
        <v>5</v>
      </c>
      <c r="R170" s="15" t="s">
        <v>48</v>
      </c>
      <c r="S170" s="15" t="s">
        <v>115</v>
      </c>
      <c r="T170" s="15" t="s">
        <v>62</v>
      </c>
      <c r="U170" s="17" t="s">
        <v>886</v>
      </c>
      <c r="V170" s="15" t="s">
        <v>69</v>
      </c>
      <c r="W170" s="24" t="str">
        <f t="shared" si="2"/>
        <v>Blacklisted</v>
      </c>
    </row>
    <row r="171" spans="1:23">
      <c r="A171" s="18" t="s">
        <v>887</v>
      </c>
      <c r="B171" s="18" t="s">
        <v>251</v>
      </c>
      <c r="C171" s="18" t="s">
        <v>169</v>
      </c>
      <c r="D171" s="18" t="s">
        <v>128</v>
      </c>
      <c r="E171" s="18" t="s">
        <v>247</v>
      </c>
      <c r="F171" s="18" t="s">
        <v>254</v>
      </c>
      <c r="G171" s="18" t="s">
        <v>28</v>
      </c>
      <c r="H171" s="18" t="s">
        <v>888</v>
      </c>
      <c r="I171" s="18" t="s">
        <v>30</v>
      </c>
      <c r="J171" s="18" t="s">
        <v>31</v>
      </c>
      <c r="K171" s="18" t="s">
        <v>32</v>
      </c>
      <c r="L171" s="18" t="s">
        <v>174</v>
      </c>
      <c r="M171" s="18">
        <v>1</v>
      </c>
      <c r="N171" s="18">
        <v>8500</v>
      </c>
      <c r="O171" s="18">
        <v>0</v>
      </c>
      <c r="P171" s="18">
        <v>8500</v>
      </c>
      <c r="Q171" s="18">
        <v>1</v>
      </c>
      <c r="R171" s="18" t="s">
        <v>88</v>
      </c>
      <c r="S171" s="18" t="s">
        <v>151</v>
      </c>
      <c r="T171" s="18" t="s">
        <v>256</v>
      </c>
      <c r="U171" s="19" t="s">
        <v>889</v>
      </c>
      <c r="V171" s="18" t="s">
        <v>69</v>
      </c>
      <c r="W171" s="24" t="str">
        <f t="shared" si="2"/>
        <v>Blacklisted</v>
      </c>
    </row>
    <row r="172" spans="1:23">
      <c r="A172" s="15" t="s">
        <v>890</v>
      </c>
      <c r="B172" s="15" t="s">
        <v>127</v>
      </c>
      <c r="C172" s="15" t="s">
        <v>54</v>
      </c>
      <c r="D172" s="15" t="s">
        <v>891</v>
      </c>
      <c r="E172" s="15" t="s">
        <v>892</v>
      </c>
      <c r="F172" s="15" t="s">
        <v>200</v>
      </c>
      <c r="G172" s="15" t="s">
        <v>76</v>
      </c>
      <c r="H172" s="15" t="s">
        <v>893</v>
      </c>
      <c r="I172" s="15" t="s">
        <v>138</v>
      </c>
      <c r="J172" s="15" t="s">
        <v>106</v>
      </c>
      <c r="K172" s="15" t="s">
        <v>46</v>
      </c>
      <c r="L172" s="15" t="s">
        <v>60</v>
      </c>
      <c r="M172" s="15">
        <v>20</v>
      </c>
      <c r="N172" s="15">
        <v>55000</v>
      </c>
      <c r="O172" s="15">
        <v>10</v>
      </c>
      <c r="P172" s="15">
        <v>990000</v>
      </c>
      <c r="Q172" s="15">
        <v>5</v>
      </c>
      <c r="R172" s="15" t="s">
        <v>48</v>
      </c>
      <c r="S172" s="15" t="s">
        <v>151</v>
      </c>
      <c r="T172" s="15" t="s">
        <v>132</v>
      </c>
      <c r="U172" s="17" t="s">
        <v>894</v>
      </c>
      <c r="V172" s="15" t="s">
        <v>38</v>
      </c>
      <c r="W172" s="24" t="str">
        <f t="shared" si="2"/>
        <v>Blacklisted</v>
      </c>
    </row>
    <row r="173" spans="1:23">
      <c r="A173" s="18" t="s">
        <v>895</v>
      </c>
      <c r="B173" s="18" t="s">
        <v>221</v>
      </c>
      <c r="C173" s="18" t="s">
        <v>72</v>
      </c>
      <c r="D173" s="18" t="s">
        <v>661</v>
      </c>
      <c r="E173" s="18" t="s">
        <v>896</v>
      </c>
      <c r="F173" s="18" t="s">
        <v>225</v>
      </c>
      <c r="G173" s="18" t="s">
        <v>76</v>
      </c>
      <c r="H173" s="18" t="s">
        <v>897</v>
      </c>
      <c r="I173" s="18" t="s">
        <v>138</v>
      </c>
      <c r="J173" s="18" t="s">
        <v>106</v>
      </c>
      <c r="K173" s="18" t="s">
        <v>46</v>
      </c>
      <c r="L173" s="18" t="s">
        <v>78</v>
      </c>
      <c r="M173" s="18">
        <v>8</v>
      </c>
      <c r="N173" s="18">
        <v>1200</v>
      </c>
      <c r="O173" s="18">
        <v>15</v>
      </c>
      <c r="P173" s="18">
        <v>8160</v>
      </c>
      <c r="Q173" s="18">
        <v>2</v>
      </c>
      <c r="R173" s="18" t="s">
        <v>88</v>
      </c>
      <c r="S173" s="18" t="s">
        <v>115</v>
      </c>
      <c r="T173" s="18" t="s">
        <v>228</v>
      </c>
      <c r="U173" s="19" t="s">
        <v>898</v>
      </c>
      <c r="V173" s="18" t="s">
        <v>69</v>
      </c>
      <c r="W173" s="24" t="str">
        <f t="shared" si="2"/>
        <v>Blacklisted</v>
      </c>
    </row>
    <row r="174" spans="1:23">
      <c r="A174" s="15" t="s">
        <v>899</v>
      </c>
      <c r="B174" s="15" t="s">
        <v>23</v>
      </c>
      <c r="C174" s="15" t="s">
        <v>92</v>
      </c>
      <c r="D174" s="15" t="s">
        <v>900</v>
      </c>
      <c r="E174" s="15" t="s">
        <v>901</v>
      </c>
      <c r="F174" s="15" t="s">
        <v>27</v>
      </c>
      <c r="G174" s="15" t="s">
        <v>28</v>
      </c>
      <c r="H174" s="15" t="s">
        <v>902</v>
      </c>
      <c r="I174" s="15" t="s">
        <v>212</v>
      </c>
      <c r="J174" s="15" t="s">
        <v>45</v>
      </c>
      <c r="K174" s="15" t="s">
        <v>32</v>
      </c>
      <c r="L174" s="15" t="s">
        <v>97</v>
      </c>
      <c r="M174" s="15">
        <v>19</v>
      </c>
      <c r="N174" s="15">
        <v>3500</v>
      </c>
      <c r="O174" s="15">
        <v>5</v>
      </c>
      <c r="P174" s="15">
        <v>63175</v>
      </c>
      <c r="Q174" s="15">
        <v>4</v>
      </c>
      <c r="R174" s="15" t="s">
        <v>88</v>
      </c>
      <c r="S174" s="15" t="s">
        <v>49</v>
      </c>
      <c r="T174" s="15" t="s">
        <v>50</v>
      </c>
      <c r="U174" s="17" t="s">
        <v>903</v>
      </c>
      <c r="V174" s="15" t="s">
        <v>64</v>
      </c>
      <c r="W174" s="24" t="str">
        <f t="shared" si="2"/>
        <v>Blacklisted</v>
      </c>
    </row>
    <row r="175" spans="1:23">
      <c r="A175" s="18" t="s">
        <v>904</v>
      </c>
      <c r="B175" s="18" t="s">
        <v>221</v>
      </c>
      <c r="C175" s="18" t="s">
        <v>259</v>
      </c>
      <c r="D175" s="18" t="s">
        <v>41</v>
      </c>
      <c r="E175" s="18" t="s">
        <v>606</v>
      </c>
      <c r="F175" s="18" t="s">
        <v>905</v>
      </c>
      <c r="G175" s="18" t="s">
        <v>76</v>
      </c>
      <c r="H175" s="18" t="s">
        <v>906</v>
      </c>
      <c r="I175" s="18" t="s">
        <v>212</v>
      </c>
      <c r="J175" s="18" t="s">
        <v>45</v>
      </c>
      <c r="K175" s="18" t="s">
        <v>122</v>
      </c>
      <c r="L175" s="18" t="s">
        <v>263</v>
      </c>
      <c r="M175" s="18">
        <v>6</v>
      </c>
      <c r="N175" s="18">
        <v>45</v>
      </c>
      <c r="O175" s="18">
        <v>20</v>
      </c>
      <c r="P175" s="18">
        <v>216</v>
      </c>
      <c r="Q175" s="18">
        <v>1</v>
      </c>
      <c r="R175" s="18" t="s">
        <v>79</v>
      </c>
      <c r="S175" s="18" t="s">
        <v>49</v>
      </c>
      <c r="T175" s="18" t="s">
        <v>907</v>
      </c>
      <c r="U175" s="19" t="s">
        <v>908</v>
      </c>
      <c r="V175" s="18" t="s">
        <v>64</v>
      </c>
      <c r="W175" s="24" t="str">
        <f t="shared" si="2"/>
        <v>Blacklisted</v>
      </c>
    </row>
    <row r="176" spans="1:23">
      <c r="A176" s="15" t="s">
        <v>909</v>
      </c>
      <c r="B176" s="15" t="s">
        <v>251</v>
      </c>
      <c r="C176" s="15" t="s">
        <v>259</v>
      </c>
      <c r="D176" s="15" t="s">
        <v>910</v>
      </c>
      <c r="E176" s="15" t="s">
        <v>119</v>
      </c>
      <c r="F176" s="15" t="s">
        <v>254</v>
      </c>
      <c r="G176" s="15" t="s">
        <v>28</v>
      </c>
      <c r="H176" s="15" t="s">
        <v>911</v>
      </c>
      <c r="I176" s="15" t="s">
        <v>114</v>
      </c>
      <c r="J176" s="15" t="s">
        <v>106</v>
      </c>
      <c r="K176" s="15" t="s">
        <v>122</v>
      </c>
      <c r="L176" s="15" t="s">
        <v>263</v>
      </c>
      <c r="M176" s="15">
        <v>17</v>
      </c>
      <c r="N176" s="15">
        <v>45</v>
      </c>
      <c r="O176" s="15">
        <v>15</v>
      </c>
      <c r="P176" s="15">
        <v>650.25</v>
      </c>
      <c r="Q176" s="15">
        <v>5</v>
      </c>
      <c r="R176" s="15" t="s">
        <v>34</v>
      </c>
      <c r="S176" s="15" t="s">
        <v>115</v>
      </c>
      <c r="T176" s="15" t="s">
        <v>256</v>
      </c>
      <c r="U176" s="17" t="s">
        <v>912</v>
      </c>
      <c r="V176" s="15" t="s">
        <v>64</v>
      </c>
      <c r="W176" s="24" t="str">
        <f t="shared" si="2"/>
        <v>Blacklisted</v>
      </c>
    </row>
    <row r="177" spans="1:23">
      <c r="A177" s="18" t="s">
        <v>913</v>
      </c>
      <c r="B177" s="18" t="s">
        <v>23</v>
      </c>
      <c r="C177" s="18" t="s">
        <v>222</v>
      </c>
      <c r="D177" s="18" t="s">
        <v>276</v>
      </c>
      <c r="E177" s="18" t="s">
        <v>914</v>
      </c>
      <c r="F177" s="18" t="s">
        <v>27</v>
      </c>
      <c r="G177" s="18" t="s">
        <v>28</v>
      </c>
      <c r="H177" s="18" t="s">
        <v>915</v>
      </c>
      <c r="I177" s="18" t="s">
        <v>114</v>
      </c>
      <c r="J177" s="18" t="s">
        <v>106</v>
      </c>
      <c r="K177" s="18" t="s">
        <v>122</v>
      </c>
      <c r="L177" s="18" t="s">
        <v>227</v>
      </c>
      <c r="M177" s="18">
        <v>19</v>
      </c>
      <c r="N177" s="18">
        <v>20</v>
      </c>
      <c r="O177" s="18">
        <v>5</v>
      </c>
      <c r="P177" s="18">
        <v>361</v>
      </c>
      <c r="Q177" s="18">
        <v>4</v>
      </c>
      <c r="R177" s="18" t="s">
        <v>34</v>
      </c>
      <c r="S177" s="18" t="s">
        <v>35</v>
      </c>
      <c r="T177" s="18" t="s">
        <v>50</v>
      </c>
      <c r="U177" s="19" t="s">
        <v>916</v>
      </c>
      <c r="V177" s="18" t="s">
        <v>64</v>
      </c>
      <c r="W177" s="24" t="str">
        <f t="shared" si="2"/>
        <v>Blacklisted</v>
      </c>
    </row>
    <row r="178" spans="1:23">
      <c r="A178" s="15" t="s">
        <v>917</v>
      </c>
      <c r="B178" s="15" t="s">
        <v>251</v>
      </c>
      <c r="C178" s="15" t="s">
        <v>222</v>
      </c>
      <c r="D178" s="15" t="s">
        <v>918</v>
      </c>
      <c r="E178" s="15" t="s">
        <v>352</v>
      </c>
      <c r="F178" s="15" t="s">
        <v>919</v>
      </c>
      <c r="G178" s="15" t="s">
        <v>28</v>
      </c>
      <c r="H178" s="15" t="s">
        <v>920</v>
      </c>
      <c r="I178" s="15" t="s">
        <v>138</v>
      </c>
      <c r="J178" s="15" t="s">
        <v>106</v>
      </c>
      <c r="K178" s="15" t="s">
        <v>122</v>
      </c>
      <c r="L178" s="15" t="s">
        <v>227</v>
      </c>
      <c r="M178" s="15">
        <v>11</v>
      </c>
      <c r="N178" s="15">
        <v>20</v>
      </c>
      <c r="O178" s="15">
        <v>0</v>
      </c>
      <c r="P178" s="15">
        <v>220</v>
      </c>
      <c r="Q178" s="15">
        <v>3</v>
      </c>
      <c r="R178" s="15" t="s">
        <v>48</v>
      </c>
      <c r="S178" s="15" t="s">
        <v>49</v>
      </c>
      <c r="T178" s="15" t="s">
        <v>256</v>
      </c>
      <c r="U178" s="17" t="s">
        <v>921</v>
      </c>
      <c r="V178" s="15" t="s">
        <v>38</v>
      </c>
      <c r="W178" s="24" t="str">
        <f t="shared" si="2"/>
        <v>Silver</v>
      </c>
    </row>
    <row r="179" spans="1:23">
      <c r="A179" s="18" t="s">
        <v>922</v>
      </c>
      <c r="B179" s="18" t="s">
        <v>168</v>
      </c>
      <c r="C179" s="18" t="s">
        <v>118</v>
      </c>
      <c r="D179" s="18" t="s">
        <v>323</v>
      </c>
      <c r="E179" s="18" t="s">
        <v>923</v>
      </c>
      <c r="F179" s="18" t="s">
        <v>361</v>
      </c>
      <c r="G179" s="18" t="s">
        <v>28</v>
      </c>
      <c r="H179" s="18" t="s">
        <v>924</v>
      </c>
      <c r="I179" s="18" t="s">
        <v>44</v>
      </c>
      <c r="J179" s="18" t="s">
        <v>45</v>
      </c>
      <c r="K179" s="18" t="s">
        <v>122</v>
      </c>
      <c r="L179" s="18" t="s">
        <v>123</v>
      </c>
      <c r="M179" s="18">
        <v>12</v>
      </c>
      <c r="N179" s="18">
        <v>60</v>
      </c>
      <c r="O179" s="18">
        <v>0</v>
      </c>
      <c r="P179" s="18">
        <v>720</v>
      </c>
      <c r="Q179" s="18">
        <v>2</v>
      </c>
      <c r="R179" s="18" t="s">
        <v>48</v>
      </c>
      <c r="S179" s="18" t="s">
        <v>49</v>
      </c>
      <c r="T179" s="18" t="s">
        <v>175</v>
      </c>
      <c r="U179" s="19" t="s">
        <v>925</v>
      </c>
      <c r="V179" s="18" t="s">
        <v>38</v>
      </c>
      <c r="W179" s="24" t="str">
        <f t="shared" si="2"/>
        <v>Blacklisted</v>
      </c>
    </row>
    <row r="180" spans="1:23">
      <c r="A180" s="15" t="s">
        <v>926</v>
      </c>
      <c r="B180" s="15" t="s">
        <v>221</v>
      </c>
      <c r="C180" s="15" t="s">
        <v>259</v>
      </c>
      <c r="D180" s="15" t="s">
        <v>927</v>
      </c>
      <c r="E180" s="15" t="s">
        <v>865</v>
      </c>
      <c r="F180" s="15" t="s">
        <v>928</v>
      </c>
      <c r="G180" s="15" t="s">
        <v>76</v>
      </c>
      <c r="H180" s="15" t="s">
        <v>929</v>
      </c>
      <c r="I180" s="15" t="s">
        <v>294</v>
      </c>
      <c r="J180" s="15" t="s">
        <v>295</v>
      </c>
      <c r="K180" s="15" t="s">
        <v>122</v>
      </c>
      <c r="L180" s="15" t="s">
        <v>263</v>
      </c>
      <c r="M180" s="15">
        <v>14</v>
      </c>
      <c r="N180" s="15">
        <v>45</v>
      </c>
      <c r="O180" s="15">
        <v>15</v>
      </c>
      <c r="P180" s="15">
        <v>535.5</v>
      </c>
      <c r="Q180" s="15">
        <v>5</v>
      </c>
      <c r="R180" s="15" t="s">
        <v>88</v>
      </c>
      <c r="S180" s="15" t="s">
        <v>115</v>
      </c>
      <c r="T180" s="15" t="s">
        <v>228</v>
      </c>
      <c r="U180" s="17" t="s">
        <v>930</v>
      </c>
      <c r="V180" s="15" t="s">
        <v>64</v>
      </c>
      <c r="W180" s="24" t="str">
        <f t="shared" si="2"/>
        <v>Blacklisted</v>
      </c>
    </row>
    <row r="181" spans="1:23">
      <c r="A181" s="18" t="s">
        <v>931</v>
      </c>
      <c r="B181" s="18" t="s">
        <v>23</v>
      </c>
      <c r="C181" s="18" t="s">
        <v>184</v>
      </c>
      <c r="D181" s="18" t="s">
        <v>932</v>
      </c>
      <c r="E181" s="18" t="s">
        <v>303</v>
      </c>
      <c r="F181" s="18" t="s">
        <v>27</v>
      </c>
      <c r="G181" s="18" t="s">
        <v>28</v>
      </c>
      <c r="H181" s="18" t="s">
        <v>933</v>
      </c>
      <c r="I181" s="18" t="s">
        <v>30</v>
      </c>
      <c r="J181" s="18" t="s">
        <v>31</v>
      </c>
      <c r="K181" s="18" t="s">
        <v>46</v>
      </c>
      <c r="L181" s="18" t="s">
        <v>189</v>
      </c>
      <c r="M181" s="18">
        <v>15</v>
      </c>
      <c r="N181" s="18">
        <v>700</v>
      </c>
      <c r="O181" s="18">
        <v>10</v>
      </c>
      <c r="P181" s="18">
        <v>9450</v>
      </c>
      <c r="Q181" s="18">
        <v>3</v>
      </c>
      <c r="R181" s="18" t="s">
        <v>48</v>
      </c>
      <c r="S181" s="18" t="s">
        <v>49</v>
      </c>
      <c r="T181" s="18" t="s">
        <v>50</v>
      </c>
      <c r="U181" s="19" t="s">
        <v>934</v>
      </c>
      <c r="V181" s="18" t="s">
        <v>64</v>
      </c>
      <c r="W181" s="24" t="str">
        <f t="shared" si="2"/>
        <v>Blacklisted</v>
      </c>
    </row>
    <row r="182" spans="1:23">
      <c r="A182" s="15" t="s">
        <v>935</v>
      </c>
      <c r="B182" s="15" t="s">
        <v>100</v>
      </c>
      <c r="C182" s="15" t="s">
        <v>169</v>
      </c>
      <c r="D182" s="15" t="s">
        <v>936</v>
      </c>
      <c r="E182" s="15" t="s">
        <v>683</v>
      </c>
      <c r="F182" s="15" t="s">
        <v>103</v>
      </c>
      <c r="G182" s="15" t="s">
        <v>28</v>
      </c>
      <c r="H182" s="15" t="s">
        <v>937</v>
      </c>
      <c r="I182" s="15" t="s">
        <v>138</v>
      </c>
      <c r="J182" s="15" t="s">
        <v>106</v>
      </c>
      <c r="K182" s="15" t="s">
        <v>32</v>
      </c>
      <c r="L182" s="15" t="s">
        <v>174</v>
      </c>
      <c r="M182" s="15">
        <v>19</v>
      </c>
      <c r="N182" s="15">
        <v>8500</v>
      </c>
      <c r="O182" s="15">
        <v>15</v>
      </c>
      <c r="P182" s="15">
        <v>137275</v>
      </c>
      <c r="Q182" s="15">
        <v>2</v>
      </c>
      <c r="R182" s="15" t="s">
        <v>34</v>
      </c>
      <c r="S182" s="15" t="s">
        <v>35</v>
      </c>
      <c r="T182" s="15" t="s">
        <v>144</v>
      </c>
      <c r="U182" s="17" t="s">
        <v>938</v>
      </c>
      <c r="V182" s="15" t="s">
        <v>69</v>
      </c>
      <c r="W182" s="24" t="str">
        <f t="shared" si="2"/>
        <v>Blacklisted</v>
      </c>
    </row>
    <row r="183" spans="1:23">
      <c r="A183" s="18" t="s">
        <v>939</v>
      </c>
      <c r="B183" s="18" t="s">
        <v>251</v>
      </c>
      <c r="C183" s="18" t="s">
        <v>118</v>
      </c>
      <c r="D183" s="18" t="s">
        <v>940</v>
      </c>
      <c r="E183" s="18" t="s">
        <v>941</v>
      </c>
      <c r="F183" s="18" t="s">
        <v>254</v>
      </c>
      <c r="G183" s="18" t="s">
        <v>28</v>
      </c>
      <c r="H183" s="18" t="s">
        <v>911</v>
      </c>
      <c r="I183" s="18" t="s">
        <v>212</v>
      </c>
      <c r="J183" s="18" t="s">
        <v>45</v>
      </c>
      <c r="K183" s="18" t="s">
        <v>122</v>
      </c>
      <c r="L183" s="18" t="s">
        <v>123</v>
      </c>
      <c r="M183" s="18">
        <v>19</v>
      </c>
      <c r="N183" s="18">
        <v>60</v>
      </c>
      <c r="O183" s="18">
        <v>20</v>
      </c>
      <c r="P183" s="18">
        <v>912</v>
      </c>
      <c r="Q183" s="18">
        <v>4</v>
      </c>
      <c r="R183" s="18" t="s">
        <v>79</v>
      </c>
      <c r="S183" s="18" t="s">
        <v>49</v>
      </c>
      <c r="T183" s="18" t="s">
        <v>256</v>
      </c>
      <c r="U183" s="19" t="s">
        <v>942</v>
      </c>
      <c r="V183" s="18" t="s">
        <v>64</v>
      </c>
      <c r="W183" s="24" t="str">
        <f t="shared" si="2"/>
        <v>Blacklisted</v>
      </c>
    </row>
    <row r="184" spans="1:23">
      <c r="A184" s="15" t="s">
        <v>943</v>
      </c>
      <c r="B184" s="15" t="s">
        <v>100</v>
      </c>
      <c r="C184" s="15" t="s">
        <v>259</v>
      </c>
      <c r="D184" s="15" t="s">
        <v>944</v>
      </c>
      <c r="E184" s="15" t="s">
        <v>936</v>
      </c>
      <c r="F184" s="15" t="s">
        <v>103</v>
      </c>
      <c r="G184" s="15" t="s">
        <v>28</v>
      </c>
      <c r="H184" s="15" t="s">
        <v>945</v>
      </c>
      <c r="I184" s="15" t="s">
        <v>59</v>
      </c>
      <c r="J184" s="15" t="s">
        <v>31</v>
      </c>
      <c r="K184" s="15" t="s">
        <v>122</v>
      </c>
      <c r="L184" s="15" t="s">
        <v>263</v>
      </c>
      <c r="M184" s="15">
        <v>10</v>
      </c>
      <c r="N184" s="15">
        <v>45</v>
      </c>
      <c r="O184" s="15">
        <v>15</v>
      </c>
      <c r="P184" s="15">
        <v>382.5</v>
      </c>
      <c r="Q184" s="15">
        <v>4</v>
      </c>
      <c r="R184" s="15" t="s">
        <v>34</v>
      </c>
      <c r="S184" s="15" t="s">
        <v>151</v>
      </c>
      <c r="T184" s="15" t="s">
        <v>144</v>
      </c>
      <c r="U184" s="17" t="s">
        <v>946</v>
      </c>
      <c r="V184" s="15" t="s">
        <v>38</v>
      </c>
      <c r="W184" s="24" t="str">
        <f t="shared" si="2"/>
        <v>Silver</v>
      </c>
    </row>
    <row r="185" spans="1:23">
      <c r="A185" s="18" t="s">
        <v>947</v>
      </c>
      <c r="B185" s="18" t="s">
        <v>71</v>
      </c>
      <c r="C185" s="18" t="s">
        <v>24</v>
      </c>
      <c r="D185" s="18" t="s">
        <v>948</v>
      </c>
      <c r="E185" s="18" t="s">
        <v>949</v>
      </c>
      <c r="F185" s="18" t="s">
        <v>217</v>
      </c>
      <c r="G185" s="18" t="s">
        <v>76</v>
      </c>
      <c r="H185" s="18" t="s">
        <v>950</v>
      </c>
      <c r="I185" s="18" t="s">
        <v>44</v>
      </c>
      <c r="J185" s="18" t="s">
        <v>45</v>
      </c>
      <c r="K185" s="18" t="s">
        <v>32</v>
      </c>
      <c r="L185" s="18" t="s">
        <v>33</v>
      </c>
      <c r="M185" s="18">
        <v>7</v>
      </c>
      <c r="N185" s="18">
        <v>2200</v>
      </c>
      <c r="O185" s="18">
        <v>20</v>
      </c>
      <c r="P185" s="18">
        <v>12320</v>
      </c>
      <c r="Q185" s="18">
        <v>5</v>
      </c>
      <c r="R185" s="18" t="s">
        <v>88</v>
      </c>
      <c r="S185" s="18" t="s">
        <v>49</v>
      </c>
      <c r="T185" s="18" t="s">
        <v>80</v>
      </c>
      <c r="U185" s="19" t="s">
        <v>951</v>
      </c>
      <c r="V185" s="18" t="s">
        <v>64</v>
      </c>
      <c r="W185" s="24" t="str">
        <f t="shared" si="2"/>
        <v>Blacklisted</v>
      </c>
    </row>
    <row r="186" spans="1:23">
      <c r="A186" s="15" t="s">
        <v>952</v>
      </c>
      <c r="B186" s="15" t="s">
        <v>100</v>
      </c>
      <c r="C186" s="15" t="s">
        <v>169</v>
      </c>
      <c r="D186" s="15" t="s">
        <v>953</v>
      </c>
      <c r="E186" s="15" t="s">
        <v>42</v>
      </c>
      <c r="F186" s="15" t="s">
        <v>103</v>
      </c>
      <c r="G186" s="15" t="s">
        <v>28</v>
      </c>
      <c r="H186" s="15" t="s">
        <v>954</v>
      </c>
      <c r="I186" s="15" t="s">
        <v>294</v>
      </c>
      <c r="J186" s="15" t="s">
        <v>295</v>
      </c>
      <c r="K186" s="15" t="s">
        <v>32</v>
      </c>
      <c r="L186" s="15" t="s">
        <v>174</v>
      </c>
      <c r="M186" s="15">
        <v>20</v>
      </c>
      <c r="N186" s="15">
        <v>8500</v>
      </c>
      <c r="O186" s="15">
        <v>20</v>
      </c>
      <c r="P186" s="15">
        <v>136000</v>
      </c>
      <c r="Q186" s="15">
        <v>4</v>
      </c>
      <c r="R186" s="15" t="s">
        <v>48</v>
      </c>
      <c r="S186" s="15" t="s">
        <v>35</v>
      </c>
      <c r="T186" s="15" t="s">
        <v>144</v>
      </c>
      <c r="U186" s="17" t="s">
        <v>955</v>
      </c>
      <c r="V186" s="15" t="s">
        <v>38</v>
      </c>
      <c r="W186" s="24" t="str">
        <f t="shared" si="2"/>
        <v>Blacklisted</v>
      </c>
    </row>
    <row r="187" spans="1:23">
      <c r="A187" s="18" t="s">
        <v>956</v>
      </c>
      <c r="B187" s="18" t="s">
        <v>251</v>
      </c>
      <c r="C187" s="18" t="s">
        <v>24</v>
      </c>
      <c r="D187" s="18" t="s">
        <v>770</v>
      </c>
      <c r="E187" s="18" t="s">
        <v>957</v>
      </c>
      <c r="F187" s="18" t="s">
        <v>254</v>
      </c>
      <c r="G187" s="18" t="s">
        <v>28</v>
      </c>
      <c r="H187" s="18" t="s">
        <v>958</v>
      </c>
      <c r="I187" s="18" t="s">
        <v>30</v>
      </c>
      <c r="J187" s="18" t="s">
        <v>31</v>
      </c>
      <c r="K187" s="18" t="s">
        <v>32</v>
      </c>
      <c r="L187" s="18" t="s">
        <v>33</v>
      </c>
      <c r="M187" s="18">
        <v>10</v>
      </c>
      <c r="N187" s="18">
        <v>2200</v>
      </c>
      <c r="O187" s="18">
        <v>5</v>
      </c>
      <c r="P187" s="18">
        <v>20900</v>
      </c>
      <c r="Q187" s="18">
        <v>2</v>
      </c>
      <c r="R187" s="18" t="s">
        <v>48</v>
      </c>
      <c r="S187" s="18" t="s">
        <v>49</v>
      </c>
      <c r="T187" s="18" t="s">
        <v>256</v>
      </c>
      <c r="U187" s="19" t="s">
        <v>959</v>
      </c>
      <c r="V187" s="18" t="s">
        <v>38</v>
      </c>
      <c r="W187" s="24" t="str">
        <f t="shared" si="2"/>
        <v>Blacklisted</v>
      </c>
    </row>
    <row r="188" spans="1:23">
      <c r="A188" s="15" t="s">
        <v>960</v>
      </c>
      <c r="B188" s="15" t="s">
        <v>127</v>
      </c>
      <c r="C188" s="15" t="s">
        <v>118</v>
      </c>
      <c r="D188" s="15" t="s">
        <v>692</v>
      </c>
      <c r="E188" s="15" t="s">
        <v>961</v>
      </c>
      <c r="F188" s="15" t="s">
        <v>200</v>
      </c>
      <c r="G188" s="15" t="s">
        <v>76</v>
      </c>
      <c r="H188" s="15" t="s">
        <v>962</v>
      </c>
      <c r="I188" s="15" t="s">
        <v>114</v>
      </c>
      <c r="J188" s="15" t="s">
        <v>106</v>
      </c>
      <c r="K188" s="15" t="s">
        <v>122</v>
      </c>
      <c r="L188" s="15" t="s">
        <v>123</v>
      </c>
      <c r="M188" s="15">
        <v>15</v>
      </c>
      <c r="N188" s="15">
        <v>60</v>
      </c>
      <c r="O188" s="15">
        <v>20</v>
      </c>
      <c r="P188" s="15">
        <v>720</v>
      </c>
      <c r="Q188" s="15">
        <v>1</v>
      </c>
      <c r="R188" s="15" t="s">
        <v>79</v>
      </c>
      <c r="S188" s="15" t="s">
        <v>35</v>
      </c>
      <c r="T188" s="15" t="s">
        <v>132</v>
      </c>
      <c r="U188" s="17" t="s">
        <v>963</v>
      </c>
      <c r="V188" s="15" t="s">
        <v>38</v>
      </c>
      <c r="W188" s="24" t="str">
        <f t="shared" si="2"/>
        <v>Blacklisted</v>
      </c>
    </row>
    <row r="189" spans="1:23">
      <c r="A189" s="18" t="s">
        <v>964</v>
      </c>
      <c r="B189" s="18" t="s">
        <v>221</v>
      </c>
      <c r="C189" s="18" t="s">
        <v>92</v>
      </c>
      <c r="D189" s="18" t="s">
        <v>231</v>
      </c>
      <c r="E189" s="18" t="s">
        <v>965</v>
      </c>
      <c r="F189" s="18" t="s">
        <v>225</v>
      </c>
      <c r="G189" s="18" t="s">
        <v>76</v>
      </c>
      <c r="H189" s="18" t="s">
        <v>966</v>
      </c>
      <c r="I189" s="18" t="s">
        <v>30</v>
      </c>
      <c r="J189" s="18" t="s">
        <v>31</v>
      </c>
      <c r="K189" s="18" t="s">
        <v>32</v>
      </c>
      <c r="L189" s="18" t="s">
        <v>97</v>
      </c>
      <c r="M189" s="18">
        <v>18</v>
      </c>
      <c r="N189" s="18">
        <v>3500</v>
      </c>
      <c r="O189" s="18">
        <v>5</v>
      </c>
      <c r="P189" s="18">
        <v>59850</v>
      </c>
      <c r="Q189" s="18">
        <v>1</v>
      </c>
      <c r="R189" s="18" t="s">
        <v>79</v>
      </c>
      <c r="S189" s="18" t="s">
        <v>49</v>
      </c>
      <c r="T189" s="18" t="s">
        <v>228</v>
      </c>
      <c r="U189" s="19" t="s">
        <v>967</v>
      </c>
      <c r="V189" s="18" t="s">
        <v>69</v>
      </c>
      <c r="W189" s="24" t="str">
        <f t="shared" si="2"/>
        <v>Blacklisted</v>
      </c>
    </row>
    <row r="190" spans="1:23">
      <c r="A190" s="15" t="s">
        <v>968</v>
      </c>
      <c r="B190" s="15" t="s">
        <v>327</v>
      </c>
      <c r="C190" s="15" t="s">
        <v>40</v>
      </c>
      <c r="D190" s="15" t="s">
        <v>969</v>
      </c>
      <c r="E190" s="15" t="s">
        <v>970</v>
      </c>
      <c r="F190" s="15" t="s">
        <v>394</v>
      </c>
      <c r="G190" s="15" t="s">
        <v>76</v>
      </c>
      <c r="H190" s="15" t="s">
        <v>971</v>
      </c>
      <c r="I190" s="15" t="s">
        <v>114</v>
      </c>
      <c r="J190" s="15" t="s">
        <v>106</v>
      </c>
      <c r="K190" s="15" t="s">
        <v>46</v>
      </c>
      <c r="L190" s="15" t="s">
        <v>47</v>
      </c>
      <c r="M190" s="15">
        <v>6</v>
      </c>
      <c r="N190" s="15">
        <v>12000</v>
      </c>
      <c r="O190" s="15">
        <v>5</v>
      </c>
      <c r="P190" s="15">
        <v>68400</v>
      </c>
      <c r="Q190" s="15">
        <v>1</v>
      </c>
      <c r="R190" s="15" t="s">
        <v>48</v>
      </c>
      <c r="S190" s="15" t="s">
        <v>49</v>
      </c>
      <c r="T190" s="15" t="s">
        <v>332</v>
      </c>
      <c r="U190" s="17" t="s">
        <v>972</v>
      </c>
      <c r="V190" s="15" t="s">
        <v>69</v>
      </c>
      <c r="W190" s="24" t="str">
        <f t="shared" si="2"/>
        <v>Blacklisted</v>
      </c>
    </row>
    <row r="191" spans="1:23">
      <c r="A191" s="18" t="s">
        <v>973</v>
      </c>
      <c r="B191" s="18" t="s">
        <v>327</v>
      </c>
      <c r="C191" s="18" t="s">
        <v>222</v>
      </c>
      <c r="D191" s="18" t="s">
        <v>323</v>
      </c>
      <c r="E191" s="18" t="s">
        <v>479</v>
      </c>
      <c r="F191" s="18" t="s">
        <v>394</v>
      </c>
      <c r="G191" s="18" t="s">
        <v>76</v>
      </c>
      <c r="H191" s="18" t="s">
        <v>974</v>
      </c>
      <c r="I191" s="18" t="s">
        <v>59</v>
      </c>
      <c r="J191" s="18" t="s">
        <v>31</v>
      </c>
      <c r="K191" s="18" t="s">
        <v>122</v>
      </c>
      <c r="L191" s="18" t="s">
        <v>227</v>
      </c>
      <c r="M191" s="18">
        <v>19</v>
      </c>
      <c r="N191" s="18">
        <v>20</v>
      </c>
      <c r="O191" s="18">
        <v>10</v>
      </c>
      <c r="P191" s="18">
        <v>342</v>
      </c>
      <c r="Q191" s="18">
        <v>2</v>
      </c>
      <c r="R191" s="18" t="s">
        <v>48</v>
      </c>
      <c r="S191" s="18" t="s">
        <v>35</v>
      </c>
      <c r="T191" s="18" t="s">
        <v>332</v>
      </c>
      <c r="U191" s="19" t="s">
        <v>975</v>
      </c>
      <c r="V191" s="18" t="s">
        <v>64</v>
      </c>
      <c r="W191" s="24" t="str">
        <f t="shared" si="2"/>
        <v>Blacklisted</v>
      </c>
    </row>
    <row r="192" spans="1:23">
      <c r="A192" s="15" t="s">
        <v>976</v>
      </c>
      <c r="B192" s="15" t="s">
        <v>221</v>
      </c>
      <c r="C192" s="15" t="s">
        <v>24</v>
      </c>
      <c r="D192" s="15" t="s">
        <v>426</v>
      </c>
      <c r="E192" s="15" t="s">
        <v>427</v>
      </c>
      <c r="F192" s="15" t="s">
        <v>225</v>
      </c>
      <c r="G192" s="15" t="s">
        <v>76</v>
      </c>
      <c r="H192" s="15" t="s">
        <v>977</v>
      </c>
      <c r="I192" s="15" t="s">
        <v>114</v>
      </c>
      <c r="J192" s="15" t="s">
        <v>106</v>
      </c>
      <c r="K192" s="15" t="s">
        <v>32</v>
      </c>
      <c r="L192" s="15" t="s">
        <v>33</v>
      </c>
      <c r="M192" s="15">
        <v>7</v>
      </c>
      <c r="N192" s="15">
        <v>2200</v>
      </c>
      <c r="O192" s="15">
        <v>0</v>
      </c>
      <c r="P192" s="15">
        <v>15400</v>
      </c>
      <c r="Q192" s="15">
        <v>1</v>
      </c>
      <c r="R192" s="15" t="s">
        <v>79</v>
      </c>
      <c r="S192" s="15" t="s">
        <v>115</v>
      </c>
      <c r="T192" s="15" t="s">
        <v>228</v>
      </c>
      <c r="U192" s="17" t="s">
        <v>978</v>
      </c>
      <c r="V192" s="15" t="s">
        <v>69</v>
      </c>
      <c r="W192" s="24" t="str">
        <f t="shared" si="2"/>
        <v>Blacklisted</v>
      </c>
    </row>
    <row r="193" spans="1:23">
      <c r="A193" s="18" t="s">
        <v>979</v>
      </c>
      <c r="B193" s="18" t="s">
        <v>327</v>
      </c>
      <c r="C193" s="18" t="s">
        <v>40</v>
      </c>
      <c r="D193" s="18" t="s">
        <v>503</v>
      </c>
      <c r="E193" s="18" t="s">
        <v>980</v>
      </c>
      <c r="F193" s="18" t="s">
        <v>394</v>
      </c>
      <c r="G193" s="18" t="s">
        <v>76</v>
      </c>
      <c r="H193" s="18" t="s">
        <v>981</v>
      </c>
      <c r="I193" s="18" t="s">
        <v>212</v>
      </c>
      <c r="J193" s="18" t="s">
        <v>45</v>
      </c>
      <c r="K193" s="18" t="s">
        <v>46</v>
      </c>
      <c r="L193" s="18" t="s">
        <v>47</v>
      </c>
      <c r="M193" s="18">
        <v>3</v>
      </c>
      <c r="N193" s="18">
        <v>12000</v>
      </c>
      <c r="O193" s="18">
        <v>5</v>
      </c>
      <c r="P193" s="18">
        <v>34200</v>
      </c>
      <c r="Q193" s="18">
        <v>3</v>
      </c>
      <c r="R193" s="18" t="s">
        <v>79</v>
      </c>
      <c r="S193" s="18" t="s">
        <v>61</v>
      </c>
      <c r="T193" s="18" t="s">
        <v>332</v>
      </c>
      <c r="U193" s="19" t="s">
        <v>982</v>
      </c>
      <c r="V193" s="18" t="s">
        <v>69</v>
      </c>
      <c r="W193" s="24" t="str">
        <f t="shared" si="2"/>
        <v>Blacklisted</v>
      </c>
    </row>
    <row r="194" spans="1:23">
      <c r="A194" s="15" t="s">
        <v>983</v>
      </c>
      <c r="B194" s="15" t="s">
        <v>168</v>
      </c>
      <c r="C194" s="15" t="s">
        <v>24</v>
      </c>
      <c r="D194" s="15" t="s">
        <v>341</v>
      </c>
      <c r="E194" s="15" t="s">
        <v>864</v>
      </c>
      <c r="F194" s="15" t="s">
        <v>361</v>
      </c>
      <c r="G194" s="15" t="s">
        <v>28</v>
      </c>
      <c r="H194" s="15" t="s">
        <v>984</v>
      </c>
      <c r="I194" s="15" t="s">
        <v>212</v>
      </c>
      <c r="J194" s="15" t="s">
        <v>45</v>
      </c>
      <c r="K194" s="15" t="s">
        <v>32</v>
      </c>
      <c r="L194" s="15" t="s">
        <v>33</v>
      </c>
      <c r="M194" s="15">
        <v>16</v>
      </c>
      <c r="N194" s="15">
        <v>2200</v>
      </c>
      <c r="O194" s="15">
        <v>0</v>
      </c>
      <c r="P194" s="15">
        <v>35200</v>
      </c>
      <c r="Q194" s="15">
        <v>5</v>
      </c>
      <c r="R194" s="15" t="s">
        <v>79</v>
      </c>
      <c r="S194" s="15" t="s">
        <v>35</v>
      </c>
      <c r="T194" s="15" t="s">
        <v>175</v>
      </c>
      <c r="U194" s="17" t="s">
        <v>985</v>
      </c>
      <c r="V194" s="15" t="s">
        <v>64</v>
      </c>
      <c r="W194" s="24" t="str">
        <f t="shared" si="2"/>
        <v>Blacklisted</v>
      </c>
    </row>
    <row r="195" spans="1:23">
      <c r="A195" s="18" t="s">
        <v>986</v>
      </c>
      <c r="B195" s="18" t="s">
        <v>251</v>
      </c>
      <c r="C195" s="18" t="s">
        <v>24</v>
      </c>
      <c r="D195" s="18" t="s">
        <v>987</v>
      </c>
      <c r="E195" s="18" t="s">
        <v>988</v>
      </c>
      <c r="F195" s="18" t="s">
        <v>254</v>
      </c>
      <c r="G195" s="18" t="s">
        <v>28</v>
      </c>
      <c r="H195" s="18" t="s">
        <v>989</v>
      </c>
      <c r="I195" s="18" t="s">
        <v>44</v>
      </c>
      <c r="J195" s="18" t="s">
        <v>45</v>
      </c>
      <c r="K195" s="18" t="s">
        <v>32</v>
      </c>
      <c r="L195" s="18" t="s">
        <v>33</v>
      </c>
      <c r="M195" s="18">
        <v>8</v>
      </c>
      <c r="N195" s="18">
        <v>2200</v>
      </c>
      <c r="O195" s="18">
        <v>5</v>
      </c>
      <c r="P195" s="18">
        <v>16720</v>
      </c>
      <c r="Q195" s="18">
        <v>2</v>
      </c>
      <c r="R195" s="18" t="s">
        <v>88</v>
      </c>
      <c r="S195" s="18" t="s">
        <v>151</v>
      </c>
      <c r="T195" s="18" t="s">
        <v>256</v>
      </c>
      <c r="U195" s="19" t="s">
        <v>990</v>
      </c>
      <c r="V195" s="18" t="s">
        <v>38</v>
      </c>
      <c r="W195" s="24" t="str">
        <f t="shared" ref="W195:W258" si="3">IF(OR(Q195&lt;=2,V195="Cancelled"),"Blacklisted",IF(AND(P195&gt;=100000,Q195&gt;=4,O195&lt;10,V195="Completed"),"Platinum",IF(AND(P195&gt;=50000,P195&lt;=99999,Q195&gt;=3,V195="Completed"),"Gold",IF(AND(P195&lt;50000,V195="Completed"),"Silver","Blacklisted"))))</f>
        <v>Blacklisted</v>
      </c>
    </row>
    <row r="196" spans="1:23">
      <c r="A196" s="15" t="s">
        <v>991</v>
      </c>
      <c r="B196" s="15" t="s">
        <v>251</v>
      </c>
      <c r="C196" s="15" t="s">
        <v>24</v>
      </c>
      <c r="D196" s="15" t="s">
        <v>610</v>
      </c>
      <c r="E196" s="15" t="s">
        <v>454</v>
      </c>
      <c r="F196" s="15" t="s">
        <v>254</v>
      </c>
      <c r="G196" s="15" t="s">
        <v>28</v>
      </c>
      <c r="H196" s="15" t="s">
        <v>992</v>
      </c>
      <c r="I196" s="15" t="s">
        <v>138</v>
      </c>
      <c r="J196" s="15" t="s">
        <v>106</v>
      </c>
      <c r="K196" s="15" t="s">
        <v>32</v>
      </c>
      <c r="L196" s="15" t="s">
        <v>33</v>
      </c>
      <c r="M196" s="15">
        <v>10</v>
      </c>
      <c r="N196" s="15">
        <v>2200</v>
      </c>
      <c r="O196" s="15">
        <v>10</v>
      </c>
      <c r="P196" s="15">
        <v>19800</v>
      </c>
      <c r="Q196" s="15">
        <v>5</v>
      </c>
      <c r="R196" s="15" t="s">
        <v>48</v>
      </c>
      <c r="S196" s="15" t="s">
        <v>115</v>
      </c>
      <c r="T196" s="15" t="s">
        <v>256</v>
      </c>
      <c r="U196" s="17" t="s">
        <v>993</v>
      </c>
      <c r="V196" s="15" t="s">
        <v>64</v>
      </c>
      <c r="W196" s="24" t="str">
        <f t="shared" si="3"/>
        <v>Blacklisted</v>
      </c>
    </row>
    <row r="197" spans="1:23">
      <c r="A197" s="18" t="s">
        <v>994</v>
      </c>
      <c r="B197" s="18" t="s">
        <v>83</v>
      </c>
      <c r="C197" s="18" t="s">
        <v>222</v>
      </c>
      <c r="D197" s="18" t="s">
        <v>336</v>
      </c>
      <c r="E197" s="18" t="s">
        <v>596</v>
      </c>
      <c r="F197" s="18" t="s">
        <v>180</v>
      </c>
      <c r="G197" s="18" t="s">
        <v>76</v>
      </c>
      <c r="H197" s="18" t="s">
        <v>995</v>
      </c>
      <c r="I197" s="18" t="s">
        <v>44</v>
      </c>
      <c r="J197" s="18" t="s">
        <v>45</v>
      </c>
      <c r="K197" s="18" t="s">
        <v>122</v>
      </c>
      <c r="L197" s="18" t="s">
        <v>227</v>
      </c>
      <c r="M197" s="18">
        <v>7</v>
      </c>
      <c r="N197" s="18">
        <v>20</v>
      </c>
      <c r="O197" s="18">
        <v>10</v>
      </c>
      <c r="P197" s="18">
        <v>126</v>
      </c>
      <c r="Q197" s="18">
        <v>4</v>
      </c>
      <c r="R197" s="18" t="s">
        <v>79</v>
      </c>
      <c r="S197" s="18" t="s">
        <v>61</v>
      </c>
      <c r="T197" s="18" t="s">
        <v>89</v>
      </c>
      <c r="U197" s="19" t="s">
        <v>996</v>
      </c>
      <c r="V197" s="18" t="s">
        <v>38</v>
      </c>
      <c r="W197" s="24" t="str">
        <f t="shared" si="3"/>
        <v>Silver</v>
      </c>
    </row>
    <row r="198" spans="1:23">
      <c r="A198" s="15" t="s">
        <v>997</v>
      </c>
      <c r="B198" s="15" t="s">
        <v>221</v>
      </c>
      <c r="C198" s="15" t="s">
        <v>169</v>
      </c>
      <c r="D198" s="15" t="s">
        <v>252</v>
      </c>
      <c r="E198" s="15" t="s">
        <v>998</v>
      </c>
      <c r="F198" s="15" t="s">
        <v>225</v>
      </c>
      <c r="G198" s="15" t="s">
        <v>76</v>
      </c>
      <c r="H198" s="15" t="s">
        <v>999</v>
      </c>
      <c r="I198" s="15" t="s">
        <v>30</v>
      </c>
      <c r="J198" s="15" t="s">
        <v>31</v>
      </c>
      <c r="K198" s="15" t="s">
        <v>32</v>
      </c>
      <c r="L198" s="15" t="s">
        <v>174</v>
      </c>
      <c r="M198" s="15">
        <v>19</v>
      </c>
      <c r="N198" s="15">
        <v>8500</v>
      </c>
      <c r="O198" s="15">
        <v>20</v>
      </c>
      <c r="P198" s="15">
        <v>129200</v>
      </c>
      <c r="Q198" s="15">
        <v>3</v>
      </c>
      <c r="R198" s="15" t="s">
        <v>48</v>
      </c>
      <c r="S198" s="15" t="s">
        <v>61</v>
      </c>
      <c r="T198" s="15" t="s">
        <v>228</v>
      </c>
      <c r="U198" s="17" t="s">
        <v>1000</v>
      </c>
      <c r="V198" s="15" t="s">
        <v>64</v>
      </c>
      <c r="W198" s="24" t="str">
        <f t="shared" si="3"/>
        <v>Blacklisted</v>
      </c>
    </row>
    <row r="199" spans="1:23">
      <c r="A199" s="18" t="s">
        <v>1001</v>
      </c>
      <c r="B199" s="18" t="s">
        <v>100</v>
      </c>
      <c r="C199" s="18" t="s">
        <v>118</v>
      </c>
      <c r="D199" s="18" t="s">
        <v>431</v>
      </c>
      <c r="E199" s="18" t="s">
        <v>414</v>
      </c>
      <c r="F199" s="18" t="s">
        <v>103</v>
      </c>
      <c r="G199" s="18" t="s">
        <v>28</v>
      </c>
      <c r="H199" s="18" t="s">
        <v>1002</v>
      </c>
      <c r="I199" s="18" t="s">
        <v>114</v>
      </c>
      <c r="J199" s="18" t="s">
        <v>106</v>
      </c>
      <c r="K199" s="18" t="s">
        <v>122</v>
      </c>
      <c r="L199" s="18" t="s">
        <v>123</v>
      </c>
      <c r="M199" s="18">
        <v>16</v>
      </c>
      <c r="N199" s="18">
        <v>60</v>
      </c>
      <c r="O199" s="18">
        <v>0</v>
      </c>
      <c r="P199" s="18">
        <v>960</v>
      </c>
      <c r="Q199" s="18">
        <v>2</v>
      </c>
      <c r="R199" s="18" t="s">
        <v>48</v>
      </c>
      <c r="S199" s="18" t="s">
        <v>115</v>
      </c>
      <c r="T199" s="18" t="s">
        <v>144</v>
      </c>
      <c r="U199" s="19" t="s">
        <v>1003</v>
      </c>
      <c r="V199" s="18" t="s">
        <v>38</v>
      </c>
      <c r="W199" s="24" t="str">
        <f t="shared" si="3"/>
        <v>Blacklisted</v>
      </c>
    </row>
    <row r="200" spans="1:23">
      <c r="A200" s="15" t="s">
        <v>1004</v>
      </c>
      <c r="B200" s="15" t="s">
        <v>221</v>
      </c>
      <c r="C200" s="15" t="s">
        <v>92</v>
      </c>
      <c r="D200" s="15" t="s">
        <v>1005</v>
      </c>
      <c r="E200" s="15" t="s">
        <v>731</v>
      </c>
      <c r="F200" s="15" t="s">
        <v>225</v>
      </c>
      <c r="G200" s="15" t="s">
        <v>76</v>
      </c>
      <c r="H200" s="15" t="s">
        <v>1006</v>
      </c>
      <c r="I200" s="15" t="s">
        <v>59</v>
      </c>
      <c r="J200" s="15" t="s">
        <v>31</v>
      </c>
      <c r="K200" s="15" t="s">
        <v>1007</v>
      </c>
      <c r="L200" s="15" t="s">
        <v>97</v>
      </c>
      <c r="M200" s="15">
        <v>18</v>
      </c>
      <c r="N200" s="15">
        <v>3500</v>
      </c>
      <c r="O200" s="15">
        <v>5</v>
      </c>
      <c r="P200" s="15">
        <v>59850</v>
      </c>
      <c r="Q200" s="15">
        <v>1</v>
      </c>
      <c r="R200" s="15" t="s">
        <v>88</v>
      </c>
      <c r="S200" s="15" t="s">
        <v>115</v>
      </c>
      <c r="T200" s="15" t="s">
        <v>228</v>
      </c>
      <c r="U200" s="17" t="s">
        <v>1008</v>
      </c>
      <c r="V200" s="15" t="s">
        <v>64</v>
      </c>
      <c r="W200" s="24" t="str">
        <f t="shared" si="3"/>
        <v>Blacklisted</v>
      </c>
    </row>
    <row r="201" spans="1:23">
      <c r="A201" s="18" t="s">
        <v>1009</v>
      </c>
      <c r="B201" s="18" t="s">
        <v>100</v>
      </c>
      <c r="C201" s="18" t="s">
        <v>54</v>
      </c>
      <c r="D201" s="18" t="s">
        <v>1010</v>
      </c>
      <c r="E201" s="18" t="s">
        <v>431</v>
      </c>
      <c r="F201" s="18" t="s">
        <v>103</v>
      </c>
      <c r="G201" s="18" t="s">
        <v>28</v>
      </c>
      <c r="H201" s="18" t="s">
        <v>1011</v>
      </c>
      <c r="I201" s="18" t="s">
        <v>212</v>
      </c>
      <c r="J201" s="18" t="s">
        <v>45</v>
      </c>
      <c r="K201" s="18" t="s">
        <v>46</v>
      </c>
      <c r="L201" s="18" t="s">
        <v>60</v>
      </c>
      <c r="M201" s="18">
        <v>16</v>
      </c>
      <c r="N201" s="18">
        <v>55000</v>
      </c>
      <c r="O201" s="18">
        <v>0</v>
      </c>
      <c r="P201" s="18">
        <v>880000</v>
      </c>
      <c r="Q201" s="18">
        <v>1</v>
      </c>
      <c r="R201" s="18" t="s">
        <v>79</v>
      </c>
      <c r="S201" s="18" t="s">
        <v>61</v>
      </c>
      <c r="T201" s="18" t="s">
        <v>144</v>
      </c>
      <c r="U201" s="19" t="s">
        <v>1012</v>
      </c>
      <c r="V201" s="18" t="s">
        <v>69</v>
      </c>
      <c r="W201" s="24" t="str">
        <f t="shared" si="3"/>
        <v>Blacklisted</v>
      </c>
    </row>
    <row r="202" spans="1:23">
      <c r="A202" s="15" t="s">
        <v>1013</v>
      </c>
      <c r="B202" s="15" t="s">
        <v>221</v>
      </c>
      <c r="C202" s="15" t="s">
        <v>72</v>
      </c>
      <c r="D202" s="15" t="s">
        <v>900</v>
      </c>
      <c r="E202" s="15" t="s">
        <v>435</v>
      </c>
      <c r="F202" s="15" t="s">
        <v>225</v>
      </c>
      <c r="G202" s="15" t="s">
        <v>76</v>
      </c>
      <c r="H202" s="15" t="s">
        <v>1014</v>
      </c>
      <c r="I202" s="15" t="s">
        <v>138</v>
      </c>
      <c r="J202" s="15" t="s">
        <v>106</v>
      </c>
      <c r="K202" s="15" t="s">
        <v>46</v>
      </c>
      <c r="L202" s="15" t="s">
        <v>78</v>
      </c>
      <c r="M202" s="15">
        <v>18</v>
      </c>
      <c r="N202" s="15">
        <v>1200</v>
      </c>
      <c r="O202" s="15">
        <v>15</v>
      </c>
      <c r="P202" s="15">
        <v>18360</v>
      </c>
      <c r="Q202" s="15">
        <v>2</v>
      </c>
      <c r="R202" s="15" t="s">
        <v>48</v>
      </c>
      <c r="S202" s="15" t="s">
        <v>35</v>
      </c>
      <c r="T202" s="15" t="s">
        <v>228</v>
      </c>
      <c r="U202" s="17" t="s">
        <v>1015</v>
      </c>
      <c r="V202" s="15" t="s">
        <v>69</v>
      </c>
      <c r="W202" s="24" t="str">
        <f t="shared" si="3"/>
        <v>Blacklisted</v>
      </c>
    </row>
    <row r="203" spans="1:23">
      <c r="A203" s="18" t="s">
        <v>1016</v>
      </c>
      <c r="B203" s="18" t="s">
        <v>71</v>
      </c>
      <c r="C203" s="18" t="s">
        <v>259</v>
      </c>
      <c r="D203" s="18" t="s">
        <v>1017</v>
      </c>
      <c r="E203" s="18" t="s">
        <v>1018</v>
      </c>
      <c r="F203" s="18" t="s">
        <v>217</v>
      </c>
      <c r="G203" s="18" t="s">
        <v>76</v>
      </c>
      <c r="H203" s="18" t="s">
        <v>1019</v>
      </c>
      <c r="I203" s="18" t="s">
        <v>30</v>
      </c>
      <c r="J203" s="18" t="s">
        <v>31</v>
      </c>
      <c r="K203" s="18" t="s">
        <v>122</v>
      </c>
      <c r="L203" s="18" t="s">
        <v>263</v>
      </c>
      <c r="M203" s="18">
        <v>2</v>
      </c>
      <c r="N203" s="18">
        <v>45</v>
      </c>
      <c r="O203" s="18">
        <v>15</v>
      </c>
      <c r="P203" s="18">
        <v>76.5</v>
      </c>
      <c r="Q203" s="18">
        <v>5</v>
      </c>
      <c r="R203" s="18" t="s">
        <v>34</v>
      </c>
      <c r="S203" s="18" t="s">
        <v>61</v>
      </c>
      <c r="T203" s="18" t="s">
        <v>80</v>
      </c>
      <c r="U203" s="19" t="s">
        <v>1020</v>
      </c>
      <c r="V203" s="18" t="s">
        <v>69</v>
      </c>
      <c r="W203" s="24" t="str">
        <f t="shared" si="3"/>
        <v>Blacklisted</v>
      </c>
    </row>
    <row r="204" spans="1:23">
      <c r="A204" s="15" t="s">
        <v>1021</v>
      </c>
      <c r="B204" s="15" t="s">
        <v>53</v>
      </c>
      <c r="C204" s="15" t="s">
        <v>169</v>
      </c>
      <c r="D204" s="15" t="s">
        <v>712</v>
      </c>
      <c r="E204" s="15" t="s">
        <v>85</v>
      </c>
      <c r="F204" s="15" t="s">
        <v>163</v>
      </c>
      <c r="G204" s="15" t="s">
        <v>28</v>
      </c>
      <c r="H204" s="15" t="s">
        <v>1022</v>
      </c>
      <c r="I204" s="15" t="s">
        <v>59</v>
      </c>
      <c r="J204" s="15" t="s">
        <v>31</v>
      </c>
      <c r="K204" s="15" t="s">
        <v>32</v>
      </c>
      <c r="L204" s="15" t="s">
        <v>174</v>
      </c>
      <c r="M204" s="15">
        <v>20</v>
      </c>
      <c r="N204" s="15">
        <v>8500</v>
      </c>
      <c r="O204" s="15">
        <v>0</v>
      </c>
      <c r="P204" s="15">
        <v>170000</v>
      </c>
      <c r="Q204" s="15">
        <v>4</v>
      </c>
      <c r="R204" s="15" t="s">
        <v>48</v>
      </c>
      <c r="S204" s="15" t="s">
        <v>61</v>
      </c>
      <c r="T204" s="15" t="s">
        <v>62</v>
      </c>
      <c r="U204" s="17" t="s">
        <v>1023</v>
      </c>
      <c r="V204" s="15" t="s">
        <v>69</v>
      </c>
      <c r="W204" s="24" t="str">
        <f t="shared" si="3"/>
        <v>Blacklisted</v>
      </c>
    </row>
    <row r="205" spans="1:23">
      <c r="A205" s="18" t="s">
        <v>1024</v>
      </c>
      <c r="B205" s="18" t="s">
        <v>127</v>
      </c>
      <c r="C205" s="18" t="s">
        <v>92</v>
      </c>
      <c r="D205" s="18" t="s">
        <v>298</v>
      </c>
      <c r="E205" s="18" t="s">
        <v>1025</v>
      </c>
      <c r="F205" s="18" t="s">
        <v>200</v>
      </c>
      <c r="G205" s="18" t="s">
        <v>76</v>
      </c>
      <c r="H205" s="18" t="s">
        <v>494</v>
      </c>
      <c r="I205" s="18" t="s">
        <v>212</v>
      </c>
      <c r="J205" s="18" t="s">
        <v>45</v>
      </c>
      <c r="K205" s="18" t="s">
        <v>32</v>
      </c>
      <c r="L205" s="18" t="s">
        <v>97</v>
      </c>
      <c r="M205" s="18">
        <v>6</v>
      </c>
      <c r="N205" s="18">
        <v>3500</v>
      </c>
      <c r="O205" s="18">
        <v>5</v>
      </c>
      <c r="P205" s="18">
        <v>19950</v>
      </c>
      <c r="Q205" s="18">
        <v>1</v>
      </c>
      <c r="R205" s="18" t="s">
        <v>34</v>
      </c>
      <c r="S205" s="18" t="s">
        <v>151</v>
      </c>
      <c r="T205" s="18" t="s">
        <v>132</v>
      </c>
      <c r="U205" s="19" t="s">
        <v>1026</v>
      </c>
      <c r="V205" s="18" t="s">
        <v>38</v>
      </c>
      <c r="W205" s="24" t="str">
        <f t="shared" si="3"/>
        <v>Blacklisted</v>
      </c>
    </row>
    <row r="206" spans="1:23">
      <c r="A206" s="15" t="s">
        <v>1027</v>
      </c>
      <c r="B206" s="15" t="s">
        <v>168</v>
      </c>
      <c r="C206" s="15" t="s">
        <v>259</v>
      </c>
      <c r="D206" s="15" t="s">
        <v>308</v>
      </c>
      <c r="E206" s="15" t="s">
        <v>281</v>
      </c>
      <c r="F206" s="15" t="s">
        <v>361</v>
      </c>
      <c r="G206" s="15" t="s">
        <v>28</v>
      </c>
      <c r="H206" s="15" t="s">
        <v>1028</v>
      </c>
      <c r="I206" s="15" t="s">
        <v>114</v>
      </c>
      <c r="J206" s="15" t="s">
        <v>106</v>
      </c>
      <c r="K206" s="15" t="s">
        <v>122</v>
      </c>
      <c r="L206" s="15" t="s">
        <v>263</v>
      </c>
      <c r="M206" s="15">
        <v>8</v>
      </c>
      <c r="N206" s="15">
        <v>45</v>
      </c>
      <c r="O206" s="15">
        <v>5</v>
      </c>
      <c r="P206" s="15">
        <v>342</v>
      </c>
      <c r="Q206" s="15">
        <v>2</v>
      </c>
      <c r="R206" s="15" t="s">
        <v>34</v>
      </c>
      <c r="S206" s="15" t="s">
        <v>49</v>
      </c>
      <c r="T206" s="15" t="s">
        <v>175</v>
      </c>
      <c r="U206" s="17" t="s">
        <v>1029</v>
      </c>
      <c r="V206" s="15" t="s">
        <v>64</v>
      </c>
      <c r="W206" s="24" t="str">
        <f t="shared" si="3"/>
        <v>Blacklisted</v>
      </c>
    </row>
    <row r="207" spans="1:23">
      <c r="A207" s="18" t="s">
        <v>1030</v>
      </c>
      <c r="B207" s="18" t="s">
        <v>327</v>
      </c>
      <c r="C207" s="18" t="s">
        <v>24</v>
      </c>
      <c r="D207" s="18" t="s">
        <v>414</v>
      </c>
      <c r="E207" s="18" t="s">
        <v>1031</v>
      </c>
      <c r="F207" s="18" t="s">
        <v>394</v>
      </c>
      <c r="G207" s="18" t="s">
        <v>76</v>
      </c>
      <c r="H207" s="18" t="s">
        <v>1032</v>
      </c>
      <c r="I207" s="18" t="s">
        <v>105</v>
      </c>
      <c r="J207" s="18" t="s">
        <v>106</v>
      </c>
      <c r="K207" s="18" t="s">
        <v>32</v>
      </c>
      <c r="L207" s="18" t="s">
        <v>33</v>
      </c>
      <c r="M207" s="18">
        <v>18</v>
      </c>
      <c r="N207" s="18">
        <v>2200</v>
      </c>
      <c r="O207" s="18">
        <v>15</v>
      </c>
      <c r="P207" s="18">
        <v>33660</v>
      </c>
      <c r="Q207" s="18">
        <v>4</v>
      </c>
      <c r="R207" s="18" t="s">
        <v>79</v>
      </c>
      <c r="S207" s="18" t="s">
        <v>61</v>
      </c>
      <c r="T207" s="18" t="s">
        <v>332</v>
      </c>
      <c r="U207" s="19" t="s">
        <v>1033</v>
      </c>
      <c r="V207" s="18" t="s">
        <v>64</v>
      </c>
      <c r="W207" s="24" t="str">
        <f t="shared" si="3"/>
        <v>Blacklisted</v>
      </c>
    </row>
    <row r="208" spans="1:23">
      <c r="A208" s="15" t="s">
        <v>1034</v>
      </c>
      <c r="B208" s="15" t="s">
        <v>221</v>
      </c>
      <c r="C208" s="15" t="s">
        <v>184</v>
      </c>
      <c r="D208" s="15" t="s">
        <v>1035</v>
      </c>
      <c r="E208" s="15" t="s">
        <v>1005</v>
      </c>
      <c r="F208" s="15" t="s">
        <v>225</v>
      </c>
      <c r="G208" s="15" t="s">
        <v>76</v>
      </c>
      <c r="H208" s="15" t="s">
        <v>1036</v>
      </c>
      <c r="I208" s="15" t="s">
        <v>30</v>
      </c>
      <c r="J208" s="15" t="s">
        <v>31</v>
      </c>
      <c r="K208" s="15" t="s">
        <v>46</v>
      </c>
      <c r="L208" s="15" t="s">
        <v>189</v>
      </c>
      <c r="M208" s="15">
        <v>18</v>
      </c>
      <c r="N208" s="15">
        <v>700</v>
      </c>
      <c r="O208" s="15">
        <v>15</v>
      </c>
      <c r="P208" s="15">
        <v>10710</v>
      </c>
      <c r="Q208" s="15">
        <v>3</v>
      </c>
      <c r="R208" s="15" t="s">
        <v>79</v>
      </c>
      <c r="S208" s="15" t="s">
        <v>151</v>
      </c>
      <c r="T208" s="15" t="s">
        <v>228</v>
      </c>
      <c r="U208" s="17" t="s">
        <v>1037</v>
      </c>
      <c r="V208" s="15" t="s">
        <v>69</v>
      </c>
      <c r="W208" s="24" t="str">
        <f t="shared" si="3"/>
        <v>Blacklisted</v>
      </c>
    </row>
    <row r="209" spans="1:23">
      <c r="A209" s="18" t="s">
        <v>1038</v>
      </c>
      <c r="B209" s="18" t="s">
        <v>327</v>
      </c>
      <c r="C209" s="18" t="s">
        <v>54</v>
      </c>
      <c r="D209" s="18" t="s">
        <v>1039</v>
      </c>
      <c r="E209" s="18" t="s">
        <v>1040</v>
      </c>
      <c r="F209" s="18" t="s">
        <v>394</v>
      </c>
      <c r="G209" s="18" t="s">
        <v>76</v>
      </c>
      <c r="H209" s="18" t="s">
        <v>1041</v>
      </c>
      <c r="I209" s="18" t="s">
        <v>114</v>
      </c>
      <c r="J209" s="18" t="s">
        <v>106</v>
      </c>
      <c r="K209" s="18" t="s">
        <v>46</v>
      </c>
      <c r="L209" s="18" t="s">
        <v>60</v>
      </c>
      <c r="M209" s="18">
        <v>12</v>
      </c>
      <c r="N209" s="18">
        <v>55000</v>
      </c>
      <c r="O209" s="18">
        <v>0</v>
      </c>
      <c r="P209" s="18">
        <v>660000</v>
      </c>
      <c r="Q209" s="18">
        <v>2</v>
      </c>
      <c r="R209" s="18" t="s">
        <v>88</v>
      </c>
      <c r="S209" s="18" t="s">
        <v>49</v>
      </c>
      <c r="T209" s="18" t="s">
        <v>332</v>
      </c>
      <c r="U209" s="19" t="s">
        <v>1042</v>
      </c>
      <c r="V209" s="18" t="s">
        <v>69</v>
      </c>
      <c r="W209" s="24" t="str">
        <f t="shared" si="3"/>
        <v>Blacklisted</v>
      </c>
    </row>
    <row r="210" spans="1:23">
      <c r="A210" s="15" t="s">
        <v>1043</v>
      </c>
      <c r="B210" s="15" t="s">
        <v>23</v>
      </c>
      <c r="C210" s="15" t="s">
        <v>40</v>
      </c>
      <c r="D210" s="15" t="s">
        <v>502</v>
      </c>
      <c r="E210" s="15" t="s">
        <v>1044</v>
      </c>
      <c r="F210" s="15" t="s">
        <v>27</v>
      </c>
      <c r="G210" s="15" t="s">
        <v>28</v>
      </c>
      <c r="H210" s="15" t="s">
        <v>1045</v>
      </c>
      <c r="I210" s="15" t="s">
        <v>105</v>
      </c>
      <c r="J210" s="15" t="s">
        <v>106</v>
      </c>
      <c r="K210" s="15" t="s">
        <v>46</v>
      </c>
      <c r="L210" s="15" t="s">
        <v>47</v>
      </c>
      <c r="M210" s="15">
        <v>7</v>
      </c>
      <c r="N210" s="15">
        <v>12000</v>
      </c>
      <c r="O210" s="15">
        <v>5</v>
      </c>
      <c r="P210" s="15">
        <v>79800</v>
      </c>
      <c r="Q210" s="15">
        <v>3</v>
      </c>
      <c r="R210" s="15" t="s">
        <v>79</v>
      </c>
      <c r="S210" s="15" t="s">
        <v>151</v>
      </c>
      <c r="T210" s="15" t="s">
        <v>50</v>
      </c>
      <c r="U210" s="17" t="s">
        <v>1046</v>
      </c>
      <c r="V210" s="15" t="s">
        <v>64</v>
      </c>
      <c r="W210" s="24" t="str">
        <f t="shared" si="3"/>
        <v>Blacklisted</v>
      </c>
    </row>
    <row r="211" spans="1:23">
      <c r="A211" s="18" t="s">
        <v>1047</v>
      </c>
      <c r="B211" s="18" t="s">
        <v>251</v>
      </c>
      <c r="C211" s="18" t="s">
        <v>40</v>
      </c>
      <c r="D211" s="18" t="s">
        <v>1048</v>
      </c>
      <c r="E211" s="18" t="s">
        <v>129</v>
      </c>
      <c r="F211" s="18" t="s">
        <v>254</v>
      </c>
      <c r="G211" s="18" t="s">
        <v>28</v>
      </c>
      <c r="H211" s="18" t="s">
        <v>1049</v>
      </c>
      <c r="I211" s="18" t="s">
        <v>105</v>
      </c>
      <c r="J211" s="18" t="s">
        <v>106</v>
      </c>
      <c r="K211" s="18" t="s">
        <v>46</v>
      </c>
      <c r="L211" s="18" t="s">
        <v>47</v>
      </c>
      <c r="M211" s="18">
        <v>8</v>
      </c>
      <c r="N211" s="18">
        <v>12000</v>
      </c>
      <c r="O211" s="18">
        <v>15</v>
      </c>
      <c r="P211" s="18">
        <v>81600</v>
      </c>
      <c r="Q211" s="18">
        <v>4</v>
      </c>
      <c r="R211" s="18" t="s">
        <v>79</v>
      </c>
      <c r="S211" s="18" t="s">
        <v>49</v>
      </c>
      <c r="T211" s="18" t="s">
        <v>256</v>
      </c>
      <c r="U211" s="19" t="s">
        <v>1050</v>
      </c>
      <c r="V211" s="18" t="s">
        <v>38</v>
      </c>
      <c r="W211" s="24" t="str">
        <f t="shared" si="3"/>
        <v>Gold</v>
      </c>
    </row>
    <row r="212" spans="1:23">
      <c r="A212" s="15" t="s">
        <v>1051</v>
      </c>
      <c r="B212" s="15" t="s">
        <v>327</v>
      </c>
      <c r="C212" s="15" t="s">
        <v>92</v>
      </c>
      <c r="D212" s="15" t="s">
        <v>788</v>
      </c>
      <c r="E212" s="15" t="s">
        <v>1052</v>
      </c>
      <c r="F212" s="15" t="s">
        <v>394</v>
      </c>
      <c r="G212" s="15" t="s">
        <v>76</v>
      </c>
      <c r="H212" s="15" t="s">
        <v>1053</v>
      </c>
      <c r="I212" s="15" t="s">
        <v>105</v>
      </c>
      <c r="J212" s="15" t="s">
        <v>106</v>
      </c>
      <c r="K212" s="15" t="s">
        <v>32</v>
      </c>
      <c r="L212" s="15" t="s">
        <v>97</v>
      </c>
      <c r="M212" s="15">
        <v>19</v>
      </c>
      <c r="N212" s="15">
        <v>3500</v>
      </c>
      <c r="O212" s="15">
        <v>5</v>
      </c>
      <c r="P212" s="15">
        <v>63175</v>
      </c>
      <c r="Q212" s="15">
        <v>3</v>
      </c>
      <c r="R212" s="15" t="s">
        <v>79</v>
      </c>
      <c r="S212" s="15" t="s">
        <v>61</v>
      </c>
      <c r="T212" s="15" t="s">
        <v>332</v>
      </c>
      <c r="U212" s="17" t="s">
        <v>1054</v>
      </c>
      <c r="V212" s="15" t="s">
        <v>64</v>
      </c>
      <c r="W212" s="24" t="str">
        <f t="shared" si="3"/>
        <v>Blacklisted</v>
      </c>
    </row>
    <row r="213" spans="1:23">
      <c r="A213" s="18" t="s">
        <v>1055</v>
      </c>
      <c r="B213" s="18" t="s">
        <v>251</v>
      </c>
      <c r="C213" s="18" t="s">
        <v>259</v>
      </c>
      <c r="D213" s="18" t="s">
        <v>900</v>
      </c>
      <c r="E213" s="18" t="s">
        <v>987</v>
      </c>
      <c r="F213" s="18" t="s">
        <v>254</v>
      </c>
      <c r="G213" s="18" t="s">
        <v>28</v>
      </c>
      <c r="H213" s="18" t="s">
        <v>1056</v>
      </c>
      <c r="I213" s="18" t="s">
        <v>138</v>
      </c>
      <c r="J213" s="18" t="s">
        <v>106</v>
      </c>
      <c r="K213" s="18" t="s">
        <v>122</v>
      </c>
      <c r="L213" s="18" t="s">
        <v>263</v>
      </c>
      <c r="M213" s="18">
        <v>7</v>
      </c>
      <c r="N213" s="18">
        <v>45</v>
      </c>
      <c r="O213" s="18">
        <v>5</v>
      </c>
      <c r="P213" s="18">
        <v>299.25</v>
      </c>
      <c r="Q213" s="18">
        <v>3</v>
      </c>
      <c r="R213" s="18" t="s">
        <v>79</v>
      </c>
      <c r="S213" s="18" t="s">
        <v>35</v>
      </c>
      <c r="T213" s="18" t="s">
        <v>256</v>
      </c>
      <c r="U213" s="19" t="s">
        <v>1057</v>
      </c>
      <c r="V213" s="18" t="s">
        <v>69</v>
      </c>
      <c r="W213" s="24" t="str">
        <f t="shared" si="3"/>
        <v>Blacklisted</v>
      </c>
    </row>
    <row r="214" spans="1:23">
      <c r="A214" s="15" t="s">
        <v>1058</v>
      </c>
      <c r="B214" s="15" t="s">
        <v>23</v>
      </c>
      <c r="C214" s="15" t="s">
        <v>118</v>
      </c>
      <c r="D214" s="15" t="s">
        <v>684</v>
      </c>
      <c r="E214" s="15" t="s">
        <v>750</v>
      </c>
      <c r="F214" s="15" t="s">
        <v>27</v>
      </c>
      <c r="G214" s="15" t="s">
        <v>28</v>
      </c>
      <c r="H214" s="15" t="s">
        <v>331</v>
      </c>
      <c r="I214" s="15" t="s">
        <v>30</v>
      </c>
      <c r="J214" s="15" t="s">
        <v>31</v>
      </c>
      <c r="K214" s="15" t="s">
        <v>122</v>
      </c>
      <c r="L214" s="15" t="s">
        <v>123</v>
      </c>
      <c r="M214" s="15">
        <v>3</v>
      </c>
      <c r="N214" s="15">
        <v>60</v>
      </c>
      <c r="O214" s="15">
        <v>15</v>
      </c>
      <c r="P214" s="15">
        <v>153</v>
      </c>
      <c r="Q214" s="15">
        <v>3</v>
      </c>
      <c r="R214" s="15" t="s">
        <v>48</v>
      </c>
      <c r="S214" s="15" t="s">
        <v>49</v>
      </c>
      <c r="T214" s="15" t="s">
        <v>50</v>
      </c>
      <c r="U214" s="17" t="s">
        <v>1059</v>
      </c>
      <c r="V214" s="15" t="s">
        <v>69</v>
      </c>
      <c r="W214" s="24" t="str">
        <f t="shared" si="3"/>
        <v>Blacklisted</v>
      </c>
    </row>
    <row r="215" spans="1:23">
      <c r="A215" s="18" t="s">
        <v>1060</v>
      </c>
      <c r="B215" s="18" t="s">
        <v>53</v>
      </c>
      <c r="C215" s="18" t="s">
        <v>259</v>
      </c>
      <c r="D215" s="18" t="s">
        <v>1061</v>
      </c>
      <c r="E215" s="18" t="s">
        <v>582</v>
      </c>
      <c r="F215" s="18" t="s">
        <v>163</v>
      </c>
      <c r="G215" s="18" t="s">
        <v>28</v>
      </c>
      <c r="H215" s="18" t="s">
        <v>1062</v>
      </c>
      <c r="I215" s="18" t="s">
        <v>114</v>
      </c>
      <c r="J215" s="18" t="s">
        <v>106</v>
      </c>
      <c r="K215" s="18" t="s">
        <v>122</v>
      </c>
      <c r="L215" s="18" t="s">
        <v>263</v>
      </c>
      <c r="M215" s="18">
        <v>19</v>
      </c>
      <c r="N215" s="18">
        <v>45</v>
      </c>
      <c r="O215" s="18">
        <v>0</v>
      </c>
      <c r="P215" s="18">
        <v>855</v>
      </c>
      <c r="Q215" s="18">
        <v>2</v>
      </c>
      <c r="R215" s="18" t="s">
        <v>34</v>
      </c>
      <c r="S215" s="18" t="s">
        <v>61</v>
      </c>
      <c r="T215" s="18" t="s">
        <v>62</v>
      </c>
      <c r="U215" s="19" t="s">
        <v>1063</v>
      </c>
      <c r="V215" s="18" t="s">
        <v>38</v>
      </c>
      <c r="W215" s="24" t="str">
        <f t="shared" si="3"/>
        <v>Blacklisted</v>
      </c>
    </row>
    <row r="216" spans="1:23">
      <c r="A216" s="15" t="s">
        <v>1064</v>
      </c>
      <c r="B216" s="15" t="s">
        <v>100</v>
      </c>
      <c r="C216" s="15" t="s">
        <v>40</v>
      </c>
      <c r="D216" s="15" t="s">
        <v>1065</v>
      </c>
      <c r="E216" s="15" t="s">
        <v>543</v>
      </c>
      <c r="F216" s="15" t="s">
        <v>103</v>
      </c>
      <c r="G216" s="15" t="s">
        <v>28</v>
      </c>
      <c r="H216" s="15" t="s">
        <v>1066</v>
      </c>
      <c r="I216" s="15" t="s">
        <v>59</v>
      </c>
      <c r="J216" s="15" t="s">
        <v>31</v>
      </c>
      <c r="K216" s="15" t="s">
        <v>46</v>
      </c>
      <c r="L216" s="15" t="s">
        <v>47</v>
      </c>
      <c r="M216" s="15">
        <v>10</v>
      </c>
      <c r="N216" s="15">
        <v>12000</v>
      </c>
      <c r="O216" s="15">
        <v>5</v>
      </c>
      <c r="P216" s="15">
        <v>114000</v>
      </c>
      <c r="Q216" s="15">
        <v>1</v>
      </c>
      <c r="R216" s="15" t="s">
        <v>79</v>
      </c>
      <c r="S216" s="15" t="s">
        <v>115</v>
      </c>
      <c r="T216" s="15" t="s">
        <v>144</v>
      </c>
      <c r="U216" s="17" t="s">
        <v>1067</v>
      </c>
      <c r="V216" s="15" t="s">
        <v>69</v>
      </c>
      <c r="W216" s="24" t="str">
        <f t="shared" si="3"/>
        <v>Blacklisted</v>
      </c>
    </row>
    <row r="217" spans="1:23">
      <c r="A217" s="18" t="s">
        <v>1068</v>
      </c>
      <c r="B217" s="18" t="s">
        <v>23</v>
      </c>
      <c r="C217" s="18" t="s">
        <v>72</v>
      </c>
      <c r="D217" s="18" t="s">
        <v>1069</v>
      </c>
      <c r="E217" s="18" t="s">
        <v>1031</v>
      </c>
      <c r="F217" s="18" t="s">
        <v>27</v>
      </c>
      <c r="G217" s="18" t="s">
        <v>28</v>
      </c>
      <c r="H217" s="18" t="s">
        <v>1070</v>
      </c>
      <c r="I217" s="18" t="s">
        <v>294</v>
      </c>
      <c r="J217" s="18" t="s">
        <v>295</v>
      </c>
      <c r="K217" s="18" t="s">
        <v>46</v>
      </c>
      <c r="L217" s="18" t="s">
        <v>78</v>
      </c>
      <c r="M217" s="18">
        <v>4</v>
      </c>
      <c r="N217" s="18">
        <v>1200</v>
      </c>
      <c r="O217" s="18">
        <v>0</v>
      </c>
      <c r="P217" s="18">
        <v>4800</v>
      </c>
      <c r="Q217" s="18">
        <v>4</v>
      </c>
      <c r="R217" s="18" t="s">
        <v>34</v>
      </c>
      <c r="S217" s="18" t="s">
        <v>61</v>
      </c>
      <c r="T217" s="18" t="s">
        <v>50</v>
      </c>
      <c r="U217" s="19" t="s">
        <v>1071</v>
      </c>
      <c r="V217" s="18" t="s">
        <v>38</v>
      </c>
      <c r="W217" s="24" t="str">
        <f t="shared" si="3"/>
        <v>Silver</v>
      </c>
    </row>
    <row r="218" spans="1:23">
      <c r="A218" s="15" t="s">
        <v>1072</v>
      </c>
      <c r="B218" s="15" t="s">
        <v>221</v>
      </c>
      <c r="C218" s="15" t="s">
        <v>169</v>
      </c>
      <c r="D218" s="15" t="s">
        <v>531</v>
      </c>
      <c r="E218" s="15" t="s">
        <v>1073</v>
      </c>
      <c r="F218" s="15" t="s">
        <v>225</v>
      </c>
      <c r="G218" s="15" t="s">
        <v>76</v>
      </c>
      <c r="H218" s="15" t="s">
        <v>1074</v>
      </c>
      <c r="I218" s="15" t="s">
        <v>59</v>
      </c>
      <c r="J218" s="15" t="s">
        <v>31</v>
      </c>
      <c r="K218" s="15" t="s">
        <v>32</v>
      </c>
      <c r="L218" s="15" t="s">
        <v>174</v>
      </c>
      <c r="M218" s="15">
        <v>2</v>
      </c>
      <c r="N218" s="15">
        <v>8500</v>
      </c>
      <c r="O218" s="15">
        <v>20</v>
      </c>
      <c r="P218" s="15">
        <v>13600</v>
      </c>
      <c r="Q218" s="15">
        <v>3</v>
      </c>
      <c r="R218" s="15" t="s">
        <v>79</v>
      </c>
      <c r="S218" s="15" t="s">
        <v>151</v>
      </c>
      <c r="T218" s="15" t="s">
        <v>228</v>
      </c>
      <c r="U218" s="17" t="s">
        <v>1075</v>
      </c>
      <c r="V218" s="15" t="s">
        <v>38</v>
      </c>
      <c r="W218" s="24" t="str">
        <f t="shared" si="3"/>
        <v>Silver</v>
      </c>
    </row>
    <row r="219" spans="1:23">
      <c r="A219" s="18" t="s">
        <v>1076</v>
      </c>
      <c r="B219" s="18" t="s">
        <v>83</v>
      </c>
      <c r="C219" s="18" t="s">
        <v>184</v>
      </c>
      <c r="D219" s="18" t="s">
        <v>1077</v>
      </c>
      <c r="E219" s="18" t="s">
        <v>322</v>
      </c>
      <c r="F219" s="18" t="s">
        <v>180</v>
      </c>
      <c r="G219" s="18" t="s">
        <v>76</v>
      </c>
      <c r="H219" s="18" t="s">
        <v>1078</v>
      </c>
      <c r="I219" s="18" t="s">
        <v>294</v>
      </c>
      <c r="J219" s="18" t="s">
        <v>295</v>
      </c>
      <c r="K219" s="18" t="s">
        <v>46</v>
      </c>
      <c r="L219" s="18" t="s">
        <v>189</v>
      </c>
      <c r="M219" s="18">
        <v>7</v>
      </c>
      <c r="N219" s="18">
        <v>700</v>
      </c>
      <c r="O219" s="18">
        <v>20</v>
      </c>
      <c r="P219" s="18">
        <v>3920</v>
      </c>
      <c r="Q219" s="18">
        <v>2</v>
      </c>
      <c r="R219" s="18" t="s">
        <v>79</v>
      </c>
      <c r="S219" s="18" t="s">
        <v>151</v>
      </c>
      <c r="T219" s="18" t="s">
        <v>89</v>
      </c>
      <c r="U219" s="19" t="s">
        <v>1079</v>
      </c>
      <c r="V219" s="18" t="s">
        <v>64</v>
      </c>
      <c r="W219" s="24" t="str">
        <f t="shared" si="3"/>
        <v>Blacklisted</v>
      </c>
    </row>
    <row r="220" spans="1:23">
      <c r="A220" s="15" t="s">
        <v>1080</v>
      </c>
      <c r="B220" s="15" t="s">
        <v>53</v>
      </c>
      <c r="C220" s="15" t="s">
        <v>222</v>
      </c>
      <c r="D220" s="15" t="s">
        <v>1081</v>
      </c>
      <c r="E220" s="15" t="s">
        <v>518</v>
      </c>
      <c r="F220" s="15" t="s">
        <v>163</v>
      </c>
      <c r="G220" s="15" t="s">
        <v>28</v>
      </c>
      <c r="H220" s="15" t="s">
        <v>1082</v>
      </c>
      <c r="I220" s="15" t="s">
        <v>114</v>
      </c>
      <c r="J220" s="15" t="s">
        <v>106</v>
      </c>
      <c r="K220" s="15" t="s">
        <v>122</v>
      </c>
      <c r="L220" s="15" t="s">
        <v>227</v>
      </c>
      <c r="M220" s="15">
        <v>9</v>
      </c>
      <c r="N220" s="15">
        <v>20</v>
      </c>
      <c r="O220" s="15">
        <v>15</v>
      </c>
      <c r="P220" s="15">
        <v>153</v>
      </c>
      <c r="Q220" s="15">
        <v>3</v>
      </c>
      <c r="R220" s="15" t="s">
        <v>48</v>
      </c>
      <c r="S220" s="15" t="s">
        <v>115</v>
      </c>
      <c r="T220" s="15" t="s">
        <v>62</v>
      </c>
      <c r="U220" s="17" t="s">
        <v>1083</v>
      </c>
      <c r="V220" s="15" t="s">
        <v>38</v>
      </c>
      <c r="W220" s="24" t="str">
        <f t="shared" si="3"/>
        <v>Silver</v>
      </c>
    </row>
    <row r="221" spans="1:23">
      <c r="A221" s="18" t="s">
        <v>1084</v>
      </c>
      <c r="B221" s="18" t="s">
        <v>100</v>
      </c>
      <c r="C221" s="18" t="s">
        <v>169</v>
      </c>
      <c r="D221" s="18" t="s">
        <v>1085</v>
      </c>
      <c r="E221" s="18" t="s">
        <v>1086</v>
      </c>
      <c r="F221" s="18" t="s">
        <v>103</v>
      </c>
      <c r="G221" s="18" t="s">
        <v>28</v>
      </c>
      <c r="H221" s="18" t="s">
        <v>1087</v>
      </c>
      <c r="I221" s="18" t="s">
        <v>294</v>
      </c>
      <c r="J221" s="18" t="s">
        <v>295</v>
      </c>
      <c r="K221" s="18" t="s">
        <v>32</v>
      </c>
      <c r="L221" s="18" t="s">
        <v>174</v>
      </c>
      <c r="M221" s="18">
        <v>16</v>
      </c>
      <c r="N221" s="18">
        <v>8500</v>
      </c>
      <c r="O221" s="18">
        <v>0</v>
      </c>
      <c r="P221" s="18">
        <v>136000</v>
      </c>
      <c r="Q221" s="18">
        <v>4</v>
      </c>
      <c r="R221" s="18" t="s">
        <v>48</v>
      </c>
      <c r="S221" s="18" t="s">
        <v>35</v>
      </c>
      <c r="T221" s="18" t="s">
        <v>144</v>
      </c>
      <c r="U221" s="19" t="s">
        <v>1088</v>
      </c>
      <c r="V221" s="18" t="s">
        <v>38</v>
      </c>
      <c r="W221" s="24" t="str">
        <f t="shared" si="3"/>
        <v>Platinum</v>
      </c>
    </row>
    <row r="222" spans="1:23">
      <c r="A222" s="15" t="s">
        <v>1089</v>
      </c>
      <c r="B222" s="15" t="s">
        <v>251</v>
      </c>
      <c r="C222" s="15" t="s">
        <v>92</v>
      </c>
      <c r="D222" s="15" t="s">
        <v>544</v>
      </c>
      <c r="E222" s="15" t="s">
        <v>1090</v>
      </c>
      <c r="F222" s="15" t="s">
        <v>254</v>
      </c>
      <c r="G222" s="15" t="s">
        <v>28</v>
      </c>
      <c r="H222" s="15" t="s">
        <v>1091</v>
      </c>
      <c r="I222" s="15" t="s">
        <v>44</v>
      </c>
      <c r="J222" s="15" t="s">
        <v>45</v>
      </c>
      <c r="K222" s="15" t="s">
        <v>32</v>
      </c>
      <c r="L222" s="15" t="s">
        <v>97</v>
      </c>
      <c r="M222" s="15">
        <v>10</v>
      </c>
      <c r="N222" s="15">
        <v>3500</v>
      </c>
      <c r="O222" s="15">
        <v>5</v>
      </c>
      <c r="P222" s="15">
        <v>33250</v>
      </c>
      <c r="Q222" s="15">
        <v>3</v>
      </c>
      <c r="R222" s="15" t="s">
        <v>48</v>
      </c>
      <c r="S222" s="15" t="s">
        <v>115</v>
      </c>
      <c r="T222" s="15" t="s">
        <v>256</v>
      </c>
      <c r="U222" s="17" t="s">
        <v>1092</v>
      </c>
      <c r="V222" s="15" t="s">
        <v>38</v>
      </c>
      <c r="W222" s="24" t="str">
        <f t="shared" si="3"/>
        <v>Silver</v>
      </c>
    </row>
    <row r="223" spans="1:23">
      <c r="A223" s="18" t="s">
        <v>1093</v>
      </c>
      <c r="B223" s="18" t="s">
        <v>53</v>
      </c>
      <c r="C223" s="18" t="s">
        <v>40</v>
      </c>
      <c r="D223" s="18" t="s">
        <v>1094</v>
      </c>
      <c r="E223" s="18" t="s">
        <v>588</v>
      </c>
      <c r="F223" s="18" t="s">
        <v>163</v>
      </c>
      <c r="G223" s="18" t="s">
        <v>28</v>
      </c>
      <c r="H223" s="18" t="s">
        <v>1095</v>
      </c>
      <c r="I223" s="18" t="s">
        <v>294</v>
      </c>
      <c r="J223" s="18" t="s">
        <v>295</v>
      </c>
      <c r="K223" s="18" t="s">
        <v>46</v>
      </c>
      <c r="L223" s="18" t="s">
        <v>47</v>
      </c>
      <c r="M223" s="18">
        <v>1</v>
      </c>
      <c r="N223" s="18">
        <v>12000</v>
      </c>
      <c r="O223" s="18">
        <v>0</v>
      </c>
      <c r="P223" s="18">
        <v>12000</v>
      </c>
      <c r="Q223" s="18">
        <v>5</v>
      </c>
      <c r="R223" s="18" t="s">
        <v>88</v>
      </c>
      <c r="S223" s="18" t="s">
        <v>115</v>
      </c>
      <c r="T223" s="18" t="s">
        <v>62</v>
      </c>
      <c r="U223" s="19" t="s">
        <v>1096</v>
      </c>
      <c r="V223" s="18" t="s">
        <v>64</v>
      </c>
      <c r="W223" s="24" t="str">
        <f t="shared" si="3"/>
        <v>Blacklisted</v>
      </c>
    </row>
    <row r="224" spans="1:23">
      <c r="A224" s="15" t="s">
        <v>1097</v>
      </c>
      <c r="B224" s="15" t="s">
        <v>327</v>
      </c>
      <c r="C224" s="15" t="s">
        <v>259</v>
      </c>
      <c r="D224" s="15" t="s">
        <v>1098</v>
      </c>
      <c r="E224" s="15" t="s">
        <v>601</v>
      </c>
      <c r="F224" s="15" t="s">
        <v>394</v>
      </c>
      <c r="G224" s="15" t="s">
        <v>76</v>
      </c>
      <c r="H224" s="15" t="s">
        <v>1099</v>
      </c>
      <c r="I224" s="15" t="s">
        <v>294</v>
      </c>
      <c r="J224" s="15" t="s">
        <v>295</v>
      </c>
      <c r="K224" s="15" t="s">
        <v>122</v>
      </c>
      <c r="L224" s="15" t="s">
        <v>263</v>
      </c>
      <c r="M224" s="15">
        <v>19</v>
      </c>
      <c r="N224" s="15">
        <v>45</v>
      </c>
      <c r="O224" s="15">
        <v>15</v>
      </c>
      <c r="P224" s="15">
        <v>726.75</v>
      </c>
      <c r="Q224" s="15">
        <v>2</v>
      </c>
      <c r="R224" s="15" t="s">
        <v>88</v>
      </c>
      <c r="S224" s="15" t="s">
        <v>151</v>
      </c>
      <c r="T224" s="15" t="s">
        <v>332</v>
      </c>
      <c r="U224" s="17" t="s">
        <v>1100</v>
      </c>
      <c r="V224" s="15" t="s">
        <v>64</v>
      </c>
      <c r="W224" s="24" t="str">
        <f t="shared" si="3"/>
        <v>Blacklisted</v>
      </c>
    </row>
    <row r="225" spans="1:23">
      <c r="A225" s="18" t="s">
        <v>1101</v>
      </c>
      <c r="B225" s="18" t="s">
        <v>23</v>
      </c>
      <c r="C225" s="18" t="s">
        <v>54</v>
      </c>
      <c r="D225" s="18" t="s">
        <v>531</v>
      </c>
      <c r="E225" s="18" t="s">
        <v>1102</v>
      </c>
      <c r="F225" s="18" t="s">
        <v>27</v>
      </c>
      <c r="G225" s="18" t="s">
        <v>28</v>
      </c>
      <c r="H225" s="18" t="s">
        <v>1103</v>
      </c>
      <c r="I225" s="18" t="s">
        <v>44</v>
      </c>
      <c r="J225" s="18" t="s">
        <v>45</v>
      </c>
      <c r="K225" s="18" t="s">
        <v>46</v>
      </c>
      <c r="L225" s="18" t="s">
        <v>60</v>
      </c>
      <c r="M225" s="18">
        <v>13</v>
      </c>
      <c r="N225" s="18">
        <v>55000</v>
      </c>
      <c r="O225" s="18">
        <v>5</v>
      </c>
      <c r="P225" s="18">
        <v>679250</v>
      </c>
      <c r="Q225" s="18">
        <v>4</v>
      </c>
      <c r="R225" s="18" t="s">
        <v>79</v>
      </c>
      <c r="S225" s="18" t="s">
        <v>49</v>
      </c>
      <c r="T225" s="18" t="s">
        <v>50</v>
      </c>
      <c r="U225" s="19" t="s">
        <v>1104</v>
      </c>
      <c r="V225" s="18" t="s">
        <v>69</v>
      </c>
      <c r="W225" s="24" t="str">
        <f t="shared" si="3"/>
        <v>Blacklisted</v>
      </c>
    </row>
    <row r="226" spans="1:23">
      <c r="A226" s="15" t="s">
        <v>1105</v>
      </c>
      <c r="B226" s="15" t="s">
        <v>83</v>
      </c>
      <c r="C226" s="15" t="s">
        <v>259</v>
      </c>
      <c r="D226" s="15" t="s">
        <v>1106</v>
      </c>
      <c r="E226" s="15" t="s">
        <v>155</v>
      </c>
      <c r="F226" s="15" t="s">
        <v>180</v>
      </c>
      <c r="G226" s="15" t="s">
        <v>76</v>
      </c>
      <c r="H226" s="15" t="s">
        <v>1107</v>
      </c>
      <c r="I226" s="15" t="s">
        <v>105</v>
      </c>
      <c r="J226" s="15" t="s">
        <v>106</v>
      </c>
      <c r="K226" s="15" t="s">
        <v>122</v>
      </c>
      <c r="L226" s="15" t="s">
        <v>263</v>
      </c>
      <c r="M226" s="15">
        <v>2</v>
      </c>
      <c r="N226" s="15">
        <v>45</v>
      </c>
      <c r="O226" s="15">
        <v>15</v>
      </c>
      <c r="P226" s="15">
        <v>76.5</v>
      </c>
      <c r="Q226" s="15">
        <v>1</v>
      </c>
      <c r="R226" s="15" t="s">
        <v>48</v>
      </c>
      <c r="S226" s="15" t="s">
        <v>115</v>
      </c>
      <c r="T226" s="15" t="s">
        <v>89</v>
      </c>
      <c r="U226" s="17" t="s">
        <v>1108</v>
      </c>
      <c r="V226" s="15" t="s">
        <v>38</v>
      </c>
      <c r="W226" s="24" t="str">
        <f t="shared" si="3"/>
        <v>Blacklisted</v>
      </c>
    </row>
    <row r="227" spans="1:23">
      <c r="A227" s="18" t="s">
        <v>1109</v>
      </c>
      <c r="B227" s="18" t="s">
        <v>100</v>
      </c>
      <c r="C227" s="18" t="s">
        <v>222</v>
      </c>
      <c r="D227" s="18" t="s">
        <v>303</v>
      </c>
      <c r="E227" s="18" t="s">
        <v>1110</v>
      </c>
      <c r="F227" s="18" t="s">
        <v>103</v>
      </c>
      <c r="G227" s="18" t="s">
        <v>28</v>
      </c>
      <c r="H227" s="18" t="s">
        <v>1111</v>
      </c>
      <c r="I227" s="18" t="s">
        <v>30</v>
      </c>
      <c r="J227" s="18" t="s">
        <v>31</v>
      </c>
      <c r="K227" s="18" t="s">
        <v>122</v>
      </c>
      <c r="L227" s="18" t="s">
        <v>227</v>
      </c>
      <c r="M227" s="18">
        <v>8</v>
      </c>
      <c r="N227" s="18">
        <v>20</v>
      </c>
      <c r="O227" s="18">
        <v>15</v>
      </c>
      <c r="P227" s="18">
        <v>136</v>
      </c>
      <c r="Q227" s="18">
        <v>1</v>
      </c>
      <c r="R227" s="18" t="s">
        <v>79</v>
      </c>
      <c r="S227" s="18" t="s">
        <v>35</v>
      </c>
      <c r="T227" s="18" t="s">
        <v>144</v>
      </c>
      <c r="U227" s="19" t="s">
        <v>1112</v>
      </c>
      <c r="V227" s="18" t="s">
        <v>64</v>
      </c>
      <c r="W227" s="24" t="str">
        <f t="shared" si="3"/>
        <v>Blacklisted</v>
      </c>
    </row>
    <row r="228" spans="1:23">
      <c r="A228" s="15" t="s">
        <v>1113</v>
      </c>
      <c r="B228" s="15" t="s">
        <v>168</v>
      </c>
      <c r="C228" s="15" t="s">
        <v>40</v>
      </c>
      <c r="D228" s="15" t="s">
        <v>1114</v>
      </c>
      <c r="E228" s="15" t="s">
        <v>1115</v>
      </c>
      <c r="F228" s="15" t="s">
        <v>361</v>
      </c>
      <c r="G228" s="15" t="s">
        <v>28</v>
      </c>
      <c r="H228" s="15" t="s">
        <v>1116</v>
      </c>
      <c r="I228" s="15" t="s">
        <v>30</v>
      </c>
      <c r="J228" s="15" t="s">
        <v>31</v>
      </c>
      <c r="K228" s="15" t="s">
        <v>46</v>
      </c>
      <c r="L228" s="15" t="s">
        <v>47</v>
      </c>
      <c r="M228" s="15">
        <v>9</v>
      </c>
      <c r="N228" s="15">
        <v>12000</v>
      </c>
      <c r="O228" s="15">
        <v>5</v>
      </c>
      <c r="P228" s="15">
        <v>102600</v>
      </c>
      <c r="Q228" s="15">
        <v>2</v>
      </c>
      <c r="R228" s="15" t="s">
        <v>79</v>
      </c>
      <c r="S228" s="15" t="s">
        <v>35</v>
      </c>
      <c r="T228" s="15" t="s">
        <v>175</v>
      </c>
      <c r="U228" s="17" t="s">
        <v>1117</v>
      </c>
      <c r="V228" s="15" t="s">
        <v>69</v>
      </c>
      <c r="W228" s="24" t="str">
        <f t="shared" si="3"/>
        <v>Blacklisted</v>
      </c>
    </row>
    <row r="229" spans="1:23">
      <c r="A229" s="18" t="s">
        <v>1118</v>
      </c>
      <c r="B229" s="18" t="s">
        <v>71</v>
      </c>
      <c r="C229" s="18" t="s">
        <v>92</v>
      </c>
      <c r="D229" s="18" t="s">
        <v>1119</v>
      </c>
      <c r="E229" s="18" t="s">
        <v>1120</v>
      </c>
      <c r="F229" s="18" t="s">
        <v>217</v>
      </c>
      <c r="G229" s="18" t="s">
        <v>76</v>
      </c>
      <c r="H229" s="18" t="s">
        <v>1121</v>
      </c>
      <c r="I229" s="18" t="s">
        <v>294</v>
      </c>
      <c r="J229" s="18" t="s">
        <v>295</v>
      </c>
      <c r="K229" s="18" t="s">
        <v>32</v>
      </c>
      <c r="L229" s="18" t="s">
        <v>97</v>
      </c>
      <c r="M229" s="18">
        <v>3</v>
      </c>
      <c r="N229" s="18">
        <v>3500</v>
      </c>
      <c r="O229" s="18">
        <v>15</v>
      </c>
      <c r="P229" s="18">
        <v>8925</v>
      </c>
      <c r="Q229" s="18">
        <v>1</v>
      </c>
      <c r="R229" s="18" t="s">
        <v>34</v>
      </c>
      <c r="S229" s="18" t="s">
        <v>49</v>
      </c>
      <c r="T229" s="18" t="s">
        <v>80</v>
      </c>
      <c r="U229" s="19" t="s">
        <v>1122</v>
      </c>
      <c r="V229" s="18" t="s">
        <v>69</v>
      </c>
      <c r="W229" s="24" t="str">
        <f t="shared" si="3"/>
        <v>Blacklisted</v>
      </c>
    </row>
    <row r="230" spans="1:23">
      <c r="A230" s="15" t="s">
        <v>1123</v>
      </c>
      <c r="B230" s="15" t="s">
        <v>100</v>
      </c>
      <c r="C230" s="15" t="s">
        <v>184</v>
      </c>
      <c r="D230" s="15" t="s">
        <v>1086</v>
      </c>
      <c r="E230" s="15" t="s">
        <v>1124</v>
      </c>
      <c r="F230" s="15" t="s">
        <v>103</v>
      </c>
      <c r="G230" s="15" t="s">
        <v>28</v>
      </c>
      <c r="H230" s="15" t="s">
        <v>1125</v>
      </c>
      <c r="I230" s="15" t="s">
        <v>30</v>
      </c>
      <c r="J230" s="15" t="s">
        <v>31</v>
      </c>
      <c r="K230" s="15" t="s">
        <v>46</v>
      </c>
      <c r="L230" s="15" t="s">
        <v>189</v>
      </c>
      <c r="M230" s="15">
        <v>18</v>
      </c>
      <c r="N230" s="15">
        <v>700</v>
      </c>
      <c r="O230" s="15">
        <v>20</v>
      </c>
      <c r="P230" s="15">
        <v>10080</v>
      </c>
      <c r="Q230" s="15">
        <v>1</v>
      </c>
      <c r="R230" s="15" t="s">
        <v>79</v>
      </c>
      <c r="S230" s="15" t="s">
        <v>151</v>
      </c>
      <c r="T230" s="15" t="s">
        <v>144</v>
      </c>
      <c r="U230" s="17" t="s">
        <v>1126</v>
      </c>
      <c r="V230" s="15" t="s">
        <v>38</v>
      </c>
      <c r="W230" s="24" t="str">
        <f t="shared" si="3"/>
        <v>Blacklisted</v>
      </c>
    </row>
    <row r="231" spans="1:23">
      <c r="A231" s="18" t="s">
        <v>1127</v>
      </c>
      <c r="B231" s="18" t="s">
        <v>71</v>
      </c>
      <c r="C231" s="18" t="s">
        <v>92</v>
      </c>
      <c r="D231" s="18" t="s">
        <v>1128</v>
      </c>
      <c r="E231" s="18" t="s">
        <v>110</v>
      </c>
      <c r="F231" s="18" t="s">
        <v>217</v>
      </c>
      <c r="G231" s="18" t="s">
        <v>76</v>
      </c>
      <c r="H231" s="18" t="s">
        <v>1129</v>
      </c>
      <c r="I231" s="18" t="s">
        <v>114</v>
      </c>
      <c r="J231" s="18" t="s">
        <v>106</v>
      </c>
      <c r="K231" s="18" t="s">
        <v>32</v>
      </c>
      <c r="L231" s="18" t="s">
        <v>97</v>
      </c>
      <c r="M231" s="18">
        <v>14</v>
      </c>
      <c r="N231" s="18">
        <v>3500</v>
      </c>
      <c r="O231" s="18">
        <v>5</v>
      </c>
      <c r="P231" s="18">
        <v>46550</v>
      </c>
      <c r="Q231" s="18">
        <v>1</v>
      </c>
      <c r="R231" s="18" t="s">
        <v>34</v>
      </c>
      <c r="S231" s="18" t="s">
        <v>61</v>
      </c>
      <c r="T231" s="18" t="s">
        <v>80</v>
      </c>
      <c r="U231" s="19" t="s">
        <v>1130</v>
      </c>
      <c r="V231" s="18" t="s">
        <v>38</v>
      </c>
      <c r="W231" s="24" t="str">
        <f t="shared" si="3"/>
        <v>Blacklisted</v>
      </c>
    </row>
    <row r="232" spans="1:23">
      <c r="A232" s="15" t="s">
        <v>1131</v>
      </c>
      <c r="B232" s="15" t="s">
        <v>100</v>
      </c>
      <c r="C232" s="15" t="s">
        <v>184</v>
      </c>
      <c r="D232" s="15" t="s">
        <v>684</v>
      </c>
      <c r="E232" s="15" t="s">
        <v>318</v>
      </c>
      <c r="F232" s="15" t="s">
        <v>103</v>
      </c>
      <c r="G232" s="15" t="s">
        <v>28</v>
      </c>
      <c r="H232" s="15" t="s">
        <v>1132</v>
      </c>
      <c r="I232" s="15" t="s">
        <v>294</v>
      </c>
      <c r="J232" s="15" t="s">
        <v>295</v>
      </c>
      <c r="K232" s="15" t="s">
        <v>46</v>
      </c>
      <c r="L232" s="15" t="s">
        <v>189</v>
      </c>
      <c r="M232" s="15">
        <v>6</v>
      </c>
      <c r="N232" s="15">
        <v>700</v>
      </c>
      <c r="O232" s="15">
        <v>5</v>
      </c>
      <c r="P232" s="15">
        <v>3990</v>
      </c>
      <c r="Q232" s="15">
        <v>5</v>
      </c>
      <c r="R232" s="15" t="s">
        <v>34</v>
      </c>
      <c r="S232" s="15" t="s">
        <v>35</v>
      </c>
      <c r="T232" s="15" t="s">
        <v>144</v>
      </c>
      <c r="U232" s="17" t="s">
        <v>1133</v>
      </c>
      <c r="V232" s="15" t="s">
        <v>38</v>
      </c>
      <c r="W232" s="24" t="str">
        <f t="shared" si="3"/>
        <v>Silver</v>
      </c>
    </row>
    <row r="233" spans="1:23">
      <c r="A233" s="18" t="s">
        <v>1134</v>
      </c>
      <c r="B233" s="18" t="s">
        <v>100</v>
      </c>
      <c r="C233" s="18" t="s">
        <v>92</v>
      </c>
      <c r="D233" s="18" t="s">
        <v>679</v>
      </c>
      <c r="E233" s="18" t="s">
        <v>872</v>
      </c>
      <c r="F233" s="18" t="s">
        <v>103</v>
      </c>
      <c r="G233" s="18" t="s">
        <v>28</v>
      </c>
      <c r="H233" s="18" t="s">
        <v>1135</v>
      </c>
      <c r="I233" s="18" t="s">
        <v>105</v>
      </c>
      <c r="J233" s="18" t="s">
        <v>106</v>
      </c>
      <c r="K233" s="18" t="s">
        <v>32</v>
      </c>
      <c r="L233" s="18" t="s">
        <v>97</v>
      </c>
      <c r="M233" s="18">
        <v>17</v>
      </c>
      <c r="N233" s="18">
        <v>3500</v>
      </c>
      <c r="O233" s="18">
        <v>15</v>
      </c>
      <c r="P233" s="18">
        <v>50575</v>
      </c>
      <c r="Q233" s="18">
        <v>3</v>
      </c>
      <c r="R233" s="18" t="s">
        <v>48</v>
      </c>
      <c r="S233" s="18" t="s">
        <v>49</v>
      </c>
      <c r="T233" s="18" t="s">
        <v>144</v>
      </c>
      <c r="U233" s="19" t="s">
        <v>1136</v>
      </c>
      <c r="V233" s="18" t="s">
        <v>64</v>
      </c>
      <c r="W233" s="24" t="str">
        <f t="shared" si="3"/>
        <v>Blacklisted</v>
      </c>
    </row>
    <row r="234" spans="1:23">
      <c r="A234" s="15" t="s">
        <v>1137</v>
      </c>
      <c r="B234" s="15" t="s">
        <v>251</v>
      </c>
      <c r="C234" s="15" t="s">
        <v>222</v>
      </c>
      <c r="D234" s="15" t="s">
        <v>253</v>
      </c>
      <c r="E234" s="15" t="s">
        <v>1128</v>
      </c>
      <c r="F234" s="15" t="s">
        <v>254</v>
      </c>
      <c r="G234" s="15" t="s">
        <v>28</v>
      </c>
      <c r="H234" s="15" t="s">
        <v>1138</v>
      </c>
      <c r="I234" s="15" t="s">
        <v>294</v>
      </c>
      <c r="J234" s="15" t="s">
        <v>295</v>
      </c>
      <c r="K234" s="15" t="s">
        <v>122</v>
      </c>
      <c r="L234" s="15" t="s">
        <v>227</v>
      </c>
      <c r="M234" s="15">
        <v>7</v>
      </c>
      <c r="N234" s="15">
        <v>20</v>
      </c>
      <c r="O234" s="15">
        <v>5</v>
      </c>
      <c r="P234" s="15">
        <v>133</v>
      </c>
      <c r="Q234" s="15">
        <v>2</v>
      </c>
      <c r="R234" s="15" t="s">
        <v>88</v>
      </c>
      <c r="S234" s="15" t="s">
        <v>151</v>
      </c>
      <c r="T234" s="15" t="s">
        <v>256</v>
      </c>
      <c r="U234" s="17" t="s">
        <v>1139</v>
      </c>
      <c r="V234" s="15" t="s">
        <v>38</v>
      </c>
      <c r="W234" s="24" t="str">
        <f t="shared" si="3"/>
        <v>Blacklisted</v>
      </c>
    </row>
    <row r="235" spans="1:23">
      <c r="A235" s="18" t="s">
        <v>1140</v>
      </c>
      <c r="B235" s="18" t="s">
        <v>23</v>
      </c>
      <c r="C235" s="18" t="s">
        <v>24</v>
      </c>
      <c r="D235" s="18" t="s">
        <v>1141</v>
      </c>
      <c r="E235" s="18" t="s">
        <v>1142</v>
      </c>
      <c r="F235" s="18" t="s">
        <v>27</v>
      </c>
      <c r="G235" s="18" t="s">
        <v>28</v>
      </c>
      <c r="H235" s="18" t="s">
        <v>1143</v>
      </c>
      <c r="I235" s="18" t="s">
        <v>59</v>
      </c>
      <c r="J235" s="18" t="s">
        <v>31</v>
      </c>
      <c r="K235" s="18" t="s">
        <v>32</v>
      </c>
      <c r="L235" s="18" t="s">
        <v>33</v>
      </c>
      <c r="M235" s="18">
        <v>15</v>
      </c>
      <c r="N235" s="18">
        <v>2200</v>
      </c>
      <c r="O235" s="18">
        <v>20</v>
      </c>
      <c r="P235" s="18">
        <v>26400</v>
      </c>
      <c r="Q235" s="18">
        <v>2</v>
      </c>
      <c r="R235" s="18" t="s">
        <v>34</v>
      </c>
      <c r="S235" s="18" t="s">
        <v>61</v>
      </c>
      <c r="T235" s="18" t="s">
        <v>50</v>
      </c>
      <c r="U235" s="19" t="s">
        <v>1144</v>
      </c>
      <c r="V235" s="18" t="s">
        <v>38</v>
      </c>
      <c r="W235" s="24" t="str">
        <f t="shared" si="3"/>
        <v>Blacklisted</v>
      </c>
    </row>
    <row r="236" spans="1:23">
      <c r="A236" s="15" t="s">
        <v>1145</v>
      </c>
      <c r="B236" s="15" t="s">
        <v>71</v>
      </c>
      <c r="C236" s="15" t="s">
        <v>222</v>
      </c>
      <c r="D236" s="15" t="s">
        <v>736</v>
      </c>
      <c r="E236" s="15" t="s">
        <v>94</v>
      </c>
      <c r="F236" s="15" t="s">
        <v>217</v>
      </c>
      <c r="G236" s="15" t="s">
        <v>76</v>
      </c>
      <c r="H236" s="15" t="s">
        <v>1146</v>
      </c>
      <c r="I236" s="15" t="s">
        <v>105</v>
      </c>
      <c r="J236" s="15" t="s">
        <v>106</v>
      </c>
      <c r="K236" s="15" t="s">
        <v>122</v>
      </c>
      <c r="L236" s="15" t="s">
        <v>227</v>
      </c>
      <c r="M236" s="15">
        <v>5</v>
      </c>
      <c r="N236" s="15">
        <v>20</v>
      </c>
      <c r="O236" s="15">
        <v>0</v>
      </c>
      <c r="P236" s="15">
        <v>100</v>
      </c>
      <c r="Q236" s="15">
        <v>3</v>
      </c>
      <c r="R236" s="15" t="s">
        <v>34</v>
      </c>
      <c r="S236" s="15" t="s">
        <v>151</v>
      </c>
      <c r="T236" s="15" t="s">
        <v>80</v>
      </c>
      <c r="U236" s="17" t="s">
        <v>1147</v>
      </c>
      <c r="V236" s="15" t="s">
        <v>38</v>
      </c>
      <c r="W236" s="24" t="str">
        <f t="shared" si="3"/>
        <v>Silver</v>
      </c>
    </row>
    <row r="237" spans="1:23">
      <c r="A237" s="18" t="s">
        <v>1148</v>
      </c>
      <c r="B237" s="18" t="s">
        <v>127</v>
      </c>
      <c r="C237" s="18" t="s">
        <v>40</v>
      </c>
      <c r="D237" s="18" t="s">
        <v>1149</v>
      </c>
      <c r="E237" s="18" t="s">
        <v>779</v>
      </c>
      <c r="F237" s="18" t="s">
        <v>200</v>
      </c>
      <c r="G237" s="18" t="s">
        <v>76</v>
      </c>
      <c r="H237" s="18" t="s">
        <v>1150</v>
      </c>
      <c r="I237" s="18" t="s">
        <v>44</v>
      </c>
      <c r="J237" s="18" t="s">
        <v>45</v>
      </c>
      <c r="K237" s="18" t="s">
        <v>46</v>
      </c>
      <c r="L237" s="18" t="s">
        <v>47</v>
      </c>
      <c r="M237" s="18">
        <v>8</v>
      </c>
      <c r="N237" s="18">
        <v>12000</v>
      </c>
      <c r="O237" s="18">
        <v>20</v>
      </c>
      <c r="P237" s="18">
        <v>76800</v>
      </c>
      <c r="Q237" s="18">
        <v>3</v>
      </c>
      <c r="R237" s="18" t="s">
        <v>79</v>
      </c>
      <c r="S237" s="18" t="s">
        <v>61</v>
      </c>
      <c r="T237" s="18" t="s">
        <v>132</v>
      </c>
      <c r="U237" s="19" t="s">
        <v>1151</v>
      </c>
      <c r="V237" s="18" t="s">
        <v>64</v>
      </c>
      <c r="W237" s="24" t="str">
        <f t="shared" si="3"/>
        <v>Blacklisted</v>
      </c>
    </row>
    <row r="238" spans="1:23">
      <c r="A238" s="15" t="s">
        <v>1152</v>
      </c>
      <c r="B238" s="15" t="s">
        <v>127</v>
      </c>
      <c r="C238" s="15" t="s">
        <v>92</v>
      </c>
      <c r="D238" s="15" t="s">
        <v>1153</v>
      </c>
      <c r="E238" s="15" t="s">
        <v>987</v>
      </c>
      <c r="F238" s="15" t="s">
        <v>200</v>
      </c>
      <c r="G238" s="15" t="s">
        <v>76</v>
      </c>
      <c r="H238" s="15" t="s">
        <v>1154</v>
      </c>
      <c r="I238" s="15" t="s">
        <v>105</v>
      </c>
      <c r="J238" s="15" t="s">
        <v>106</v>
      </c>
      <c r="K238" s="15" t="s">
        <v>32</v>
      </c>
      <c r="L238" s="15" t="s">
        <v>97</v>
      </c>
      <c r="M238" s="15">
        <v>4</v>
      </c>
      <c r="N238" s="15">
        <v>3500</v>
      </c>
      <c r="O238" s="15">
        <v>20</v>
      </c>
      <c r="P238" s="15">
        <v>11200</v>
      </c>
      <c r="Q238" s="15">
        <v>1</v>
      </c>
      <c r="R238" s="15" t="s">
        <v>79</v>
      </c>
      <c r="S238" s="15" t="s">
        <v>115</v>
      </c>
      <c r="T238" s="15" t="s">
        <v>132</v>
      </c>
      <c r="U238" s="17" t="s">
        <v>1155</v>
      </c>
      <c r="V238" s="15" t="s">
        <v>38</v>
      </c>
      <c r="W238" s="24" t="str">
        <f t="shared" si="3"/>
        <v>Blacklisted</v>
      </c>
    </row>
    <row r="239" spans="1:23">
      <c r="A239" s="18" t="s">
        <v>1156</v>
      </c>
      <c r="B239" s="18" t="s">
        <v>221</v>
      </c>
      <c r="C239" s="18" t="s">
        <v>259</v>
      </c>
      <c r="D239" s="18" t="s">
        <v>628</v>
      </c>
      <c r="E239" s="18" t="s">
        <v>1157</v>
      </c>
      <c r="F239" s="18" t="s">
        <v>225</v>
      </c>
      <c r="G239" s="18" t="s">
        <v>76</v>
      </c>
      <c r="H239" s="18" t="s">
        <v>1158</v>
      </c>
      <c r="I239" s="18" t="s">
        <v>30</v>
      </c>
      <c r="J239" s="18" t="s">
        <v>31</v>
      </c>
      <c r="K239" s="18" t="s">
        <v>122</v>
      </c>
      <c r="L239" s="18" t="s">
        <v>263</v>
      </c>
      <c r="M239" s="18">
        <v>19</v>
      </c>
      <c r="N239" s="18">
        <v>45</v>
      </c>
      <c r="O239" s="18">
        <v>10</v>
      </c>
      <c r="P239" s="18">
        <v>769.5</v>
      </c>
      <c r="Q239" s="18">
        <v>1</v>
      </c>
      <c r="R239" s="18" t="s">
        <v>34</v>
      </c>
      <c r="S239" s="18" t="s">
        <v>115</v>
      </c>
      <c r="T239" s="18" t="s">
        <v>228</v>
      </c>
      <c r="U239" s="19" t="s">
        <v>1159</v>
      </c>
      <c r="V239" s="18" t="s">
        <v>38</v>
      </c>
      <c r="W239" s="24" t="str">
        <f t="shared" si="3"/>
        <v>Blacklisted</v>
      </c>
    </row>
    <row r="240" spans="1:23">
      <c r="A240" s="15" t="s">
        <v>1160</v>
      </c>
      <c r="B240" s="15" t="s">
        <v>53</v>
      </c>
      <c r="C240" s="15" t="s">
        <v>259</v>
      </c>
      <c r="D240" s="15" t="s">
        <v>588</v>
      </c>
      <c r="E240" s="15" t="s">
        <v>1161</v>
      </c>
      <c r="F240" s="15" t="s">
        <v>163</v>
      </c>
      <c r="G240" s="15" t="s">
        <v>28</v>
      </c>
      <c r="H240" s="15" t="s">
        <v>1162</v>
      </c>
      <c r="I240" s="15" t="s">
        <v>114</v>
      </c>
      <c r="J240" s="15" t="s">
        <v>106</v>
      </c>
      <c r="K240" s="15" t="s">
        <v>122</v>
      </c>
      <c r="L240" s="15" t="s">
        <v>263</v>
      </c>
      <c r="M240" s="15">
        <v>10</v>
      </c>
      <c r="N240" s="15">
        <v>45</v>
      </c>
      <c r="O240" s="15">
        <v>0</v>
      </c>
      <c r="P240" s="15">
        <v>450</v>
      </c>
      <c r="Q240" s="15">
        <v>4</v>
      </c>
      <c r="R240" s="15" t="s">
        <v>88</v>
      </c>
      <c r="S240" s="15" t="s">
        <v>61</v>
      </c>
      <c r="T240" s="15" t="s">
        <v>62</v>
      </c>
      <c r="U240" s="17" t="s">
        <v>1163</v>
      </c>
      <c r="V240" s="15" t="s">
        <v>38</v>
      </c>
      <c r="W240" s="24" t="str">
        <f t="shared" si="3"/>
        <v>Silver</v>
      </c>
    </row>
    <row r="241" spans="1:23">
      <c r="A241" s="18" t="s">
        <v>1164</v>
      </c>
      <c r="B241" s="18" t="s">
        <v>53</v>
      </c>
      <c r="C241" s="18" t="s">
        <v>259</v>
      </c>
      <c r="D241" s="18" t="s">
        <v>1165</v>
      </c>
      <c r="E241" s="18" t="s">
        <v>1039</v>
      </c>
      <c r="F241" s="18" t="s">
        <v>163</v>
      </c>
      <c r="G241" s="18" t="s">
        <v>28</v>
      </c>
      <c r="H241" s="18" t="s">
        <v>1166</v>
      </c>
      <c r="I241" s="18" t="s">
        <v>30</v>
      </c>
      <c r="J241" s="18" t="s">
        <v>31</v>
      </c>
      <c r="K241" s="18" t="s">
        <v>122</v>
      </c>
      <c r="L241" s="18" t="s">
        <v>263</v>
      </c>
      <c r="M241" s="18">
        <v>16</v>
      </c>
      <c r="N241" s="18">
        <v>45</v>
      </c>
      <c r="O241" s="18">
        <v>15</v>
      </c>
      <c r="P241" s="18">
        <v>612</v>
      </c>
      <c r="Q241" s="18">
        <v>3</v>
      </c>
      <c r="R241" s="18" t="s">
        <v>34</v>
      </c>
      <c r="S241" s="18" t="s">
        <v>115</v>
      </c>
      <c r="T241" s="18" t="s">
        <v>62</v>
      </c>
      <c r="U241" s="19" t="s">
        <v>1167</v>
      </c>
      <c r="V241" s="18" t="s">
        <v>69</v>
      </c>
      <c r="W241" s="24" t="str">
        <f t="shared" si="3"/>
        <v>Blacklisted</v>
      </c>
    </row>
    <row r="242" spans="1:23">
      <c r="A242" s="15" t="s">
        <v>1168</v>
      </c>
      <c r="B242" s="15" t="s">
        <v>168</v>
      </c>
      <c r="C242" s="15" t="s">
        <v>169</v>
      </c>
      <c r="D242" s="15" t="s">
        <v>119</v>
      </c>
      <c r="E242" s="15" t="s">
        <v>120</v>
      </c>
      <c r="F242" s="15" t="s">
        <v>361</v>
      </c>
      <c r="G242" s="15" t="s">
        <v>28</v>
      </c>
      <c r="H242" s="15" t="s">
        <v>1169</v>
      </c>
      <c r="I242" s="15" t="s">
        <v>114</v>
      </c>
      <c r="J242" s="15" t="s">
        <v>106</v>
      </c>
      <c r="K242" s="15" t="s">
        <v>32</v>
      </c>
      <c r="L242" s="15" t="s">
        <v>174</v>
      </c>
      <c r="M242" s="15">
        <v>16</v>
      </c>
      <c r="N242" s="15">
        <v>8500</v>
      </c>
      <c r="O242" s="15">
        <v>15</v>
      </c>
      <c r="P242" s="15">
        <v>115600</v>
      </c>
      <c r="Q242" s="15">
        <v>4</v>
      </c>
      <c r="R242" s="15" t="s">
        <v>48</v>
      </c>
      <c r="S242" s="15" t="s">
        <v>35</v>
      </c>
      <c r="T242" s="15" t="s">
        <v>175</v>
      </c>
      <c r="U242" s="17" t="s">
        <v>1170</v>
      </c>
      <c r="V242" s="15" t="s">
        <v>69</v>
      </c>
      <c r="W242" s="24" t="str">
        <f t="shared" si="3"/>
        <v>Blacklisted</v>
      </c>
    </row>
    <row r="243" spans="1:23">
      <c r="A243" s="18" t="s">
        <v>1171</v>
      </c>
      <c r="B243" s="18" t="s">
        <v>168</v>
      </c>
      <c r="C243" s="18" t="s">
        <v>222</v>
      </c>
      <c r="D243" s="18" t="s">
        <v>445</v>
      </c>
      <c r="E243" s="18" t="s">
        <v>1172</v>
      </c>
      <c r="F243" s="18" t="s">
        <v>361</v>
      </c>
      <c r="G243" s="18" t="s">
        <v>28</v>
      </c>
      <c r="H243" s="18" t="s">
        <v>1173</v>
      </c>
      <c r="I243" s="18" t="s">
        <v>294</v>
      </c>
      <c r="J243" s="18" t="s">
        <v>295</v>
      </c>
      <c r="K243" s="18" t="s">
        <v>122</v>
      </c>
      <c r="L243" s="18" t="s">
        <v>227</v>
      </c>
      <c r="M243" s="18">
        <v>15</v>
      </c>
      <c r="N243" s="18">
        <v>20</v>
      </c>
      <c r="O243" s="18">
        <v>20</v>
      </c>
      <c r="P243" s="18">
        <v>240</v>
      </c>
      <c r="Q243" s="18">
        <v>3</v>
      </c>
      <c r="R243" s="18" t="s">
        <v>48</v>
      </c>
      <c r="S243" s="18" t="s">
        <v>49</v>
      </c>
      <c r="T243" s="18" t="s">
        <v>175</v>
      </c>
      <c r="U243" s="19" t="s">
        <v>1174</v>
      </c>
      <c r="V243" s="18" t="s">
        <v>69</v>
      </c>
      <c r="W243" s="24" t="str">
        <f t="shared" si="3"/>
        <v>Blacklisted</v>
      </c>
    </row>
    <row r="244" spans="1:23">
      <c r="A244" s="15" t="s">
        <v>1175</v>
      </c>
      <c r="B244" s="15" t="s">
        <v>83</v>
      </c>
      <c r="C244" s="15" t="s">
        <v>118</v>
      </c>
      <c r="D244" s="15" t="s">
        <v>440</v>
      </c>
      <c r="E244" s="15" t="s">
        <v>1176</v>
      </c>
      <c r="F244" s="15" t="s">
        <v>180</v>
      </c>
      <c r="G244" s="15" t="s">
        <v>76</v>
      </c>
      <c r="H244" s="15" t="s">
        <v>1177</v>
      </c>
      <c r="I244" s="15" t="s">
        <v>59</v>
      </c>
      <c r="J244" s="15" t="s">
        <v>31</v>
      </c>
      <c r="K244" s="15" t="s">
        <v>122</v>
      </c>
      <c r="L244" s="15" t="s">
        <v>123</v>
      </c>
      <c r="M244" s="15">
        <v>14</v>
      </c>
      <c r="N244" s="15">
        <v>60</v>
      </c>
      <c r="O244" s="15">
        <v>5</v>
      </c>
      <c r="P244" s="15">
        <v>798</v>
      </c>
      <c r="Q244" s="15">
        <v>4</v>
      </c>
      <c r="R244" s="15" t="s">
        <v>34</v>
      </c>
      <c r="S244" s="15" t="s">
        <v>49</v>
      </c>
      <c r="T244" s="15" t="s">
        <v>89</v>
      </c>
      <c r="U244" s="17" t="s">
        <v>1178</v>
      </c>
      <c r="V244" s="15" t="s">
        <v>38</v>
      </c>
      <c r="W244" s="24" t="str">
        <f t="shared" si="3"/>
        <v>Silver</v>
      </c>
    </row>
    <row r="245" spans="1:23">
      <c r="A245" s="18" t="s">
        <v>1179</v>
      </c>
      <c r="B245" s="18" t="s">
        <v>53</v>
      </c>
      <c r="C245" s="18" t="s">
        <v>72</v>
      </c>
      <c r="D245" s="18" t="s">
        <v>1180</v>
      </c>
      <c r="E245" s="18" t="s">
        <v>1181</v>
      </c>
      <c r="F245" s="18" t="s">
        <v>163</v>
      </c>
      <c r="G245" s="18" t="s">
        <v>28</v>
      </c>
      <c r="H245" s="18" t="s">
        <v>1182</v>
      </c>
      <c r="I245" s="18" t="s">
        <v>105</v>
      </c>
      <c r="J245" s="18" t="s">
        <v>106</v>
      </c>
      <c r="K245" s="18" t="s">
        <v>46</v>
      </c>
      <c r="L245" s="18" t="s">
        <v>78</v>
      </c>
      <c r="M245" s="18">
        <v>19</v>
      </c>
      <c r="N245" s="18">
        <v>1200</v>
      </c>
      <c r="O245" s="18">
        <v>20</v>
      </c>
      <c r="P245" s="18">
        <v>18240</v>
      </c>
      <c r="Q245" s="18">
        <v>2</v>
      </c>
      <c r="R245" s="18" t="s">
        <v>34</v>
      </c>
      <c r="S245" s="18" t="s">
        <v>115</v>
      </c>
      <c r="T245" s="18" t="s">
        <v>62</v>
      </c>
      <c r="U245" s="19" t="s">
        <v>1183</v>
      </c>
      <c r="V245" s="18" t="s">
        <v>69</v>
      </c>
      <c r="W245" s="24" t="str">
        <f t="shared" si="3"/>
        <v>Blacklisted</v>
      </c>
    </row>
    <row r="246" spans="1:23">
      <c r="A246" s="15" t="s">
        <v>1184</v>
      </c>
      <c r="B246" s="15" t="s">
        <v>23</v>
      </c>
      <c r="C246" s="15" t="s">
        <v>259</v>
      </c>
      <c r="D246" s="15" t="s">
        <v>340</v>
      </c>
      <c r="E246" s="15" t="s">
        <v>346</v>
      </c>
      <c r="F246" s="15" t="s">
        <v>27</v>
      </c>
      <c r="G246" s="15" t="s">
        <v>28</v>
      </c>
      <c r="H246" s="15" t="s">
        <v>1185</v>
      </c>
      <c r="I246" s="15" t="s">
        <v>59</v>
      </c>
      <c r="J246" s="15" t="s">
        <v>31</v>
      </c>
      <c r="K246" s="15" t="s">
        <v>122</v>
      </c>
      <c r="L246" s="15" t="s">
        <v>263</v>
      </c>
      <c r="M246" s="15">
        <v>5</v>
      </c>
      <c r="N246" s="15">
        <v>45</v>
      </c>
      <c r="O246" s="15">
        <v>15</v>
      </c>
      <c r="P246" s="15">
        <v>191.25</v>
      </c>
      <c r="Q246" s="15">
        <v>2</v>
      </c>
      <c r="R246" s="15" t="s">
        <v>34</v>
      </c>
      <c r="S246" s="15" t="s">
        <v>61</v>
      </c>
      <c r="T246" s="15" t="s">
        <v>50</v>
      </c>
      <c r="U246" s="17" t="s">
        <v>1186</v>
      </c>
      <c r="V246" s="15" t="s">
        <v>69</v>
      </c>
      <c r="W246" s="24" t="str">
        <f t="shared" si="3"/>
        <v>Blacklisted</v>
      </c>
    </row>
    <row r="247" spans="1:23">
      <c r="A247" s="18" t="s">
        <v>1187</v>
      </c>
      <c r="B247" s="18" t="s">
        <v>327</v>
      </c>
      <c r="C247" s="18" t="s">
        <v>184</v>
      </c>
      <c r="D247" s="18" t="s">
        <v>237</v>
      </c>
      <c r="E247" s="18" t="s">
        <v>1188</v>
      </c>
      <c r="F247" s="18" t="s">
        <v>394</v>
      </c>
      <c r="G247" s="18" t="s">
        <v>76</v>
      </c>
      <c r="H247" s="18" t="s">
        <v>1189</v>
      </c>
      <c r="I247" s="18" t="s">
        <v>30</v>
      </c>
      <c r="J247" s="18" t="s">
        <v>31</v>
      </c>
      <c r="K247" s="18" t="s">
        <v>46</v>
      </c>
      <c r="L247" s="18" t="s">
        <v>189</v>
      </c>
      <c r="M247" s="18">
        <v>19</v>
      </c>
      <c r="N247" s="18">
        <v>700</v>
      </c>
      <c r="O247" s="18">
        <v>5</v>
      </c>
      <c r="P247" s="18">
        <v>12635</v>
      </c>
      <c r="Q247" s="18">
        <v>5</v>
      </c>
      <c r="R247" s="18" t="s">
        <v>88</v>
      </c>
      <c r="S247" s="18" t="s">
        <v>151</v>
      </c>
      <c r="T247" s="18" t="s">
        <v>332</v>
      </c>
      <c r="U247" s="19" t="s">
        <v>1190</v>
      </c>
      <c r="V247" s="18" t="s">
        <v>38</v>
      </c>
      <c r="W247" s="24" t="str">
        <f t="shared" si="3"/>
        <v>Silver</v>
      </c>
    </row>
    <row r="248" spans="1:23">
      <c r="A248" s="15" t="s">
        <v>1191</v>
      </c>
      <c r="B248" s="15" t="s">
        <v>127</v>
      </c>
      <c r="C248" s="15" t="s">
        <v>118</v>
      </c>
      <c r="D248" s="15" t="s">
        <v>464</v>
      </c>
      <c r="E248" s="15" t="s">
        <v>84</v>
      </c>
      <c r="F248" s="15" t="s">
        <v>200</v>
      </c>
      <c r="G248" s="15" t="s">
        <v>76</v>
      </c>
      <c r="H248" s="15" t="s">
        <v>1192</v>
      </c>
      <c r="I248" s="15" t="s">
        <v>294</v>
      </c>
      <c r="J248" s="15" t="s">
        <v>295</v>
      </c>
      <c r="K248" s="15" t="s">
        <v>122</v>
      </c>
      <c r="L248" s="15" t="s">
        <v>123</v>
      </c>
      <c r="M248" s="15">
        <v>7</v>
      </c>
      <c r="N248" s="15">
        <v>60</v>
      </c>
      <c r="O248" s="15">
        <v>0</v>
      </c>
      <c r="P248" s="15">
        <v>420</v>
      </c>
      <c r="Q248" s="15">
        <v>4</v>
      </c>
      <c r="R248" s="15" t="s">
        <v>34</v>
      </c>
      <c r="S248" s="15" t="s">
        <v>115</v>
      </c>
      <c r="T248" s="15" t="s">
        <v>132</v>
      </c>
      <c r="U248" s="17" t="s">
        <v>1193</v>
      </c>
      <c r="V248" s="15" t="s">
        <v>64</v>
      </c>
      <c r="W248" s="24" t="str">
        <f t="shared" si="3"/>
        <v>Blacklisted</v>
      </c>
    </row>
    <row r="249" spans="1:23">
      <c r="A249" s="18" t="s">
        <v>1194</v>
      </c>
      <c r="B249" s="18" t="s">
        <v>71</v>
      </c>
      <c r="C249" s="18" t="s">
        <v>24</v>
      </c>
      <c r="D249" s="18" t="s">
        <v>215</v>
      </c>
      <c r="E249" s="18" t="s">
        <v>711</v>
      </c>
      <c r="F249" s="18" t="s">
        <v>217</v>
      </c>
      <c r="G249" s="18" t="s">
        <v>76</v>
      </c>
      <c r="H249" s="18" t="s">
        <v>1195</v>
      </c>
      <c r="I249" s="18" t="s">
        <v>105</v>
      </c>
      <c r="J249" s="18" t="s">
        <v>106</v>
      </c>
      <c r="K249" s="18" t="s">
        <v>32</v>
      </c>
      <c r="L249" s="18" t="s">
        <v>33</v>
      </c>
      <c r="M249" s="18">
        <v>13</v>
      </c>
      <c r="N249" s="18">
        <v>2200</v>
      </c>
      <c r="O249" s="18">
        <v>10</v>
      </c>
      <c r="P249" s="18">
        <v>25740</v>
      </c>
      <c r="Q249" s="18">
        <v>1</v>
      </c>
      <c r="R249" s="18" t="s">
        <v>79</v>
      </c>
      <c r="S249" s="18" t="s">
        <v>151</v>
      </c>
      <c r="T249" s="18" t="s">
        <v>80</v>
      </c>
      <c r="U249" s="19" t="s">
        <v>1196</v>
      </c>
      <c r="V249" s="18" t="s">
        <v>38</v>
      </c>
      <c r="W249" s="24" t="str">
        <f t="shared" si="3"/>
        <v>Blacklisted</v>
      </c>
    </row>
    <row r="250" spans="1:23">
      <c r="A250" s="15" t="s">
        <v>1197</v>
      </c>
      <c r="B250" s="15" t="s">
        <v>71</v>
      </c>
      <c r="C250" s="15" t="s">
        <v>24</v>
      </c>
      <c r="D250" s="15" t="s">
        <v>1198</v>
      </c>
      <c r="E250" s="15" t="s">
        <v>1199</v>
      </c>
      <c r="F250" s="15" t="s">
        <v>217</v>
      </c>
      <c r="G250" s="15" t="s">
        <v>76</v>
      </c>
      <c r="H250" s="15" t="s">
        <v>1200</v>
      </c>
      <c r="I250" s="15" t="s">
        <v>59</v>
      </c>
      <c r="J250" s="15" t="s">
        <v>31</v>
      </c>
      <c r="K250" s="15" t="s">
        <v>32</v>
      </c>
      <c r="L250" s="15" t="s">
        <v>33</v>
      </c>
      <c r="M250" s="15">
        <v>9</v>
      </c>
      <c r="N250" s="15">
        <v>2200</v>
      </c>
      <c r="O250" s="15">
        <v>10</v>
      </c>
      <c r="P250" s="15">
        <v>17820</v>
      </c>
      <c r="Q250" s="15">
        <v>2</v>
      </c>
      <c r="R250" s="15" t="s">
        <v>1201</v>
      </c>
      <c r="S250" s="15" t="s">
        <v>61</v>
      </c>
      <c r="T250" s="15" t="s">
        <v>80</v>
      </c>
      <c r="U250" s="17" t="s">
        <v>1202</v>
      </c>
      <c r="V250" s="15" t="s">
        <v>69</v>
      </c>
      <c r="W250" s="24" t="str">
        <f t="shared" si="3"/>
        <v>Blacklisted</v>
      </c>
    </row>
    <row r="251" spans="1:23">
      <c r="A251" s="18" t="s">
        <v>1203</v>
      </c>
      <c r="B251" s="18" t="s">
        <v>327</v>
      </c>
      <c r="C251" s="18" t="s">
        <v>169</v>
      </c>
      <c r="D251" s="18" t="s">
        <v>944</v>
      </c>
      <c r="E251" s="18" t="s">
        <v>1204</v>
      </c>
      <c r="F251" s="18" t="s">
        <v>394</v>
      </c>
      <c r="G251" s="18" t="s">
        <v>76</v>
      </c>
      <c r="H251" s="18" t="s">
        <v>1205</v>
      </c>
      <c r="I251" s="18" t="s">
        <v>59</v>
      </c>
      <c r="J251" s="18" t="s">
        <v>31</v>
      </c>
      <c r="K251" s="18" t="s">
        <v>32</v>
      </c>
      <c r="L251" s="18" t="s">
        <v>174</v>
      </c>
      <c r="M251" s="18">
        <v>6</v>
      </c>
      <c r="N251" s="18">
        <v>8500</v>
      </c>
      <c r="O251" s="18">
        <v>15</v>
      </c>
      <c r="P251" s="18">
        <v>43350</v>
      </c>
      <c r="Q251" s="18">
        <v>2</v>
      </c>
      <c r="R251" s="18" t="s">
        <v>34</v>
      </c>
      <c r="S251" s="18" t="s">
        <v>151</v>
      </c>
      <c r="T251" s="18" t="s">
        <v>332</v>
      </c>
      <c r="U251" s="19" t="s">
        <v>1206</v>
      </c>
      <c r="V251" s="18" t="s">
        <v>69</v>
      </c>
      <c r="W251" s="24" t="str">
        <f t="shared" si="3"/>
        <v>Blacklisted</v>
      </c>
    </row>
    <row r="252" spans="1:23">
      <c r="A252" s="15" t="s">
        <v>1207</v>
      </c>
      <c r="B252" s="15" t="s">
        <v>221</v>
      </c>
      <c r="C252" s="15" t="s">
        <v>24</v>
      </c>
      <c r="D252" s="15" t="s">
        <v>736</v>
      </c>
      <c r="E252" s="15" t="s">
        <v>94</v>
      </c>
      <c r="F252" s="15" t="s">
        <v>225</v>
      </c>
      <c r="G252" s="15" t="s">
        <v>76</v>
      </c>
      <c r="H252" s="15" t="s">
        <v>1208</v>
      </c>
      <c r="I252" s="15" t="s">
        <v>44</v>
      </c>
      <c r="J252" s="15" t="s">
        <v>45</v>
      </c>
      <c r="K252" s="15" t="s">
        <v>32</v>
      </c>
      <c r="L252" s="15" t="s">
        <v>33</v>
      </c>
      <c r="M252" s="15">
        <v>9</v>
      </c>
      <c r="N252" s="15">
        <v>2200</v>
      </c>
      <c r="O252" s="15">
        <v>10</v>
      </c>
      <c r="P252" s="15">
        <v>17820</v>
      </c>
      <c r="Q252" s="15">
        <v>3</v>
      </c>
      <c r="R252" s="15" t="s">
        <v>79</v>
      </c>
      <c r="S252" s="15" t="s">
        <v>35</v>
      </c>
      <c r="T252" s="15" t="s">
        <v>228</v>
      </c>
      <c r="U252" s="17" t="s">
        <v>1209</v>
      </c>
      <c r="V252" s="15" t="s">
        <v>64</v>
      </c>
      <c r="W252" s="24" t="str">
        <f t="shared" si="3"/>
        <v>Blacklisted</v>
      </c>
    </row>
    <row r="253" spans="1:23">
      <c r="A253" s="18" t="s">
        <v>1210</v>
      </c>
      <c r="B253" s="18" t="s">
        <v>23</v>
      </c>
      <c r="C253" s="18" t="s">
        <v>169</v>
      </c>
      <c r="D253" s="18" t="s">
        <v>825</v>
      </c>
      <c r="E253" s="18" t="s">
        <v>876</v>
      </c>
      <c r="F253" s="18" t="s">
        <v>27</v>
      </c>
      <c r="G253" s="18" t="s">
        <v>28</v>
      </c>
      <c r="H253" s="18" t="s">
        <v>1211</v>
      </c>
      <c r="I253" s="18" t="s">
        <v>294</v>
      </c>
      <c r="J253" s="18" t="s">
        <v>295</v>
      </c>
      <c r="K253" s="18" t="s">
        <v>32</v>
      </c>
      <c r="L253" s="18" t="s">
        <v>174</v>
      </c>
      <c r="M253" s="18">
        <v>16</v>
      </c>
      <c r="N253" s="18">
        <v>8500</v>
      </c>
      <c r="O253" s="18">
        <v>0</v>
      </c>
      <c r="P253" s="18">
        <v>136000</v>
      </c>
      <c r="Q253" s="18">
        <v>5</v>
      </c>
      <c r="R253" s="18" t="s">
        <v>88</v>
      </c>
      <c r="S253" s="18" t="s">
        <v>115</v>
      </c>
      <c r="T253" s="18" t="s">
        <v>50</v>
      </c>
      <c r="U253" s="19" t="s">
        <v>1212</v>
      </c>
      <c r="V253" s="18" t="s">
        <v>69</v>
      </c>
      <c r="W253" s="24" t="str">
        <f t="shared" si="3"/>
        <v>Blacklisted</v>
      </c>
    </row>
    <row r="254" spans="1:23">
      <c r="A254" s="15" t="s">
        <v>1213</v>
      </c>
      <c r="B254" s="15" t="s">
        <v>327</v>
      </c>
      <c r="C254" s="15" t="s">
        <v>72</v>
      </c>
      <c r="D254" s="15" t="s">
        <v>1214</v>
      </c>
      <c r="E254" s="15" t="s">
        <v>692</v>
      </c>
      <c r="F254" s="15" t="s">
        <v>394</v>
      </c>
      <c r="G254" s="15" t="s">
        <v>76</v>
      </c>
      <c r="H254" s="15" t="s">
        <v>1215</v>
      </c>
      <c r="I254" s="15" t="s">
        <v>44</v>
      </c>
      <c r="J254" s="15" t="s">
        <v>45</v>
      </c>
      <c r="K254" s="15" t="s">
        <v>46</v>
      </c>
      <c r="L254" s="15" t="s">
        <v>78</v>
      </c>
      <c r="M254" s="15">
        <v>10</v>
      </c>
      <c r="N254" s="15">
        <v>1200</v>
      </c>
      <c r="O254" s="15">
        <v>15</v>
      </c>
      <c r="P254" s="15">
        <v>10200</v>
      </c>
      <c r="Q254" s="15">
        <v>5</v>
      </c>
      <c r="R254" s="15" t="s">
        <v>34</v>
      </c>
      <c r="S254" s="15" t="s">
        <v>49</v>
      </c>
      <c r="T254" s="15" t="s">
        <v>332</v>
      </c>
      <c r="U254" s="17" t="s">
        <v>1216</v>
      </c>
      <c r="V254" s="15" t="s">
        <v>38</v>
      </c>
      <c r="W254" s="24" t="str">
        <f t="shared" si="3"/>
        <v>Silver</v>
      </c>
    </row>
    <row r="255" spans="1:23">
      <c r="A255" s="18" t="s">
        <v>1217</v>
      </c>
      <c r="B255" s="18" t="s">
        <v>127</v>
      </c>
      <c r="C255" s="18" t="s">
        <v>40</v>
      </c>
      <c r="D255" s="18" t="s">
        <v>413</v>
      </c>
      <c r="E255" s="18" t="s">
        <v>136</v>
      </c>
      <c r="F255" s="18" t="s">
        <v>200</v>
      </c>
      <c r="G255" s="18" t="s">
        <v>76</v>
      </c>
      <c r="H255" s="18" t="s">
        <v>1218</v>
      </c>
      <c r="I255" s="18" t="s">
        <v>294</v>
      </c>
      <c r="J255" s="18" t="s">
        <v>295</v>
      </c>
      <c r="K255" s="18" t="s">
        <v>46</v>
      </c>
      <c r="L255" s="18" t="s">
        <v>47</v>
      </c>
      <c r="M255" s="18">
        <v>7</v>
      </c>
      <c r="N255" s="18">
        <v>12000</v>
      </c>
      <c r="O255" s="18">
        <v>0</v>
      </c>
      <c r="P255" s="18">
        <v>84000</v>
      </c>
      <c r="Q255" s="18">
        <v>1</v>
      </c>
      <c r="R255" s="18" t="s">
        <v>88</v>
      </c>
      <c r="S255" s="18" t="s">
        <v>151</v>
      </c>
      <c r="T255" s="18" t="s">
        <v>132</v>
      </c>
      <c r="U255" s="19" t="s">
        <v>1219</v>
      </c>
      <c r="V255" s="18" t="s">
        <v>64</v>
      </c>
      <c r="W255" s="24" t="str">
        <f t="shared" si="3"/>
        <v>Blacklisted</v>
      </c>
    </row>
    <row r="256" spans="1:23">
      <c r="A256" s="15" t="s">
        <v>1220</v>
      </c>
      <c r="B256" s="15" t="s">
        <v>221</v>
      </c>
      <c r="C256" s="15" t="s">
        <v>40</v>
      </c>
      <c r="D256" s="15" t="s">
        <v>128</v>
      </c>
      <c r="E256" s="15" t="s">
        <v>1221</v>
      </c>
      <c r="F256" s="15" t="s">
        <v>225</v>
      </c>
      <c r="G256" s="15" t="s">
        <v>76</v>
      </c>
      <c r="H256" s="15" t="s">
        <v>1222</v>
      </c>
      <c r="I256" s="15" t="s">
        <v>114</v>
      </c>
      <c r="J256" s="15" t="s">
        <v>106</v>
      </c>
      <c r="K256" s="15" t="s">
        <v>46</v>
      </c>
      <c r="L256" s="15" t="s">
        <v>47</v>
      </c>
      <c r="M256" s="15">
        <v>3</v>
      </c>
      <c r="N256" s="15">
        <v>12000</v>
      </c>
      <c r="O256" s="15">
        <v>10</v>
      </c>
      <c r="P256" s="15">
        <v>32400</v>
      </c>
      <c r="Q256" s="15">
        <v>4</v>
      </c>
      <c r="R256" s="15" t="s">
        <v>79</v>
      </c>
      <c r="S256" s="15" t="s">
        <v>151</v>
      </c>
      <c r="T256" s="15" t="s">
        <v>228</v>
      </c>
      <c r="U256" s="17" t="s">
        <v>1223</v>
      </c>
      <c r="V256" s="15" t="s">
        <v>38</v>
      </c>
      <c r="W256" s="24" t="str">
        <f t="shared" si="3"/>
        <v>Silver</v>
      </c>
    </row>
    <row r="257" spans="1:23">
      <c r="A257" s="18" t="s">
        <v>1224</v>
      </c>
      <c r="B257" s="18" t="s">
        <v>221</v>
      </c>
      <c r="C257" s="18" t="s">
        <v>40</v>
      </c>
      <c r="D257" s="18" t="s">
        <v>1225</v>
      </c>
      <c r="E257" s="18" t="s">
        <v>927</v>
      </c>
      <c r="F257" s="18" t="s">
        <v>225</v>
      </c>
      <c r="G257" s="18" t="s">
        <v>76</v>
      </c>
      <c r="H257" s="18" t="s">
        <v>1226</v>
      </c>
      <c r="I257" s="18" t="s">
        <v>30</v>
      </c>
      <c r="J257" s="18" t="s">
        <v>31</v>
      </c>
      <c r="K257" s="18" t="s">
        <v>46</v>
      </c>
      <c r="L257" s="18" t="s">
        <v>47</v>
      </c>
      <c r="M257" s="18">
        <v>4</v>
      </c>
      <c r="N257" s="18">
        <v>12000</v>
      </c>
      <c r="O257" s="18">
        <v>15</v>
      </c>
      <c r="P257" s="18">
        <v>40800</v>
      </c>
      <c r="Q257" s="18">
        <v>3</v>
      </c>
      <c r="R257" s="18" t="s">
        <v>79</v>
      </c>
      <c r="S257" s="18" t="s">
        <v>35</v>
      </c>
      <c r="T257" s="18" t="s">
        <v>228</v>
      </c>
      <c r="U257" s="19" t="s">
        <v>1227</v>
      </c>
      <c r="V257" s="18" t="s">
        <v>64</v>
      </c>
      <c r="W257" s="24" t="str">
        <f t="shared" si="3"/>
        <v>Blacklisted</v>
      </c>
    </row>
    <row r="258" spans="1:23">
      <c r="A258" s="15" t="s">
        <v>1228</v>
      </c>
      <c r="B258" s="15" t="s">
        <v>127</v>
      </c>
      <c r="C258" s="15" t="s">
        <v>40</v>
      </c>
      <c r="D258" s="15" t="s">
        <v>260</v>
      </c>
      <c r="E258" s="15" t="s">
        <v>498</v>
      </c>
      <c r="F258" s="15" t="s">
        <v>200</v>
      </c>
      <c r="G258" s="15" t="s">
        <v>76</v>
      </c>
      <c r="H258" s="15" t="s">
        <v>1229</v>
      </c>
      <c r="I258" s="15" t="s">
        <v>30</v>
      </c>
      <c r="J258" s="15" t="s">
        <v>31</v>
      </c>
      <c r="K258" s="15" t="s">
        <v>46</v>
      </c>
      <c r="L258" s="15" t="s">
        <v>47</v>
      </c>
      <c r="M258" s="15">
        <v>13</v>
      </c>
      <c r="N258" s="15">
        <v>12000</v>
      </c>
      <c r="O258" s="15">
        <v>10</v>
      </c>
      <c r="P258" s="15">
        <v>140400</v>
      </c>
      <c r="Q258" s="15">
        <v>2</v>
      </c>
      <c r="R258" s="15" t="s">
        <v>34</v>
      </c>
      <c r="S258" s="15" t="s">
        <v>151</v>
      </c>
      <c r="T258" s="15" t="s">
        <v>132</v>
      </c>
      <c r="U258" s="17" t="s">
        <v>1230</v>
      </c>
      <c r="V258" s="15" t="s">
        <v>69</v>
      </c>
      <c r="W258" s="24" t="str">
        <f t="shared" si="3"/>
        <v>Blacklisted</v>
      </c>
    </row>
    <row r="259" spans="1:23">
      <c r="A259" s="18" t="s">
        <v>1231</v>
      </c>
      <c r="B259" s="18" t="s">
        <v>23</v>
      </c>
      <c r="C259" s="18" t="s">
        <v>92</v>
      </c>
      <c r="D259" s="18" t="s">
        <v>318</v>
      </c>
      <c r="E259" s="18" t="s">
        <v>679</v>
      </c>
      <c r="F259" s="18" t="s">
        <v>27</v>
      </c>
      <c r="G259" s="18" t="s">
        <v>28</v>
      </c>
      <c r="H259" s="18" t="s">
        <v>1232</v>
      </c>
      <c r="I259" s="18" t="s">
        <v>59</v>
      </c>
      <c r="J259" s="18" t="s">
        <v>31</v>
      </c>
      <c r="K259" s="18" t="s">
        <v>32</v>
      </c>
      <c r="L259" s="18" t="s">
        <v>97</v>
      </c>
      <c r="M259" s="18">
        <v>19</v>
      </c>
      <c r="N259" s="18">
        <v>3500</v>
      </c>
      <c r="O259" s="18">
        <v>20</v>
      </c>
      <c r="P259" s="18">
        <v>53200</v>
      </c>
      <c r="Q259" s="18">
        <v>1</v>
      </c>
      <c r="R259" s="18" t="s">
        <v>34</v>
      </c>
      <c r="S259" s="18" t="s">
        <v>61</v>
      </c>
      <c r="T259" s="18" t="s">
        <v>50</v>
      </c>
      <c r="U259" s="19" t="s">
        <v>1233</v>
      </c>
      <c r="V259" s="18" t="s">
        <v>69</v>
      </c>
      <c r="W259" s="24" t="str">
        <f t="shared" ref="W259:W322" si="4">IF(OR(Q259&lt;=2,V259="Cancelled"),"Blacklisted",IF(AND(P259&gt;=100000,Q259&gt;=4,O259&lt;10,V259="Completed"),"Platinum",IF(AND(P259&gt;=50000,P259&lt;=99999,Q259&gt;=3,V259="Completed"),"Gold",IF(AND(P259&lt;50000,V259="Completed"),"Silver","Blacklisted"))))</f>
        <v>Blacklisted</v>
      </c>
    </row>
    <row r="260" spans="1:23">
      <c r="A260" s="15" t="s">
        <v>1234</v>
      </c>
      <c r="B260" s="15" t="s">
        <v>23</v>
      </c>
      <c r="C260" s="15" t="s">
        <v>24</v>
      </c>
      <c r="D260" s="15" t="s">
        <v>932</v>
      </c>
      <c r="E260" s="15" t="s">
        <v>436</v>
      </c>
      <c r="F260" s="15" t="s">
        <v>27</v>
      </c>
      <c r="G260" s="15" t="s">
        <v>28</v>
      </c>
      <c r="H260" s="15" t="s">
        <v>1235</v>
      </c>
      <c r="I260" s="15" t="s">
        <v>105</v>
      </c>
      <c r="J260" s="15" t="s">
        <v>106</v>
      </c>
      <c r="K260" s="15" t="s">
        <v>32</v>
      </c>
      <c r="L260" s="15" t="s">
        <v>33</v>
      </c>
      <c r="M260" s="15">
        <v>7</v>
      </c>
      <c r="N260" s="15">
        <v>2200</v>
      </c>
      <c r="O260" s="15">
        <v>5</v>
      </c>
      <c r="P260" s="15">
        <v>14630</v>
      </c>
      <c r="Q260" s="15">
        <v>3</v>
      </c>
      <c r="R260" s="15" t="s">
        <v>88</v>
      </c>
      <c r="S260" s="15" t="s">
        <v>61</v>
      </c>
      <c r="T260" s="15" t="s">
        <v>50</v>
      </c>
      <c r="U260" s="17" t="s">
        <v>1236</v>
      </c>
      <c r="V260" s="15" t="s">
        <v>69</v>
      </c>
      <c r="W260" s="24" t="str">
        <f t="shared" si="4"/>
        <v>Blacklisted</v>
      </c>
    </row>
    <row r="261" spans="1:23">
      <c r="A261" s="18" t="s">
        <v>1237</v>
      </c>
      <c r="B261" s="18" t="s">
        <v>83</v>
      </c>
      <c r="C261" s="18" t="s">
        <v>184</v>
      </c>
      <c r="D261" s="18" t="s">
        <v>1238</v>
      </c>
      <c r="E261" s="18" t="s">
        <v>426</v>
      </c>
      <c r="F261" s="18" t="s">
        <v>180</v>
      </c>
      <c r="G261" s="18" t="s">
        <v>76</v>
      </c>
      <c r="H261" s="18" t="s">
        <v>1239</v>
      </c>
      <c r="I261" s="18" t="s">
        <v>212</v>
      </c>
      <c r="J261" s="18" t="s">
        <v>45</v>
      </c>
      <c r="K261" s="18" t="s">
        <v>46</v>
      </c>
      <c r="L261" s="18" t="s">
        <v>189</v>
      </c>
      <c r="M261" s="18">
        <v>18</v>
      </c>
      <c r="N261" s="18">
        <v>700</v>
      </c>
      <c r="O261" s="18">
        <v>5</v>
      </c>
      <c r="P261" s="18">
        <v>11970</v>
      </c>
      <c r="Q261" s="18">
        <v>2</v>
      </c>
      <c r="R261" s="18" t="s">
        <v>88</v>
      </c>
      <c r="S261" s="18" t="s">
        <v>61</v>
      </c>
      <c r="T261" s="18" t="s">
        <v>89</v>
      </c>
      <c r="U261" s="19" t="s">
        <v>1240</v>
      </c>
      <c r="V261" s="18" t="s">
        <v>69</v>
      </c>
      <c r="W261" s="24" t="str">
        <f t="shared" si="4"/>
        <v>Blacklisted</v>
      </c>
    </row>
    <row r="262" spans="1:23">
      <c r="A262" s="15" t="s">
        <v>1241</v>
      </c>
      <c r="B262" s="15" t="s">
        <v>23</v>
      </c>
      <c r="C262" s="15" t="s">
        <v>222</v>
      </c>
      <c r="D262" s="15" t="s">
        <v>1106</v>
      </c>
      <c r="E262" s="15" t="s">
        <v>1242</v>
      </c>
      <c r="F262" s="15" t="s">
        <v>27</v>
      </c>
      <c r="G262" s="15" t="s">
        <v>28</v>
      </c>
      <c r="H262" s="15" t="s">
        <v>1243</v>
      </c>
      <c r="I262" s="15" t="s">
        <v>294</v>
      </c>
      <c r="J262" s="15" t="s">
        <v>295</v>
      </c>
      <c r="K262" s="15" t="s">
        <v>122</v>
      </c>
      <c r="L262" s="15" t="s">
        <v>227</v>
      </c>
      <c r="M262" s="15">
        <v>11</v>
      </c>
      <c r="N262" s="15">
        <v>20</v>
      </c>
      <c r="O262" s="15">
        <v>0</v>
      </c>
      <c r="P262" s="15">
        <v>220</v>
      </c>
      <c r="Q262" s="15">
        <v>2</v>
      </c>
      <c r="R262" s="15" t="s">
        <v>48</v>
      </c>
      <c r="S262" s="15" t="s">
        <v>115</v>
      </c>
      <c r="T262" s="15" t="s">
        <v>50</v>
      </c>
      <c r="U262" s="17" t="s">
        <v>1244</v>
      </c>
      <c r="V262" s="15" t="s">
        <v>69</v>
      </c>
      <c r="W262" s="24" t="str">
        <f t="shared" si="4"/>
        <v>Blacklisted</v>
      </c>
    </row>
    <row r="263" spans="1:23">
      <c r="A263" s="18" t="s">
        <v>1245</v>
      </c>
      <c r="B263" s="18" t="s">
        <v>327</v>
      </c>
      <c r="C263" s="18" t="s">
        <v>40</v>
      </c>
      <c r="D263" s="18" t="s">
        <v>1069</v>
      </c>
      <c r="E263" s="18" t="s">
        <v>272</v>
      </c>
      <c r="F263" s="18" t="s">
        <v>394</v>
      </c>
      <c r="G263" s="18" t="s">
        <v>76</v>
      </c>
      <c r="H263" s="18" t="s">
        <v>1246</v>
      </c>
      <c r="I263" s="18" t="s">
        <v>114</v>
      </c>
      <c r="J263" s="18" t="s">
        <v>106</v>
      </c>
      <c r="K263" s="18" t="s">
        <v>46</v>
      </c>
      <c r="L263" s="18" t="s">
        <v>47</v>
      </c>
      <c r="M263" s="18">
        <v>17</v>
      </c>
      <c r="N263" s="18">
        <v>12000</v>
      </c>
      <c r="O263" s="18">
        <v>20</v>
      </c>
      <c r="P263" s="18">
        <v>163200</v>
      </c>
      <c r="Q263" s="18">
        <v>4</v>
      </c>
      <c r="R263" s="18" t="s">
        <v>88</v>
      </c>
      <c r="S263" s="18" t="s">
        <v>151</v>
      </c>
      <c r="T263" s="18" t="s">
        <v>332</v>
      </c>
      <c r="U263" s="19" t="s">
        <v>1247</v>
      </c>
      <c r="V263" s="18" t="s">
        <v>38</v>
      </c>
      <c r="W263" s="24" t="str">
        <f t="shared" si="4"/>
        <v>Blacklisted</v>
      </c>
    </row>
    <row r="264" spans="1:23">
      <c r="A264" s="15" t="s">
        <v>1248</v>
      </c>
      <c r="B264" s="15" t="s">
        <v>251</v>
      </c>
      <c r="C264" s="15" t="s">
        <v>24</v>
      </c>
      <c r="D264" s="15" t="s">
        <v>1249</v>
      </c>
      <c r="E264" s="15" t="s">
        <v>267</v>
      </c>
      <c r="F264" s="15" t="s">
        <v>254</v>
      </c>
      <c r="G264" s="15" t="s">
        <v>28</v>
      </c>
      <c r="H264" s="15" t="s">
        <v>1250</v>
      </c>
      <c r="I264" s="15" t="s">
        <v>294</v>
      </c>
      <c r="J264" s="15" t="s">
        <v>295</v>
      </c>
      <c r="K264" s="15" t="s">
        <v>32</v>
      </c>
      <c r="L264" s="15" t="s">
        <v>33</v>
      </c>
      <c r="M264" s="15">
        <v>4</v>
      </c>
      <c r="N264" s="15">
        <v>2200</v>
      </c>
      <c r="O264" s="15">
        <v>5</v>
      </c>
      <c r="P264" s="15">
        <v>8360</v>
      </c>
      <c r="Q264" s="15">
        <v>2</v>
      </c>
      <c r="R264" s="15" t="s">
        <v>34</v>
      </c>
      <c r="S264" s="15" t="s">
        <v>35</v>
      </c>
      <c r="T264" s="15" t="s">
        <v>256</v>
      </c>
      <c r="U264" s="17" t="s">
        <v>1251</v>
      </c>
      <c r="V264" s="15" t="s">
        <v>38</v>
      </c>
      <c r="W264" s="24" t="str">
        <f t="shared" si="4"/>
        <v>Blacklisted</v>
      </c>
    </row>
    <row r="265" spans="1:23">
      <c r="A265" s="18" t="s">
        <v>1252</v>
      </c>
      <c r="B265" s="18" t="s">
        <v>23</v>
      </c>
      <c r="C265" s="18" t="s">
        <v>54</v>
      </c>
      <c r="D265" s="18" t="s">
        <v>1253</v>
      </c>
      <c r="E265" s="18" t="s">
        <v>455</v>
      </c>
      <c r="F265" s="18" t="s">
        <v>27</v>
      </c>
      <c r="G265" s="18" t="s">
        <v>28</v>
      </c>
      <c r="H265" s="18" t="s">
        <v>1254</v>
      </c>
      <c r="I265" s="18" t="s">
        <v>138</v>
      </c>
      <c r="J265" s="18" t="s">
        <v>106</v>
      </c>
      <c r="K265" s="18" t="s">
        <v>46</v>
      </c>
      <c r="L265" s="18" t="s">
        <v>60</v>
      </c>
      <c r="M265" s="18">
        <v>6</v>
      </c>
      <c r="N265" s="18">
        <v>55000</v>
      </c>
      <c r="O265" s="18">
        <v>20</v>
      </c>
      <c r="P265" s="18">
        <v>264000</v>
      </c>
      <c r="Q265" s="18">
        <v>2</v>
      </c>
      <c r="R265" s="18" t="s">
        <v>88</v>
      </c>
      <c r="S265" s="18" t="s">
        <v>151</v>
      </c>
      <c r="T265" s="18" t="s">
        <v>50</v>
      </c>
      <c r="U265" s="19" t="s">
        <v>1255</v>
      </c>
      <c r="V265" s="18" t="s">
        <v>69</v>
      </c>
      <c r="W265" s="24" t="str">
        <f t="shared" si="4"/>
        <v>Blacklisted</v>
      </c>
    </row>
    <row r="266" spans="1:23">
      <c r="A266" s="15" t="s">
        <v>1256</v>
      </c>
      <c r="B266" s="15" t="s">
        <v>71</v>
      </c>
      <c r="C266" s="15" t="s">
        <v>169</v>
      </c>
      <c r="D266" s="15" t="s">
        <v>84</v>
      </c>
      <c r="E266" s="15" t="s">
        <v>998</v>
      </c>
      <c r="F266" s="15" t="s">
        <v>217</v>
      </c>
      <c r="G266" s="15" t="s">
        <v>76</v>
      </c>
      <c r="H266" s="15" t="s">
        <v>1257</v>
      </c>
      <c r="I266" s="15" t="s">
        <v>44</v>
      </c>
      <c r="J266" s="15" t="s">
        <v>45</v>
      </c>
      <c r="K266" s="15" t="s">
        <v>32</v>
      </c>
      <c r="L266" s="15" t="s">
        <v>174</v>
      </c>
      <c r="M266" s="15">
        <v>6</v>
      </c>
      <c r="N266" s="15">
        <v>8500</v>
      </c>
      <c r="O266" s="15">
        <v>10</v>
      </c>
      <c r="P266" s="15">
        <v>45900</v>
      </c>
      <c r="Q266" s="15">
        <v>5</v>
      </c>
      <c r="R266" s="15" t="s">
        <v>88</v>
      </c>
      <c r="S266" s="15" t="s">
        <v>61</v>
      </c>
      <c r="T266" s="15" t="s">
        <v>80</v>
      </c>
      <c r="U266" s="17" t="s">
        <v>1258</v>
      </c>
      <c r="V266" s="15" t="s">
        <v>38</v>
      </c>
      <c r="W266" s="24" t="str">
        <f t="shared" si="4"/>
        <v>Silver</v>
      </c>
    </row>
    <row r="267" spans="1:23">
      <c r="A267" s="18" t="s">
        <v>1259</v>
      </c>
      <c r="B267" s="18" t="s">
        <v>23</v>
      </c>
      <c r="C267" s="18" t="s">
        <v>222</v>
      </c>
      <c r="D267" s="18" t="s">
        <v>558</v>
      </c>
      <c r="E267" s="18" t="s">
        <v>371</v>
      </c>
      <c r="F267" s="18" t="s">
        <v>27</v>
      </c>
      <c r="G267" s="18" t="s">
        <v>28</v>
      </c>
      <c r="H267" s="18" t="s">
        <v>1260</v>
      </c>
      <c r="I267" s="18" t="s">
        <v>212</v>
      </c>
      <c r="J267" s="18" t="s">
        <v>45</v>
      </c>
      <c r="K267" s="18" t="s">
        <v>122</v>
      </c>
      <c r="L267" s="18" t="s">
        <v>227</v>
      </c>
      <c r="M267" s="18">
        <v>6</v>
      </c>
      <c r="N267" s="18">
        <v>20</v>
      </c>
      <c r="O267" s="18">
        <v>15</v>
      </c>
      <c r="P267" s="18">
        <v>102</v>
      </c>
      <c r="Q267" s="18">
        <v>2</v>
      </c>
      <c r="R267" s="18" t="s">
        <v>88</v>
      </c>
      <c r="S267" s="18" t="s">
        <v>49</v>
      </c>
      <c r="T267" s="18" t="s">
        <v>50</v>
      </c>
      <c r="U267" s="19" t="s">
        <v>1261</v>
      </c>
      <c r="V267" s="18" t="s">
        <v>69</v>
      </c>
      <c r="W267" s="24" t="str">
        <f t="shared" si="4"/>
        <v>Blacklisted</v>
      </c>
    </row>
    <row r="268" spans="1:23">
      <c r="A268" s="15" t="s">
        <v>1262</v>
      </c>
      <c r="B268" s="15" t="s">
        <v>53</v>
      </c>
      <c r="C268" s="15" t="s">
        <v>118</v>
      </c>
      <c r="D268" s="15" t="s">
        <v>1263</v>
      </c>
      <c r="E268" s="15" t="s">
        <v>597</v>
      </c>
      <c r="F268" s="15" t="s">
        <v>163</v>
      </c>
      <c r="G268" s="15" t="s">
        <v>28</v>
      </c>
      <c r="H268" s="15" t="s">
        <v>1264</v>
      </c>
      <c r="I268" s="15" t="s">
        <v>105</v>
      </c>
      <c r="J268" s="15" t="s">
        <v>106</v>
      </c>
      <c r="K268" s="15" t="s">
        <v>122</v>
      </c>
      <c r="L268" s="15" t="s">
        <v>123</v>
      </c>
      <c r="M268" s="15">
        <v>6</v>
      </c>
      <c r="N268" s="15">
        <v>60</v>
      </c>
      <c r="O268" s="15">
        <v>5</v>
      </c>
      <c r="P268" s="15">
        <v>342</v>
      </c>
      <c r="Q268" s="15">
        <v>1</v>
      </c>
      <c r="R268" s="15" t="s">
        <v>48</v>
      </c>
      <c r="S268" s="15" t="s">
        <v>61</v>
      </c>
      <c r="T268" s="15" t="s">
        <v>62</v>
      </c>
      <c r="U268" s="17" t="s">
        <v>1265</v>
      </c>
      <c r="V268" s="15" t="s">
        <v>38</v>
      </c>
      <c r="W268" s="24" t="str">
        <f t="shared" si="4"/>
        <v>Blacklisted</v>
      </c>
    </row>
    <row r="269" spans="1:23">
      <c r="A269" s="18" t="s">
        <v>1266</v>
      </c>
      <c r="B269" s="18" t="s">
        <v>127</v>
      </c>
      <c r="C269" s="18" t="s">
        <v>169</v>
      </c>
      <c r="D269" s="18" t="s">
        <v>1267</v>
      </c>
      <c r="E269" s="18" t="s">
        <v>1268</v>
      </c>
      <c r="F269" s="18" t="s">
        <v>200</v>
      </c>
      <c r="G269" s="18" t="s">
        <v>76</v>
      </c>
      <c r="H269" s="18" t="s">
        <v>1269</v>
      </c>
      <c r="I269" s="18" t="s">
        <v>30</v>
      </c>
      <c r="J269" s="18" t="s">
        <v>31</v>
      </c>
      <c r="K269" s="18" t="s">
        <v>32</v>
      </c>
      <c r="L269" s="18" t="s">
        <v>174</v>
      </c>
      <c r="M269" s="18">
        <v>19</v>
      </c>
      <c r="N269" s="18">
        <v>8500</v>
      </c>
      <c r="O269" s="18">
        <v>0</v>
      </c>
      <c r="P269" s="18">
        <v>161500</v>
      </c>
      <c r="Q269" s="18">
        <v>5</v>
      </c>
      <c r="R269" s="18" t="s">
        <v>88</v>
      </c>
      <c r="S269" s="18" t="s">
        <v>151</v>
      </c>
      <c r="T269" s="18" t="s">
        <v>132</v>
      </c>
      <c r="U269" s="19" t="s">
        <v>1270</v>
      </c>
      <c r="V269" s="18" t="s">
        <v>38</v>
      </c>
      <c r="W269" s="24" t="str">
        <f t="shared" si="4"/>
        <v>Platinum</v>
      </c>
    </row>
    <row r="270" spans="1:23">
      <c r="A270" s="15" t="s">
        <v>1271</v>
      </c>
      <c r="B270" s="15" t="s">
        <v>251</v>
      </c>
      <c r="C270" s="15" t="s">
        <v>54</v>
      </c>
      <c r="D270" s="15" t="s">
        <v>445</v>
      </c>
      <c r="E270" s="15" t="s">
        <v>573</v>
      </c>
      <c r="F270" s="15" t="s">
        <v>254</v>
      </c>
      <c r="G270" s="15" t="s">
        <v>28</v>
      </c>
      <c r="H270" s="15" t="s">
        <v>1272</v>
      </c>
      <c r="I270" s="15" t="s">
        <v>212</v>
      </c>
      <c r="J270" s="15" t="s">
        <v>45</v>
      </c>
      <c r="K270" s="15" t="s">
        <v>46</v>
      </c>
      <c r="L270" s="15" t="s">
        <v>60</v>
      </c>
      <c r="M270" s="15">
        <v>8</v>
      </c>
      <c r="N270" s="15">
        <v>55000</v>
      </c>
      <c r="O270" s="15">
        <v>0</v>
      </c>
      <c r="P270" s="15">
        <v>440000</v>
      </c>
      <c r="Q270" s="15">
        <v>3</v>
      </c>
      <c r="R270" s="15" t="s">
        <v>79</v>
      </c>
      <c r="S270" s="15" t="s">
        <v>115</v>
      </c>
      <c r="T270" s="15" t="s">
        <v>256</v>
      </c>
      <c r="U270" s="17" t="s">
        <v>1273</v>
      </c>
      <c r="V270" s="15" t="s">
        <v>64</v>
      </c>
      <c r="W270" s="24" t="str">
        <f t="shared" si="4"/>
        <v>Blacklisted</v>
      </c>
    </row>
    <row r="271" spans="1:23">
      <c r="A271" s="18" t="s">
        <v>1274</v>
      </c>
      <c r="B271" s="18" t="s">
        <v>71</v>
      </c>
      <c r="C271" s="18" t="s">
        <v>40</v>
      </c>
      <c r="D271" s="18" t="s">
        <v>1098</v>
      </c>
      <c r="E271" s="18" t="s">
        <v>583</v>
      </c>
      <c r="F271" s="18" t="s">
        <v>217</v>
      </c>
      <c r="G271" s="18" t="s">
        <v>76</v>
      </c>
      <c r="H271" s="18" t="s">
        <v>1275</v>
      </c>
      <c r="I271" s="18" t="s">
        <v>294</v>
      </c>
      <c r="J271" s="18" t="s">
        <v>295</v>
      </c>
      <c r="K271" s="18" t="s">
        <v>46</v>
      </c>
      <c r="L271" s="18" t="s">
        <v>47</v>
      </c>
      <c r="M271" s="18">
        <v>18</v>
      </c>
      <c r="N271" s="18">
        <v>12000</v>
      </c>
      <c r="O271" s="18">
        <v>20</v>
      </c>
      <c r="P271" s="18">
        <v>172800</v>
      </c>
      <c r="Q271" s="18">
        <v>5</v>
      </c>
      <c r="R271" s="18" t="s">
        <v>88</v>
      </c>
      <c r="S271" s="18" t="s">
        <v>61</v>
      </c>
      <c r="T271" s="18" t="s">
        <v>80</v>
      </c>
      <c r="U271" s="19" t="s">
        <v>1276</v>
      </c>
      <c r="V271" s="18" t="s">
        <v>69</v>
      </c>
      <c r="W271" s="24" t="str">
        <f t="shared" si="4"/>
        <v>Blacklisted</v>
      </c>
    </row>
    <row r="272" spans="1:23">
      <c r="A272" s="15" t="s">
        <v>1277</v>
      </c>
      <c r="B272" s="15" t="s">
        <v>127</v>
      </c>
      <c r="C272" s="15" t="s">
        <v>169</v>
      </c>
      <c r="D272" s="15" t="s">
        <v>1278</v>
      </c>
      <c r="E272" s="15" t="s">
        <v>198</v>
      </c>
      <c r="F272" s="15" t="s">
        <v>200</v>
      </c>
      <c r="G272" s="15" t="s">
        <v>76</v>
      </c>
      <c r="H272" s="15" t="s">
        <v>1279</v>
      </c>
      <c r="I272" s="15" t="s">
        <v>138</v>
      </c>
      <c r="J272" s="15" t="s">
        <v>106</v>
      </c>
      <c r="K272" s="15" t="s">
        <v>32</v>
      </c>
      <c r="L272" s="15" t="s">
        <v>174</v>
      </c>
      <c r="M272" s="15">
        <v>8</v>
      </c>
      <c r="N272" s="15">
        <v>8500</v>
      </c>
      <c r="O272" s="15">
        <v>5</v>
      </c>
      <c r="P272" s="15">
        <v>64600</v>
      </c>
      <c r="Q272" s="15">
        <v>2</v>
      </c>
      <c r="R272" s="15" t="s">
        <v>79</v>
      </c>
      <c r="S272" s="15" t="s">
        <v>61</v>
      </c>
      <c r="T272" s="15" t="s">
        <v>132</v>
      </c>
      <c r="U272" s="17" t="s">
        <v>1280</v>
      </c>
      <c r="V272" s="15" t="s">
        <v>69</v>
      </c>
      <c r="W272" s="24" t="str">
        <f t="shared" si="4"/>
        <v>Blacklisted</v>
      </c>
    </row>
    <row r="273" spans="1:23">
      <c r="A273" s="18" t="s">
        <v>1281</v>
      </c>
      <c r="B273" s="18" t="s">
        <v>23</v>
      </c>
      <c r="C273" s="18" t="s">
        <v>222</v>
      </c>
      <c r="D273" s="18" t="s">
        <v>1282</v>
      </c>
      <c r="E273" s="18" t="s">
        <v>724</v>
      </c>
      <c r="F273" s="18" t="s">
        <v>27</v>
      </c>
      <c r="G273" s="18" t="s">
        <v>28</v>
      </c>
      <c r="H273" s="18" t="s">
        <v>1283</v>
      </c>
      <c r="I273" s="18" t="s">
        <v>105</v>
      </c>
      <c r="J273" s="18" t="s">
        <v>106</v>
      </c>
      <c r="K273" s="18" t="s">
        <v>122</v>
      </c>
      <c r="L273" s="18" t="s">
        <v>227</v>
      </c>
      <c r="M273" s="18">
        <v>13</v>
      </c>
      <c r="N273" s="18">
        <v>20</v>
      </c>
      <c r="O273" s="18">
        <v>5</v>
      </c>
      <c r="P273" s="18">
        <v>247</v>
      </c>
      <c r="Q273" s="18">
        <v>3</v>
      </c>
      <c r="R273" s="18" t="s">
        <v>48</v>
      </c>
      <c r="S273" s="18" t="s">
        <v>115</v>
      </c>
      <c r="T273" s="18" t="s">
        <v>50</v>
      </c>
      <c r="U273" s="19" t="s">
        <v>1284</v>
      </c>
      <c r="V273" s="18" t="s">
        <v>64</v>
      </c>
      <c r="W273" s="24" t="str">
        <f t="shared" si="4"/>
        <v>Blacklisted</v>
      </c>
    </row>
    <row r="274" spans="1:23">
      <c r="A274" s="15" t="s">
        <v>1285</v>
      </c>
      <c r="B274" s="15" t="s">
        <v>83</v>
      </c>
      <c r="C274" s="15" t="s">
        <v>118</v>
      </c>
      <c r="D274" s="15" t="s">
        <v>740</v>
      </c>
      <c r="E274" s="15" t="s">
        <v>1286</v>
      </c>
      <c r="F274" s="15" t="s">
        <v>180</v>
      </c>
      <c r="G274" s="15" t="s">
        <v>76</v>
      </c>
      <c r="H274" s="15" t="s">
        <v>1287</v>
      </c>
      <c r="I274" s="15" t="s">
        <v>212</v>
      </c>
      <c r="J274" s="15" t="s">
        <v>45</v>
      </c>
      <c r="K274" s="15" t="s">
        <v>122</v>
      </c>
      <c r="L274" s="15" t="s">
        <v>123</v>
      </c>
      <c r="M274" s="15">
        <v>1</v>
      </c>
      <c r="N274" s="15">
        <v>60</v>
      </c>
      <c r="O274" s="15">
        <v>15</v>
      </c>
      <c r="P274" s="15">
        <v>51</v>
      </c>
      <c r="Q274" s="15">
        <v>2</v>
      </c>
      <c r="R274" s="15" t="s">
        <v>79</v>
      </c>
      <c r="S274" s="15" t="s">
        <v>61</v>
      </c>
      <c r="T274" s="15" t="s">
        <v>89</v>
      </c>
      <c r="U274" s="17" t="s">
        <v>1288</v>
      </c>
      <c r="V274" s="15" t="s">
        <v>69</v>
      </c>
      <c r="W274" s="24" t="str">
        <f t="shared" si="4"/>
        <v>Blacklisted</v>
      </c>
    </row>
    <row r="275" spans="1:23">
      <c r="A275" s="18" t="s">
        <v>1289</v>
      </c>
      <c r="B275" s="18" t="s">
        <v>53</v>
      </c>
      <c r="C275" s="18" t="s">
        <v>222</v>
      </c>
      <c r="D275" s="18" t="s">
        <v>1290</v>
      </c>
      <c r="E275" s="18" t="s">
        <v>965</v>
      </c>
      <c r="F275" s="18" t="s">
        <v>163</v>
      </c>
      <c r="G275" s="18" t="s">
        <v>28</v>
      </c>
      <c r="H275" s="18" t="s">
        <v>1291</v>
      </c>
      <c r="I275" s="18" t="s">
        <v>114</v>
      </c>
      <c r="J275" s="18" t="s">
        <v>106</v>
      </c>
      <c r="K275" s="18" t="s">
        <v>122</v>
      </c>
      <c r="L275" s="18" t="s">
        <v>227</v>
      </c>
      <c r="M275" s="18">
        <v>5</v>
      </c>
      <c r="N275" s="18">
        <v>20</v>
      </c>
      <c r="O275" s="18">
        <v>5</v>
      </c>
      <c r="P275" s="18">
        <v>95</v>
      </c>
      <c r="Q275" s="18">
        <v>2</v>
      </c>
      <c r="R275" s="18" t="s">
        <v>48</v>
      </c>
      <c r="S275" s="18" t="s">
        <v>49</v>
      </c>
      <c r="T275" s="18" t="s">
        <v>62</v>
      </c>
      <c r="U275" s="19" t="s">
        <v>1292</v>
      </c>
      <c r="V275" s="18" t="s">
        <v>64</v>
      </c>
      <c r="W275" s="24" t="str">
        <f t="shared" si="4"/>
        <v>Blacklisted</v>
      </c>
    </row>
    <row r="276" spans="1:23">
      <c r="A276" s="15" t="s">
        <v>1293</v>
      </c>
      <c r="B276" s="15" t="s">
        <v>221</v>
      </c>
      <c r="C276" s="15" t="s">
        <v>222</v>
      </c>
      <c r="D276" s="15" t="s">
        <v>1294</v>
      </c>
      <c r="E276" s="15" t="s">
        <v>1017</v>
      </c>
      <c r="F276" s="15" t="s">
        <v>225</v>
      </c>
      <c r="G276" s="15" t="s">
        <v>76</v>
      </c>
      <c r="H276" s="15" t="s">
        <v>1295</v>
      </c>
      <c r="I276" s="15" t="s">
        <v>294</v>
      </c>
      <c r="J276" s="15" t="s">
        <v>295</v>
      </c>
      <c r="K276" s="15" t="s">
        <v>122</v>
      </c>
      <c r="L276" s="15" t="s">
        <v>227</v>
      </c>
      <c r="M276" s="15">
        <v>19</v>
      </c>
      <c r="N276" s="15">
        <v>20</v>
      </c>
      <c r="O276" s="15">
        <v>20</v>
      </c>
      <c r="P276" s="15">
        <v>304</v>
      </c>
      <c r="Q276" s="15">
        <v>3</v>
      </c>
      <c r="R276" s="15" t="s">
        <v>34</v>
      </c>
      <c r="S276" s="15" t="s">
        <v>35</v>
      </c>
      <c r="T276" s="15" t="s">
        <v>228</v>
      </c>
      <c r="U276" s="17" t="s">
        <v>1296</v>
      </c>
      <c r="V276" s="15" t="s">
        <v>69</v>
      </c>
      <c r="W276" s="24" t="str">
        <f t="shared" si="4"/>
        <v>Blacklisted</v>
      </c>
    </row>
    <row r="277" spans="1:23">
      <c r="A277" s="18" t="s">
        <v>1297</v>
      </c>
      <c r="B277" s="18" t="s">
        <v>100</v>
      </c>
      <c r="C277" s="18" t="s">
        <v>259</v>
      </c>
      <c r="D277" s="18" t="s">
        <v>1298</v>
      </c>
      <c r="E277" s="18" t="s">
        <v>366</v>
      </c>
      <c r="F277" s="18" t="s">
        <v>103</v>
      </c>
      <c r="G277" s="18" t="s">
        <v>28</v>
      </c>
      <c r="H277" s="18" t="s">
        <v>1299</v>
      </c>
      <c r="I277" s="18" t="s">
        <v>138</v>
      </c>
      <c r="J277" s="18" t="s">
        <v>106</v>
      </c>
      <c r="K277" s="18" t="s">
        <v>122</v>
      </c>
      <c r="L277" s="18" t="s">
        <v>263</v>
      </c>
      <c r="M277" s="18">
        <v>17</v>
      </c>
      <c r="N277" s="18">
        <v>45</v>
      </c>
      <c r="O277" s="18">
        <v>5</v>
      </c>
      <c r="P277" s="18">
        <v>726.75</v>
      </c>
      <c r="Q277" s="18">
        <v>4</v>
      </c>
      <c r="R277" s="18" t="s">
        <v>34</v>
      </c>
      <c r="S277" s="18" t="s">
        <v>115</v>
      </c>
      <c r="T277" s="18" t="s">
        <v>144</v>
      </c>
      <c r="U277" s="19" t="s">
        <v>1300</v>
      </c>
      <c r="V277" s="18" t="s">
        <v>64</v>
      </c>
      <c r="W277" s="24" t="str">
        <f t="shared" si="4"/>
        <v>Blacklisted</v>
      </c>
    </row>
    <row r="278" spans="1:23">
      <c r="A278" s="15" t="s">
        <v>1301</v>
      </c>
      <c r="B278" s="15" t="s">
        <v>83</v>
      </c>
      <c r="C278" s="15" t="s">
        <v>184</v>
      </c>
      <c r="D278" s="15" t="s">
        <v>1302</v>
      </c>
      <c r="E278" s="15" t="s">
        <v>170</v>
      </c>
      <c r="F278" s="15" t="s">
        <v>180</v>
      </c>
      <c r="G278" s="15" t="s">
        <v>76</v>
      </c>
      <c r="H278" s="15" t="s">
        <v>1303</v>
      </c>
      <c r="I278" s="15" t="s">
        <v>59</v>
      </c>
      <c r="J278" s="15" t="s">
        <v>31</v>
      </c>
      <c r="K278" s="15" t="s">
        <v>46</v>
      </c>
      <c r="L278" s="15" t="s">
        <v>189</v>
      </c>
      <c r="M278" s="15">
        <v>8</v>
      </c>
      <c r="N278" s="15">
        <v>700</v>
      </c>
      <c r="O278" s="15">
        <v>15</v>
      </c>
      <c r="P278" s="15">
        <v>4760</v>
      </c>
      <c r="Q278" s="15">
        <v>4</v>
      </c>
      <c r="R278" s="15" t="s">
        <v>48</v>
      </c>
      <c r="S278" s="15" t="s">
        <v>35</v>
      </c>
      <c r="T278" s="15" t="s">
        <v>89</v>
      </c>
      <c r="U278" s="17" t="s">
        <v>1304</v>
      </c>
      <c r="V278" s="15" t="s">
        <v>64</v>
      </c>
      <c r="W278" s="24" t="str">
        <f t="shared" si="4"/>
        <v>Blacklisted</v>
      </c>
    </row>
    <row r="279" spans="1:23">
      <c r="A279" s="18" t="s">
        <v>1305</v>
      </c>
      <c r="B279" s="18" t="s">
        <v>168</v>
      </c>
      <c r="C279" s="18" t="s">
        <v>24</v>
      </c>
      <c r="D279" s="18" t="s">
        <v>1306</v>
      </c>
      <c r="E279" s="18" t="s">
        <v>1307</v>
      </c>
      <c r="F279" s="18" t="s">
        <v>361</v>
      </c>
      <c r="G279" s="18" t="s">
        <v>28</v>
      </c>
      <c r="H279" s="18" t="s">
        <v>1308</v>
      </c>
      <c r="I279" s="18" t="s">
        <v>105</v>
      </c>
      <c r="J279" s="18" t="s">
        <v>106</v>
      </c>
      <c r="K279" s="18" t="s">
        <v>32</v>
      </c>
      <c r="L279" s="18" t="s">
        <v>33</v>
      </c>
      <c r="M279" s="18">
        <v>15</v>
      </c>
      <c r="N279" s="18">
        <v>2200</v>
      </c>
      <c r="O279" s="18">
        <v>10</v>
      </c>
      <c r="P279" s="18">
        <v>29700</v>
      </c>
      <c r="Q279" s="18">
        <v>5</v>
      </c>
      <c r="R279" s="18" t="s">
        <v>88</v>
      </c>
      <c r="S279" s="18" t="s">
        <v>151</v>
      </c>
      <c r="T279" s="18" t="s">
        <v>175</v>
      </c>
      <c r="U279" s="19" t="s">
        <v>1309</v>
      </c>
      <c r="V279" s="18" t="s">
        <v>38</v>
      </c>
      <c r="W279" s="24" t="str">
        <f t="shared" si="4"/>
        <v>Silver</v>
      </c>
    </row>
    <row r="280" spans="1:23">
      <c r="A280" s="15" t="s">
        <v>1310</v>
      </c>
      <c r="B280" s="15" t="s">
        <v>100</v>
      </c>
      <c r="C280" s="15" t="s">
        <v>24</v>
      </c>
      <c r="D280" s="15" t="s">
        <v>860</v>
      </c>
      <c r="E280" s="15" t="s">
        <v>1311</v>
      </c>
      <c r="F280" s="15" t="s">
        <v>103</v>
      </c>
      <c r="G280" s="15" t="s">
        <v>28</v>
      </c>
      <c r="H280" s="15" t="s">
        <v>1312</v>
      </c>
      <c r="I280" s="15" t="s">
        <v>105</v>
      </c>
      <c r="J280" s="15" t="s">
        <v>106</v>
      </c>
      <c r="K280" s="15" t="s">
        <v>32</v>
      </c>
      <c r="L280" s="15" t="s">
        <v>33</v>
      </c>
      <c r="M280" s="15">
        <v>1</v>
      </c>
      <c r="N280" s="15">
        <v>2200</v>
      </c>
      <c r="O280" s="15">
        <v>0</v>
      </c>
      <c r="P280" s="15">
        <v>2200</v>
      </c>
      <c r="Q280" s="15">
        <v>4</v>
      </c>
      <c r="R280" s="15" t="s">
        <v>34</v>
      </c>
      <c r="S280" s="15" t="s">
        <v>49</v>
      </c>
      <c r="T280" s="15" t="s">
        <v>144</v>
      </c>
      <c r="U280" s="17" t="s">
        <v>1313</v>
      </c>
      <c r="V280" s="15" t="s">
        <v>69</v>
      </c>
      <c r="W280" s="24" t="str">
        <f t="shared" si="4"/>
        <v>Blacklisted</v>
      </c>
    </row>
    <row r="281" spans="1:23">
      <c r="A281" s="18" t="s">
        <v>1314</v>
      </c>
      <c r="B281" s="18" t="s">
        <v>251</v>
      </c>
      <c r="C281" s="18" t="s">
        <v>92</v>
      </c>
      <c r="D281" s="18" t="s">
        <v>872</v>
      </c>
      <c r="E281" s="18" t="s">
        <v>1315</v>
      </c>
      <c r="F281" s="18" t="s">
        <v>254</v>
      </c>
      <c r="G281" s="18" t="s">
        <v>28</v>
      </c>
      <c r="H281" s="18" t="s">
        <v>1316</v>
      </c>
      <c r="I281" s="18" t="s">
        <v>138</v>
      </c>
      <c r="J281" s="18" t="s">
        <v>106</v>
      </c>
      <c r="K281" s="18" t="s">
        <v>32</v>
      </c>
      <c r="L281" s="18" t="s">
        <v>97</v>
      </c>
      <c r="M281" s="18">
        <v>10</v>
      </c>
      <c r="N281" s="18">
        <v>3500</v>
      </c>
      <c r="O281" s="18">
        <v>10</v>
      </c>
      <c r="P281" s="18">
        <v>31500</v>
      </c>
      <c r="Q281" s="18">
        <v>4</v>
      </c>
      <c r="R281" s="18" t="s">
        <v>48</v>
      </c>
      <c r="S281" s="18" t="s">
        <v>35</v>
      </c>
      <c r="T281" s="18" t="s">
        <v>256</v>
      </c>
      <c r="U281" s="19" t="s">
        <v>1317</v>
      </c>
      <c r="V281" s="18" t="s">
        <v>69</v>
      </c>
      <c r="W281" s="24" t="str">
        <f t="shared" si="4"/>
        <v>Blacklisted</v>
      </c>
    </row>
    <row r="282" spans="1:23">
      <c r="A282" s="15" t="s">
        <v>1318</v>
      </c>
      <c r="B282" s="15" t="s">
        <v>71</v>
      </c>
      <c r="C282" s="15" t="s">
        <v>92</v>
      </c>
      <c r="D282" s="15" t="s">
        <v>1319</v>
      </c>
      <c r="E282" s="15" t="s">
        <v>1320</v>
      </c>
      <c r="F282" s="15" t="s">
        <v>217</v>
      </c>
      <c r="G282" s="15" t="s">
        <v>76</v>
      </c>
      <c r="H282" s="15" t="s">
        <v>1321</v>
      </c>
      <c r="I282" s="15" t="s">
        <v>212</v>
      </c>
      <c r="J282" s="15" t="s">
        <v>45</v>
      </c>
      <c r="K282" s="15" t="s">
        <v>32</v>
      </c>
      <c r="L282" s="15" t="s">
        <v>97</v>
      </c>
      <c r="M282" s="15">
        <v>16</v>
      </c>
      <c r="N282" s="15">
        <v>3500</v>
      </c>
      <c r="O282" s="15">
        <v>15</v>
      </c>
      <c r="P282" s="15">
        <v>47600</v>
      </c>
      <c r="Q282" s="15">
        <v>1</v>
      </c>
      <c r="R282" s="15" t="s">
        <v>79</v>
      </c>
      <c r="S282" s="15" t="s">
        <v>115</v>
      </c>
      <c r="T282" s="15" t="s">
        <v>80</v>
      </c>
      <c r="U282" s="17" t="s">
        <v>1322</v>
      </c>
      <c r="V282" s="15" t="s">
        <v>64</v>
      </c>
      <c r="W282" s="24" t="str">
        <f t="shared" si="4"/>
        <v>Blacklisted</v>
      </c>
    </row>
    <row r="283" spans="1:23">
      <c r="A283" s="18" t="s">
        <v>1323</v>
      </c>
      <c r="B283" s="18" t="s">
        <v>251</v>
      </c>
      <c r="C283" s="18" t="s">
        <v>40</v>
      </c>
      <c r="D283" s="18" t="s">
        <v>1324</v>
      </c>
      <c r="E283" s="18" t="s">
        <v>25</v>
      </c>
      <c r="F283" s="18" t="s">
        <v>254</v>
      </c>
      <c r="G283" s="18" t="s">
        <v>28</v>
      </c>
      <c r="H283" s="18" t="s">
        <v>1325</v>
      </c>
      <c r="I283" s="18" t="s">
        <v>212</v>
      </c>
      <c r="J283" s="18" t="s">
        <v>45</v>
      </c>
      <c r="K283" s="18" t="s">
        <v>46</v>
      </c>
      <c r="L283" s="18" t="s">
        <v>47</v>
      </c>
      <c r="M283" s="18">
        <v>1</v>
      </c>
      <c r="N283" s="18">
        <v>12000</v>
      </c>
      <c r="O283" s="18">
        <v>0</v>
      </c>
      <c r="P283" s="18">
        <v>12000</v>
      </c>
      <c r="Q283" s="18">
        <v>4</v>
      </c>
      <c r="R283" s="18" t="s">
        <v>48</v>
      </c>
      <c r="S283" s="18" t="s">
        <v>115</v>
      </c>
      <c r="T283" s="18" t="s">
        <v>256</v>
      </c>
      <c r="U283" s="19" t="s">
        <v>1326</v>
      </c>
      <c r="V283" s="18" t="s">
        <v>69</v>
      </c>
      <c r="W283" s="24" t="str">
        <f t="shared" si="4"/>
        <v>Blacklisted</v>
      </c>
    </row>
    <row r="284" spans="1:23">
      <c r="A284" s="15" t="s">
        <v>1327</v>
      </c>
      <c r="B284" s="15" t="s">
        <v>83</v>
      </c>
      <c r="C284" s="15" t="s">
        <v>184</v>
      </c>
      <c r="D284" s="15" t="s">
        <v>1328</v>
      </c>
      <c r="E284" s="15" t="s">
        <v>606</v>
      </c>
      <c r="F284" s="15" t="s">
        <v>180</v>
      </c>
      <c r="G284" s="15" t="s">
        <v>76</v>
      </c>
      <c r="H284" s="15" t="s">
        <v>1329</v>
      </c>
      <c r="I284" s="15" t="s">
        <v>105</v>
      </c>
      <c r="J284" s="15" t="s">
        <v>106</v>
      </c>
      <c r="K284" s="15" t="s">
        <v>46</v>
      </c>
      <c r="L284" s="15" t="s">
        <v>189</v>
      </c>
      <c r="M284" s="15">
        <v>6</v>
      </c>
      <c r="N284" s="15">
        <v>700</v>
      </c>
      <c r="O284" s="15">
        <v>20</v>
      </c>
      <c r="P284" s="15">
        <v>3360</v>
      </c>
      <c r="Q284" s="15">
        <v>2</v>
      </c>
      <c r="R284" s="15" t="s">
        <v>48</v>
      </c>
      <c r="S284" s="15" t="s">
        <v>115</v>
      </c>
      <c r="T284" s="15" t="s">
        <v>89</v>
      </c>
      <c r="U284" s="17" t="s">
        <v>1330</v>
      </c>
      <c r="V284" s="15" t="s">
        <v>64</v>
      </c>
      <c r="W284" s="24" t="str">
        <f t="shared" si="4"/>
        <v>Blacklisted</v>
      </c>
    </row>
    <row r="285" spans="1:23">
      <c r="A285" s="18" t="s">
        <v>1331</v>
      </c>
      <c r="B285" s="18" t="s">
        <v>71</v>
      </c>
      <c r="C285" s="18" t="s">
        <v>24</v>
      </c>
      <c r="D285" s="18" t="s">
        <v>923</v>
      </c>
      <c r="E285" s="18" t="s">
        <v>1332</v>
      </c>
      <c r="F285" s="18" t="s">
        <v>217</v>
      </c>
      <c r="G285" s="18" t="s">
        <v>76</v>
      </c>
      <c r="H285" s="18" t="s">
        <v>1333</v>
      </c>
      <c r="I285" s="18" t="s">
        <v>138</v>
      </c>
      <c r="J285" s="18" t="s">
        <v>106</v>
      </c>
      <c r="K285" s="18" t="s">
        <v>32</v>
      </c>
      <c r="L285" s="18" t="s">
        <v>33</v>
      </c>
      <c r="M285" s="18">
        <v>3</v>
      </c>
      <c r="N285" s="18">
        <v>2200</v>
      </c>
      <c r="O285" s="18">
        <v>0</v>
      </c>
      <c r="P285" s="18">
        <v>6600</v>
      </c>
      <c r="Q285" s="18">
        <v>4</v>
      </c>
      <c r="R285" s="18" t="s">
        <v>79</v>
      </c>
      <c r="S285" s="18" t="s">
        <v>35</v>
      </c>
      <c r="T285" s="18" t="s">
        <v>80</v>
      </c>
      <c r="U285" s="19" t="s">
        <v>1334</v>
      </c>
      <c r="V285" s="18" t="s">
        <v>38</v>
      </c>
      <c r="W285" s="24" t="str">
        <f t="shared" si="4"/>
        <v>Silver</v>
      </c>
    </row>
    <row r="286" spans="1:23">
      <c r="A286" s="15" t="s">
        <v>1335</v>
      </c>
      <c r="B286" s="15" t="s">
        <v>251</v>
      </c>
      <c r="C286" s="15" t="s">
        <v>259</v>
      </c>
      <c r="D286" s="15" t="s">
        <v>1198</v>
      </c>
      <c r="E286" s="15" t="s">
        <v>216</v>
      </c>
      <c r="F286" s="15" t="s">
        <v>254</v>
      </c>
      <c r="G286" s="15" t="s">
        <v>28</v>
      </c>
      <c r="H286" s="15" t="s">
        <v>1336</v>
      </c>
      <c r="I286" s="15" t="s">
        <v>30</v>
      </c>
      <c r="J286" s="15" t="s">
        <v>31</v>
      </c>
      <c r="K286" s="15" t="s">
        <v>122</v>
      </c>
      <c r="L286" s="15" t="s">
        <v>263</v>
      </c>
      <c r="M286" s="15">
        <v>6</v>
      </c>
      <c r="N286" s="15">
        <v>45</v>
      </c>
      <c r="O286" s="15">
        <v>15</v>
      </c>
      <c r="P286" s="15">
        <v>229.5</v>
      </c>
      <c r="Q286" s="15">
        <v>1</v>
      </c>
      <c r="R286" s="15" t="s">
        <v>88</v>
      </c>
      <c r="S286" s="15" t="s">
        <v>49</v>
      </c>
      <c r="T286" s="15" t="s">
        <v>256</v>
      </c>
      <c r="U286" s="17" t="s">
        <v>1337</v>
      </c>
      <c r="V286" s="15" t="s">
        <v>38</v>
      </c>
      <c r="W286" s="24" t="str">
        <f t="shared" si="4"/>
        <v>Blacklisted</v>
      </c>
    </row>
    <row r="287" spans="1:23">
      <c r="A287" s="18" t="s">
        <v>1338</v>
      </c>
      <c r="B287" s="18" t="s">
        <v>251</v>
      </c>
      <c r="C287" s="18" t="s">
        <v>72</v>
      </c>
      <c r="D287" s="18" t="s">
        <v>26</v>
      </c>
      <c r="E287" s="18" t="s">
        <v>1339</v>
      </c>
      <c r="F287" s="18" t="s">
        <v>254</v>
      </c>
      <c r="G287" s="18" t="s">
        <v>28</v>
      </c>
      <c r="H287" s="18" t="s">
        <v>1340</v>
      </c>
      <c r="I287" s="18" t="s">
        <v>59</v>
      </c>
      <c r="J287" s="18" t="s">
        <v>31</v>
      </c>
      <c r="K287" s="18" t="s">
        <v>46</v>
      </c>
      <c r="L287" s="18" t="s">
        <v>78</v>
      </c>
      <c r="M287" s="18">
        <v>2</v>
      </c>
      <c r="N287" s="18">
        <v>1200</v>
      </c>
      <c r="O287" s="18">
        <v>0</v>
      </c>
      <c r="P287" s="18">
        <v>2400</v>
      </c>
      <c r="Q287" s="18">
        <v>1</v>
      </c>
      <c r="R287" s="18" t="s">
        <v>34</v>
      </c>
      <c r="S287" s="18" t="s">
        <v>151</v>
      </c>
      <c r="T287" s="18" t="s">
        <v>256</v>
      </c>
      <c r="U287" s="19" t="s">
        <v>1341</v>
      </c>
      <c r="V287" s="18" t="s">
        <v>69</v>
      </c>
      <c r="W287" s="24" t="str">
        <f t="shared" si="4"/>
        <v>Blacklisted</v>
      </c>
    </row>
    <row r="288" spans="1:23">
      <c r="A288" s="15" t="s">
        <v>1342</v>
      </c>
      <c r="B288" s="15" t="s">
        <v>168</v>
      </c>
      <c r="C288" s="15" t="s">
        <v>184</v>
      </c>
      <c r="D288" s="15" t="s">
        <v>1343</v>
      </c>
      <c r="E288" s="15" t="s">
        <v>1344</v>
      </c>
      <c r="F288" s="15" t="s">
        <v>361</v>
      </c>
      <c r="G288" s="15" t="s">
        <v>28</v>
      </c>
      <c r="H288" s="15" t="s">
        <v>1345</v>
      </c>
      <c r="I288" s="15" t="s">
        <v>30</v>
      </c>
      <c r="J288" s="15" t="s">
        <v>31</v>
      </c>
      <c r="K288" s="15" t="s">
        <v>46</v>
      </c>
      <c r="L288" s="15" t="s">
        <v>189</v>
      </c>
      <c r="M288" s="15">
        <v>14</v>
      </c>
      <c r="N288" s="15">
        <v>700</v>
      </c>
      <c r="O288" s="15">
        <v>15</v>
      </c>
      <c r="P288" s="15">
        <v>8330</v>
      </c>
      <c r="Q288" s="15">
        <v>5</v>
      </c>
      <c r="R288" s="15" t="s">
        <v>34</v>
      </c>
      <c r="S288" s="15" t="s">
        <v>115</v>
      </c>
      <c r="T288" s="15" t="s">
        <v>175</v>
      </c>
      <c r="U288" s="17" t="s">
        <v>1346</v>
      </c>
      <c r="V288" s="15" t="s">
        <v>64</v>
      </c>
      <c r="W288" s="24" t="str">
        <f t="shared" si="4"/>
        <v>Blacklisted</v>
      </c>
    </row>
    <row r="289" spans="1:23">
      <c r="A289" s="18" t="s">
        <v>1347</v>
      </c>
      <c r="B289" s="18" t="s">
        <v>100</v>
      </c>
      <c r="C289" s="18" t="s">
        <v>222</v>
      </c>
      <c r="D289" s="18" t="s">
        <v>291</v>
      </c>
      <c r="E289" s="18" t="s">
        <v>507</v>
      </c>
      <c r="F289" s="18" t="s">
        <v>103</v>
      </c>
      <c r="G289" s="18" t="s">
        <v>28</v>
      </c>
      <c r="H289" s="18" t="s">
        <v>1348</v>
      </c>
      <c r="I289" s="18" t="s">
        <v>105</v>
      </c>
      <c r="J289" s="18" t="s">
        <v>106</v>
      </c>
      <c r="K289" s="18" t="s">
        <v>122</v>
      </c>
      <c r="L289" s="18" t="s">
        <v>227</v>
      </c>
      <c r="M289" s="18">
        <v>13</v>
      </c>
      <c r="N289" s="18">
        <v>20</v>
      </c>
      <c r="O289" s="18">
        <v>5</v>
      </c>
      <c r="P289" s="18">
        <v>247</v>
      </c>
      <c r="Q289" s="18">
        <v>1</v>
      </c>
      <c r="R289" s="18" t="s">
        <v>79</v>
      </c>
      <c r="S289" s="18" t="s">
        <v>35</v>
      </c>
      <c r="T289" s="18" t="s">
        <v>1349</v>
      </c>
      <c r="U289" s="19" t="s">
        <v>1350</v>
      </c>
      <c r="V289" s="18" t="s">
        <v>64</v>
      </c>
      <c r="W289" s="24" t="str">
        <f t="shared" si="4"/>
        <v>Blacklisted</v>
      </c>
    </row>
    <row r="290" spans="1:23">
      <c r="A290" s="15" t="s">
        <v>1351</v>
      </c>
      <c r="B290" s="15" t="s">
        <v>71</v>
      </c>
      <c r="C290" s="15" t="s">
        <v>24</v>
      </c>
      <c r="D290" s="15" t="s">
        <v>135</v>
      </c>
      <c r="E290" s="15" t="s">
        <v>136</v>
      </c>
      <c r="F290" s="15" t="s">
        <v>217</v>
      </c>
      <c r="G290" s="15" t="s">
        <v>76</v>
      </c>
      <c r="H290" s="15" t="s">
        <v>1352</v>
      </c>
      <c r="I290" s="15" t="s">
        <v>114</v>
      </c>
      <c r="J290" s="15" t="s">
        <v>106</v>
      </c>
      <c r="K290" s="15" t="s">
        <v>32</v>
      </c>
      <c r="L290" s="15" t="s">
        <v>33</v>
      </c>
      <c r="M290" s="15">
        <v>3</v>
      </c>
      <c r="N290" s="15">
        <v>2200</v>
      </c>
      <c r="O290" s="15">
        <v>0</v>
      </c>
      <c r="P290" s="15">
        <v>6600</v>
      </c>
      <c r="Q290" s="15">
        <v>4</v>
      </c>
      <c r="R290" s="15" t="s">
        <v>48</v>
      </c>
      <c r="S290" s="15" t="s">
        <v>61</v>
      </c>
      <c r="T290" s="15" t="s">
        <v>80</v>
      </c>
      <c r="U290" s="17" t="s">
        <v>1353</v>
      </c>
      <c r="V290" s="15" t="s">
        <v>69</v>
      </c>
      <c r="W290" s="24" t="str">
        <f t="shared" si="4"/>
        <v>Blacklisted</v>
      </c>
    </row>
    <row r="291" spans="1:23">
      <c r="A291" s="18" t="s">
        <v>1354</v>
      </c>
      <c r="B291" s="18" t="s">
        <v>71</v>
      </c>
      <c r="C291" s="18" t="s">
        <v>118</v>
      </c>
      <c r="D291" s="18" t="s">
        <v>450</v>
      </c>
      <c r="E291" s="18" t="s">
        <v>923</v>
      </c>
      <c r="F291" s="18" t="s">
        <v>217</v>
      </c>
      <c r="G291" s="18" t="s">
        <v>76</v>
      </c>
      <c r="H291" s="18" t="s">
        <v>1355</v>
      </c>
      <c r="I291" s="18" t="s">
        <v>114</v>
      </c>
      <c r="J291" s="18" t="s">
        <v>106</v>
      </c>
      <c r="K291" s="18" t="s">
        <v>122</v>
      </c>
      <c r="L291" s="18" t="s">
        <v>123</v>
      </c>
      <c r="M291" s="18">
        <v>3</v>
      </c>
      <c r="N291" s="18">
        <v>60</v>
      </c>
      <c r="O291" s="18">
        <v>15</v>
      </c>
      <c r="P291" s="18">
        <v>153</v>
      </c>
      <c r="Q291" s="18">
        <v>4</v>
      </c>
      <c r="R291" s="18" t="s">
        <v>88</v>
      </c>
      <c r="S291" s="18" t="s">
        <v>115</v>
      </c>
      <c r="T291" s="18" t="s">
        <v>80</v>
      </c>
      <c r="U291" s="19" t="s">
        <v>1356</v>
      </c>
      <c r="V291" s="18" t="s">
        <v>38</v>
      </c>
      <c r="W291" s="24" t="str">
        <f t="shared" si="4"/>
        <v>Silver</v>
      </c>
    </row>
    <row r="292" spans="1:23">
      <c r="A292" s="15" t="s">
        <v>1357</v>
      </c>
      <c r="B292" s="15" t="s">
        <v>127</v>
      </c>
      <c r="C292" s="15" t="s">
        <v>92</v>
      </c>
      <c r="D292" s="15" t="s">
        <v>624</v>
      </c>
      <c r="E292" s="15" t="s">
        <v>825</v>
      </c>
      <c r="F292" s="15" t="s">
        <v>200</v>
      </c>
      <c r="G292" s="15" t="s">
        <v>76</v>
      </c>
      <c r="H292" s="15" t="s">
        <v>584</v>
      </c>
      <c r="I292" s="15" t="s">
        <v>105</v>
      </c>
      <c r="J292" s="15" t="s">
        <v>106</v>
      </c>
      <c r="K292" s="15" t="s">
        <v>32</v>
      </c>
      <c r="L292" s="15" t="s">
        <v>97</v>
      </c>
      <c r="M292" s="15">
        <v>9</v>
      </c>
      <c r="N292" s="15">
        <v>3500</v>
      </c>
      <c r="O292" s="15">
        <v>5</v>
      </c>
      <c r="P292" s="15">
        <v>29925</v>
      </c>
      <c r="Q292" s="15">
        <v>1</v>
      </c>
      <c r="R292" s="15" t="s">
        <v>34</v>
      </c>
      <c r="S292" s="15" t="s">
        <v>61</v>
      </c>
      <c r="T292" s="15" t="s">
        <v>132</v>
      </c>
      <c r="U292" s="17" t="s">
        <v>1358</v>
      </c>
      <c r="V292" s="15" t="s">
        <v>64</v>
      </c>
      <c r="W292" s="24" t="str">
        <f t="shared" si="4"/>
        <v>Blacklisted</v>
      </c>
    </row>
    <row r="293" spans="1:23">
      <c r="A293" s="18" t="s">
        <v>1359</v>
      </c>
      <c r="B293" s="18" t="s">
        <v>327</v>
      </c>
      <c r="C293" s="18" t="s">
        <v>72</v>
      </c>
      <c r="D293" s="18" t="s">
        <v>120</v>
      </c>
      <c r="E293" s="18" t="s">
        <v>1360</v>
      </c>
      <c r="F293" s="18" t="s">
        <v>394</v>
      </c>
      <c r="G293" s="18" t="s">
        <v>76</v>
      </c>
      <c r="H293" s="18" t="s">
        <v>1361</v>
      </c>
      <c r="I293" s="18" t="s">
        <v>212</v>
      </c>
      <c r="J293" s="18" t="s">
        <v>45</v>
      </c>
      <c r="K293" s="18" t="s">
        <v>46</v>
      </c>
      <c r="L293" s="18" t="s">
        <v>78</v>
      </c>
      <c r="M293" s="18">
        <v>5</v>
      </c>
      <c r="N293" s="18">
        <v>1200</v>
      </c>
      <c r="O293" s="18">
        <v>20</v>
      </c>
      <c r="P293" s="18">
        <v>4800</v>
      </c>
      <c r="Q293" s="18">
        <v>2</v>
      </c>
      <c r="R293" s="18" t="s">
        <v>88</v>
      </c>
      <c r="S293" s="18" t="s">
        <v>115</v>
      </c>
      <c r="T293" s="18" t="s">
        <v>332</v>
      </c>
      <c r="U293" s="19" t="s">
        <v>1362</v>
      </c>
      <c r="V293" s="18" t="s">
        <v>64</v>
      </c>
      <c r="W293" s="24" t="str">
        <f t="shared" si="4"/>
        <v>Blacklisted</v>
      </c>
    </row>
    <row r="294" spans="1:23">
      <c r="A294" s="15" t="s">
        <v>1363</v>
      </c>
      <c r="B294" s="15" t="s">
        <v>53</v>
      </c>
      <c r="C294" s="15" t="s">
        <v>72</v>
      </c>
      <c r="D294" s="15" t="s">
        <v>1031</v>
      </c>
      <c r="E294" s="15" t="s">
        <v>910</v>
      </c>
      <c r="F294" s="15" t="s">
        <v>163</v>
      </c>
      <c r="G294" s="15" t="s">
        <v>28</v>
      </c>
      <c r="H294" s="15" t="s">
        <v>1364</v>
      </c>
      <c r="I294" s="15" t="s">
        <v>212</v>
      </c>
      <c r="J294" s="15" t="s">
        <v>45</v>
      </c>
      <c r="K294" s="15" t="s">
        <v>46</v>
      </c>
      <c r="L294" s="15" t="s">
        <v>78</v>
      </c>
      <c r="M294" s="15">
        <v>10</v>
      </c>
      <c r="N294" s="15">
        <v>1200</v>
      </c>
      <c r="O294" s="15">
        <v>20</v>
      </c>
      <c r="P294" s="15">
        <v>9600</v>
      </c>
      <c r="Q294" s="15">
        <v>4</v>
      </c>
      <c r="R294" s="15" t="s">
        <v>34</v>
      </c>
      <c r="S294" s="15" t="s">
        <v>49</v>
      </c>
      <c r="T294" s="16" t="s">
        <v>1365</v>
      </c>
      <c r="U294" s="17" t="s">
        <v>1366</v>
      </c>
      <c r="V294" s="15" t="s">
        <v>38</v>
      </c>
      <c r="W294" s="24" t="str">
        <f t="shared" si="4"/>
        <v>Silver</v>
      </c>
    </row>
    <row r="295" spans="1:23">
      <c r="A295" s="18" t="s">
        <v>1367</v>
      </c>
      <c r="B295" s="18" t="s">
        <v>23</v>
      </c>
      <c r="C295" s="18" t="s">
        <v>72</v>
      </c>
      <c r="D295" s="18" t="s">
        <v>1368</v>
      </c>
      <c r="E295" s="18" t="s">
        <v>1369</v>
      </c>
      <c r="F295" s="18" t="s">
        <v>27</v>
      </c>
      <c r="G295" s="18" t="s">
        <v>28</v>
      </c>
      <c r="H295" s="18" t="s">
        <v>1370</v>
      </c>
      <c r="I295" s="18" t="s">
        <v>138</v>
      </c>
      <c r="J295" s="18" t="s">
        <v>106</v>
      </c>
      <c r="K295" s="18" t="s">
        <v>46</v>
      </c>
      <c r="L295" s="18" t="s">
        <v>78</v>
      </c>
      <c r="M295" s="18">
        <v>5</v>
      </c>
      <c r="N295" s="18">
        <v>1200</v>
      </c>
      <c r="O295" s="18">
        <v>20</v>
      </c>
      <c r="P295" s="18">
        <v>4800</v>
      </c>
      <c r="Q295" s="18">
        <v>3</v>
      </c>
      <c r="R295" s="18" t="s">
        <v>48</v>
      </c>
      <c r="S295" s="18" t="s">
        <v>151</v>
      </c>
      <c r="T295" s="18" t="s">
        <v>50</v>
      </c>
      <c r="U295" s="19" t="s">
        <v>1371</v>
      </c>
      <c r="V295" s="18" t="s">
        <v>38</v>
      </c>
      <c r="W295" s="24" t="str">
        <f t="shared" si="4"/>
        <v>Silver</v>
      </c>
    </row>
    <row r="296" spans="1:23">
      <c r="A296" s="15" t="s">
        <v>1372</v>
      </c>
      <c r="B296" s="15" t="s">
        <v>168</v>
      </c>
      <c r="C296" s="15" t="s">
        <v>222</v>
      </c>
      <c r="D296" s="15" t="s">
        <v>1373</v>
      </c>
      <c r="E296" s="15" t="s">
        <v>1374</v>
      </c>
      <c r="F296" s="15" t="s">
        <v>361</v>
      </c>
      <c r="G296" s="15" t="s">
        <v>28</v>
      </c>
      <c r="H296" s="15" t="s">
        <v>1375</v>
      </c>
      <c r="I296" s="15" t="s">
        <v>105</v>
      </c>
      <c r="J296" s="15" t="s">
        <v>106</v>
      </c>
      <c r="K296" s="15" t="s">
        <v>122</v>
      </c>
      <c r="L296" s="15" t="s">
        <v>227</v>
      </c>
      <c r="M296" s="15">
        <v>10</v>
      </c>
      <c r="N296" s="15">
        <v>20</v>
      </c>
      <c r="O296" s="15">
        <v>5</v>
      </c>
      <c r="P296" s="15">
        <v>190</v>
      </c>
      <c r="Q296" s="15">
        <v>4</v>
      </c>
      <c r="R296" s="15" t="s">
        <v>34</v>
      </c>
      <c r="S296" s="15" t="s">
        <v>151</v>
      </c>
      <c r="T296" s="15" t="s">
        <v>175</v>
      </c>
      <c r="U296" s="17" t="s">
        <v>1376</v>
      </c>
      <c r="V296" s="15" t="s">
        <v>64</v>
      </c>
      <c r="W296" s="24" t="str">
        <f t="shared" si="4"/>
        <v>Blacklisted</v>
      </c>
    </row>
    <row r="297" spans="1:23">
      <c r="A297" s="18" t="s">
        <v>1377</v>
      </c>
      <c r="B297" s="18" t="s">
        <v>100</v>
      </c>
      <c r="C297" s="18" t="s">
        <v>118</v>
      </c>
      <c r="D297" s="18" t="s">
        <v>1378</v>
      </c>
      <c r="E297" s="18" t="s">
        <v>1379</v>
      </c>
      <c r="F297" s="18" t="s">
        <v>103</v>
      </c>
      <c r="G297" s="18" t="s">
        <v>28</v>
      </c>
      <c r="H297" s="18" t="s">
        <v>1380</v>
      </c>
      <c r="I297" s="18" t="s">
        <v>44</v>
      </c>
      <c r="J297" s="18" t="s">
        <v>45</v>
      </c>
      <c r="K297" s="18" t="s">
        <v>122</v>
      </c>
      <c r="L297" s="18" t="s">
        <v>123</v>
      </c>
      <c r="M297" s="18">
        <v>20</v>
      </c>
      <c r="N297" s="18">
        <v>60</v>
      </c>
      <c r="O297" s="18">
        <v>15</v>
      </c>
      <c r="P297" s="18">
        <v>1020</v>
      </c>
      <c r="Q297" s="18">
        <v>5</v>
      </c>
      <c r="R297" s="18" t="s">
        <v>79</v>
      </c>
      <c r="S297" s="18" t="s">
        <v>35</v>
      </c>
      <c r="T297" s="18" t="s">
        <v>144</v>
      </c>
      <c r="U297" s="19" t="s">
        <v>1381</v>
      </c>
      <c r="V297" s="18" t="s">
        <v>64</v>
      </c>
      <c r="W297" s="24" t="str">
        <f t="shared" si="4"/>
        <v>Blacklisted</v>
      </c>
    </row>
    <row r="298" spans="1:23">
      <c r="A298" s="15" t="s">
        <v>1382</v>
      </c>
      <c r="B298" s="15" t="s">
        <v>327</v>
      </c>
      <c r="C298" s="15" t="s">
        <v>24</v>
      </c>
      <c r="D298" s="15" t="s">
        <v>1360</v>
      </c>
      <c r="E298" s="15" t="s">
        <v>577</v>
      </c>
      <c r="F298" s="15" t="s">
        <v>394</v>
      </c>
      <c r="G298" s="15" t="s">
        <v>76</v>
      </c>
      <c r="H298" s="15" t="s">
        <v>1383</v>
      </c>
      <c r="I298" s="15" t="s">
        <v>138</v>
      </c>
      <c r="J298" s="15" t="s">
        <v>106</v>
      </c>
      <c r="K298" s="15" t="s">
        <v>32</v>
      </c>
      <c r="L298" s="15" t="s">
        <v>33</v>
      </c>
      <c r="M298" s="15">
        <v>7</v>
      </c>
      <c r="N298" s="15">
        <v>2200</v>
      </c>
      <c r="O298" s="15">
        <v>15</v>
      </c>
      <c r="P298" s="15">
        <v>13090</v>
      </c>
      <c r="Q298" s="15">
        <v>4</v>
      </c>
      <c r="R298" s="15" t="s">
        <v>34</v>
      </c>
      <c r="S298" s="15" t="s">
        <v>61</v>
      </c>
      <c r="T298" s="15" t="s">
        <v>332</v>
      </c>
      <c r="U298" s="17" t="s">
        <v>1384</v>
      </c>
      <c r="V298" s="15" t="s">
        <v>69</v>
      </c>
      <c r="W298" s="24" t="str">
        <f t="shared" si="4"/>
        <v>Blacklisted</v>
      </c>
    </row>
    <row r="299" spans="1:23">
      <c r="A299" s="18" t="s">
        <v>1385</v>
      </c>
      <c r="B299" s="18" t="s">
        <v>127</v>
      </c>
      <c r="C299" s="18" t="s">
        <v>54</v>
      </c>
      <c r="D299" s="18" t="s">
        <v>619</v>
      </c>
      <c r="E299" s="18" t="s">
        <v>760</v>
      </c>
      <c r="F299" s="18" t="s">
        <v>200</v>
      </c>
      <c r="G299" s="18" t="s">
        <v>76</v>
      </c>
      <c r="H299" s="18" t="s">
        <v>1386</v>
      </c>
      <c r="I299" s="18" t="s">
        <v>30</v>
      </c>
      <c r="J299" s="18" t="s">
        <v>31</v>
      </c>
      <c r="K299" s="18" t="s">
        <v>46</v>
      </c>
      <c r="L299" s="18" t="s">
        <v>60</v>
      </c>
      <c r="M299" s="18">
        <v>11</v>
      </c>
      <c r="N299" s="18">
        <v>55000</v>
      </c>
      <c r="O299" s="18">
        <v>5</v>
      </c>
      <c r="P299" s="18">
        <v>574750</v>
      </c>
      <c r="Q299" s="18">
        <v>1</v>
      </c>
      <c r="R299" s="18" t="s">
        <v>88</v>
      </c>
      <c r="S299" s="18" t="s">
        <v>35</v>
      </c>
      <c r="T299" s="18" t="s">
        <v>132</v>
      </c>
      <c r="U299" s="19" t="s">
        <v>1387</v>
      </c>
      <c r="V299" s="18" t="s">
        <v>69</v>
      </c>
      <c r="W299" s="24" t="str">
        <f t="shared" si="4"/>
        <v>Blacklisted</v>
      </c>
    </row>
    <row r="300" spans="1:23">
      <c r="A300" s="15" t="s">
        <v>1388</v>
      </c>
      <c r="B300" s="15" t="s">
        <v>83</v>
      </c>
      <c r="C300" s="15" t="s">
        <v>92</v>
      </c>
      <c r="D300" s="15" t="s">
        <v>308</v>
      </c>
      <c r="E300" s="15" t="s">
        <v>1389</v>
      </c>
      <c r="F300" s="15" t="s">
        <v>180</v>
      </c>
      <c r="G300" s="15" t="s">
        <v>76</v>
      </c>
      <c r="H300" s="15" t="s">
        <v>1390</v>
      </c>
      <c r="I300" s="15" t="s">
        <v>212</v>
      </c>
      <c r="J300" s="15" t="s">
        <v>45</v>
      </c>
      <c r="K300" s="15" t="s">
        <v>32</v>
      </c>
      <c r="L300" s="15" t="s">
        <v>97</v>
      </c>
      <c r="M300" s="15">
        <v>12</v>
      </c>
      <c r="N300" s="15">
        <v>3500</v>
      </c>
      <c r="O300" s="15">
        <v>0</v>
      </c>
      <c r="P300" s="15">
        <v>42000</v>
      </c>
      <c r="Q300" s="15">
        <v>2</v>
      </c>
      <c r="R300" s="15" t="s">
        <v>48</v>
      </c>
      <c r="S300" s="15"/>
      <c r="T300" s="15" t="s">
        <v>89</v>
      </c>
      <c r="U300" s="17" t="s">
        <v>1391</v>
      </c>
      <c r="V300" s="15" t="s">
        <v>64</v>
      </c>
      <c r="W300" s="24" t="str">
        <f t="shared" si="4"/>
        <v>Blacklisted</v>
      </c>
    </row>
    <row r="301" spans="1:23">
      <c r="A301" s="18" t="s">
        <v>1392</v>
      </c>
      <c r="B301" s="18" t="s">
        <v>71</v>
      </c>
      <c r="C301" s="18" t="s">
        <v>259</v>
      </c>
      <c r="D301" s="18" t="s">
        <v>94</v>
      </c>
      <c r="E301" s="18" t="s">
        <v>298</v>
      </c>
      <c r="F301" s="18" t="s">
        <v>217</v>
      </c>
      <c r="G301" s="18" t="s">
        <v>76</v>
      </c>
      <c r="H301" s="18" t="s">
        <v>1393</v>
      </c>
      <c r="I301" s="18" t="s">
        <v>30</v>
      </c>
      <c r="J301" s="18" t="s">
        <v>31</v>
      </c>
      <c r="K301" s="18" t="s">
        <v>122</v>
      </c>
      <c r="L301" s="18" t="s">
        <v>263</v>
      </c>
      <c r="M301" s="18">
        <v>15</v>
      </c>
      <c r="N301" s="18">
        <v>45</v>
      </c>
      <c r="O301" s="18">
        <v>10</v>
      </c>
      <c r="P301" s="18">
        <v>607.5</v>
      </c>
      <c r="Q301" s="18">
        <v>2</v>
      </c>
      <c r="R301" s="18" t="s">
        <v>34</v>
      </c>
      <c r="S301" s="18" t="s">
        <v>151</v>
      </c>
      <c r="T301" s="18" t="s">
        <v>80</v>
      </c>
      <c r="U301" s="19" t="s">
        <v>1394</v>
      </c>
      <c r="V301" s="18" t="s">
        <v>64</v>
      </c>
      <c r="W301" s="24" t="str">
        <f t="shared" si="4"/>
        <v>Blacklisted</v>
      </c>
    </row>
    <row r="302" spans="1:23">
      <c r="A302" s="15" t="s">
        <v>1395</v>
      </c>
      <c r="B302" s="15" t="s">
        <v>327</v>
      </c>
      <c r="C302" s="15" t="s">
        <v>259</v>
      </c>
      <c r="D302" s="15" t="s">
        <v>1320</v>
      </c>
      <c r="E302" s="15" t="s">
        <v>936</v>
      </c>
      <c r="F302" s="15" t="s">
        <v>394</v>
      </c>
      <c r="G302" s="15" t="s">
        <v>76</v>
      </c>
      <c r="H302" s="15" t="s">
        <v>1396</v>
      </c>
      <c r="I302" s="15" t="s">
        <v>59</v>
      </c>
      <c r="J302" s="15" t="s">
        <v>31</v>
      </c>
      <c r="K302" s="15" t="s">
        <v>122</v>
      </c>
      <c r="L302" s="15" t="s">
        <v>263</v>
      </c>
      <c r="M302" s="15">
        <v>13</v>
      </c>
      <c r="N302" s="15">
        <v>45</v>
      </c>
      <c r="O302" s="15">
        <v>0</v>
      </c>
      <c r="P302" s="15">
        <v>585</v>
      </c>
      <c r="Q302" s="15">
        <v>5</v>
      </c>
      <c r="R302" s="15" t="s">
        <v>48</v>
      </c>
      <c r="S302" s="15" t="s">
        <v>49</v>
      </c>
      <c r="T302" s="15" t="s">
        <v>332</v>
      </c>
      <c r="U302" s="17" t="s">
        <v>1397</v>
      </c>
      <c r="V302" s="15" t="s">
        <v>64</v>
      </c>
      <c r="W302" s="24" t="str">
        <f t="shared" si="4"/>
        <v>Blacklisted</v>
      </c>
    </row>
    <row r="303" spans="1:23">
      <c r="A303" s="18" t="s">
        <v>1398</v>
      </c>
      <c r="B303" s="18" t="s">
        <v>127</v>
      </c>
      <c r="C303" s="18" t="s">
        <v>54</v>
      </c>
      <c r="D303" s="18" t="s">
        <v>711</v>
      </c>
      <c r="E303" s="18" t="s">
        <v>1199</v>
      </c>
      <c r="F303" s="18" t="s">
        <v>200</v>
      </c>
      <c r="G303" s="18" t="s">
        <v>76</v>
      </c>
      <c r="H303" s="18" t="s">
        <v>1399</v>
      </c>
      <c r="I303" s="18" t="s">
        <v>59</v>
      </c>
      <c r="J303" s="18" t="s">
        <v>31</v>
      </c>
      <c r="K303" s="18" t="s">
        <v>46</v>
      </c>
      <c r="L303" s="18" t="s">
        <v>60</v>
      </c>
      <c r="M303" s="18">
        <v>8</v>
      </c>
      <c r="N303" s="18">
        <v>55000</v>
      </c>
      <c r="O303" s="18">
        <v>0</v>
      </c>
      <c r="P303" s="18">
        <v>440000</v>
      </c>
      <c r="Q303" s="18">
        <v>2</v>
      </c>
      <c r="R303" s="18" t="s">
        <v>88</v>
      </c>
      <c r="S303" s="18" t="s">
        <v>151</v>
      </c>
      <c r="T303" s="18" t="s">
        <v>132</v>
      </c>
      <c r="U303" s="19" t="s">
        <v>1400</v>
      </c>
      <c r="V303" s="18" t="s">
        <v>69</v>
      </c>
      <c r="W303" s="24" t="str">
        <f t="shared" si="4"/>
        <v>Blacklisted</v>
      </c>
    </row>
    <row r="304" spans="1:23">
      <c r="A304" s="15" t="s">
        <v>1401</v>
      </c>
      <c r="B304" s="15" t="s">
        <v>251</v>
      </c>
      <c r="C304" s="15" t="s">
        <v>54</v>
      </c>
      <c r="D304" s="15" t="s">
        <v>830</v>
      </c>
      <c r="E304" s="15" t="s">
        <v>381</v>
      </c>
      <c r="F304" s="15" t="s">
        <v>254</v>
      </c>
      <c r="G304" s="15" t="s">
        <v>28</v>
      </c>
      <c r="H304" s="15" t="s">
        <v>1402</v>
      </c>
      <c r="I304" s="15" t="s">
        <v>44</v>
      </c>
      <c r="J304" s="15" t="s">
        <v>45</v>
      </c>
      <c r="K304" s="15" t="s">
        <v>46</v>
      </c>
      <c r="L304" s="15" t="s">
        <v>60</v>
      </c>
      <c r="M304" s="15">
        <v>4</v>
      </c>
      <c r="N304" s="15">
        <v>55000</v>
      </c>
      <c r="O304" s="15">
        <v>20</v>
      </c>
      <c r="P304" s="15">
        <v>176000</v>
      </c>
      <c r="Q304" s="15">
        <v>5</v>
      </c>
      <c r="R304" s="15" t="s">
        <v>34</v>
      </c>
      <c r="S304" s="15" t="s">
        <v>49</v>
      </c>
      <c r="T304" s="15" t="s">
        <v>256</v>
      </c>
      <c r="U304" s="17" t="s">
        <v>1403</v>
      </c>
      <c r="V304" s="15" t="s">
        <v>64</v>
      </c>
      <c r="W304" s="24" t="str">
        <f t="shared" si="4"/>
        <v>Blacklisted</v>
      </c>
    </row>
    <row r="305" spans="1:23">
      <c r="A305" s="18" t="s">
        <v>1404</v>
      </c>
      <c r="B305" s="18" t="s">
        <v>23</v>
      </c>
      <c r="C305" s="18" t="s">
        <v>92</v>
      </c>
      <c r="D305" s="18" t="s">
        <v>1405</v>
      </c>
      <c r="E305" s="18" t="s">
        <v>716</v>
      </c>
      <c r="F305" s="18" t="s">
        <v>27</v>
      </c>
      <c r="G305" s="18" t="s">
        <v>28</v>
      </c>
      <c r="H305" s="18" t="s">
        <v>1406</v>
      </c>
      <c r="I305" s="18" t="s">
        <v>138</v>
      </c>
      <c r="J305" s="18" t="s">
        <v>106</v>
      </c>
      <c r="K305" s="18" t="s">
        <v>32</v>
      </c>
      <c r="L305" s="18" t="s">
        <v>97</v>
      </c>
      <c r="M305" s="18">
        <v>19</v>
      </c>
      <c r="N305" s="18">
        <v>3500</v>
      </c>
      <c r="O305" s="18">
        <v>5</v>
      </c>
      <c r="P305" s="18">
        <v>63175</v>
      </c>
      <c r="Q305" s="18">
        <v>1</v>
      </c>
      <c r="R305" s="18" t="s">
        <v>79</v>
      </c>
      <c r="S305" s="18" t="s">
        <v>115</v>
      </c>
      <c r="T305" s="18" t="s">
        <v>50</v>
      </c>
      <c r="U305" s="19" t="s">
        <v>1407</v>
      </c>
      <c r="V305" s="18" t="s">
        <v>38</v>
      </c>
      <c r="W305" s="24" t="str">
        <f t="shared" si="4"/>
        <v>Blacklisted</v>
      </c>
    </row>
    <row r="306" spans="1:23">
      <c r="A306" s="15" t="s">
        <v>1408</v>
      </c>
      <c r="B306" s="15" t="s">
        <v>221</v>
      </c>
      <c r="C306" s="15" t="s">
        <v>72</v>
      </c>
      <c r="D306" s="15" t="s">
        <v>1409</v>
      </c>
      <c r="E306" s="15" t="s">
        <v>414</v>
      </c>
      <c r="F306" s="15" t="s">
        <v>225</v>
      </c>
      <c r="G306" s="15" t="s">
        <v>76</v>
      </c>
      <c r="H306" s="15" t="s">
        <v>1410</v>
      </c>
      <c r="I306" s="15" t="s">
        <v>212</v>
      </c>
      <c r="J306" s="15" t="s">
        <v>45</v>
      </c>
      <c r="K306" s="15" t="s">
        <v>46</v>
      </c>
      <c r="L306" s="15" t="s">
        <v>78</v>
      </c>
      <c r="M306" s="15">
        <v>17</v>
      </c>
      <c r="N306" s="15">
        <v>1200</v>
      </c>
      <c r="O306" s="15">
        <v>15</v>
      </c>
      <c r="P306" s="15">
        <v>17340</v>
      </c>
      <c r="Q306" s="15">
        <v>2</v>
      </c>
      <c r="R306" s="15" t="s">
        <v>48</v>
      </c>
      <c r="S306" s="15" t="s">
        <v>49</v>
      </c>
      <c r="T306" s="15" t="s">
        <v>228</v>
      </c>
      <c r="U306" s="17" t="s">
        <v>1411</v>
      </c>
      <c r="V306" s="15" t="s">
        <v>38</v>
      </c>
      <c r="W306" s="24" t="str">
        <f t="shared" si="4"/>
        <v>Blacklisted</v>
      </c>
    </row>
    <row r="307" spans="1:23">
      <c r="A307" s="18" t="s">
        <v>1412</v>
      </c>
      <c r="B307" s="18" t="s">
        <v>23</v>
      </c>
      <c r="C307" s="18" t="s">
        <v>24</v>
      </c>
      <c r="D307" s="18" t="s">
        <v>450</v>
      </c>
      <c r="E307" s="18" t="s">
        <v>736</v>
      </c>
      <c r="F307" s="18" t="s">
        <v>27</v>
      </c>
      <c r="G307" s="18" t="s">
        <v>28</v>
      </c>
      <c r="H307" s="18" t="s">
        <v>1413</v>
      </c>
      <c r="I307" s="18" t="s">
        <v>30</v>
      </c>
      <c r="J307" s="18" t="s">
        <v>31</v>
      </c>
      <c r="K307" s="18" t="s">
        <v>32</v>
      </c>
      <c r="L307" s="18" t="s">
        <v>33</v>
      </c>
      <c r="M307" s="18">
        <v>8</v>
      </c>
      <c r="N307" s="18">
        <v>2200</v>
      </c>
      <c r="O307" s="18">
        <v>5</v>
      </c>
      <c r="P307" s="18">
        <v>16720</v>
      </c>
      <c r="Q307" s="18">
        <v>3</v>
      </c>
      <c r="R307" s="18" t="s">
        <v>79</v>
      </c>
      <c r="S307" s="18" t="s">
        <v>115</v>
      </c>
      <c r="T307" s="18" t="s">
        <v>50</v>
      </c>
      <c r="U307" s="19" t="s">
        <v>1414</v>
      </c>
      <c r="V307" s="18" t="s">
        <v>64</v>
      </c>
      <c r="W307" s="24" t="str">
        <f t="shared" si="4"/>
        <v>Blacklisted</v>
      </c>
    </row>
    <row r="308" spans="1:23">
      <c r="A308" s="15" t="s">
        <v>1415</v>
      </c>
      <c r="B308" s="15" t="s">
        <v>251</v>
      </c>
      <c r="C308" s="15" t="s">
        <v>184</v>
      </c>
      <c r="D308" s="15" t="s">
        <v>987</v>
      </c>
      <c r="E308" s="15" t="s">
        <v>387</v>
      </c>
      <c r="F308" s="15" t="s">
        <v>254</v>
      </c>
      <c r="G308" s="15" t="s">
        <v>28</v>
      </c>
      <c r="H308" s="15" t="s">
        <v>813</v>
      </c>
      <c r="I308" s="15" t="s">
        <v>105</v>
      </c>
      <c r="J308" s="15" t="s">
        <v>106</v>
      </c>
      <c r="K308" s="15" t="s">
        <v>46</v>
      </c>
      <c r="L308" s="15" t="s">
        <v>189</v>
      </c>
      <c r="M308" s="15">
        <v>17</v>
      </c>
      <c r="N308" s="15">
        <v>700</v>
      </c>
      <c r="O308" s="15">
        <v>20</v>
      </c>
      <c r="P308" s="15">
        <v>9520</v>
      </c>
      <c r="Q308" s="15">
        <v>4</v>
      </c>
      <c r="R308" s="15" t="s">
        <v>48</v>
      </c>
      <c r="S308" s="15" t="s">
        <v>115</v>
      </c>
      <c r="T308" s="15" t="s">
        <v>256</v>
      </c>
      <c r="U308" s="17" t="s">
        <v>1416</v>
      </c>
      <c r="V308" s="15" t="s">
        <v>38</v>
      </c>
      <c r="W308" s="24" t="str">
        <f t="shared" si="4"/>
        <v>Silver</v>
      </c>
    </row>
    <row r="309" spans="1:23">
      <c r="A309" s="18" t="s">
        <v>1417</v>
      </c>
      <c r="B309" s="18" t="s">
        <v>251</v>
      </c>
      <c r="C309" s="18" t="s">
        <v>169</v>
      </c>
      <c r="D309" s="18" t="s">
        <v>372</v>
      </c>
      <c r="E309" s="18" t="s">
        <v>246</v>
      </c>
      <c r="F309" s="18" t="s">
        <v>254</v>
      </c>
      <c r="G309" s="18" t="s">
        <v>28</v>
      </c>
      <c r="H309" s="18" t="s">
        <v>1215</v>
      </c>
      <c r="I309" s="18" t="s">
        <v>114</v>
      </c>
      <c r="J309" s="18" t="s">
        <v>106</v>
      </c>
      <c r="K309" s="18" t="s">
        <v>32</v>
      </c>
      <c r="L309" s="18" t="s">
        <v>174</v>
      </c>
      <c r="M309" s="18">
        <v>6</v>
      </c>
      <c r="N309" s="18">
        <v>8500</v>
      </c>
      <c r="O309" s="18">
        <v>15</v>
      </c>
      <c r="P309" s="18">
        <v>43350</v>
      </c>
      <c r="Q309" s="18">
        <v>1</v>
      </c>
      <c r="R309" s="18" t="s">
        <v>34</v>
      </c>
      <c r="S309" s="18" t="s">
        <v>61</v>
      </c>
      <c r="T309" s="18" t="s">
        <v>256</v>
      </c>
      <c r="U309" s="19" t="s">
        <v>1418</v>
      </c>
      <c r="V309" s="18" t="s">
        <v>38</v>
      </c>
      <c r="W309" s="24" t="str">
        <f t="shared" si="4"/>
        <v>Blacklisted</v>
      </c>
    </row>
    <row r="310" spans="1:23">
      <c r="A310" s="15" t="s">
        <v>1419</v>
      </c>
      <c r="B310" s="15" t="s">
        <v>53</v>
      </c>
      <c r="C310" s="15" t="s">
        <v>92</v>
      </c>
      <c r="D310" s="15" t="s">
        <v>941</v>
      </c>
      <c r="E310" s="15" t="s">
        <v>345</v>
      </c>
      <c r="F310" s="15" t="s">
        <v>163</v>
      </c>
      <c r="G310" s="15" t="s">
        <v>28</v>
      </c>
      <c r="H310" s="15" t="s">
        <v>1420</v>
      </c>
      <c r="I310" s="15" t="s">
        <v>30</v>
      </c>
      <c r="J310" s="15" t="s">
        <v>31</v>
      </c>
      <c r="K310" s="15" t="s">
        <v>32</v>
      </c>
      <c r="L310" s="15" t="s">
        <v>97</v>
      </c>
      <c r="M310" s="15">
        <v>3</v>
      </c>
      <c r="N310" s="15">
        <v>3500</v>
      </c>
      <c r="O310" s="15">
        <v>10</v>
      </c>
      <c r="P310" s="15">
        <v>9450</v>
      </c>
      <c r="Q310" s="15">
        <v>1</v>
      </c>
      <c r="R310" s="15" t="s">
        <v>48</v>
      </c>
      <c r="S310" s="15" t="s">
        <v>49</v>
      </c>
      <c r="T310" s="15" t="s">
        <v>62</v>
      </c>
      <c r="U310" s="17" t="s">
        <v>1421</v>
      </c>
      <c r="V310" s="15" t="s">
        <v>38</v>
      </c>
      <c r="W310" s="24" t="str">
        <f t="shared" si="4"/>
        <v>Blacklisted</v>
      </c>
    </row>
    <row r="311" spans="1:23">
      <c r="A311" s="18" t="s">
        <v>1422</v>
      </c>
      <c r="B311" s="18" t="s">
        <v>71</v>
      </c>
      <c r="C311" s="18" t="s">
        <v>40</v>
      </c>
      <c r="D311" s="18" t="s">
        <v>1378</v>
      </c>
      <c r="E311" s="18" t="s">
        <v>783</v>
      </c>
      <c r="F311" s="18" t="s">
        <v>217</v>
      </c>
      <c r="G311" s="18" t="s">
        <v>76</v>
      </c>
      <c r="H311" s="18" t="s">
        <v>1423</v>
      </c>
      <c r="I311" s="18" t="s">
        <v>138</v>
      </c>
      <c r="J311" s="18" t="s">
        <v>106</v>
      </c>
      <c r="K311" s="18" t="s">
        <v>46</v>
      </c>
      <c r="L311" s="18" t="s">
        <v>47</v>
      </c>
      <c r="M311" s="18">
        <v>2</v>
      </c>
      <c r="N311" s="18">
        <v>12000</v>
      </c>
      <c r="O311" s="18">
        <v>20</v>
      </c>
      <c r="P311" s="18">
        <v>19200</v>
      </c>
      <c r="Q311" s="18">
        <v>1</v>
      </c>
      <c r="R311" s="18" t="s">
        <v>79</v>
      </c>
      <c r="S311" s="18" t="s">
        <v>61</v>
      </c>
      <c r="T311" s="18" t="s">
        <v>80</v>
      </c>
      <c r="U311" s="19" t="s">
        <v>1424</v>
      </c>
      <c r="V311" s="18" t="s">
        <v>38</v>
      </c>
      <c r="W311" s="24" t="str">
        <f t="shared" si="4"/>
        <v>Blacklisted</v>
      </c>
    </row>
    <row r="312" spans="1:23">
      <c r="A312" s="15" t="s">
        <v>1425</v>
      </c>
      <c r="B312" s="15" t="s">
        <v>221</v>
      </c>
      <c r="C312" s="15" t="s">
        <v>222</v>
      </c>
      <c r="D312" s="15" t="s">
        <v>340</v>
      </c>
      <c r="E312" s="15" t="s">
        <v>1426</v>
      </c>
      <c r="F312" s="15" t="s">
        <v>225</v>
      </c>
      <c r="G312" s="15" t="s">
        <v>76</v>
      </c>
      <c r="H312" s="15" t="s">
        <v>1427</v>
      </c>
      <c r="I312" s="15" t="s">
        <v>44</v>
      </c>
      <c r="J312" s="15" t="s">
        <v>45</v>
      </c>
      <c r="K312" s="15" t="s">
        <v>122</v>
      </c>
      <c r="L312" s="15" t="s">
        <v>227</v>
      </c>
      <c r="M312" s="15">
        <v>12</v>
      </c>
      <c r="N312" s="15">
        <v>20</v>
      </c>
      <c r="O312" s="15">
        <v>20</v>
      </c>
      <c r="P312" s="15">
        <v>192</v>
      </c>
      <c r="Q312" s="15">
        <v>2</v>
      </c>
      <c r="R312" s="15" t="s">
        <v>79</v>
      </c>
      <c r="S312" s="15" t="s">
        <v>49</v>
      </c>
      <c r="T312" s="15" t="s">
        <v>228</v>
      </c>
      <c r="U312" s="17" t="s">
        <v>1428</v>
      </c>
      <c r="V312" s="15" t="s">
        <v>38</v>
      </c>
      <c r="W312" s="24" t="str">
        <f t="shared" si="4"/>
        <v>Blacklisted</v>
      </c>
    </row>
    <row r="313" spans="1:23">
      <c r="A313" s="18" t="s">
        <v>1429</v>
      </c>
      <c r="B313" s="18" t="s">
        <v>100</v>
      </c>
      <c r="C313" s="18" t="s">
        <v>40</v>
      </c>
      <c r="D313" s="18" t="s">
        <v>716</v>
      </c>
      <c r="E313" s="18" t="s">
        <v>1430</v>
      </c>
      <c r="F313" s="18" t="s">
        <v>103</v>
      </c>
      <c r="G313" s="18" t="s">
        <v>28</v>
      </c>
      <c r="H313" s="18" t="s">
        <v>1431</v>
      </c>
      <c r="I313" s="18" t="s">
        <v>294</v>
      </c>
      <c r="J313" s="18" t="s">
        <v>295</v>
      </c>
      <c r="K313" s="18" t="s">
        <v>46</v>
      </c>
      <c r="L313" s="18" t="s">
        <v>47</v>
      </c>
      <c r="M313" s="18">
        <v>20</v>
      </c>
      <c r="N313" s="18">
        <v>12000</v>
      </c>
      <c r="O313" s="18">
        <v>15</v>
      </c>
      <c r="P313" s="18">
        <v>204000</v>
      </c>
      <c r="Q313" s="18">
        <v>3</v>
      </c>
      <c r="R313" s="18" t="s">
        <v>34</v>
      </c>
      <c r="S313" s="18" t="s">
        <v>35</v>
      </c>
      <c r="T313" s="18" t="s">
        <v>144</v>
      </c>
      <c r="U313" s="19" t="s">
        <v>1432</v>
      </c>
      <c r="V313" s="18" t="s">
        <v>64</v>
      </c>
      <c r="W313" s="24" t="str">
        <f t="shared" si="4"/>
        <v>Blacklisted</v>
      </c>
    </row>
    <row r="314" spans="1:23">
      <c r="A314" s="15" t="s">
        <v>1433</v>
      </c>
      <c r="B314" s="15" t="s">
        <v>53</v>
      </c>
      <c r="C314" s="15" t="s">
        <v>118</v>
      </c>
      <c r="D314" s="15" t="s">
        <v>398</v>
      </c>
      <c r="E314" s="15" t="s">
        <v>740</v>
      </c>
      <c r="F314" s="15" t="s">
        <v>163</v>
      </c>
      <c r="G314" s="15" t="s">
        <v>28</v>
      </c>
      <c r="H314" s="15" t="s">
        <v>1434</v>
      </c>
      <c r="I314" s="15" t="s">
        <v>212</v>
      </c>
      <c r="J314" s="15" t="s">
        <v>45</v>
      </c>
      <c r="K314" s="15" t="s">
        <v>122</v>
      </c>
      <c r="L314" s="15" t="s">
        <v>123</v>
      </c>
      <c r="M314" s="15">
        <v>13</v>
      </c>
      <c r="N314" s="15">
        <v>60</v>
      </c>
      <c r="O314" s="15">
        <v>10</v>
      </c>
      <c r="P314" s="15">
        <v>702</v>
      </c>
      <c r="Q314" s="15">
        <v>5</v>
      </c>
      <c r="R314" s="15" t="s">
        <v>34</v>
      </c>
      <c r="S314" s="15" t="s">
        <v>35</v>
      </c>
      <c r="T314" s="15" t="s">
        <v>62</v>
      </c>
      <c r="U314" s="17" t="s">
        <v>1435</v>
      </c>
      <c r="V314" s="15" t="s">
        <v>64</v>
      </c>
      <c r="W314" s="24" t="str">
        <f t="shared" si="4"/>
        <v>Blacklisted</v>
      </c>
    </row>
    <row r="315" spans="1:23">
      <c r="A315" s="18" t="s">
        <v>1436</v>
      </c>
      <c r="B315" s="18" t="s">
        <v>71</v>
      </c>
      <c r="C315" s="18" t="s">
        <v>54</v>
      </c>
      <c r="D315" s="18" t="s">
        <v>1437</v>
      </c>
      <c r="E315" s="18" t="s">
        <v>1294</v>
      </c>
      <c r="F315" s="18" t="s">
        <v>217</v>
      </c>
      <c r="G315" s="18" t="s">
        <v>76</v>
      </c>
      <c r="H315" s="18" t="s">
        <v>1438</v>
      </c>
      <c r="I315" s="18" t="s">
        <v>114</v>
      </c>
      <c r="J315" s="18" t="s">
        <v>106</v>
      </c>
      <c r="K315" s="18" t="s">
        <v>46</v>
      </c>
      <c r="L315" s="18" t="s">
        <v>60</v>
      </c>
      <c r="M315" s="18">
        <v>13</v>
      </c>
      <c r="N315" s="18">
        <v>55000</v>
      </c>
      <c r="O315" s="18">
        <v>5</v>
      </c>
      <c r="P315" s="18">
        <v>679250</v>
      </c>
      <c r="Q315" s="18">
        <v>1</v>
      </c>
      <c r="R315" s="18" t="s">
        <v>88</v>
      </c>
      <c r="S315" s="18" t="s">
        <v>151</v>
      </c>
      <c r="T315" s="18" t="s">
        <v>80</v>
      </c>
      <c r="U315" s="19" t="s">
        <v>1439</v>
      </c>
      <c r="V315" s="18" t="s">
        <v>64</v>
      </c>
      <c r="W315" s="24" t="str">
        <f t="shared" si="4"/>
        <v>Blacklisted</v>
      </c>
    </row>
    <row r="316" spans="1:23">
      <c r="A316" s="15" t="s">
        <v>1440</v>
      </c>
      <c r="B316" s="15" t="s">
        <v>100</v>
      </c>
      <c r="C316" s="15" t="s">
        <v>72</v>
      </c>
      <c r="D316" s="15" t="s">
        <v>797</v>
      </c>
      <c r="E316" s="15" t="s">
        <v>798</v>
      </c>
      <c r="F316" s="15" t="s">
        <v>103</v>
      </c>
      <c r="G316" s="15" t="s">
        <v>28</v>
      </c>
      <c r="H316" s="15" t="s">
        <v>1441</v>
      </c>
      <c r="I316" s="15" t="s">
        <v>59</v>
      </c>
      <c r="J316" s="15" t="s">
        <v>31</v>
      </c>
      <c r="K316" s="15" t="s">
        <v>46</v>
      </c>
      <c r="L316" s="15" t="s">
        <v>78</v>
      </c>
      <c r="M316" s="15">
        <v>7</v>
      </c>
      <c r="N316" s="15">
        <v>1200</v>
      </c>
      <c r="O316" s="15">
        <v>15</v>
      </c>
      <c r="P316" s="15">
        <v>7140</v>
      </c>
      <c r="Q316" s="15">
        <v>5</v>
      </c>
      <c r="R316" s="15" t="s">
        <v>88</v>
      </c>
      <c r="S316" s="15" t="s">
        <v>49</v>
      </c>
      <c r="T316" s="15" t="s">
        <v>144</v>
      </c>
      <c r="U316" s="17" t="s">
        <v>1442</v>
      </c>
      <c r="V316" s="15" t="s">
        <v>64</v>
      </c>
      <c r="W316" s="24" t="str">
        <f t="shared" si="4"/>
        <v>Blacklisted</v>
      </c>
    </row>
    <row r="317" spans="1:23">
      <c r="A317" s="18" t="s">
        <v>1443</v>
      </c>
      <c r="B317" s="18" t="s">
        <v>83</v>
      </c>
      <c r="C317" s="18" t="s">
        <v>40</v>
      </c>
      <c r="D317" s="18" t="s">
        <v>961</v>
      </c>
      <c r="E317" s="18" t="s">
        <v>1444</v>
      </c>
      <c r="F317" s="18" t="s">
        <v>180</v>
      </c>
      <c r="G317" s="18" t="s">
        <v>76</v>
      </c>
      <c r="H317" s="18" t="s">
        <v>1445</v>
      </c>
      <c r="I317" s="18" t="s">
        <v>212</v>
      </c>
      <c r="J317" s="18" t="s">
        <v>45</v>
      </c>
      <c r="K317" s="18" t="s">
        <v>46</v>
      </c>
      <c r="L317" s="18" t="s">
        <v>47</v>
      </c>
      <c r="M317" s="18">
        <v>17</v>
      </c>
      <c r="N317" s="18">
        <v>12000</v>
      </c>
      <c r="O317" s="18">
        <v>5</v>
      </c>
      <c r="P317" s="18">
        <v>193800</v>
      </c>
      <c r="Q317" s="18">
        <v>1</v>
      </c>
      <c r="R317" s="18" t="s">
        <v>34</v>
      </c>
      <c r="S317" s="18" t="s">
        <v>61</v>
      </c>
      <c r="T317" s="18" t="s">
        <v>89</v>
      </c>
      <c r="U317" s="19" t="s">
        <v>1446</v>
      </c>
      <c r="V317" s="18" t="s">
        <v>69</v>
      </c>
      <c r="W317" s="24" t="str">
        <f t="shared" si="4"/>
        <v>Blacklisted</v>
      </c>
    </row>
    <row r="318" spans="1:23">
      <c r="A318" s="15" t="s">
        <v>1447</v>
      </c>
      <c r="B318" s="15" t="s">
        <v>83</v>
      </c>
      <c r="C318" s="15" t="s">
        <v>222</v>
      </c>
      <c r="D318" s="15" t="s">
        <v>356</v>
      </c>
      <c r="E318" s="15" t="s">
        <v>517</v>
      </c>
      <c r="F318" s="15" t="s">
        <v>180</v>
      </c>
      <c r="G318" s="15" t="s">
        <v>76</v>
      </c>
      <c r="H318" s="15" t="s">
        <v>1448</v>
      </c>
      <c r="I318" s="15" t="s">
        <v>59</v>
      </c>
      <c r="J318" s="15" t="s">
        <v>31</v>
      </c>
      <c r="K318" s="15" t="s">
        <v>122</v>
      </c>
      <c r="L318" s="15" t="s">
        <v>227</v>
      </c>
      <c r="M318" s="15">
        <v>10</v>
      </c>
      <c r="N318" s="15">
        <v>20</v>
      </c>
      <c r="O318" s="15">
        <v>5</v>
      </c>
      <c r="P318" s="15">
        <v>190</v>
      </c>
      <c r="Q318" s="15">
        <v>2</v>
      </c>
      <c r="R318" s="15" t="s">
        <v>34</v>
      </c>
      <c r="S318" s="15" t="s">
        <v>61</v>
      </c>
      <c r="T318" s="15" t="s">
        <v>89</v>
      </c>
      <c r="U318" s="17" t="s">
        <v>1449</v>
      </c>
      <c r="V318" s="15" t="s">
        <v>69</v>
      </c>
      <c r="W318" s="24" t="str">
        <f t="shared" si="4"/>
        <v>Blacklisted</v>
      </c>
    </row>
    <row r="319" spans="1:23">
      <c r="A319" s="18" t="s">
        <v>1450</v>
      </c>
      <c r="B319" s="18" t="s">
        <v>168</v>
      </c>
      <c r="C319" s="18" t="s">
        <v>24</v>
      </c>
      <c r="D319" s="18" t="s">
        <v>291</v>
      </c>
      <c r="E319" s="18" t="s">
        <v>1451</v>
      </c>
      <c r="F319" s="18" t="s">
        <v>361</v>
      </c>
      <c r="G319" s="18" t="s">
        <v>28</v>
      </c>
      <c r="H319" s="18" t="s">
        <v>1452</v>
      </c>
      <c r="I319" s="18" t="s">
        <v>44</v>
      </c>
      <c r="J319" s="18" t="s">
        <v>45</v>
      </c>
      <c r="K319" s="18" t="s">
        <v>32</v>
      </c>
      <c r="L319" s="18" t="s">
        <v>33</v>
      </c>
      <c r="M319" s="18">
        <v>11</v>
      </c>
      <c r="N319" s="18">
        <v>2200</v>
      </c>
      <c r="O319" s="18">
        <v>5</v>
      </c>
      <c r="P319" s="18">
        <v>22990</v>
      </c>
      <c r="Q319" s="18">
        <v>5</v>
      </c>
      <c r="R319" s="18" t="s">
        <v>79</v>
      </c>
      <c r="S319" s="18" t="s">
        <v>49</v>
      </c>
      <c r="T319" s="18" t="s">
        <v>175</v>
      </c>
      <c r="U319" s="19" t="s">
        <v>1453</v>
      </c>
      <c r="V319" s="18" t="s">
        <v>64</v>
      </c>
      <c r="W319" s="24" t="str">
        <f t="shared" si="4"/>
        <v>Blacklisted</v>
      </c>
    </row>
    <row r="320" spans="1:23">
      <c r="A320" s="15" t="s">
        <v>1454</v>
      </c>
      <c r="B320" s="15" t="s">
        <v>100</v>
      </c>
      <c r="C320" s="15" t="s">
        <v>118</v>
      </c>
      <c r="D320" s="15" t="s">
        <v>1369</v>
      </c>
      <c r="E320" s="15" t="s">
        <v>178</v>
      </c>
      <c r="F320" s="15" t="s">
        <v>103</v>
      </c>
      <c r="G320" s="15" t="s">
        <v>28</v>
      </c>
      <c r="H320" s="15" t="s">
        <v>1455</v>
      </c>
      <c r="I320" s="15" t="s">
        <v>212</v>
      </c>
      <c r="J320" s="15" t="s">
        <v>45</v>
      </c>
      <c r="K320" s="15" t="s">
        <v>122</v>
      </c>
      <c r="L320" s="15" t="s">
        <v>123</v>
      </c>
      <c r="M320" s="15">
        <v>8</v>
      </c>
      <c r="N320" s="15">
        <v>60</v>
      </c>
      <c r="O320" s="15">
        <v>15</v>
      </c>
      <c r="P320" s="15">
        <v>408</v>
      </c>
      <c r="Q320" s="15">
        <v>4</v>
      </c>
      <c r="R320" s="15" t="s">
        <v>34</v>
      </c>
      <c r="S320" s="15" t="s">
        <v>49</v>
      </c>
      <c r="T320" s="15" t="s">
        <v>144</v>
      </c>
      <c r="U320" s="17" t="s">
        <v>1456</v>
      </c>
      <c r="V320" s="15" t="s">
        <v>64</v>
      </c>
      <c r="W320" s="24" t="str">
        <f t="shared" si="4"/>
        <v>Blacklisted</v>
      </c>
    </row>
    <row r="321" spans="1:23">
      <c r="A321" s="18" t="s">
        <v>1457</v>
      </c>
      <c r="B321" s="18" t="s">
        <v>221</v>
      </c>
      <c r="C321" s="18" t="s">
        <v>259</v>
      </c>
      <c r="D321" s="18" t="s">
        <v>825</v>
      </c>
      <c r="E321" s="18" t="s">
        <v>119</v>
      </c>
      <c r="F321" s="18" t="s">
        <v>225</v>
      </c>
      <c r="G321" s="18" t="s">
        <v>76</v>
      </c>
      <c r="H321" s="18" t="s">
        <v>1458</v>
      </c>
      <c r="I321" s="18" t="s">
        <v>44</v>
      </c>
      <c r="J321" s="18" t="s">
        <v>45</v>
      </c>
      <c r="K321" s="18" t="s">
        <v>122</v>
      </c>
      <c r="L321" s="18" t="s">
        <v>263</v>
      </c>
      <c r="M321" s="18">
        <v>17</v>
      </c>
      <c r="N321" s="18">
        <v>45</v>
      </c>
      <c r="O321" s="18">
        <v>15</v>
      </c>
      <c r="P321" s="18">
        <v>650.25</v>
      </c>
      <c r="Q321" s="18">
        <v>2</v>
      </c>
      <c r="R321" s="18" t="s">
        <v>88</v>
      </c>
      <c r="S321" s="18" t="s">
        <v>151</v>
      </c>
      <c r="T321" s="18" t="s">
        <v>228</v>
      </c>
      <c r="U321" s="19" t="s">
        <v>1459</v>
      </c>
      <c r="V321" s="18" t="s">
        <v>38</v>
      </c>
      <c r="W321" s="24" t="str">
        <f t="shared" si="4"/>
        <v>Blacklisted</v>
      </c>
    </row>
    <row r="322" spans="1:23">
      <c r="A322" s="15" t="s">
        <v>1460</v>
      </c>
      <c r="B322" s="15" t="s">
        <v>327</v>
      </c>
      <c r="C322" s="15" t="s">
        <v>184</v>
      </c>
      <c r="D322" s="15" t="s">
        <v>632</v>
      </c>
      <c r="E322" s="15" t="s">
        <v>1461</v>
      </c>
      <c r="F322" s="15" t="s">
        <v>394</v>
      </c>
      <c r="G322" s="15" t="s">
        <v>76</v>
      </c>
      <c r="H322" s="15" t="s">
        <v>1462</v>
      </c>
      <c r="I322" s="15" t="s">
        <v>212</v>
      </c>
      <c r="J322" s="15" t="s">
        <v>45</v>
      </c>
      <c r="K322" s="15" t="s">
        <v>46</v>
      </c>
      <c r="L322" s="15" t="s">
        <v>189</v>
      </c>
      <c r="M322" s="15">
        <v>14</v>
      </c>
      <c r="N322" s="15">
        <v>700</v>
      </c>
      <c r="O322" s="15">
        <v>15</v>
      </c>
      <c r="P322" s="15">
        <v>8330</v>
      </c>
      <c r="Q322" s="15">
        <v>1</v>
      </c>
      <c r="R322" s="15" t="s">
        <v>79</v>
      </c>
      <c r="S322" s="15" t="s">
        <v>115</v>
      </c>
      <c r="T322" s="15" t="s">
        <v>332</v>
      </c>
      <c r="U322" s="17" t="s">
        <v>1463</v>
      </c>
      <c r="V322" s="15" t="s">
        <v>38</v>
      </c>
      <c r="W322" s="24" t="str">
        <f t="shared" si="4"/>
        <v>Blacklisted</v>
      </c>
    </row>
    <row r="323" spans="1:23">
      <c r="A323" s="18" t="s">
        <v>1464</v>
      </c>
      <c r="B323" s="18" t="s">
        <v>83</v>
      </c>
      <c r="C323" s="18" t="s">
        <v>72</v>
      </c>
      <c r="D323" s="18" t="s">
        <v>1465</v>
      </c>
      <c r="E323" s="18" t="s">
        <v>948</v>
      </c>
      <c r="F323" s="18" t="s">
        <v>180</v>
      </c>
      <c r="G323" s="18" t="s">
        <v>76</v>
      </c>
      <c r="H323" s="18" t="s">
        <v>1466</v>
      </c>
      <c r="I323" s="18" t="s">
        <v>114</v>
      </c>
      <c r="J323" s="18" t="s">
        <v>106</v>
      </c>
      <c r="K323" s="18" t="s">
        <v>46</v>
      </c>
      <c r="L323" s="18" t="s">
        <v>78</v>
      </c>
      <c r="M323" s="18">
        <v>3</v>
      </c>
      <c r="N323" s="18">
        <v>1200</v>
      </c>
      <c r="O323" s="18">
        <v>5</v>
      </c>
      <c r="P323" s="18">
        <v>3420</v>
      </c>
      <c r="Q323" s="18">
        <v>3</v>
      </c>
      <c r="R323" s="18" t="s">
        <v>48</v>
      </c>
      <c r="S323" s="18" t="s">
        <v>151</v>
      </c>
      <c r="T323" s="18" t="s">
        <v>89</v>
      </c>
      <c r="U323" s="19" t="s">
        <v>1467</v>
      </c>
      <c r="V323" s="18" t="s">
        <v>38</v>
      </c>
      <c r="W323" s="24" t="str">
        <f t="shared" ref="W323:W386" si="5">IF(OR(Q323&lt;=2,V323="Cancelled"),"Blacklisted",IF(AND(P323&gt;=100000,Q323&gt;=4,O323&lt;10,V323="Completed"),"Platinum",IF(AND(P323&gt;=50000,P323&lt;=99999,Q323&gt;=3,V323="Completed"),"Gold",IF(AND(P323&lt;50000,V323="Completed"),"Silver","Blacklisted"))))</f>
        <v>Silver</v>
      </c>
    </row>
    <row r="324" spans="1:23">
      <c r="A324" s="15" t="s">
        <v>1468</v>
      </c>
      <c r="B324" s="15" t="s">
        <v>23</v>
      </c>
      <c r="C324" s="15" t="s">
        <v>72</v>
      </c>
      <c r="D324" s="15" t="s">
        <v>489</v>
      </c>
      <c r="E324" s="15" t="s">
        <v>914</v>
      </c>
      <c r="F324" s="15" t="s">
        <v>27</v>
      </c>
      <c r="G324" s="15" t="s">
        <v>28</v>
      </c>
      <c r="H324" s="15" t="s">
        <v>1469</v>
      </c>
      <c r="I324" s="15" t="s">
        <v>138</v>
      </c>
      <c r="J324" s="15" t="s">
        <v>106</v>
      </c>
      <c r="K324" s="15" t="s">
        <v>46</v>
      </c>
      <c r="L324" s="15" t="s">
        <v>78</v>
      </c>
      <c r="M324" s="15">
        <v>9</v>
      </c>
      <c r="N324" s="15">
        <v>1200</v>
      </c>
      <c r="O324" s="15">
        <v>15</v>
      </c>
      <c r="P324" s="15">
        <v>9180</v>
      </c>
      <c r="Q324" s="15">
        <v>3</v>
      </c>
      <c r="R324" s="15" t="s">
        <v>34</v>
      </c>
      <c r="S324" s="15" t="s">
        <v>49</v>
      </c>
      <c r="T324" s="15" t="s">
        <v>50</v>
      </c>
      <c r="U324" s="17" t="s">
        <v>1470</v>
      </c>
      <c r="V324" s="15" t="s">
        <v>38</v>
      </c>
      <c r="W324" s="24" t="str">
        <f t="shared" si="5"/>
        <v>Silver</v>
      </c>
    </row>
    <row r="325" spans="1:23">
      <c r="A325" s="18" t="s">
        <v>1471</v>
      </c>
      <c r="B325" s="18" t="s">
        <v>251</v>
      </c>
      <c r="C325" s="18" t="s">
        <v>222</v>
      </c>
      <c r="D325" s="18" t="s">
        <v>224</v>
      </c>
      <c r="E325" s="18" t="s">
        <v>360</v>
      </c>
      <c r="F325" s="18" t="s">
        <v>254</v>
      </c>
      <c r="G325" s="18" t="s">
        <v>28</v>
      </c>
      <c r="H325" s="18" t="s">
        <v>1472</v>
      </c>
      <c r="I325" s="18" t="s">
        <v>105</v>
      </c>
      <c r="J325" s="18" t="s">
        <v>106</v>
      </c>
      <c r="K325" s="18" t="s">
        <v>122</v>
      </c>
      <c r="L325" s="18" t="s">
        <v>227</v>
      </c>
      <c r="M325" s="18">
        <v>5</v>
      </c>
      <c r="N325" s="18">
        <v>20</v>
      </c>
      <c r="O325" s="18">
        <v>5</v>
      </c>
      <c r="P325" s="18">
        <v>95</v>
      </c>
      <c r="Q325" s="18">
        <v>4</v>
      </c>
      <c r="R325" s="18" t="s">
        <v>34</v>
      </c>
      <c r="S325" s="18" t="s">
        <v>151</v>
      </c>
      <c r="T325" s="18" t="s">
        <v>256</v>
      </c>
      <c r="U325" s="19" t="s">
        <v>1473</v>
      </c>
      <c r="V325" s="18" t="s">
        <v>38</v>
      </c>
      <c r="W325" s="24" t="str">
        <f t="shared" si="5"/>
        <v>Silver</v>
      </c>
    </row>
    <row r="326" spans="1:23">
      <c r="A326" s="15" t="s">
        <v>1474</v>
      </c>
      <c r="B326" s="15" t="s">
        <v>251</v>
      </c>
      <c r="C326" s="15" t="s">
        <v>24</v>
      </c>
      <c r="D326" s="15" t="s">
        <v>1475</v>
      </c>
      <c r="E326" s="15" t="s">
        <v>1476</v>
      </c>
      <c r="F326" s="15" t="s">
        <v>254</v>
      </c>
      <c r="G326" s="15" t="s">
        <v>28</v>
      </c>
      <c r="H326" s="15" t="s">
        <v>1477</v>
      </c>
      <c r="I326" s="15" t="s">
        <v>138</v>
      </c>
      <c r="J326" s="15" t="s">
        <v>106</v>
      </c>
      <c r="K326" s="15" t="s">
        <v>32</v>
      </c>
      <c r="L326" s="15" t="s">
        <v>33</v>
      </c>
      <c r="M326" s="15">
        <v>8</v>
      </c>
      <c r="N326" s="15">
        <v>2200</v>
      </c>
      <c r="O326" s="15">
        <v>10</v>
      </c>
      <c r="P326" s="15">
        <v>15840</v>
      </c>
      <c r="Q326" s="15">
        <v>4</v>
      </c>
      <c r="R326" s="15" t="s">
        <v>88</v>
      </c>
      <c r="S326" s="15" t="s">
        <v>61</v>
      </c>
      <c r="T326" s="15" t="s">
        <v>256</v>
      </c>
      <c r="U326" s="17" t="s">
        <v>1478</v>
      </c>
      <c r="V326" s="15" t="s">
        <v>69</v>
      </c>
      <c r="W326" s="24" t="str">
        <f t="shared" si="5"/>
        <v>Blacklisted</v>
      </c>
    </row>
    <row r="327" spans="1:23">
      <c r="A327" s="18" t="s">
        <v>1479</v>
      </c>
      <c r="B327" s="18" t="s">
        <v>251</v>
      </c>
      <c r="C327" s="18" t="s">
        <v>184</v>
      </c>
      <c r="D327" s="18" t="s">
        <v>298</v>
      </c>
      <c r="E327" s="18" t="s">
        <v>1480</v>
      </c>
      <c r="F327" s="18" t="s">
        <v>254</v>
      </c>
      <c r="G327" s="18" t="s">
        <v>28</v>
      </c>
      <c r="H327" s="18" t="s">
        <v>1481</v>
      </c>
      <c r="I327" s="18" t="s">
        <v>105</v>
      </c>
      <c r="J327" s="18" t="s">
        <v>106</v>
      </c>
      <c r="K327" s="18" t="s">
        <v>46</v>
      </c>
      <c r="L327" s="18" t="s">
        <v>189</v>
      </c>
      <c r="M327" s="18">
        <v>10</v>
      </c>
      <c r="N327" s="18">
        <v>700</v>
      </c>
      <c r="O327" s="18">
        <v>20</v>
      </c>
      <c r="P327" s="18">
        <v>5600</v>
      </c>
      <c r="Q327" s="18">
        <v>1</v>
      </c>
      <c r="R327" s="18" t="s">
        <v>88</v>
      </c>
      <c r="S327" s="18" t="s">
        <v>115</v>
      </c>
      <c r="T327" s="18" t="s">
        <v>256</v>
      </c>
      <c r="U327" s="19" t="s">
        <v>1482</v>
      </c>
      <c r="V327" s="18" t="s">
        <v>38</v>
      </c>
      <c r="W327" s="24" t="str">
        <f t="shared" si="5"/>
        <v>Blacklisted</v>
      </c>
    </row>
    <row r="328" spans="1:23">
      <c r="A328" s="15" t="s">
        <v>1483</v>
      </c>
      <c r="B328" s="15" t="s">
        <v>83</v>
      </c>
      <c r="C328" s="15" t="s">
        <v>184</v>
      </c>
      <c r="D328" s="15" t="s">
        <v>1484</v>
      </c>
      <c r="E328" s="15" t="s">
        <v>1485</v>
      </c>
      <c r="F328" s="15" t="s">
        <v>180</v>
      </c>
      <c r="G328" s="15" t="s">
        <v>76</v>
      </c>
      <c r="H328" s="15" t="s">
        <v>1486</v>
      </c>
      <c r="I328" s="15" t="s">
        <v>59</v>
      </c>
      <c r="J328" s="15" t="s">
        <v>31</v>
      </c>
      <c r="K328" s="15" t="s">
        <v>46</v>
      </c>
      <c r="L328" s="15" t="s">
        <v>189</v>
      </c>
      <c r="M328" s="15">
        <v>2</v>
      </c>
      <c r="N328" s="15">
        <v>700</v>
      </c>
      <c r="O328" s="15">
        <v>20</v>
      </c>
      <c r="P328" s="15">
        <v>1120</v>
      </c>
      <c r="Q328" s="15">
        <v>2</v>
      </c>
      <c r="R328" s="15" t="s">
        <v>34</v>
      </c>
      <c r="S328" s="15" t="s">
        <v>115</v>
      </c>
      <c r="T328" s="15" t="s">
        <v>89</v>
      </c>
      <c r="U328" s="17" t="s">
        <v>1487</v>
      </c>
      <c r="V328" s="15" t="s">
        <v>64</v>
      </c>
      <c r="W328" s="24" t="str">
        <f t="shared" si="5"/>
        <v>Blacklisted</v>
      </c>
    </row>
    <row r="329" spans="1:23">
      <c r="A329" s="18" t="s">
        <v>1488</v>
      </c>
      <c r="B329" s="18" t="s">
        <v>221</v>
      </c>
      <c r="C329" s="18" t="s">
        <v>92</v>
      </c>
      <c r="D329" s="18" t="s">
        <v>872</v>
      </c>
      <c r="E329" s="18" t="s">
        <v>965</v>
      </c>
      <c r="F329" s="18" t="s">
        <v>225</v>
      </c>
      <c r="G329" s="18" t="s">
        <v>76</v>
      </c>
      <c r="H329" s="18" t="s">
        <v>1489</v>
      </c>
      <c r="I329" s="18" t="s">
        <v>114</v>
      </c>
      <c r="J329" s="18" t="s">
        <v>106</v>
      </c>
      <c r="K329" s="18" t="s">
        <v>32</v>
      </c>
      <c r="L329" s="18" t="s">
        <v>97</v>
      </c>
      <c r="M329" s="18">
        <v>16</v>
      </c>
      <c r="N329" s="18">
        <v>3500</v>
      </c>
      <c r="O329" s="18">
        <v>20</v>
      </c>
      <c r="P329" s="18">
        <v>44800</v>
      </c>
      <c r="Q329" s="18">
        <v>2</v>
      </c>
      <c r="R329" s="18" t="s">
        <v>88</v>
      </c>
      <c r="S329" s="18" t="s">
        <v>35</v>
      </c>
      <c r="T329" s="18" t="s">
        <v>228</v>
      </c>
      <c r="U329" s="19" t="s">
        <v>1490</v>
      </c>
      <c r="V329" s="18" t="s">
        <v>64</v>
      </c>
      <c r="W329" s="24" t="str">
        <f t="shared" si="5"/>
        <v>Blacklisted</v>
      </c>
    </row>
    <row r="330" spans="1:23">
      <c r="A330" s="15" t="s">
        <v>1491</v>
      </c>
      <c r="B330" s="15" t="s">
        <v>168</v>
      </c>
      <c r="C330" s="15" t="s">
        <v>92</v>
      </c>
      <c r="D330" s="15" t="s">
        <v>829</v>
      </c>
      <c r="E330" s="15" t="s">
        <v>756</v>
      </c>
      <c r="F330" s="15" t="s">
        <v>361</v>
      </c>
      <c r="G330" s="15" t="s">
        <v>28</v>
      </c>
      <c r="H330" s="15" t="s">
        <v>1492</v>
      </c>
      <c r="I330" s="15" t="s">
        <v>44</v>
      </c>
      <c r="J330" s="15" t="s">
        <v>45</v>
      </c>
      <c r="K330" s="15" t="s">
        <v>32</v>
      </c>
      <c r="L330" s="15" t="s">
        <v>97</v>
      </c>
      <c r="M330" s="15">
        <v>9</v>
      </c>
      <c r="N330" s="15">
        <v>3500</v>
      </c>
      <c r="O330" s="15">
        <v>20</v>
      </c>
      <c r="P330" s="15">
        <v>25200</v>
      </c>
      <c r="Q330" s="15">
        <v>1</v>
      </c>
      <c r="R330" s="15" t="s">
        <v>79</v>
      </c>
      <c r="S330" s="15" t="s">
        <v>49</v>
      </c>
      <c r="T330" s="15" t="s">
        <v>175</v>
      </c>
      <c r="U330" s="17" t="s">
        <v>1493</v>
      </c>
      <c r="V330" s="15" t="s">
        <v>69</v>
      </c>
      <c r="W330" s="24" t="str">
        <f t="shared" si="5"/>
        <v>Blacklisted</v>
      </c>
    </row>
    <row r="331" spans="1:23">
      <c r="A331" s="18" t="s">
        <v>1494</v>
      </c>
      <c r="B331" s="18" t="s">
        <v>127</v>
      </c>
      <c r="C331" s="18" t="s">
        <v>184</v>
      </c>
      <c r="D331" s="18" t="s">
        <v>896</v>
      </c>
      <c r="E331" s="18" t="s">
        <v>530</v>
      </c>
      <c r="F331" s="18" t="s">
        <v>200</v>
      </c>
      <c r="G331" s="18" t="s">
        <v>76</v>
      </c>
      <c r="H331" s="18" t="s">
        <v>1495</v>
      </c>
      <c r="I331" s="18" t="s">
        <v>30</v>
      </c>
      <c r="J331" s="18" t="s">
        <v>31</v>
      </c>
      <c r="K331" s="18" t="s">
        <v>46</v>
      </c>
      <c r="L331" s="18" t="s">
        <v>189</v>
      </c>
      <c r="M331" s="18">
        <v>15</v>
      </c>
      <c r="N331" s="18">
        <v>700</v>
      </c>
      <c r="O331" s="18">
        <v>5</v>
      </c>
      <c r="P331" s="18">
        <v>9975</v>
      </c>
      <c r="Q331" s="18">
        <v>1</v>
      </c>
      <c r="R331" s="18" t="s">
        <v>34</v>
      </c>
      <c r="S331" s="18" t="s">
        <v>49</v>
      </c>
      <c r="T331" s="18" t="s">
        <v>132</v>
      </c>
      <c r="U331" s="19" t="s">
        <v>1496</v>
      </c>
      <c r="V331" s="18" t="s">
        <v>69</v>
      </c>
      <c r="W331" s="24" t="str">
        <f t="shared" si="5"/>
        <v>Blacklisted</v>
      </c>
    </row>
    <row r="332" spans="1:23">
      <c r="A332" s="15" t="s">
        <v>1497</v>
      </c>
      <c r="B332" s="15" t="s">
        <v>53</v>
      </c>
      <c r="C332" s="15" t="s">
        <v>72</v>
      </c>
      <c r="D332" s="15" t="s">
        <v>179</v>
      </c>
      <c r="E332" s="15" t="s">
        <v>798</v>
      </c>
      <c r="F332" s="15" t="s">
        <v>163</v>
      </c>
      <c r="G332" s="15" t="s">
        <v>28</v>
      </c>
      <c r="H332" s="15" t="s">
        <v>1498</v>
      </c>
      <c r="I332" s="15" t="s">
        <v>138</v>
      </c>
      <c r="J332" s="15" t="s">
        <v>106</v>
      </c>
      <c r="K332" s="15" t="s">
        <v>46</v>
      </c>
      <c r="L332" s="15" t="s">
        <v>78</v>
      </c>
      <c r="M332" s="15">
        <v>13</v>
      </c>
      <c r="N332" s="15">
        <v>1200</v>
      </c>
      <c r="O332" s="15">
        <v>0</v>
      </c>
      <c r="P332" s="15">
        <v>15600</v>
      </c>
      <c r="Q332" s="15">
        <v>3</v>
      </c>
      <c r="R332" s="15" t="s">
        <v>48</v>
      </c>
      <c r="S332" s="15" t="s">
        <v>115</v>
      </c>
      <c r="T332" s="15" t="s">
        <v>62</v>
      </c>
      <c r="U332" s="17" t="s">
        <v>1499</v>
      </c>
      <c r="V332" s="15" t="s">
        <v>69</v>
      </c>
      <c r="W332" s="24" t="str">
        <f t="shared" si="5"/>
        <v>Blacklisted</v>
      </c>
    </row>
    <row r="333" spans="1:23">
      <c r="A333" s="18" t="s">
        <v>1500</v>
      </c>
      <c r="B333" s="18" t="s">
        <v>327</v>
      </c>
      <c r="C333" s="18" t="s">
        <v>40</v>
      </c>
      <c r="D333" s="18" t="s">
        <v>1501</v>
      </c>
      <c r="E333" s="18" t="s">
        <v>1502</v>
      </c>
      <c r="F333" s="18" t="s">
        <v>394</v>
      </c>
      <c r="G333" s="18" t="s">
        <v>76</v>
      </c>
      <c r="H333" s="18" t="s">
        <v>1503</v>
      </c>
      <c r="I333" s="18" t="s">
        <v>44</v>
      </c>
      <c r="J333" s="18" t="s">
        <v>45</v>
      </c>
      <c r="K333" s="18" t="s">
        <v>46</v>
      </c>
      <c r="L333" s="18" t="s">
        <v>47</v>
      </c>
      <c r="M333" s="18">
        <v>5</v>
      </c>
      <c r="N333" s="18">
        <v>12000</v>
      </c>
      <c r="O333" s="18">
        <v>10</v>
      </c>
      <c r="P333" s="18">
        <v>54000</v>
      </c>
      <c r="Q333" s="18">
        <v>3</v>
      </c>
      <c r="R333" s="18" t="s">
        <v>88</v>
      </c>
      <c r="S333" s="18" t="s">
        <v>49</v>
      </c>
      <c r="T333" s="18" t="s">
        <v>332</v>
      </c>
      <c r="U333" s="19" t="s">
        <v>1504</v>
      </c>
      <c r="V333" s="18" t="s">
        <v>38</v>
      </c>
      <c r="W333" s="24" t="str">
        <f t="shared" si="5"/>
        <v>Gold</v>
      </c>
    </row>
    <row r="334" spans="1:23">
      <c r="A334" s="15" t="s">
        <v>1505</v>
      </c>
      <c r="B334" s="15" t="s">
        <v>53</v>
      </c>
      <c r="C334" s="15" t="s">
        <v>259</v>
      </c>
      <c r="D334" s="15" t="s">
        <v>1506</v>
      </c>
      <c r="E334" s="15" t="s">
        <v>1507</v>
      </c>
      <c r="F334" s="15" t="s">
        <v>163</v>
      </c>
      <c r="G334" s="15" t="s">
        <v>28</v>
      </c>
      <c r="H334" s="15" t="s">
        <v>1508</v>
      </c>
      <c r="I334" s="15" t="s">
        <v>59</v>
      </c>
      <c r="J334" s="15" t="s">
        <v>31</v>
      </c>
      <c r="K334" s="15" t="s">
        <v>122</v>
      </c>
      <c r="L334" s="15" t="s">
        <v>263</v>
      </c>
      <c r="M334" s="15">
        <v>12</v>
      </c>
      <c r="N334" s="15">
        <v>45</v>
      </c>
      <c r="O334" s="15">
        <v>20</v>
      </c>
      <c r="P334" s="15">
        <v>432</v>
      </c>
      <c r="Q334" s="15">
        <v>3</v>
      </c>
      <c r="R334" s="15" t="s">
        <v>48</v>
      </c>
      <c r="S334" s="15" t="s">
        <v>61</v>
      </c>
      <c r="T334" s="15" t="s">
        <v>62</v>
      </c>
      <c r="U334" s="17" t="s">
        <v>1509</v>
      </c>
      <c r="V334" s="15" t="s">
        <v>38</v>
      </c>
      <c r="W334" s="24" t="str">
        <f t="shared" si="5"/>
        <v>Silver</v>
      </c>
    </row>
    <row r="335" spans="1:23">
      <c r="A335" s="18" t="s">
        <v>1510</v>
      </c>
      <c r="B335" s="18" t="s">
        <v>23</v>
      </c>
      <c r="C335" s="18" t="s">
        <v>92</v>
      </c>
      <c r="D335" s="18" t="s">
        <v>652</v>
      </c>
      <c r="E335" s="18" t="s">
        <v>666</v>
      </c>
      <c r="F335" s="18" t="s">
        <v>27</v>
      </c>
      <c r="G335" s="18" t="s">
        <v>28</v>
      </c>
      <c r="H335" s="18" t="s">
        <v>1511</v>
      </c>
      <c r="I335" s="18" t="s">
        <v>59</v>
      </c>
      <c r="J335" s="18" t="s">
        <v>31</v>
      </c>
      <c r="K335" s="18" t="s">
        <v>32</v>
      </c>
      <c r="L335" s="18" t="s">
        <v>97</v>
      </c>
      <c r="M335" s="18">
        <v>2</v>
      </c>
      <c r="N335" s="18">
        <v>3500</v>
      </c>
      <c r="O335" s="18">
        <v>0</v>
      </c>
      <c r="P335" s="18">
        <v>7000</v>
      </c>
      <c r="Q335" s="18">
        <v>1</v>
      </c>
      <c r="R335" s="18" t="s">
        <v>48</v>
      </c>
      <c r="S335" s="18" t="s">
        <v>115</v>
      </c>
      <c r="T335" s="18" t="s">
        <v>50</v>
      </c>
      <c r="U335" s="19" t="s">
        <v>1512</v>
      </c>
      <c r="V335" s="18" t="s">
        <v>64</v>
      </c>
      <c r="W335" s="24" t="str">
        <f t="shared" si="5"/>
        <v>Blacklisted</v>
      </c>
    </row>
    <row r="336" spans="1:23">
      <c r="A336" s="15" t="s">
        <v>1513</v>
      </c>
      <c r="B336" s="15" t="s">
        <v>23</v>
      </c>
      <c r="C336" s="15" t="s">
        <v>24</v>
      </c>
      <c r="D336" s="15" t="s">
        <v>426</v>
      </c>
      <c r="E336" s="15" t="s">
        <v>1180</v>
      </c>
      <c r="F336" s="15" t="s">
        <v>27</v>
      </c>
      <c r="G336" s="15" t="s">
        <v>28</v>
      </c>
      <c r="H336" s="15" t="s">
        <v>1514</v>
      </c>
      <c r="I336" s="15" t="s">
        <v>114</v>
      </c>
      <c r="J336" s="15" t="s">
        <v>106</v>
      </c>
      <c r="K336" s="15" t="s">
        <v>32</v>
      </c>
      <c r="L336" s="15" t="s">
        <v>33</v>
      </c>
      <c r="M336" s="15">
        <v>15</v>
      </c>
      <c r="N336" s="15">
        <v>2200</v>
      </c>
      <c r="O336" s="15">
        <v>15</v>
      </c>
      <c r="P336" s="15">
        <v>28050</v>
      </c>
      <c r="Q336" s="15">
        <v>2</v>
      </c>
      <c r="R336" s="15" t="s">
        <v>48</v>
      </c>
      <c r="S336" s="15" t="s">
        <v>49</v>
      </c>
      <c r="T336" s="15" t="s">
        <v>50</v>
      </c>
      <c r="U336" s="17" t="s">
        <v>1515</v>
      </c>
      <c r="V336" s="15" t="s">
        <v>64</v>
      </c>
      <c r="W336" s="24" t="str">
        <f t="shared" si="5"/>
        <v>Blacklisted</v>
      </c>
    </row>
    <row r="337" spans="1:23">
      <c r="A337" s="18" t="s">
        <v>1516</v>
      </c>
      <c r="B337" s="18" t="s">
        <v>100</v>
      </c>
      <c r="C337" s="18" t="s">
        <v>222</v>
      </c>
      <c r="D337" s="18" t="s">
        <v>186</v>
      </c>
      <c r="E337" s="18" t="s">
        <v>1253</v>
      </c>
      <c r="F337" s="18" t="s">
        <v>103</v>
      </c>
      <c r="G337" s="18" t="s">
        <v>28</v>
      </c>
      <c r="H337" s="18" t="s">
        <v>1517</v>
      </c>
      <c r="I337" s="18" t="s">
        <v>138</v>
      </c>
      <c r="J337" s="18" t="s">
        <v>106</v>
      </c>
      <c r="K337" s="18" t="s">
        <v>122</v>
      </c>
      <c r="L337" s="18" t="s">
        <v>227</v>
      </c>
      <c r="M337" s="18">
        <v>8</v>
      </c>
      <c r="N337" s="18">
        <v>20</v>
      </c>
      <c r="O337" s="18">
        <v>20</v>
      </c>
      <c r="P337" s="18">
        <v>128</v>
      </c>
      <c r="Q337" s="18">
        <v>5</v>
      </c>
      <c r="R337" s="18" t="s">
        <v>88</v>
      </c>
      <c r="S337" s="18" t="s">
        <v>49</v>
      </c>
      <c r="T337" s="18" t="s">
        <v>144</v>
      </c>
      <c r="U337" s="19" t="s">
        <v>1518</v>
      </c>
      <c r="V337" s="18" t="s">
        <v>38</v>
      </c>
      <c r="W337" s="24" t="str">
        <f t="shared" si="5"/>
        <v>Silver</v>
      </c>
    </row>
    <row r="338" spans="1:23">
      <c r="A338" s="15" t="s">
        <v>1519</v>
      </c>
      <c r="B338" s="15" t="s">
        <v>127</v>
      </c>
      <c r="C338" s="15" t="s">
        <v>222</v>
      </c>
      <c r="D338" s="15" t="s">
        <v>298</v>
      </c>
      <c r="E338" s="15" t="s">
        <v>798</v>
      </c>
      <c r="F338" s="15" t="s">
        <v>200</v>
      </c>
      <c r="G338" s="15" t="s">
        <v>76</v>
      </c>
      <c r="H338" s="15" t="s">
        <v>1520</v>
      </c>
      <c r="I338" s="15" t="s">
        <v>30</v>
      </c>
      <c r="J338" s="15" t="s">
        <v>31</v>
      </c>
      <c r="K338" s="15" t="s">
        <v>122</v>
      </c>
      <c r="L338" s="15" t="s">
        <v>227</v>
      </c>
      <c r="M338" s="15">
        <v>1</v>
      </c>
      <c r="N338" s="15">
        <v>20</v>
      </c>
      <c r="O338" s="15">
        <v>0</v>
      </c>
      <c r="P338" s="15">
        <v>20</v>
      </c>
      <c r="Q338" s="15">
        <v>3</v>
      </c>
      <c r="R338" s="15" t="s">
        <v>88</v>
      </c>
      <c r="S338" s="15" t="s">
        <v>35</v>
      </c>
      <c r="T338" s="15" t="s">
        <v>132</v>
      </c>
      <c r="U338" s="17" t="s">
        <v>1521</v>
      </c>
      <c r="V338" s="15" t="s">
        <v>38</v>
      </c>
      <c r="W338" s="24" t="str">
        <f t="shared" si="5"/>
        <v>Silver</v>
      </c>
    </row>
    <row r="339" spans="1:23">
      <c r="A339" s="18" t="s">
        <v>1522</v>
      </c>
      <c r="B339" s="18" t="s">
        <v>23</v>
      </c>
      <c r="C339" s="18" t="s">
        <v>184</v>
      </c>
      <c r="D339" s="18" t="s">
        <v>1199</v>
      </c>
      <c r="E339" s="18" t="s">
        <v>253</v>
      </c>
      <c r="F339" s="18" t="s">
        <v>27</v>
      </c>
      <c r="G339" s="18" t="s">
        <v>28</v>
      </c>
      <c r="H339" s="18" t="s">
        <v>1523</v>
      </c>
      <c r="I339" s="18" t="s">
        <v>212</v>
      </c>
      <c r="J339" s="18" t="s">
        <v>45</v>
      </c>
      <c r="K339" s="18" t="s">
        <v>46</v>
      </c>
      <c r="L339" s="18" t="s">
        <v>189</v>
      </c>
      <c r="M339" s="18">
        <v>15</v>
      </c>
      <c r="N339" s="18">
        <v>700</v>
      </c>
      <c r="O339" s="18">
        <v>0</v>
      </c>
      <c r="P339" s="18">
        <v>10500</v>
      </c>
      <c r="Q339" s="18">
        <v>2</v>
      </c>
      <c r="R339" s="18" t="s">
        <v>88</v>
      </c>
      <c r="S339" s="18" t="s">
        <v>49</v>
      </c>
      <c r="T339" s="18" t="s">
        <v>50</v>
      </c>
      <c r="U339" s="19" t="s">
        <v>1524</v>
      </c>
      <c r="V339" s="18" t="s">
        <v>38</v>
      </c>
      <c r="W339" s="24" t="str">
        <f t="shared" si="5"/>
        <v>Blacklisted</v>
      </c>
    </row>
    <row r="340" spans="1:23">
      <c r="A340" s="15" t="s">
        <v>1525</v>
      </c>
      <c r="B340" s="15" t="s">
        <v>327</v>
      </c>
      <c r="C340" s="15" t="s">
        <v>92</v>
      </c>
      <c r="D340" s="15" t="s">
        <v>932</v>
      </c>
      <c r="E340" s="15" t="s">
        <v>1526</v>
      </c>
      <c r="F340" s="15" t="s">
        <v>394</v>
      </c>
      <c r="G340" s="15" t="s">
        <v>76</v>
      </c>
      <c r="H340" s="15" t="s">
        <v>1527</v>
      </c>
      <c r="I340" s="15" t="s">
        <v>30</v>
      </c>
      <c r="J340" s="15" t="s">
        <v>31</v>
      </c>
      <c r="K340" s="15" t="s">
        <v>32</v>
      </c>
      <c r="L340" s="15" t="s">
        <v>97</v>
      </c>
      <c r="M340" s="15">
        <v>15</v>
      </c>
      <c r="N340" s="15">
        <v>3500</v>
      </c>
      <c r="O340" s="15">
        <v>10</v>
      </c>
      <c r="P340" s="15">
        <v>47250</v>
      </c>
      <c r="Q340" s="15">
        <v>3</v>
      </c>
      <c r="R340" s="15" t="s">
        <v>34</v>
      </c>
      <c r="S340" s="15" t="s">
        <v>151</v>
      </c>
      <c r="T340" s="15" t="s">
        <v>332</v>
      </c>
      <c r="U340" s="17" t="s">
        <v>1528</v>
      </c>
      <c r="V340" s="15" t="s">
        <v>64</v>
      </c>
      <c r="W340" s="24" t="str">
        <f t="shared" si="5"/>
        <v>Blacklisted</v>
      </c>
    </row>
    <row r="341" spans="1:23">
      <c r="A341" s="18" t="s">
        <v>1529</v>
      </c>
      <c r="B341" s="18" t="s">
        <v>23</v>
      </c>
      <c r="C341" s="18" t="s">
        <v>118</v>
      </c>
      <c r="D341" s="18" t="s">
        <v>1530</v>
      </c>
      <c r="E341" s="18" t="s">
        <v>156</v>
      </c>
      <c r="F341" s="18" t="s">
        <v>27</v>
      </c>
      <c r="G341" s="18" t="s">
        <v>28</v>
      </c>
      <c r="H341" s="18" t="s">
        <v>1531</v>
      </c>
      <c r="I341" s="18" t="s">
        <v>294</v>
      </c>
      <c r="J341" s="18" t="s">
        <v>295</v>
      </c>
      <c r="K341" s="18" t="s">
        <v>122</v>
      </c>
      <c r="L341" s="18" t="s">
        <v>123</v>
      </c>
      <c r="M341" s="18">
        <v>16</v>
      </c>
      <c r="N341" s="18">
        <v>60</v>
      </c>
      <c r="O341" s="18">
        <v>10</v>
      </c>
      <c r="P341" s="18">
        <v>864</v>
      </c>
      <c r="Q341" s="18">
        <v>4</v>
      </c>
      <c r="R341" s="18" t="s">
        <v>79</v>
      </c>
      <c r="S341" s="18" t="s">
        <v>61</v>
      </c>
      <c r="T341" s="18" t="s">
        <v>50</v>
      </c>
      <c r="U341" s="19" t="s">
        <v>1532</v>
      </c>
      <c r="V341" s="18" t="s">
        <v>38</v>
      </c>
      <c r="W341" s="24" t="str">
        <f t="shared" si="5"/>
        <v>Silver</v>
      </c>
    </row>
    <row r="342" spans="1:23">
      <c r="A342" s="15" t="s">
        <v>1533</v>
      </c>
      <c r="B342" s="15" t="s">
        <v>127</v>
      </c>
      <c r="C342" s="15" t="s">
        <v>259</v>
      </c>
      <c r="D342" s="15" t="s">
        <v>309</v>
      </c>
      <c r="E342" s="15" t="s">
        <v>793</v>
      </c>
      <c r="F342" s="15" t="s">
        <v>200</v>
      </c>
      <c r="G342" s="15" t="s">
        <v>76</v>
      </c>
      <c r="H342" s="15" t="s">
        <v>1534</v>
      </c>
      <c r="I342" s="15" t="s">
        <v>44</v>
      </c>
      <c r="J342" s="15" t="s">
        <v>45</v>
      </c>
      <c r="K342" s="15" t="s">
        <v>122</v>
      </c>
      <c r="L342" s="15" t="s">
        <v>263</v>
      </c>
      <c r="M342" s="15">
        <v>2</v>
      </c>
      <c r="N342" s="15">
        <v>45</v>
      </c>
      <c r="O342" s="15">
        <v>15</v>
      </c>
      <c r="P342" s="15">
        <v>76.5</v>
      </c>
      <c r="Q342" s="15">
        <v>1</v>
      </c>
      <c r="R342" s="15" t="s">
        <v>88</v>
      </c>
      <c r="S342" s="15" t="s">
        <v>151</v>
      </c>
      <c r="T342" s="15" t="s">
        <v>132</v>
      </c>
      <c r="U342" s="17" t="s">
        <v>1535</v>
      </c>
      <c r="V342" s="15" t="s">
        <v>69</v>
      </c>
      <c r="W342" s="24" t="str">
        <f t="shared" si="5"/>
        <v>Blacklisted</v>
      </c>
    </row>
    <row r="343" spans="1:23">
      <c r="A343" s="18" t="s">
        <v>1536</v>
      </c>
      <c r="B343" s="18" t="s">
        <v>168</v>
      </c>
      <c r="C343" s="18" t="s">
        <v>118</v>
      </c>
      <c r="D343" s="18" t="s">
        <v>1537</v>
      </c>
      <c r="E343" s="18" t="s">
        <v>1214</v>
      </c>
      <c r="F343" s="18" t="s">
        <v>361</v>
      </c>
      <c r="G343" s="18" t="s">
        <v>28</v>
      </c>
      <c r="H343" s="18" t="s">
        <v>1538</v>
      </c>
      <c r="I343" s="18" t="s">
        <v>44</v>
      </c>
      <c r="J343" s="18" t="s">
        <v>45</v>
      </c>
      <c r="K343" s="18" t="s">
        <v>122</v>
      </c>
      <c r="L343" s="18" t="s">
        <v>123</v>
      </c>
      <c r="M343" s="18">
        <v>13</v>
      </c>
      <c r="N343" s="18">
        <v>60</v>
      </c>
      <c r="O343" s="18">
        <v>15</v>
      </c>
      <c r="P343" s="18">
        <v>663</v>
      </c>
      <c r="Q343" s="18">
        <v>2</v>
      </c>
      <c r="R343" s="18" t="s">
        <v>48</v>
      </c>
      <c r="S343" s="18" t="s">
        <v>61</v>
      </c>
      <c r="T343" s="18" t="s">
        <v>175</v>
      </c>
      <c r="U343" s="19" t="s">
        <v>1539</v>
      </c>
      <c r="V343" s="18" t="s">
        <v>69</v>
      </c>
      <c r="W343" s="24" t="str">
        <f t="shared" si="5"/>
        <v>Blacklisted</v>
      </c>
    </row>
    <row r="344" spans="1:23">
      <c r="A344" s="15" t="s">
        <v>1540</v>
      </c>
      <c r="B344" s="15" t="s">
        <v>83</v>
      </c>
      <c r="C344" s="15" t="s">
        <v>40</v>
      </c>
      <c r="D344" s="15" t="s">
        <v>1086</v>
      </c>
      <c r="E344" s="15" t="s">
        <v>236</v>
      </c>
      <c r="F344" s="15" t="s">
        <v>180</v>
      </c>
      <c r="G344" s="15" t="s">
        <v>76</v>
      </c>
      <c r="H344" s="15" t="s">
        <v>1541</v>
      </c>
      <c r="I344" s="15" t="s">
        <v>44</v>
      </c>
      <c r="J344" s="15" t="s">
        <v>45</v>
      </c>
      <c r="K344" s="15" t="s">
        <v>46</v>
      </c>
      <c r="L344" s="15" t="s">
        <v>47</v>
      </c>
      <c r="M344" s="15">
        <v>15</v>
      </c>
      <c r="N344" s="15">
        <v>12000</v>
      </c>
      <c r="O344" s="15">
        <v>20</v>
      </c>
      <c r="P344" s="15">
        <v>144000</v>
      </c>
      <c r="Q344" s="15">
        <v>3</v>
      </c>
      <c r="R344" s="15" t="s">
        <v>79</v>
      </c>
      <c r="S344" s="15" t="s">
        <v>35</v>
      </c>
      <c r="T344" s="15" t="s">
        <v>89</v>
      </c>
      <c r="U344" s="17" t="s">
        <v>1542</v>
      </c>
      <c r="V344" s="15" t="s">
        <v>69</v>
      </c>
      <c r="W344" s="24" t="str">
        <f t="shared" si="5"/>
        <v>Blacklisted</v>
      </c>
    </row>
    <row r="345" spans="1:23">
      <c r="A345" s="18" t="s">
        <v>1543</v>
      </c>
      <c r="B345" s="18" t="s">
        <v>327</v>
      </c>
      <c r="C345" s="18" t="s">
        <v>222</v>
      </c>
      <c r="D345" s="18" t="s">
        <v>755</v>
      </c>
      <c r="E345" s="18" t="s">
        <v>1544</v>
      </c>
      <c r="F345" s="18" t="s">
        <v>394</v>
      </c>
      <c r="G345" s="18" t="s">
        <v>76</v>
      </c>
      <c r="H345" s="18" t="s">
        <v>1545</v>
      </c>
      <c r="I345" s="18" t="s">
        <v>44</v>
      </c>
      <c r="J345" s="18" t="s">
        <v>45</v>
      </c>
      <c r="K345" s="18" t="s">
        <v>122</v>
      </c>
      <c r="L345" s="18" t="s">
        <v>227</v>
      </c>
      <c r="M345" s="18">
        <v>2</v>
      </c>
      <c r="N345" s="18">
        <v>20</v>
      </c>
      <c r="O345" s="18">
        <v>20</v>
      </c>
      <c r="P345" s="18">
        <v>32</v>
      </c>
      <c r="Q345" s="18">
        <v>4</v>
      </c>
      <c r="R345" s="18" t="s">
        <v>34</v>
      </c>
      <c r="S345" s="18" t="s">
        <v>35</v>
      </c>
      <c r="T345" s="18" t="s">
        <v>332</v>
      </c>
      <c r="U345" s="19" t="s">
        <v>1546</v>
      </c>
      <c r="V345" s="18" t="s">
        <v>64</v>
      </c>
      <c r="W345" s="24" t="str">
        <f t="shared" si="5"/>
        <v>Blacklisted</v>
      </c>
    </row>
    <row r="346" spans="1:23">
      <c r="A346" s="15" t="s">
        <v>1547</v>
      </c>
      <c r="B346" s="15" t="s">
        <v>127</v>
      </c>
      <c r="C346" s="15" t="s">
        <v>92</v>
      </c>
      <c r="D346" s="15" t="s">
        <v>382</v>
      </c>
      <c r="E346" s="15" t="s">
        <v>1548</v>
      </c>
      <c r="F346" s="15" t="s">
        <v>200</v>
      </c>
      <c r="G346" s="15" t="s">
        <v>76</v>
      </c>
      <c r="H346" s="15" t="s">
        <v>1549</v>
      </c>
      <c r="I346" s="15" t="s">
        <v>59</v>
      </c>
      <c r="J346" s="15" t="s">
        <v>31</v>
      </c>
      <c r="K346" s="15" t="s">
        <v>32</v>
      </c>
      <c r="L346" s="15" t="s">
        <v>97</v>
      </c>
      <c r="M346" s="15">
        <v>16</v>
      </c>
      <c r="N346" s="15">
        <v>3500</v>
      </c>
      <c r="O346" s="15">
        <v>0</v>
      </c>
      <c r="P346" s="15">
        <v>56000</v>
      </c>
      <c r="Q346" s="15">
        <v>4</v>
      </c>
      <c r="R346" s="15" t="s">
        <v>34</v>
      </c>
      <c r="S346" s="15" t="s">
        <v>115</v>
      </c>
      <c r="T346" s="15" t="s">
        <v>132</v>
      </c>
      <c r="U346" s="17" t="s">
        <v>1550</v>
      </c>
      <c r="V346" s="15" t="s">
        <v>38</v>
      </c>
      <c r="W346" s="24" t="str">
        <f t="shared" si="5"/>
        <v>Gold</v>
      </c>
    </row>
    <row r="347" spans="1:23">
      <c r="A347" s="18" t="s">
        <v>1551</v>
      </c>
      <c r="B347" s="18" t="s">
        <v>53</v>
      </c>
      <c r="C347" s="18" t="s">
        <v>92</v>
      </c>
      <c r="D347" s="18" t="s">
        <v>1302</v>
      </c>
      <c r="E347" s="18" t="s">
        <v>94</v>
      </c>
      <c r="F347" s="18" t="s">
        <v>163</v>
      </c>
      <c r="G347" s="18" t="s">
        <v>28</v>
      </c>
      <c r="H347" s="18" t="s">
        <v>1552</v>
      </c>
      <c r="I347" s="18" t="s">
        <v>138</v>
      </c>
      <c r="J347" s="18" t="s">
        <v>106</v>
      </c>
      <c r="K347" s="18" t="s">
        <v>32</v>
      </c>
      <c r="L347" s="18" t="s">
        <v>97</v>
      </c>
      <c r="M347" s="18">
        <v>18</v>
      </c>
      <c r="N347" s="18">
        <v>3500</v>
      </c>
      <c r="O347" s="18">
        <v>15</v>
      </c>
      <c r="P347" s="18">
        <v>53550</v>
      </c>
      <c r="Q347" s="18">
        <v>5</v>
      </c>
      <c r="R347" s="18" t="s">
        <v>34</v>
      </c>
      <c r="S347" s="18" t="s">
        <v>151</v>
      </c>
      <c r="T347" s="18" t="s">
        <v>62</v>
      </c>
      <c r="U347" s="19" t="s">
        <v>1553</v>
      </c>
      <c r="V347" s="18" t="s">
        <v>69</v>
      </c>
      <c r="W347" s="24" t="str">
        <f t="shared" si="5"/>
        <v>Blacklisted</v>
      </c>
    </row>
    <row r="348" spans="1:23">
      <c r="A348" s="15" t="s">
        <v>1554</v>
      </c>
      <c r="B348" s="15" t="s">
        <v>23</v>
      </c>
      <c r="C348" s="15" t="s">
        <v>259</v>
      </c>
      <c r="D348" s="15" t="s">
        <v>65</v>
      </c>
      <c r="E348" s="15" t="s">
        <v>544</v>
      </c>
      <c r="F348" s="15" t="s">
        <v>27</v>
      </c>
      <c r="G348" s="15" t="s">
        <v>28</v>
      </c>
      <c r="H348" s="15" t="s">
        <v>1555</v>
      </c>
      <c r="I348" s="15" t="s">
        <v>138</v>
      </c>
      <c r="J348" s="15" t="s">
        <v>106</v>
      </c>
      <c r="K348" s="15" t="s">
        <v>122</v>
      </c>
      <c r="L348" s="15" t="s">
        <v>263</v>
      </c>
      <c r="M348" s="15">
        <v>20</v>
      </c>
      <c r="N348" s="15">
        <v>45</v>
      </c>
      <c r="O348" s="15">
        <v>15</v>
      </c>
      <c r="P348" s="15">
        <v>765</v>
      </c>
      <c r="Q348" s="15">
        <v>4</v>
      </c>
      <c r="R348" s="15" t="s">
        <v>34</v>
      </c>
      <c r="S348" s="15" t="s">
        <v>151</v>
      </c>
      <c r="T348" s="15" t="s">
        <v>50</v>
      </c>
      <c r="U348" s="17" t="s">
        <v>1556</v>
      </c>
      <c r="V348" s="15" t="s">
        <v>69</v>
      </c>
      <c r="W348" s="24" t="str">
        <f t="shared" si="5"/>
        <v>Blacklisted</v>
      </c>
    </row>
    <row r="349" spans="1:23">
      <c r="A349" s="18" t="s">
        <v>1557</v>
      </c>
      <c r="B349" s="18" t="s">
        <v>251</v>
      </c>
      <c r="C349" s="18" t="s">
        <v>24</v>
      </c>
      <c r="D349" s="18" t="s">
        <v>1286</v>
      </c>
      <c r="E349" s="18" t="s">
        <v>356</v>
      </c>
      <c r="F349" s="18" t="s">
        <v>254</v>
      </c>
      <c r="G349" s="18" t="s">
        <v>28</v>
      </c>
      <c r="H349" s="18" t="s">
        <v>1558</v>
      </c>
      <c r="I349" s="18" t="s">
        <v>44</v>
      </c>
      <c r="J349" s="18" t="s">
        <v>45</v>
      </c>
      <c r="K349" s="18" t="s">
        <v>32</v>
      </c>
      <c r="L349" s="18" t="s">
        <v>33</v>
      </c>
      <c r="M349" s="18">
        <v>13</v>
      </c>
      <c r="N349" s="18">
        <v>2200</v>
      </c>
      <c r="O349" s="18">
        <v>15</v>
      </c>
      <c r="P349" s="18">
        <v>24310</v>
      </c>
      <c r="Q349" s="18">
        <v>2</v>
      </c>
      <c r="R349" s="18" t="s">
        <v>48</v>
      </c>
      <c r="S349" s="18" t="s">
        <v>115</v>
      </c>
      <c r="T349" s="18" t="s">
        <v>256</v>
      </c>
      <c r="U349" s="19" t="s">
        <v>1559</v>
      </c>
      <c r="V349" s="18" t="s">
        <v>64</v>
      </c>
      <c r="W349" s="24" t="str">
        <f t="shared" si="5"/>
        <v>Blacklisted</v>
      </c>
    </row>
    <row r="350" spans="1:23">
      <c r="A350" s="15" t="s">
        <v>1560</v>
      </c>
      <c r="B350" s="15" t="s">
        <v>53</v>
      </c>
      <c r="C350" s="15" t="s">
        <v>1561</v>
      </c>
      <c r="D350" s="15" t="s">
        <v>340</v>
      </c>
      <c r="E350" s="15" t="s">
        <v>346</v>
      </c>
      <c r="F350" s="15" t="s">
        <v>163</v>
      </c>
      <c r="G350" s="15" t="s">
        <v>28</v>
      </c>
      <c r="H350" s="15" t="s">
        <v>1562</v>
      </c>
      <c r="I350" s="15" t="s">
        <v>294</v>
      </c>
      <c r="J350" s="15" t="s">
        <v>295</v>
      </c>
      <c r="K350" s="15" t="s">
        <v>32</v>
      </c>
      <c r="L350" s="15" t="s">
        <v>174</v>
      </c>
      <c r="M350" s="15">
        <v>11</v>
      </c>
      <c r="N350" s="15">
        <v>8500</v>
      </c>
      <c r="O350" s="15">
        <v>5</v>
      </c>
      <c r="P350" s="15">
        <v>88825</v>
      </c>
      <c r="Q350" s="15">
        <v>1</v>
      </c>
      <c r="R350" s="15" t="s">
        <v>88</v>
      </c>
      <c r="S350" s="15" t="s">
        <v>115</v>
      </c>
      <c r="T350" s="15" t="s">
        <v>62</v>
      </c>
      <c r="U350" s="17" t="s">
        <v>1563</v>
      </c>
      <c r="V350" s="15" t="s">
        <v>69</v>
      </c>
      <c r="W350" s="24" t="str">
        <f t="shared" si="5"/>
        <v>Blacklisted</v>
      </c>
    </row>
    <row r="351" spans="1:23">
      <c r="A351" s="18" t="s">
        <v>1564</v>
      </c>
      <c r="B351" s="18" t="s">
        <v>53</v>
      </c>
      <c r="C351" s="18" t="s">
        <v>24</v>
      </c>
      <c r="D351" s="18" t="s">
        <v>1565</v>
      </c>
      <c r="E351" s="18" t="s">
        <v>1475</v>
      </c>
      <c r="F351" s="18" t="s">
        <v>163</v>
      </c>
      <c r="G351" s="18" t="s">
        <v>28</v>
      </c>
      <c r="H351" s="18" t="s">
        <v>1566</v>
      </c>
      <c r="I351" s="18" t="s">
        <v>212</v>
      </c>
      <c r="J351" s="18" t="s">
        <v>45</v>
      </c>
      <c r="K351" s="18" t="s">
        <v>32</v>
      </c>
      <c r="L351" s="18" t="s">
        <v>33</v>
      </c>
      <c r="M351" s="18">
        <v>2</v>
      </c>
      <c r="N351" s="18">
        <v>2200</v>
      </c>
      <c r="O351" s="18">
        <v>0</v>
      </c>
      <c r="P351" s="18">
        <v>4400</v>
      </c>
      <c r="Q351" s="18">
        <v>4</v>
      </c>
      <c r="R351" s="18" t="s">
        <v>88</v>
      </c>
      <c r="S351" s="18" t="s">
        <v>151</v>
      </c>
      <c r="T351" s="18" t="s">
        <v>62</v>
      </c>
      <c r="U351" s="19" t="s">
        <v>1567</v>
      </c>
      <c r="V351" s="18" t="s">
        <v>64</v>
      </c>
      <c r="W351" s="24" t="str">
        <f t="shared" si="5"/>
        <v>Blacklisted</v>
      </c>
    </row>
    <row r="352" spans="1:23">
      <c r="A352" s="15" t="s">
        <v>1568</v>
      </c>
      <c r="B352" s="15" t="s">
        <v>83</v>
      </c>
      <c r="C352" s="15" t="s">
        <v>184</v>
      </c>
      <c r="D352" s="15" t="s">
        <v>1242</v>
      </c>
      <c r="E352" s="15" t="s">
        <v>720</v>
      </c>
      <c r="F352" s="15" t="s">
        <v>180</v>
      </c>
      <c r="G352" s="15" t="s">
        <v>76</v>
      </c>
      <c r="H352" s="15" t="s">
        <v>1569</v>
      </c>
      <c r="I352" s="15" t="s">
        <v>105</v>
      </c>
      <c r="J352" s="15" t="s">
        <v>106</v>
      </c>
      <c r="K352" s="15" t="s">
        <v>46</v>
      </c>
      <c r="L352" s="15" t="s">
        <v>189</v>
      </c>
      <c r="M352" s="15">
        <v>15</v>
      </c>
      <c r="N352" s="15">
        <v>700</v>
      </c>
      <c r="O352" s="15">
        <v>15</v>
      </c>
      <c r="P352" s="15">
        <v>8925</v>
      </c>
      <c r="Q352" s="15">
        <v>3</v>
      </c>
      <c r="R352" s="15" t="s">
        <v>48</v>
      </c>
      <c r="S352" s="15" t="s">
        <v>115</v>
      </c>
      <c r="T352" s="15" t="s">
        <v>89</v>
      </c>
      <c r="U352" s="17" t="s">
        <v>1570</v>
      </c>
      <c r="V352" s="15" t="s">
        <v>38</v>
      </c>
      <c r="W352" s="24" t="str">
        <f t="shared" si="5"/>
        <v>Silver</v>
      </c>
    </row>
    <row r="353" spans="1:23">
      <c r="A353" s="18" t="s">
        <v>1571</v>
      </c>
      <c r="B353" s="18" t="s">
        <v>127</v>
      </c>
      <c r="C353" s="18" t="s">
        <v>24</v>
      </c>
      <c r="D353" s="18" t="s">
        <v>1572</v>
      </c>
      <c r="E353" s="18" t="s">
        <v>835</v>
      </c>
      <c r="F353" s="18" t="s">
        <v>200</v>
      </c>
      <c r="G353" s="18" t="s">
        <v>76</v>
      </c>
      <c r="H353" s="18" t="s">
        <v>1573</v>
      </c>
      <c r="I353" s="18" t="s">
        <v>138</v>
      </c>
      <c r="J353" s="18" t="s">
        <v>106</v>
      </c>
      <c r="K353" s="18" t="s">
        <v>32</v>
      </c>
      <c r="L353" s="18" t="s">
        <v>33</v>
      </c>
      <c r="M353" s="18">
        <v>5</v>
      </c>
      <c r="N353" s="18">
        <v>2200</v>
      </c>
      <c r="O353" s="18">
        <v>15</v>
      </c>
      <c r="P353" s="18">
        <v>9350</v>
      </c>
      <c r="Q353" s="18">
        <v>1</v>
      </c>
      <c r="R353" s="18" t="s">
        <v>48</v>
      </c>
      <c r="S353" s="18" t="s">
        <v>115</v>
      </c>
      <c r="T353" s="18" t="s">
        <v>132</v>
      </c>
      <c r="U353" s="19" t="s">
        <v>1574</v>
      </c>
      <c r="V353" s="18" t="s">
        <v>64</v>
      </c>
      <c r="W353" s="24" t="str">
        <f t="shared" si="5"/>
        <v>Blacklisted</v>
      </c>
    </row>
    <row r="354" spans="1:23">
      <c r="A354" s="15" t="s">
        <v>1575</v>
      </c>
      <c r="B354" s="15" t="s">
        <v>83</v>
      </c>
      <c r="C354" s="15" t="s">
        <v>72</v>
      </c>
      <c r="D354" s="15" t="s">
        <v>554</v>
      </c>
      <c r="E354" s="15" t="s">
        <v>1480</v>
      </c>
      <c r="F354" s="15" t="s">
        <v>180</v>
      </c>
      <c r="G354" s="15" t="s">
        <v>76</v>
      </c>
      <c r="H354" s="15" t="s">
        <v>1576</v>
      </c>
      <c r="I354" s="15" t="s">
        <v>138</v>
      </c>
      <c r="J354" s="15" t="s">
        <v>106</v>
      </c>
      <c r="K354" s="15" t="s">
        <v>46</v>
      </c>
      <c r="L354" s="15" t="s">
        <v>78</v>
      </c>
      <c r="M354" s="15">
        <v>15</v>
      </c>
      <c r="N354" s="15">
        <v>1200</v>
      </c>
      <c r="O354" s="15">
        <v>0</v>
      </c>
      <c r="P354" s="15">
        <v>18000</v>
      </c>
      <c r="Q354" s="15">
        <v>3</v>
      </c>
      <c r="R354" s="15" t="s">
        <v>48</v>
      </c>
      <c r="S354" s="15" t="s">
        <v>61</v>
      </c>
      <c r="T354" s="15" t="s">
        <v>89</v>
      </c>
      <c r="U354" s="17" t="s">
        <v>1577</v>
      </c>
      <c r="V354" s="15" t="s">
        <v>69</v>
      </c>
      <c r="W354" s="24" t="str">
        <f t="shared" si="5"/>
        <v>Blacklisted</v>
      </c>
    </row>
    <row r="355" spans="1:23">
      <c r="A355" s="18" t="s">
        <v>1578</v>
      </c>
      <c r="B355" s="18" t="s">
        <v>251</v>
      </c>
      <c r="C355" s="18" t="s">
        <v>72</v>
      </c>
      <c r="D355" s="18" t="s">
        <v>161</v>
      </c>
      <c r="E355" s="18" t="s">
        <v>657</v>
      </c>
      <c r="F355" s="18" t="s">
        <v>254</v>
      </c>
      <c r="G355" s="18" t="s">
        <v>28</v>
      </c>
      <c r="H355" s="18" t="s">
        <v>1579</v>
      </c>
      <c r="I355" s="18" t="s">
        <v>105</v>
      </c>
      <c r="J355" s="18" t="s">
        <v>106</v>
      </c>
      <c r="K355" s="18" t="s">
        <v>46</v>
      </c>
      <c r="L355" s="18" t="s">
        <v>78</v>
      </c>
      <c r="M355" s="18">
        <v>19</v>
      </c>
      <c r="N355" s="18">
        <v>1200</v>
      </c>
      <c r="O355" s="18">
        <v>0</v>
      </c>
      <c r="P355" s="18">
        <v>22800</v>
      </c>
      <c r="Q355" s="18">
        <v>1</v>
      </c>
      <c r="R355" s="18" t="s">
        <v>34</v>
      </c>
      <c r="S355" s="18" t="s">
        <v>49</v>
      </c>
      <c r="T355" s="18" t="s">
        <v>256</v>
      </c>
      <c r="U355" s="19" t="s">
        <v>1580</v>
      </c>
      <c r="V355" s="18" t="s">
        <v>69</v>
      </c>
      <c r="W355" s="24" t="str">
        <f t="shared" si="5"/>
        <v>Blacklisted</v>
      </c>
    </row>
    <row r="356" spans="1:23">
      <c r="A356" s="15" t="s">
        <v>1581</v>
      </c>
      <c r="B356" s="15" t="s">
        <v>168</v>
      </c>
      <c r="C356" s="15" t="s">
        <v>40</v>
      </c>
      <c r="D356" s="15" t="s">
        <v>25</v>
      </c>
      <c r="E356" s="15" t="s">
        <v>1582</v>
      </c>
      <c r="F356" s="15" t="s">
        <v>361</v>
      </c>
      <c r="G356" s="15" t="s">
        <v>28</v>
      </c>
      <c r="H356" s="15" t="s">
        <v>1583</v>
      </c>
      <c r="I356" s="15" t="s">
        <v>105</v>
      </c>
      <c r="J356" s="15" t="s">
        <v>106</v>
      </c>
      <c r="K356" s="15" t="s">
        <v>46</v>
      </c>
      <c r="L356" s="15" t="s">
        <v>47</v>
      </c>
      <c r="M356" s="15">
        <v>9</v>
      </c>
      <c r="N356" s="15">
        <v>12000</v>
      </c>
      <c r="O356" s="15">
        <v>15</v>
      </c>
      <c r="P356" s="15">
        <v>91800</v>
      </c>
      <c r="Q356" s="15">
        <v>3</v>
      </c>
      <c r="R356" s="15" t="s">
        <v>88</v>
      </c>
      <c r="S356" s="15" t="s">
        <v>49</v>
      </c>
      <c r="T356" s="15" t="s">
        <v>175</v>
      </c>
      <c r="U356" s="17" t="s">
        <v>1584</v>
      </c>
      <c r="V356" s="15" t="s">
        <v>69</v>
      </c>
      <c r="W356" s="24" t="str">
        <f t="shared" si="5"/>
        <v>Blacklisted</v>
      </c>
    </row>
    <row r="357" spans="1:23">
      <c r="A357" s="18" t="s">
        <v>1585</v>
      </c>
      <c r="B357" s="18" t="s">
        <v>23</v>
      </c>
      <c r="C357" s="18" t="s">
        <v>259</v>
      </c>
      <c r="D357" s="18" t="s">
        <v>345</v>
      </c>
      <c r="E357" s="18" t="s">
        <v>793</v>
      </c>
      <c r="F357" s="18" t="s">
        <v>27</v>
      </c>
      <c r="G357" s="18" t="s">
        <v>28</v>
      </c>
      <c r="H357" s="18" t="s">
        <v>1586</v>
      </c>
      <c r="I357" s="18" t="s">
        <v>212</v>
      </c>
      <c r="J357" s="18" t="s">
        <v>45</v>
      </c>
      <c r="K357" s="18" t="s">
        <v>122</v>
      </c>
      <c r="L357" s="18" t="s">
        <v>263</v>
      </c>
      <c r="M357" s="18">
        <v>5</v>
      </c>
      <c r="N357" s="18">
        <v>45</v>
      </c>
      <c r="O357" s="18">
        <v>5</v>
      </c>
      <c r="P357" s="18">
        <v>213.75</v>
      </c>
      <c r="Q357" s="18">
        <v>1</v>
      </c>
      <c r="R357" s="18" t="s">
        <v>79</v>
      </c>
      <c r="S357" s="18" t="s">
        <v>115</v>
      </c>
      <c r="T357" s="18" t="s">
        <v>50</v>
      </c>
      <c r="U357" s="19" t="s">
        <v>1587</v>
      </c>
      <c r="V357" s="18" t="s">
        <v>38</v>
      </c>
      <c r="W357" s="24" t="str">
        <f t="shared" si="5"/>
        <v>Blacklisted</v>
      </c>
    </row>
    <row r="358" spans="1:23">
      <c r="A358" s="15" t="s">
        <v>1588</v>
      </c>
      <c r="B358" s="15" t="s">
        <v>251</v>
      </c>
      <c r="C358" s="15" t="s">
        <v>184</v>
      </c>
      <c r="D358" s="15" t="s">
        <v>1589</v>
      </c>
      <c r="E358" s="15" t="s">
        <v>1373</v>
      </c>
      <c r="F358" s="15" t="s">
        <v>254</v>
      </c>
      <c r="G358" s="15" t="s">
        <v>28</v>
      </c>
      <c r="H358" s="15" t="s">
        <v>1590</v>
      </c>
      <c r="I358" s="15" t="s">
        <v>105</v>
      </c>
      <c r="J358" s="15" t="s">
        <v>106</v>
      </c>
      <c r="K358" s="15" t="s">
        <v>46</v>
      </c>
      <c r="L358" s="15" t="s">
        <v>189</v>
      </c>
      <c r="M358" s="15">
        <v>3</v>
      </c>
      <c r="N358" s="15">
        <v>700</v>
      </c>
      <c r="O358" s="15">
        <v>15</v>
      </c>
      <c r="P358" s="15">
        <v>1785</v>
      </c>
      <c r="Q358" s="15">
        <v>4</v>
      </c>
      <c r="R358" s="15" t="s">
        <v>34</v>
      </c>
      <c r="S358" s="15" t="s">
        <v>151</v>
      </c>
      <c r="T358" s="15" t="s">
        <v>256</v>
      </c>
      <c r="U358" s="17" t="s">
        <v>1591</v>
      </c>
      <c r="V358" s="15" t="s">
        <v>38</v>
      </c>
      <c r="W358" s="24" t="str">
        <f t="shared" si="5"/>
        <v>Silver</v>
      </c>
    </row>
    <row r="359" spans="1:23">
      <c r="A359" s="18" t="s">
        <v>1592</v>
      </c>
      <c r="B359" s="18" t="s">
        <v>71</v>
      </c>
      <c r="C359" s="18" t="s">
        <v>169</v>
      </c>
      <c r="D359" s="18" t="s">
        <v>454</v>
      </c>
      <c r="E359" s="18" t="s">
        <v>961</v>
      </c>
      <c r="F359" s="18" t="s">
        <v>217</v>
      </c>
      <c r="G359" s="18" t="s">
        <v>76</v>
      </c>
      <c r="H359" s="18" t="s">
        <v>1593</v>
      </c>
      <c r="I359" s="18" t="s">
        <v>212</v>
      </c>
      <c r="J359" s="18" t="s">
        <v>45</v>
      </c>
      <c r="K359" s="18" t="s">
        <v>32</v>
      </c>
      <c r="L359" s="18" t="s">
        <v>174</v>
      </c>
      <c r="M359" s="18">
        <v>12</v>
      </c>
      <c r="N359" s="18">
        <v>8500</v>
      </c>
      <c r="O359" s="18">
        <v>5</v>
      </c>
      <c r="P359" s="18">
        <v>96900</v>
      </c>
      <c r="Q359" s="18">
        <v>3</v>
      </c>
      <c r="R359" s="18" t="s">
        <v>79</v>
      </c>
      <c r="S359" s="18" t="s">
        <v>61</v>
      </c>
      <c r="T359" s="18" t="s">
        <v>80</v>
      </c>
      <c r="U359" s="19" t="s">
        <v>1594</v>
      </c>
      <c r="V359" s="18" t="s">
        <v>64</v>
      </c>
      <c r="W359" s="24" t="str">
        <f t="shared" si="5"/>
        <v>Blacklisted</v>
      </c>
    </row>
    <row r="360" spans="1:23">
      <c r="A360" s="15" t="s">
        <v>1595</v>
      </c>
      <c r="B360" s="15" t="s">
        <v>251</v>
      </c>
      <c r="C360" s="15" t="s">
        <v>169</v>
      </c>
      <c r="D360" s="15" t="s">
        <v>162</v>
      </c>
      <c r="E360" s="15" t="s">
        <v>356</v>
      </c>
      <c r="F360" s="15" t="s">
        <v>254</v>
      </c>
      <c r="G360" s="15" t="s">
        <v>28</v>
      </c>
      <c r="H360" s="15" t="s">
        <v>1596</v>
      </c>
      <c r="I360" s="15" t="s">
        <v>114</v>
      </c>
      <c r="J360" s="15" t="s">
        <v>106</v>
      </c>
      <c r="K360" s="15" t="s">
        <v>32</v>
      </c>
      <c r="L360" s="15" t="s">
        <v>174</v>
      </c>
      <c r="M360" s="15">
        <v>4</v>
      </c>
      <c r="N360" s="15">
        <v>8500</v>
      </c>
      <c r="O360" s="15">
        <v>15</v>
      </c>
      <c r="P360" s="15">
        <v>28900</v>
      </c>
      <c r="Q360" s="15">
        <v>4</v>
      </c>
      <c r="R360" s="15" t="s">
        <v>48</v>
      </c>
      <c r="S360" s="15" t="s">
        <v>61</v>
      </c>
      <c r="T360" s="15" t="s">
        <v>256</v>
      </c>
      <c r="U360" s="17" t="s">
        <v>1597</v>
      </c>
      <c r="V360" s="15" t="s">
        <v>64</v>
      </c>
      <c r="W360" s="24" t="str">
        <f t="shared" si="5"/>
        <v>Blacklisted</v>
      </c>
    </row>
    <row r="361" spans="1:23">
      <c r="A361" s="18" t="s">
        <v>1598</v>
      </c>
      <c r="B361" s="18" t="s">
        <v>127</v>
      </c>
      <c r="C361" s="18" t="s">
        <v>222</v>
      </c>
      <c r="D361" s="18" t="s">
        <v>102</v>
      </c>
      <c r="E361" s="18" t="s">
        <v>953</v>
      </c>
      <c r="F361" s="18" t="s">
        <v>200</v>
      </c>
      <c r="G361" s="18" t="s">
        <v>76</v>
      </c>
      <c r="H361" s="18" t="s">
        <v>1599</v>
      </c>
      <c r="I361" s="18" t="s">
        <v>212</v>
      </c>
      <c r="J361" s="18" t="s">
        <v>45</v>
      </c>
      <c r="K361" s="18" t="s">
        <v>122</v>
      </c>
      <c r="L361" s="18" t="s">
        <v>227</v>
      </c>
      <c r="M361" s="18">
        <v>16</v>
      </c>
      <c r="N361" s="18">
        <v>20</v>
      </c>
      <c r="O361" s="18">
        <v>10</v>
      </c>
      <c r="P361" s="18">
        <v>288</v>
      </c>
      <c r="Q361" s="18">
        <v>4</v>
      </c>
      <c r="R361" s="18" t="s">
        <v>34</v>
      </c>
      <c r="S361" s="18" t="s">
        <v>115</v>
      </c>
      <c r="T361" s="18" t="s">
        <v>132</v>
      </c>
      <c r="U361" s="19" t="s">
        <v>1600</v>
      </c>
      <c r="V361" s="18" t="s">
        <v>69</v>
      </c>
      <c r="W361" s="24" t="str">
        <f t="shared" si="5"/>
        <v>Blacklisted</v>
      </c>
    </row>
    <row r="362" spans="1:23">
      <c r="A362" s="15" t="s">
        <v>1601</v>
      </c>
      <c r="B362" s="15" t="s">
        <v>127</v>
      </c>
      <c r="C362" s="15" t="s">
        <v>118</v>
      </c>
      <c r="D362" s="15" t="s">
        <v>601</v>
      </c>
      <c r="E362" s="15" t="s">
        <v>1602</v>
      </c>
      <c r="F362" s="15" t="s">
        <v>200</v>
      </c>
      <c r="G362" s="15" t="s">
        <v>76</v>
      </c>
      <c r="H362" s="15" t="s">
        <v>1603</v>
      </c>
      <c r="I362" s="15" t="s">
        <v>105</v>
      </c>
      <c r="J362" s="15" t="s">
        <v>106</v>
      </c>
      <c r="K362" s="15" t="s">
        <v>122</v>
      </c>
      <c r="L362" s="15" t="s">
        <v>123</v>
      </c>
      <c r="M362" s="15">
        <v>3</v>
      </c>
      <c r="N362" s="15">
        <v>60</v>
      </c>
      <c r="O362" s="15">
        <v>20</v>
      </c>
      <c r="P362" s="15">
        <v>144</v>
      </c>
      <c r="Q362" s="15">
        <v>4</v>
      </c>
      <c r="R362" s="15" t="s">
        <v>88</v>
      </c>
      <c r="S362" s="15" t="s">
        <v>151</v>
      </c>
      <c r="T362" s="15" t="s">
        <v>132</v>
      </c>
      <c r="U362" s="17" t="s">
        <v>1604</v>
      </c>
      <c r="V362" s="15" t="s">
        <v>64</v>
      </c>
      <c r="W362" s="24" t="str">
        <f t="shared" si="5"/>
        <v>Blacklisted</v>
      </c>
    </row>
    <row r="363" spans="1:23">
      <c r="A363" s="18" t="s">
        <v>1605</v>
      </c>
      <c r="B363" s="18" t="s">
        <v>71</v>
      </c>
      <c r="C363" s="18" t="s">
        <v>24</v>
      </c>
      <c r="D363" s="18" t="s">
        <v>1106</v>
      </c>
      <c r="E363" s="18" t="s">
        <v>155</v>
      </c>
      <c r="F363" s="18" t="s">
        <v>217</v>
      </c>
      <c r="G363" s="18" t="s">
        <v>76</v>
      </c>
      <c r="H363" s="18" t="s">
        <v>1606</v>
      </c>
      <c r="I363" s="18" t="s">
        <v>105</v>
      </c>
      <c r="J363" s="18" t="s">
        <v>106</v>
      </c>
      <c r="K363" s="18" t="s">
        <v>32</v>
      </c>
      <c r="L363" s="18" t="s">
        <v>33</v>
      </c>
      <c r="M363" s="18">
        <v>19</v>
      </c>
      <c r="N363" s="18">
        <v>2200</v>
      </c>
      <c r="O363" s="18">
        <v>10</v>
      </c>
      <c r="P363" s="18">
        <v>37620</v>
      </c>
      <c r="Q363" s="18">
        <v>2</v>
      </c>
      <c r="R363" s="18" t="s">
        <v>34</v>
      </c>
      <c r="S363" s="18" t="s">
        <v>151</v>
      </c>
      <c r="T363" s="18" t="s">
        <v>80</v>
      </c>
      <c r="U363" s="19" t="s">
        <v>1607</v>
      </c>
      <c r="V363" s="18" t="s">
        <v>64</v>
      </c>
      <c r="W363" s="24" t="str">
        <f t="shared" si="5"/>
        <v>Blacklisted</v>
      </c>
    </row>
    <row r="364" spans="1:23">
      <c r="A364" s="15" t="s">
        <v>1608</v>
      </c>
      <c r="B364" s="15" t="s">
        <v>71</v>
      </c>
      <c r="C364" s="15" t="s">
        <v>72</v>
      </c>
      <c r="D364" s="15" t="s">
        <v>1609</v>
      </c>
      <c r="E364" s="15" t="s">
        <v>588</v>
      </c>
      <c r="F364" s="15" t="s">
        <v>217</v>
      </c>
      <c r="G364" s="15" t="s">
        <v>76</v>
      </c>
      <c r="H364" s="15" t="s">
        <v>1610</v>
      </c>
      <c r="I364" s="15" t="s">
        <v>30</v>
      </c>
      <c r="J364" s="15" t="s">
        <v>31</v>
      </c>
      <c r="K364" s="15" t="s">
        <v>46</v>
      </c>
      <c r="L364" s="15" t="s">
        <v>78</v>
      </c>
      <c r="M364" s="15">
        <v>7</v>
      </c>
      <c r="N364" s="15">
        <v>1200</v>
      </c>
      <c r="O364" s="15">
        <v>20</v>
      </c>
      <c r="P364" s="15">
        <v>6720</v>
      </c>
      <c r="Q364" s="15">
        <v>3</v>
      </c>
      <c r="R364" s="15" t="s">
        <v>79</v>
      </c>
      <c r="S364" s="15" t="s">
        <v>115</v>
      </c>
      <c r="T364" s="15" t="s">
        <v>80</v>
      </c>
      <c r="U364" s="17" t="s">
        <v>1611</v>
      </c>
      <c r="V364" s="15" t="s">
        <v>69</v>
      </c>
      <c r="W364" s="24" t="str">
        <f t="shared" si="5"/>
        <v>Blacklisted</v>
      </c>
    </row>
    <row r="365" spans="1:23">
      <c r="A365" s="18" t="s">
        <v>1612</v>
      </c>
      <c r="B365" s="18" t="s">
        <v>53</v>
      </c>
      <c r="C365" s="18" t="s">
        <v>222</v>
      </c>
      <c r="D365" s="18" t="s">
        <v>543</v>
      </c>
      <c r="E365" s="18" t="s">
        <v>65</v>
      </c>
      <c r="F365" s="18" t="s">
        <v>163</v>
      </c>
      <c r="G365" s="18" t="s">
        <v>28</v>
      </c>
      <c r="H365" s="18" t="s">
        <v>1613</v>
      </c>
      <c r="I365" s="18" t="s">
        <v>59</v>
      </c>
      <c r="J365" s="18" t="s">
        <v>31</v>
      </c>
      <c r="K365" s="18" t="s">
        <v>122</v>
      </c>
      <c r="L365" s="18" t="s">
        <v>227</v>
      </c>
      <c r="M365" s="18">
        <v>20</v>
      </c>
      <c r="N365" s="18">
        <v>20</v>
      </c>
      <c r="O365" s="18">
        <v>20</v>
      </c>
      <c r="P365" s="18">
        <v>320</v>
      </c>
      <c r="Q365" s="18">
        <v>5</v>
      </c>
      <c r="R365" s="18" t="s">
        <v>79</v>
      </c>
      <c r="S365" s="18" t="s">
        <v>115</v>
      </c>
      <c r="T365" s="18" t="s">
        <v>62</v>
      </c>
      <c r="U365" s="19" t="s">
        <v>1614</v>
      </c>
      <c r="V365" s="18" t="s">
        <v>64</v>
      </c>
      <c r="W365" s="24" t="str">
        <f t="shared" si="5"/>
        <v>Blacklisted</v>
      </c>
    </row>
    <row r="366" spans="1:23">
      <c r="A366" s="15" t="s">
        <v>1615</v>
      </c>
      <c r="B366" s="15" t="s">
        <v>100</v>
      </c>
      <c r="C366" s="15" t="s">
        <v>72</v>
      </c>
      <c r="D366" s="15" t="s">
        <v>210</v>
      </c>
      <c r="E366" s="15" t="s">
        <v>1616</v>
      </c>
      <c r="F366" s="15" t="s">
        <v>103</v>
      </c>
      <c r="G366" s="15" t="s">
        <v>28</v>
      </c>
      <c r="H366" s="15" t="s">
        <v>1617</v>
      </c>
      <c r="I366" s="15" t="s">
        <v>30</v>
      </c>
      <c r="J366" s="15" t="s">
        <v>31</v>
      </c>
      <c r="K366" s="15" t="s">
        <v>46</v>
      </c>
      <c r="L366" s="15" t="s">
        <v>78</v>
      </c>
      <c r="M366" s="15">
        <v>19</v>
      </c>
      <c r="N366" s="15">
        <v>1200</v>
      </c>
      <c r="O366" s="15">
        <v>5</v>
      </c>
      <c r="P366" s="15">
        <v>21660</v>
      </c>
      <c r="Q366" s="15">
        <v>3</v>
      </c>
      <c r="R366" s="15" t="s">
        <v>79</v>
      </c>
      <c r="S366" s="15" t="s">
        <v>35</v>
      </c>
      <c r="T366" s="15" t="s">
        <v>144</v>
      </c>
      <c r="U366" s="17" t="s">
        <v>1618</v>
      </c>
      <c r="V366" s="15" t="s">
        <v>64</v>
      </c>
      <c r="W366" s="24" t="str">
        <f t="shared" si="5"/>
        <v>Blacklisted</v>
      </c>
    </row>
    <row r="367" spans="1:23">
      <c r="A367" s="18" t="s">
        <v>1619</v>
      </c>
      <c r="B367" s="18" t="s">
        <v>53</v>
      </c>
      <c r="C367" s="18" t="s">
        <v>222</v>
      </c>
      <c r="D367" s="18" t="s">
        <v>1620</v>
      </c>
      <c r="E367" s="18" t="s">
        <v>302</v>
      </c>
      <c r="F367" s="18" t="s">
        <v>163</v>
      </c>
      <c r="G367" s="18" t="s">
        <v>28</v>
      </c>
      <c r="H367" s="18" t="s">
        <v>1621</v>
      </c>
      <c r="I367" s="18" t="s">
        <v>30</v>
      </c>
      <c r="J367" s="18" t="s">
        <v>31</v>
      </c>
      <c r="K367" s="18" t="s">
        <v>122</v>
      </c>
      <c r="L367" s="18" t="s">
        <v>227</v>
      </c>
      <c r="M367" s="18">
        <v>5</v>
      </c>
      <c r="N367" s="18">
        <v>20</v>
      </c>
      <c r="O367" s="18">
        <v>0</v>
      </c>
      <c r="P367" s="18">
        <v>100</v>
      </c>
      <c r="Q367" s="18">
        <v>2</v>
      </c>
      <c r="R367" s="18" t="s">
        <v>88</v>
      </c>
      <c r="S367" s="18" t="s">
        <v>49</v>
      </c>
      <c r="T367" s="18" t="s">
        <v>62</v>
      </c>
      <c r="U367" s="19" t="s">
        <v>1622</v>
      </c>
      <c r="V367" s="18" t="s">
        <v>64</v>
      </c>
      <c r="W367" s="24" t="str">
        <f t="shared" si="5"/>
        <v>Blacklisted</v>
      </c>
    </row>
    <row r="368" spans="1:23">
      <c r="A368" s="15" t="s">
        <v>1623</v>
      </c>
      <c r="B368" s="15" t="s">
        <v>100</v>
      </c>
      <c r="C368" s="15" t="s">
        <v>259</v>
      </c>
      <c r="D368" s="15" t="s">
        <v>797</v>
      </c>
      <c r="E368" s="15" t="s">
        <v>543</v>
      </c>
      <c r="F368" s="15" t="s">
        <v>103</v>
      </c>
      <c r="G368" s="15" t="s">
        <v>28</v>
      </c>
      <c r="H368" s="15" t="s">
        <v>1624</v>
      </c>
      <c r="I368" s="15" t="s">
        <v>212</v>
      </c>
      <c r="J368" s="15" t="s">
        <v>45</v>
      </c>
      <c r="K368" s="15" t="s">
        <v>122</v>
      </c>
      <c r="L368" s="15" t="s">
        <v>263</v>
      </c>
      <c r="M368" s="15">
        <v>16</v>
      </c>
      <c r="N368" s="15">
        <v>45</v>
      </c>
      <c r="O368" s="15">
        <v>15</v>
      </c>
      <c r="P368" s="15">
        <v>612</v>
      </c>
      <c r="Q368" s="15">
        <v>5</v>
      </c>
      <c r="R368" s="15" t="s">
        <v>34</v>
      </c>
      <c r="S368" s="15" t="s">
        <v>61</v>
      </c>
      <c r="T368" s="15" t="s">
        <v>144</v>
      </c>
      <c r="U368" s="17" t="s">
        <v>1625</v>
      </c>
      <c r="V368" s="15" t="s">
        <v>69</v>
      </c>
      <c r="W368" s="24" t="str">
        <f t="shared" si="5"/>
        <v>Blacklisted</v>
      </c>
    </row>
    <row r="369" spans="1:23">
      <c r="A369" s="18" t="s">
        <v>1626</v>
      </c>
      <c r="B369" s="18" t="s">
        <v>23</v>
      </c>
      <c r="C369" s="18" t="s">
        <v>24</v>
      </c>
      <c r="D369" s="18" t="s">
        <v>1263</v>
      </c>
      <c r="E369" s="18" t="s">
        <v>944</v>
      </c>
      <c r="F369" s="18" t="s">
        <v>27</v>
      </c>
      <c r="G369" s="18" t="s">
        <v>28</v>
      </c>
      <c r="H369" s="18" t="s">
        <v>1627</v>
      </c>
      <c r="I369" s="18" t="s">
        <v>212</v>
      </c>
      <c r="J369" s="18" t="s">
        <v>45</v>
      </c>
      <c r="K369" s="18" t="s">
        <v>32</v>
      </c>
      <c r="L369" s="18" t="s">
        <v>33</v>
      </c>
      <c r="M369" s="18">
        <v>1</v>
      </c>
      <c r="N369" s="18">
        <v>2200</v>
      </c>
      <c r="O369" s="18">
        <v>10</v>
      </c>
      <c r="P369" s="18">
        <v>1980</v>
      </c>
      <c r="Q369" s="18">
        <v>5</v>
      </c>
      <c r="R369" s="18" t="s">
        <v>79</v>
      </c>
      <c r="S369" s="18" t="s">
        <v>49</v>
      </c>
      <c r="T369" s="18" t="s">
        <v>50</v>
      </c>
      <c r="U369" s="19" t="s">
        <v>1628</v>
      </c>
      <c r="V369" s="18" t="s">
        <v>38</v>
      </c>
      <c r="W369" s="24" t="str">
        <f t="shared" si="5"/>
        <v>Silver</v>
      </c>
    </row>
    <row r="370" spans="1:23">
      <c r="A370" s="15" t="s">
        <v>1629</v>
      </c>
      <c r="B370" s="15" t="s">
        <v>53</v>
      </c>
      <c r="C370" s="15" t="s">
        <v>118</v>
      </c>
      <c r="D370" s="15" t="s">
        <v>891</v>
      </c>
      <c r="E370" s="15" t="s">
        <v>1630</v>
      </c>
      <c r="F370" s="15" t="s">
        <v>163</v>
      </c>
      <c r="G370" s="15" t="s">
        <v>28</v>
      </c>
      <c r="H370" s="15" t="s">
        <v>1631</v>
      </c>
      <c r="I370" s="15" t="s">
        <v>30</v>
      </c>
      <c r="J370" s="15" t="s">
        <v>31</v>
      </c>
      <c r="K370" s="15" t="s">
        <v>122</v>
      </c>
      <c r="L370" s="15" t="s">
        <v>123</v>
      </c>
      <c r="M370" s="15">
        <v>19</v>
      </c>
      <c r="N370" s="15">
        <v>60</v>
      </c>
      <c r="O370" s="15">
        <v>15</v>
      </c>
      <c r="P370" s="15">
        <v>969</v>
      </c>
      <c r="Q370" s="15">
        <v>4</v>
      </c>
      <c r="R370" s="15" t="s">
        <v>48</v>
      </c>
      <c r="S370" s="15" t="s">
        <v>115</v>
      </c>
      <c r="T370" s="15" t="s">
        <v>62</v>
      </c>
      <c r="U370" s="17" t="s">
        <v>1632</v>
      </c>
      <c r="V370" s="15" t="s">
        <v>69</v>
      </c>
      <c r="W370" s="24" t="str">
        <f t="shared" si="5"/>
        <v>Blacklisted</v>
      </c>
    </row>
    <row r="371" spans="1:23">
      <c r="A371" s="18" t="s">
        <v>1633</v>
      </c>
      <c r="B371" s="18" t="s">
        <v>327</v>
      </c>
      <c r="C371" s="18" t="s">
        <v>54</v>
      </c>
      <c r="D371" s="18"/>
      <c r="E371" s="18" t="s">
        <v>1634</v>
      </c>
      <c r="F371" s="18" t="s">
        <v>394</v>
      </c>
      <c r="G371" s="18" t="s">
        <v>76</v>
      </c>
      <c r="H371" s="18" t="s">
        <v>1635</v>
      </c>
      <c r="I371" s="18" t="s">
        <v>44</v>
      </c>
      <c r="J371" s="18" t="s">
        <v>45</v>
      </c>
      <c r="K371" s="18" t="s">
        <v>46</v>
      </c>
      <c r="L371" s="18" t="s">
        <v>60</v>
      </c>
      <c r="M371" s="18">
        <v>15</v>
      </c>
      <c r="N371" s="18">
        <v>55000</v>
      </c>
      <c r="O371" s="18">
        <v>0</v>
      </c>
      <c r="P371" s="18">
        <v>825000</v>
      </c>
      <c r="Q371" s="18">
        <v>5</v>
      </c>
      <c r="R371" s="18" t="s">
        <v>79</v>
      </c>
      <c r="S371" s="18" t="s">
        <v>115</v>
      </c>
      <c r="T371" s="18" t="s">
        <v>332</v>
      </c>
      <c r="U371" s="19" t="s">
        <v>1636</v>
      </c>
      <c r="V371" s="18" t="s">
        <v>69</v>
      </c>
      <c r="W371" s="24" t="str">
        <f t="shared" si="5"/>
        <v>Blacklisted</v>
      </c>
    </row>
    <row r="372" spans="1:23">
      <c r="A372" s="15" t="s">
        <v>1637</v>
      </c>
      <c r="B372" s="15" t="s">
        <v>71</v>
      </c>
      <c r="C372" s="15" t="s">
        <v>259</v>
      </c>
      <c r="D372" s="15" t="s">
        <v>941</v>
      </c>
      <c r="E372" s="15" t="s">
        <v>1638</v>
      </c>
      <c r="F372" s="15" t="s">
        <v>217</v>
      </c>
      <c r="G372" s="15" t="s">
        <v>76</v>
      </c>
      <c r="H372" s="15" t="s">
        <v>1639</v>
      </c>
      <c r="I372" s="15" t="s">
        <v>59</v>
      </c>
      <c r="J372" s="15" t="s">
        <v>31</v>
      </c>
      <c r="K372" s="15" t="s">
        <v>122</v>
      </c>
      <c r="L372" s="15" t="s">
        <v>263</v>
      </c>
      <c r="M372" s="15">
        <v>11</v>
      </c>
      <c r="N372" s="15">
        <v>45</v>
      </c>
      <c r="O372" s="15">
        <v>5</v>
      </c>
      <c r="P372" s="15">
        <v>470.25</v>
      </c>
      <c r="Q372" s="15">
        <v>5</v>
      </c>
      <c r="R372" s="15" t="s">
        <v>48</v>
      </c>
      <c r="S372" s="15" t="s">
        <v>151</v>
      </c>
      <c r="T372" s="15" t="s">
        <v>80</v>
      </c>
      <c r="U372" s="17" t="s">
        <v>1640</v>
      </c>
      <c r="V372" s="15" t="s">
        <v>38</v>
      </c>
      <c r="W372" s="24" t="str">
        <f t="shared" si="5"/>
        <v>Silver</v>
      </c>
    </row>
    <row r="373" spans="1:23">
      <c r="A373" s="18" t="s">
        <v>1641</v>
      </c>
      <c r="B373" s="18" t="s">
        <v>251</v>
      </c>
      <c r="C373" s="18" t="s">
        <v>222</v>
      </c>
      <c r="D373" s="18" t="s">
        <v>1642</v>
      </c>
      <c r="E373" s="18" t="s">
        <v>1643</v>
      </c>
      <c r="F373" s="18" t="s">
        <v>254</v>
      </c>
      <c r="G373" s="18" t="s">
        <v>28</v>
      </c>
      <c r="H373" s="18" t="s">
        <v>1644</v>
      </c>
      <c r="I373" s="18" t="s">
        <v>212</v>
      </c>
      <c r="J373" s="18" t="s">
        <v>45</v>
      </c>
      <c r="K373" s="18" t="s">
        <v>122</v>
      </c>
      <c r="L373" s="18" t="s">
        <v>227</v>
      </c>
      <c r="M373" s="18">
        <v>9</v>
      </c>
      <c r="N373" s="18">
        <v>20</v>
      </c>
      <c r="O373" s="18">
        <v>10</v>
      </c>
      <c r="P373" s="18">
        <v>162</v>
      </c>
      <c r="Q373" s="18">
        <v>1</v>
      </c>
      <c r="R373" s="18" t="s">
        <v>79</v>
      </c>
      <c r="S373" s="18" t="s">
        <v>49</v>
      </c>
      <c r="T373" s="18" t="s">
        <v>256</v>
      </c>
      <c r="U373" s="19" t="s">
        <v>1645</v>
      </c>
      <c r="V373" s="18" t="s">
        <v>69</v>
      </c>
      <c r="W373" s="24" t="str">
        <f t="shared" si="5"/>
        <v>Blacklisted</v>
      </c>
    </row>
    <row r="374" spans="1:23">
      <c r="A374" s="15" t="s">
        <v>1646</v>
      </c>
      <c r="B374" s="15" t="s">
        <v>168</v>
      </c>
      <c r="C374" s="15" t="s">
        <v>259</v>
      </c>
      <c r="D374" s="15" t="s">
        <v>645</v>
      </c>
      <c r="E374" s="15" t="s">
        <v>980</v>
      </c>
      <c r="F374" s="15" t="s">
        <v>361</v>
      </c>
      <c r="G374" s="15" t="s">
        <v>28</v>
      </c>
      <c r="H374" s="15" t="s">
        <v>1647</v>
      </c>
      <c r="I374" s="15" t="s">
        <v>59</v>
      </c>
      <c r="J374" s="15" t="s">
        <v>31</v>
      </c>
      <c r="K374" s="15" t="s">
        <v>122</v>
      </c>
      <c r="L374" s="15" t="s">
        <v>263</v>
      </c>
      <c r="M374" s="15">
        <v>5</v>
      </c>
      <c r="N374" s="15">
        <v>45</v>
      </c>
      <c r="O374" s="15">
        <v>5</v>
      </c>
      <c r="P374" s="15">
        <v>213.75</v>
      </c>
      <c r="Q374" s="15">
        <v>3</v>
      </c>
      <c r="R374" s="15" t="s">
        <v>79</v>
      </c>
      <c r="S374" s="15" t="s">
        <v>115</v>
      </c>
      <c r="T374" s="15" t="s">
        <v>175</v>
      </c>
      <c r="U374" s="17" t="s">
        <v>1648</v>
      </c>
      <c r="V374" s="15" t="s">
        <v>64</v>
      </c>
      <c r="W374" s="24" t="str">
        <f t="shared" si="5"/>
        <v>Blacklisted</v>
      </c>
    </row>
    <row r="375" spans="1:23">
      <c r="A375" s="18" t="s">
        <v>1649</v>
      </c>
      <c r="B375" s="18" t="s">
        <v>83</v>
      </c>
      <c r="C375" s="18" t="s">
        <v>184</v>
      </c>
      <c r="D375" s="18" t="s">
        <v>1650</v>
      </c>
      <c r="E375" s="18" t="s">
        <v>1102</v>
      </c>
      <c r="F375" s="18" t="s">
        <v>180</v>
      </c>
      <c r="G375" s="18" t="s">
        <v>76</v>
      </c>
      <c r="H375" s="18" t="s">
        <v>1651</v>
      </c>
      <c r="I375" s="18" t="s">
        <v>30</v>
      </c>
      <c r="J375" s="18" t="s">
        <v>31</v>
      </c>
      <c r="K375" s="18" t="s">
        <v>46</v>
      </c>
      <c r="L375" s="18" t="s">
        <v>189</v>
      </c>
      <c r="M375" s="18">
        <v>5</v>
      </c>
      <c r="N375" s="18">
        <v>700</v>
      </c>
      <c r="O375" s="18">
        <v>10</v>
      </c>
      <c r="P375" s="18">
        <v>3150</v>
      </c>
      <c r="Q375" s="18">
        <v>2</v>
      </c>
      <c r="R375" s="18" t="s">
        <v>88</v>
      </c>
      <c r="S375" s="18" t="s">
        <v>49</v>
      </c>
      <c r="T375" s="18" t="s">
        <v>89</v>
      </c>
      <c r="U375" s="19" t="s">
        <v>1652</v>
      </c>
      <c r="V375" s="18" t="s">
        <v>38</v>
      </c>
      <c r="W375" s="24" t="str">
        <f t="shared" si="5"/>
        <v>Blacklisted</v>
      </c>
    </row>
    <row r="376" spans="1:23">
      <c r="A376" s="15" t="s">
        <v>1653</v>
      </c>
      <c r="B376" s="15" t="s">
        <v>221</v>
      </c>
      <c r="C376" s="15" t="s">
        <v>184</v>
      </c>
      <c r="D376" s="15" t="s">
        <v>957</v>
      </c>
      <c r="E376" s="15" t="s">
        <v>1654</v>
      </c>
      <c r="F376" s="15" t="s">
        <v>225</v>
      </c>
      <c r="G376" s="15" t="s">
        <v>76</v>
      </c>
      <c r="H376" s="15" t="s">
        <v>1655</v>
      </c>
      <c r="I376" s="15" t="s">
        <v>294</v>
      </c>
      <c r="J376" s="15" t="s">
        <v>295</v>
      </c>
      <c r="K376" s="15" t="s">
        <v>46</v>
      </c>
      <c r="L376" s="15" t="s">
        <v>189</v>
      </c>
      <c r="M376" s="15">
        <v>1</v>
      </c>
      <c r="N376" s="15">
        <v>700</v>
      </c>
      <c r="O376" s="15">
        <v>0</v>
      </c>
      <c r="P376" s="15">
        <v>700</v>
      </c>
      <c r="Q376" s="15">
        <v>1</v>
      </c>
      <c r="R376" s="15" t="s">
        <v>88</v>
      </c>
      <c r="S376" s="15" t="s">
        <v>151</v>
      </c>
      <c r="T376" s="15" t="s">
        <v>228</v>
      </c>
      <c r="U376" s="17" t="s">
        <v>1656</v>
      </c>
      <c r="V376" s="15" t="s">
        <v>38</v>
      </c>
      <c r="W376" s="24" t="str">
        <f t="shared" si="5"/>
        <v>Blacklisted</v>
      </c>
    </row>
    <row r="377" spans="1:23">
      <c r="A377" s="18" t="s">
        <v>1657</v>
      </c>
      <c r="B377" s="18" t="s">
        <v>23</v>
      </c>
      <c r="C377" s="18" t="s">
        <v>184</v>
      </c>
      <c r="D377" s="18" t="s">
        <v>1368</v>
      </c>
      <c r="E377" s="18" t="s">
        <v>923</v>
      </c>
      <c r="F377" s="18" t="s">
        <v>27</v>
      </c>
      <c r="G377" s="18" t="s">
        <v>28</v>
      </c>
      <c r="H377" s="18" t="s">
        <v>1658</v>
      </c>
      <c r="I377" s="18" t="s">
        <v>105</v>
      </c>
      <c r="J377" s="18" t="s">
        <v>106</v>
      </c>
      <c r="K377" s="18" t="s">
        <v>46</v>
      </c>
      <c r="L377" s="18" t="s">
        <v>189</v>
      </c>
      <c r="M377" s="18">
        <v>13</v>
      </c>
      <c r="N377" s="18">
        <v>700</v>
      </c>
      <c r="O377" s="18">
        <v>20</v>
      </c>
      <c r="P377" s="18">
        <v>7280</v>
      </c>
      <c r="Q377" s="18">
        <v>2</v>
      </c>
      <c r="R377" s="18" t="s">
        <v>79</v>
      </c>
      <c r="S377" s="18" t="s">
        <v>35</v>
      </c>
      <c r="T377" s="18" t="s">
        <v>50</v>
      </c>
      <c r="U377" s="19" t="s">
        <v>1659</v>
      </c>
      <c r="V377" s="18" t="s">
        <v>38</v>
      </c>
      <c r="W377" s="24" t="str">
        <f t="shared" si="5"/>
        <v>Blacklisted</v>
      </c>
    </row>
    <row r="378" spans="1:23">
      <c r="A378" s="15" t="s">
        <v>1660</v>
      </c>
      <c r="B378" s="15" t="s">
        <v>71</v>
      </c>
      <c r="C378" s="15" t="s">
        <v>40</v>
      </c>
      <c r="D378" s="15" t="s">
        <v>1153</v>
      </c>
      <c r="E378" s="15" t="s">
        <v>303</v>
      </c>
      <c r="F378" s="15" t="s">
        <v>217</v>
      </c>
      <c r="G378" s="15" t="s">
        <v>76</v>
      </c>
      <c r="H378" s="15" t="s">
        <v>1661</v>
      </c>
      <c r="I378" s="15" t="s">
        <v>114</v>
      </c>
      <c r="J378" s="15" t="s">
        <v>106</v>
      </c>
      <c r="K378" s="15" t="s">
        <v>46</v>
      </c>
      <c r="L378" s="15" t="s">
        <v>47</v>
      </c>
      <c r="M378" s="15">
        <v>20</v>
      </c>
      <c r="N378" s="15">
        <v>12000</v>
      </c>
      <c r="O378" s="15">
        <v>0</v>
      </c>
      <c r="P378" s="15">
        <v>240000</v>
      </c>
      <c r="Q378" s="15">
        <v>2</v>
      </c>
      <c r="R378" s="15" t="s">
        <v>79</v>
      </c>
      <c r="S378" s="15" t="s">
        <v>115</v>
      </c>
      <c r="T378" s="15" t="s">
        <v>80</v>
      </c>
      <c r="U378" s="17" t="s">
        <v>1662</v>
      </c>
      <c r="V378" s="15" t="s">
        <v>38</v>
      </c>
      <c r="W378" s="24" t="str">
        <f t="shared" si="5"/>
        <v>Blacklisted</v>
      </c>
    </row>
    <row r="379" spans="1:23">
      <c r="A379" s="18" t="s">
        <v>1663</v>
      </c>
      <c r="B379" s="18" t="s">
        <v>83</v>
      </c>
      <c r="C379" s="18" t="s">
        <v>72</v>
      </c>
      <c r="D379" s="18" t="s">
        <v>1198</v>
      </c>
      <c r="E379" s="18" t="s">
        <v>712</v>
      </c>
      <c r="F379" s="18" t="s">
        <v>180</v>
      </c>
      <c r="G379" s="18" t="s">
        <v>76</v>
      </c>
      <c r="H379" s="18" t="s">
        <v>1664</v>
      </c>
      <c r="I379" s="18" t="s">
        <v>294</v>
      </c>
      <c r="J379" s="18" t="s">
        <v>295</v>
      </c>
      <c r="K379" s="18" t="s">
        <v>46</v>
      </c>
      <c r="L379" s="18" t="s">
        <v>78</v>
      </c>
      <c r="M379" s="18">
        <v>9</v>
      </c>
      <c r="N379" s="18">
        <v>1200</v>
      </c>
      <c r="O379" s="18">
        <v>15</v>
      </c>
      <c r="P379" s="18">
        <v>9180</v>
      </c>
      <c r="Q379" s="18">
        <v>1</v>
      </c>
      <c r="R379" s="18" t="s">
        <v>88</v>
      </c>
      <c r="S379" s="18" t="s">
        <v>35</v>
      </c>
      <c r="T379" s="18" t="s">
        <v>89</v>
      </c>
      <c r="U379" s="19" t="s">
        <v>1665</v>
      </c>
      <c r="V379" s="18" t="s">
        <v>64</v>
      </c>
      <c r="W379" s="24" t="str">
        <f t="shared" si="5"/>
        <v>Blacklisted</v>
      </c>
    </row>
    <row r="380" spans="1:23">
      <c r="A380" s="15" t="s">
        <v>1666</v>
      </c>
      <c r="B380" s="15" t="s">
        <v>83</v>
      </c>
      <c r="C380" s="15" t="s">
        <v>222</v>
      </c>
      <c r="D380" s="15" t="s">
        <v>1221</v>
      </c>
      <c r="E380" s="15" t="s">
        <v>1667</v>
      </c>
      <c r="F380" s="15" t="s">
        <v>180</v>
      </c>
      <c r="G380" s="15" t="s">
        <v>76</v>
      </c>
      <c r="H380" s="15" t="s">
        <v>1668</v>
      </c>
      <c r="I380" s="15" t="s">
        <v>212</v>
      </c>
      <c r="J380" s="15" t="s">
        <v>45</v>
      </c>
      <c r="K380" s="15" t="s">
        <v>122</v>
      </c>
      <c r="L380" s="15" t="s">
        <v>227</v>
      </c>
      <c r="M380" s="15">
        <v>3</v>
      </c>
      <c r="N380" s="15">
        <v>20</v>
      </c>
      <c r="O380" s="15">
        <v>15</v>
      </c>
      <c r="P380" s="15">
        <v>51</v>
      </c>
      <c r="Q380" s="15">
        <v>3</v>
      </c>
      <c r="R380" s="15" t="s">
        <v>34</v>
      </c>
      <c r="S380" s="15" t="s">
        <v>115</v>
      </c>
      <c r="T380" s="15" t="s">
        <v>89</v>
      </c>
      <c r="U380" s="17" t="s">
        <v>1669</v>
      </c>
      <c r="V380" s="15" t="s">
        <v>64</v>
      </c>
      <c r="W380" s="24" t="str">
        <f t="shared" si="5"/>
        <v>Blacklisted</v>
      </c>
    </row>
    <row r="381" spans="1:23">
      <c r="A381" s="18" t="s">
        <v>1670</v>
      </c>
      <c r="B381" s="18" t="s">
        <v>251</v>
      </c>
      <c r="C381" s="18" t="s">
        <v>54</v>
      </c>
      <c r="D381" s="18" t="s">
        <v>788</v>
      </c>
      <c r="E381" s="18" t="s">
        <v>455</v>
      </c>
      <c r="F381" s="18" t="s">
        <v>254</v>
      </c>
      <c r="G381" s="18" t="s">
        <v>28</v>
      </c>
      <c r="H381" s="18" t="s">
        <v>1671</v>
      </c>
      <c r="I381" s="18" t="s">
        <v>44</v>
      </c>
      <c r="J381" s="18" t="s">
        <v>45</v>
      </c>
      <c r="K381" s="18" t="s">
        <v>46</v>
      </c>
      <c r="L381" s="18" t="s">
        <v>60</v>
      </c>
      <c r="M381" s="18">
        <v>8</v>
      </c>
      <c r="N381" s="18">
        <v>55000</v>
      </c>
      <c r="O381" s="18">
        <v>20</v>
      </c>
      <c r="P381" s="18">
        <v>352000</v>
      </c>
      <c r="Q381" s="18">
        <v>5</v>
      </c>
      <c r="R381" s="18" t="s">
        <v>79</v>
      </c>
      <c r="S381" s="18" t="s">
        <v>151</v>
      </c>
      <c r="T381" s="18" t="s">
        <v>256</v>
      </c>
      <c r="U381" s="19" t="s">
        <v>1672</v>
      </c>
      <c r="V381" s="18" t="s">
        <v>64</v>
      </c>
      <c r="W381" s="24" t="str">
        <f t="shared" si="5"/>
        <v>Blacklisted</v>
      </c>
    </row>
    <row r="382" spans="1:23">
      <c r="A382" s="15" t="s">
        <v>1673</v>
      </c>
      <c r="B382" s="15" t="s">
        <v>251</v>
      </c>
      <c r="C382" s="15" t="s">
        <v>118</v>
      </c>
      <c r="D382" s="15" t="s">
        <v>1311</v>
      </c>
      <c r="E382" s="15" t="s">
        <v>74</v>
      </c>
      <c r="F382" s="15" t="s">
        <v>254</v>
      </c>
      <c r="G382" s="15" t="s">
        <v>28</v>
      </c>
      <c r="H382" s="15" t="s">
        <v>1674</v>
      </c>
      <c r="I382" s="15" t="s">
        <v>44</v>
      </c>
      <c r="J382" s="15" t="s">
        <v>45</v>
      </c>
      <c r="K382" s="15" t="s">
        <v>122</v>
      </c>
      <c r="L382" s="15" t="s">
        <v>123</v>
      </c>
      <c r="M382" s="15">
        <v>17</v>
      </c>
      <c r="N382" s="15">
        <v>60</v>
      </c>
      <c r="O382" s="15">
        <v>20</v>
      </c>
      <c r="P382" s="15">
        <v>816</v>
      </c>
      <c r="Q382" s="15">
        <v>1</v>
      </c>
      <c r="R382" s="15" t="s">
        <v>88</v>
      </c>
      <c r="S382" s="15" t="s">
        <v>35</v>
      </c>
      <c r="T382" s="15" t="s">
        <v>256</v>
      </c>
      <c r="U382" s="17" t="s">
        <v>1675</v>
      </c>
      <c r="V382" s="15" t="s">
        <v>64</v>
      </c>
      <c r="W382" s="24" t="str">
        <f t="shared" si="5"/>
        <v>Blacklisted</v>
      </c>
    </row>
    <row r="383" spans="1:23">
      <c r="A383" s="18" t="s">
        <v>1676</v>
      </c>
      <c r="B383" s="18" t="s">
        <v>127</v>
      </c>
      <c r="C383" s="18" t="s">
        <v>222</v>
      </c>
      <c r="D383" s="18" t="s">
        <v>1677</v>
      </c>
      <c r="E383" s="18" t="s">
        <v>236</v>
      </c>
      <c r="F383" s="18" t="s">
        <v>200</v>
      </c>
      <c r="G383" s="18" t="s">
        <v>76</v>
      </c>
      <c r="H383" s="18" t="s">
        <v>1678</v>
      </c>
      <c r="I383" s="18" t="s">
        <v>59</v>
      </c>
      <c r="J383" s="18" t="s">
        <v>31</v>
      </c>
      <c r="K383" s="18" t="s">
        <v>122</v>
      </c>
      <c r="L383" s="18" t="s">
        <v>227</v>
      </c>
      <c r="M383" s="18">
        <v>4</v>
      </c>
      <c r="N383" s="18">
        <v>20</v>
      </c>
      <c r="O383" s="18">
        <v>15</v>
      </c>
      <c r="P383" s="18">
        <v>68</v>
      </c>
      <c r="Q383" s="18">
        <v>3</v>
      </c>
      <c r="R383" s="18" t="s">
        <v>48</v>
      </c>
      <c r="S383" s="18" t="s">
        <v>61</v>
      </c>
      <c r="T383" s="18" t="s">
        <v>132</v>
      </c>
      <c r="U383" s="19" t="s">
        <v>1679</v>
      </c>
      <c r="V383" s="18" t="s">
        <v>64</v>
      </c>
      <c r="W383" s="24" t="str">
        <f t="shared" si="5"/>
        <v>Blacklisted</v>
      </c>
    </row>
    <row r="384" spans="1:23">
      <c r="A384" s="15" t="s">
        <v>1680</v>
      </c>
      <c r="B384" s="15" t="s">
        <v>127</v>
      </c>
      <c r="C384" s="15" t="s">
        <v>24</v>
      </c>
      <c r="D384" s="15" t="s">
        <v>1360</v>
      </c>
      <c r="E384" s="15" t="s">
        <v>775</v>
      </c>
      <c r="F384" s="15" t="s">
        <v>1681</v>
      </c>
      <c r="G384" s="15" t="s">
        <v>76</v>
      </c>
      <c r="H384" s="15" t="s">
        <v>1682</v>
      </c>
      <c r="I384" s="15" t="s">
        <v>294</v>
      </c>
      <c r="J384" s="15" t="s">
        <v>295</v>
      </c>
      <c r="K384" s="15" t="s">
        <v>32</v>
      </c>
      <c r="L384" s="15" t="s">
        <v>33</v>
      </c>
      <c r="M384" s="15">
        <v>2</v>
      </c>
      <c r="N384" s="15">
        <v>2200</v>
      </c>
      <c r="O384" s="15">
        <v>10</v>
      </c>
      <c r="P384" s="15">
        <v>3960</v>
      </c>
      <c r="Q384" s="15">
        <v>2</v>
      </c>
      <c r="R384" s="15" t="s">
        <v>88</v>
      </c>
      <c r="S384" s="15" t="s">
        <v>49</v>
      </c>
      <c r="T384" s="15" t="s">
        <v>132</v>
      </c>
      <c r="U384" s="17" t="s">
        <v>1683</v>
      </c>
      <c r="V384" s="15" t="s">
        <v>64</v>
      </c>
      <c r="W384" s="24" t="str">
        <f t="shared" si="5"/>
        <v>Blacklisted</v>
      </c>
    </row>
    <row r="385" spans="1:23">
      <c r="A385" s="18" t="s">
        <v>1684</v>
      </c>
      <c r="B385" s="18" t="s">
        <v>221</v>
      </c>
      <c r="C385" s="18" t="s">
        <v>118</v>
      </c>
      <c r="D385" s="18" t="s">
        <v>366</v>
      </c>
      <c r="E385" s="18" t="s">
        <v>539</v>
      </c>
      <c r="F385" s="18" t="s">
        <v>225</v>
      </c>
      <c r="G385" s="18" t="s">
        <v>76</v>
      </c>
      <c r="H385" s="18" t="s">
        <v>1685</v>
      </c>
      <c r="I385" s="18" t="s">
        <v>59</v>
      </c>
      <c r="J385" s="18" t="s">
        <v>31</v>
      </c>
      <c r="K385" s="18" t="s">
        <v>122</v>
      </c>
      <c r="L385" s="18" t="s">
        <v>123</v>
      </c>
      <c r="M385" s="18">
        <v>5</v>
      </c>
      <c r="N385" s="18">
        <v>60</v>
      </c>
      <c r="O385" s="18">
        <v>5</v>
      </c>
      <c r="P385" s="18">
        <v>285</v>
      </c>
      <c r="Q385" s="18">
        <v>1</v>
      </c>
      <c r="R385" s="18" t="s">
        <v>88</v>
      </c>
      <c r="S385" s="18" t="s">
        <v>35</v>
      </c>
      <c r="T385" s="18" t="s">
        <v>228</v>
      </c>
      <c r="U385" s="19" t="s">
        <v>1686</v>
      </c>
      <c r="V385" s="18" t="s">
        <v>69</v>
      </c>
      <c r="W385" s="24" t="str">
        <f t="shared" si="5"/>
        <v>Blacklisted</v>
      </c>
    </row>
    <row r="386" spans="1:23">
      <c r="A386" s="15" t="s">
        <v>1687</v>
      </c>
      <c r="B386" s="15" t="s">
        <v>127</v>
      </c>
      <c r="C386" s="15" t="s">
        <v>24</v>
      </c>
      <c r="D386" s="15" t="s">
        <v>1688</v>
      </c>
      <c r="E386" s="15" t="s">
        <v>1689</v>
      </c>
      <c r="F386" s="15" t="s">
        <v>200</v>
      </c>
      <c r="G386" s="15" t="s">
        <v>76</v>
      </c>
      <c r="H386" s="15" t="s">
        <v>1690</v>
      </c>
      <c r="I386" s="15" t="s">
        <v>44</v>
      </c>
      <c r="J386" s="15" t="s">
        <v>45</v>
      </c>
      <c r="K386" s="15" t="s">
        <v>32</v>
      </c>
      <c r="L386" s="15" t="s">
        <v>33</v>
      </c>
      <c r="M386" s="15">
        <v>17</v>
      </c>
      <c r="N386" s="15">
        <v>2200</v>
      </c>
      <c r="O386" s="15">
        <v>0</v>
      </c>
      <c r="P386" s="15">
        <v>37400</v>
      </c>
      <c r="Q386" s="15">
        <v>2</v>
      </c>
      <c r="R386" s="15" t="s">
        <v>88</v>
      </c>
      <c r="S386" s="15" t="s">
        <v>151</v>
      </c>
      <c r="T386" s="15" t="s">
        <v>132</v>
      </c>
      <c r="U386" s="17" t="s">
        <v>1691</v>
      </c>
      <c r="V386" s="15" t="s">
        <v>69</v>
      </c>
      <c r="W386" s="24" t="str">
        <f t="shared" si="5"/>
        <v>Blacklisted</v>
      </c>
    </row>
    <row r="387" spans="1:23">
      <c r="A387" s="18" t="s">
        <v>1692</v>
      </c>
      <c r="B387" s="18" t="s">
        <v>168</v>
      </c>
      <c r="C387" s="18" t="s">
        <v>118</v>
      </c>
      <c r="D387" s="18" t="s">
        <v>186</v>
      </c>
      <c r="E387" s="18" t="s">
        <v>610</v>
      </c>
      <c r="F387" s="18" t="s">
        <v>361</v>
      </c>
      <c r="G387" s="18" t="s">
        <v>28</v>
      </c>
      <c r="H387" s="18" t="s">
        <v>1693</v>
      </c>
      <c r="I387" s="18" t="s">
        <v>138</v>
      </c>
      <c r="J387" s="18" t="s">
        <v>106</v>
      </c>
      <c r="K387" s="18" t="s">
        <v>122</v>
      </c>
      <c r="L387" s="18" t="s">
        <v>123</v>
      </c>
      <c r="M387" s="18">
        <v>7</v>
      </c>
      <c r="N387" s="18">
        <v>60</v>
      </c>
      <c r="O387" s="18">
        <v>0</v>
      </c>
      <c r="P387" s="18">
        <v>420</v>
      </c>
      <c r="Q387" s="18">
        <v>2</v>
      </c>
      <c r="R387" s="18" t="s">
        <v>88</v>
      </c>
      <c r="S387" s="18" t="s">
        <v>61</v>
      </c>
      <c r="T387" s="18" t="s">
        <v>175</v>
      </c>
      <c r="U387" s="19" t="s">
        <v>1694</v>
      </c>
      <c r="V387" s="18" t="s">
        <v>64</v>
      </c>
      <c r="W387" s="24" t="str">
        <f t="shared" ref="W387:W450" si="6">IF(OR(Q387&lt;=2,V387="Cancelled"),"Blacklisted",IF(AND(P387&gt;=100000,Q387&gt;=4,O387&lt;10,V387="Completed"),"Platinum",IF(AND(P387&gt;=50000,P387&lt;=99999,Q387&gt;=3,V387="Completed"),"Gold",IF(AND(P387&lt;50000,V387="Completed"),"Silver","Blacklisted"))))</f>
        <v>Blacklisted</v>
      </c>
    </row>
    <row r="388" spans="1:23">
      <c r="A388" s="15" t="s">
        <v>1695</v>
      </c>
      <c r="B388" s="15" t="s">
        <v>221</v>
      </c>
      <c r="C388" s="15" t="s">
        <v>54</v>
      </c>
      <c r="D388" s="15" t="s">
        <v>702</v>
      </c>
      <c r="E388" s="15" t="s">
        <v>1696</v>
      </c>
      <c r="F388" s="15" t="s">
        <v>225</v>
      </c>
      <c r="G388" s="15" t="s">
        <v>76</v>
      </c>
      <c r="H388" s="15" t="s">
        <v>1697</v>
      </c>
      <c r="I388" s="15" t="s">
        <v>30</v>
      </c>
      <c r="J388" s="15" t="s">
        <v>31</v>
      </c>
      <c r="K388" s="15" t="s">
        <v>46</v>
      </c>
      <c r="L388" s="15" t="s">
        <v>60</v>
      </c>
      <c r="M388" s="15">
        <v>6</v>
      </c>
      <c r="N388" s="15">
        <v>55000</v>
      </c>
      <c r="O388" s="15">
        <v>5</v>
      </c>
      <c r="P388" s="15">
        <v>313500</v>
      </c>
      <c r="Q388" s="15">
        <v>4</v>
      </c>
      <c r="R388" s="15" t="s">
        <v>79</v>
      </c>
      <c r="S388" s="15" t="s">
        <v>61</v>
      </c>
      <c r="T388" s="15" t="s">
        <v>228</v>
      </c>
      <c r="U388" s="17" t="s">
        <v>1698</v>
      </c>
      <c r="V388" s="15" t="s">
        <v>38</v>
      </c>
      <c r="W388" s="24" t="str">
        <f t="shared" si="6"/>
        <v>Platinum</v>
      </c>
    </row>
    <row r="389" spans="1:23">
      <c r="A389" s="18" t="s">
        <v>1699</v>
      </c>
      <c r="B389" s="18" t="s">
        <v>71</v>
      </c>
      <c r="C389" s="18" t="s">
        <v>222</v>
      </c>
      <c r="D389" s="18" t="s">
        <v>1306</v>
      </c>
      <c r="E389" s="18" t="s">
        <v>1700</v>
      </c>
      <c r="F389" s="18" t="s">
        <v>217</v>
      </c>
      <c r="G389" s="18" t="s">
        <v>76</v>
      </c>
      <c r="H389" s="18" t="s">
        <v>1701</v>
      </c>
      <c r="I389" s="18" t="s">
        <v>30</v>
      </c>
      <c r="J389" s="18" t="s">
        <v>31</v>
      </c>
      <c r="K389" s="18" t="s">
        <v>122</v>
      </c>
      <c r="L389" s="18" t="s">
        <v>227</v>
      </c>
      <c r="M389" s="18">
        <v>16</v>
      </c>
      <c r="N389" s="18">
        <v>20</v>
      </c>
      <c r="O389" s="18">
        <v>5</v>
      </c>
      <c r="P389" s="18">
        <v>304</v>
      </c>
      <c r="Q389" s="18">
        <v>1</v>
      </c>
      <c r="R389" s="18" t="s">
        <v>79</v>
      </c>
      <c r="S389" s="18" t="s">
        <v>49</v>
      </c>
      <c r="T389" s="18" t="s">
        <v>80</v>
      </c>
      <c r="U389" s="19" t="s">
        <v>1702</v>
      </c>
      <c r="V389" s="18" t="s">
        <v>38</v>
      </c>
      <c r="W389" s="24" t="str">
        <f t="shared" si="6"/>
        <v>Blacklisted</v>
      </c>
    </row>
    <row r="390" spans="1:23">
      <c r="A390" s="15" t="s">
        <v>1703</v>
      </c>
      <c r="B390" s="15" t="s">
        <v>23</v>
      </c>
      <c r="C390" s="15" t="s">
        <v>24</v>
      </c>
      <c r="D390" s="15" t="s">
        <v>1704</v>
      </c>
      <c r="E390" s="15" t="s">
        <v>1705</v>
      </c>
      <c r="F390" s="15" t="s">
        <v>27</v>
      </c>
      <c r="G390" s="15" t="s">
        <v>28</v>
      </c>
      <c r="H390" s="15" t="s">
        <v>1706</v>
      </c>
      <c r="I390" s="15" t="s">
        <v>294</v>
      </c>
      <c r="J390" s="15" t="s">
        <v>295</v>
      </c>
      <c r="K390" s="15" t="s">
        <v>32</v>
      </c>
      <c r="L390" s="15" t="s">
        <v>33</v>
      </c>
      <c r="M390" s="15">
        <v>11</v>
      </c>
      <c r="N390" s="15">
        <v>2200</v>
      </c>
      <c r="O390" s="15">
        <v>15</v>
      </c>
      <c r="P390" s="15">
        <v>20570</v>
      </c>
      <c r="Q390" s="15">
        <v>1</v>
      </c>
      <c r="R390" s="15" t="s">
        <v>48</v>
      </c>
      <c r="S390" s="15" t="s">
        <v>115</v>
      </c>
      <c r="T390" s="15" t="s">
        <v>50</v>
      </c>
      <c r="U390" s="17" t="s">
        <v>1707</v>
      </c>
      <c r="V390" s="15" t="s">
        <v>69</v>
      </c>
      <c r="W390" s="24" t="str">
        <f t="shared" si="6"/>
        <v>Blacklisted</v>
      </c>
    </row>
    <row r="391" spans="1:23">
      <c r="A391" s="18" t="s">
        <v>1708</v>
      </c>
      <c r="B391" s="18" t="s">
        <v>100</v>
      </c>
      <c r="C391" s="18" t="s">
        <v>222</v>
      </c>
      <c r="D391" s="18" t="s">
        <v>1069</v>
      </c>
      <c r="E391" s="18" t="s">
        <v>1409</v>
      </c>
      <c r="F391" s="18" t="s">
        <v>103</v>
      </c>
      <c r="G391" s="18" t="s">
        <v>28</v>
      </c>
      <c r="H391" s="18" t="s">
        <v>1709</v>
      </c>
      <c r="I391" s="18" t="s">
        <v>114</v>
      </c>
      <c r="J391" s="18" t="s">
        <v>106</v>
      </c>
      <c r="K391" s="18" t="s">
        <v>122</v>
      </c>
      <c r="L391" s="18" t="s">
        <v>227</v>
      </c>
      <c r="M391" s="18">
        <v>19</v>
      </c>
      <c r="N391" s="18">
        <v>20</v>
      </c>
      <c r="O391" s="18">
        <v>5</v>
      </c>
      <c r="P391" s="18">
        <v>361</v>
      </c>
      <c r="Q391" s="18">
        <v>4</v>
      </c>
      <c r="R391" s="18" t="s">
        <v>88</v>
      </c>
      <c r="S391" s="18" t="s">
        <v>35</v>
      </c>
      <c r="T391" s="18" t="s">
        <v>144</v>
      </c>
      <c r="U391" s="19" t="s">
        <v>1710</v>
      </c>
      <c r="V391" s="18" t="s">
        <v>64</v>
      </c>
      <c r="W391" s="24" t="str">
        <f t="shared" si="6"/>
        <v>Blacklisted</v>
      </c>
    </row>
    <row r="392" spans="1:23">
      <c r="A392" s="15" t="s">
        <v>1711</v>
      </c>
      <c r="B392" s="15" t="s">
        <v>100</v>
      </c>
      <c r="C392" s="15" t="s">
        <v>72</v>
      </c>
      <c r="D392" s="15" t="s">
        <v>1712</v>
      </c>
      <c r="E392" s="15" t="s">
        <v>1713</v>
      </c>
      <c r="F392" s="15" t="s">
        <v>103</v>
      </c>
      <c r="G392" s="15" t="s">
        <v>28</v>
      </c>
      <c r="H392" s="15" t="s">
        <v>1714</v>
      </c>
      <c r="I392" s="15" t="s">
        <v>114</v>
      </c>
      <c r="J392" s="15" t="s">
        <v>106</v>
      </c>
      <c r="K392" s="15" t="s">
        <v>46</v>
      </c>
      <c r="L392" s="15" t="s">
        <v>78</v>
      </c>
      <c r="M392" s="15">
        <v>20</v>
      </c>
      <c r="N392" s="15">
        <v>1200</v>
      </c>
      <c r="O392" s="15">
        <v>15</v>
      </c>
      <c r="P392" s="15">
        <v>20400</v>
      </c>
      <c r="Q392" s="15">
        <v>4</v>
      </c>
      <c r="R392" s="15" t="s">
        <v>79</v>
      </c>
      <c r="S392" s="15" t="s">
        <v>35</v>
      </c>
      <c r="T392" s="15" t="s">
        <v>144</v>
      </c>
      <c r="U392" s="17" t="s">
        <v>1715</v>
      </c>
      <c r="V392" s="15" t="s">
        <v>64</v>
      </c>
      <c r="W392" s="24" t="str">
        <f t="shared" si="6"/>
        <v>Blacklisted</v>
      </c>
    </row>
    <row r="393" spans="1:23">
      <c r="A393" s="18" t="s">
        <v>1716</v>
      </c>
      <c r="B393" s="18" t="s">
        <v>53</v>
      </c>
      <c r="C393" s="18" t="s">
        <v>222</v>
      </c>
      <c r="D393" s="18" t="s">
        <v>1717</v>
      </c>
      <c r="E393" s="18" t="s">
        <v>1718</v>
      </c>
      <c r="F393" s="18" t="s">
        <v>163</v>
      </c>
      <c r="G393" s="18" t="s">
        <v>28</v>
      </c>
      <c r="H393" s="18" t="s">
        <v>1719</v>
      </c>
      <c r="I393" s="18" t="s">
        <v>30</v>
      </c>
      <c r="J393" s="18" t="s">
        <v>31</v>
      </c>
      <c r="K393" s="18" t="s">
        <v>122</v>
      </c>
      <c r="L393" s="18" t="s">
        <v>227</v>
      </c>
      <c r="M393" s="18">
        <v>13</v>
      </c>
      <c r="N393" s="18">
        <v>20</v>
      </c>
      <c r="O393" s="18">
        <v>15</v>
      </c>
      <c r="P393" s="18">
        <v>221</v>
      </c>
      <c r="Q393" s="18">
        <v>4</v>
      </c>
      <c r="R393" s="18" t="s">
        <v>34</v>
      </c>
      <c r="S393" s="18" t="s">
        <v>35</v>
      </c>
      <c r="T393" s="18" t="s">
        <v>62</v>
      </c>
      <c r="U393" s="19" t="s">
        <v>1720</v>
      </c>
      <c r="V393" s="18" t="s">
        <v>64</v>
      </c>
      <c r="W393" s="24" t="str">
        <f t="shared" si="6"/>
        <v>Blacklisted</v>
      </c>
    </row>
    <row r="394" spans="1:23">
      <c r="A394" s="15" t="s">
        <v>1721</v>
      </c>
      <c r="B394" s="15" t="s">
        <v>251</v>
      </c>
      <c r="C394" s="15" t="s">
        <v>72</v>
      </c>
      <c r="D394" s="15" t="s">
        <v>205</v>
      </c>
      <c r="E394" s="15" t="s">
        <v>206</v>
      </c>
      <c r="F394" s="15" t="s">
        <v>254</v>
      </c>
      <c r="G394" s="15" t="s">
        <v>28</v>
      </c>
      <c r="H394" s="15" t="s">
        <v>1722</v>
      </c>
      <c r="I394" s="15" t="s">
        <v>44</v>
      </c>
      <c r="J394" s="15" t="s">
        <v>45</v>
      </c>
      <c r="K394" s="15" t="s">
        <v>46</v>
      </c>
      <c r="L394" s="15" t="s">
        <v>78</v>
      </c>
      <c r="M394" s="15">
        <v>12</v>
      </c>
      <c r="N394" s="15">
        <v>1200</v>
      </c>
      <c r="O394" s="15">
        <v>10</v>
      </c>
      <c r="P394" s="15">
        <v>12960</v>
      </c>
      <c r="Q394" s="15">
        <v>3</v>
      </c>
      <c r="R394" s="15" t="s">
        <v>48</v>
      </c>
      <c r="S394" s="15" t="s">
        <v>35</v>
      </c>
      <c r="T394" s="15" t="s">
        <v>256</v>
      </c>
      <c r="U394" s="17" t="s">
        <v>1723</v>
      </c>
      <c r="V394" s="15" t="s">
        <v>64</v>
      </c>
      <c r="W394" s="24" t="str">
        <f t="shared" si="6"/>
        <v>Blacklisted</v>
      </c>
    </row>
    <row r="395" spans="1:23">
      <c r="A395" s="18" t="s">
        <v>1724</v>
      </c>
      <c r="B395" s="18" t="s">
        <v>100</v>
      </c>
      <c r="C395" s="18" t="s">
        <v>169</v>
      </c>
      <c r="D395" s="18" t="s">
        <v>1705</v>
      </c>
      <c r="E395" s="18" t="s">
        <v>783</v>
      </c>
      <c r="F395" s="18" t="s">
        <v>103</v>
      </c>
      <c r="G395" s="18" t="s">
        <v>28</v>
      </c>
      <c r="H395" s="18" t="s">
        <v>1725</v>
      </c>
      <c r="I395" s="18" t="s">
        <v>294</v>
      </c>
      <c r="J395" s="18" t="s">
        <v>295</v>
      </c>
      <c r="K395" s="18" t="s">
        <v>32</v>
      </c>
      <c r="L395" s="18" t="s">
        <v>174</v>
      </c>
      <c r="M395" s="18">
        <v>6</v>
      </c>
      <c r="N395" s="18">
        <v>8500</v>
      </c>
      <c r="O395" s="18">
        <v>5</v>
      </c>
      <c r="P395" s="18">
        <v>48450</v>
      </c>
      <c r="Q395" s="18">
        <v>5</v>
      </c>
      <c r="R395" s="18" t="s">
        <v>34</v>
      </c>
      <c r="S395" s="18" t="s">
        <v>115</v>
      </c>
      <c r="T395" s="18" t="s">
        <v>144</v>
      </c>
      <c r="U395" s="19" t="s">
        <v>1726</v>
      </c>
      <c r="V395" s="18" t="s">
        <v>69</v>
      </c>
      <c r="W395" s="24" t="str">
        <f t="shared" si="6"/>
        <v>Blacklisted</v>
      </c>
    </row>
    <row r="396" spans="1:23">
      <c r="A396" s="15" t="s">
        <v>1727</v>
      </c>
      <c r="B396" s="15" t="s">
        <v>23</v>
      </c>
      <c r="C396" s="15" t="s">
        <v>169</v>
      </c>
      <c r="D396" s="15" t="s">
        <v>1302</v>
      </c>
      <c r="E396" s="15" t="s">
        <v>1728</v>
      </c>
      <c r="F396" s="15" t="s">
        <v>27</v>
      </c>
      <c r="G396" s="15" t="s">
        <v>28</v>
      </c>
      <c r="H396" s="15" t="s">
        <v>1729</v>
      </c>
      <c r="I396" s="15" t="s">
        <v>138</v>
      </c>
      <c r="J396" s="15" t="s">
        <v>106</v>
      </c>
      <c r="K396" s="15" t="s">
        <v>32</v>
      </c>
      <c r="L396" s="15" t="s">
        <v>174</v>
      </c>
      <c r="M396" s="15">
        <v>15</v>
      </c>
      <c r="N396" s="15">
        <v>8500</v>
      </c>
      <c r="O396" s="15">
        <v>10</v>
      </c>
      <c r="P396" s="15">
        <v>114750</v>
      </c>
      <c r="Q396" s="15">
        <v>1</v>
      </c>
      <c r="R396" s="15" t="s">
        <v>34</v>
      </c>
      <c r="S396" s="15" t="s">
        <v>115</v>
      </c>
      <c r="T396" s="15" t="s">
        <v>50</v>
      </c>
      <c r="U396" s="17" t="s">
        <v>1730</v>
      </c>
      <c r="V396" s="15" t="s">
        <v>38</v>
      </c>
      <c r="W396" s="24" t="str">
        <f t="shared" si="6"/>
        <v>Blacklisted</v>
      </c>
    </row>
    <row r="397" spans="1:23">
      <c r="A397" s="18" t="s">
        <v>1731</v>
      </c>
      <c r="B397" s="18" t="s">
        <v>127</v>
      </c>
      <c r="C397" s="18" t="s">
        <v>40</v>
      </c>
      <c r="D397" s="18" t="s">
        <v>1732</v>
      </c>
      <c r="E397" s="18" t="s">
        <v>1733</v>
      </c>
      <c r="F397" s="18" t="s">
        <v>200</v>
      </c>
      <c r="G397" s="18" t="s">
        <v>76</v>
      </c>
      <c r="H397" s="18" t="s">
        <v>1734</v>
      </c>
      <c r="I397" s="18" t="s">
        <v>30</v>
      </c>
      <c r="J397" s="18" t="s">
        <v>31</v>
      </c>
      <c r="K397" s="18" t="s">
        <v>46</v>
      </c>
      <c r="L397" s="18" t="s">
        <v>47</v>
      </c>
      <c r="M397" s="18">
        <v>19</v>
      </c>
      <c r="N397" s="18">
        <v>12000</v>
      </c>
      <c r="O397" s="18">
        <v>20</v>
      </c>
      <c r="P397" s="18">
        <v>182400</v>
      </c>
      <c r="Q397" s="18">
        <v>5</v>
      </c>
      <c r="R397" s="18" t="s">
        <v>34</v>
      </c>
      <c r="S397" s="18" t="s">
        <v>115</v>
      </c>
      <c r="T397" s="18" t="s">
        <v>132</v>
      </c>
      <c r="U397" s="19" t="s">
        <v>1735</v>
      </c>
      <c r="V397" s="18" t="s">
        <v>38</v>
      </c>
      <c r="W397" s="24" t="str">
        <f t="shared" si="6"/>
        <v>Blacklisted</v>
      </c>
    </row>
    <row r="398" spans="1:23">
      <c r="A398" s="15" t="s">
        <v>1736</v>
      </c>
      <c r="B398" s="15" t="s">
        <v>83</v>
      </c>
      <c r="C398" s="15" t="s">
        <v>184</v>
      </c>
      <c r="D398" s="15" t="s">
        <v>142</v>
      </c>
      <c r="E398" s="15" t="s">
        <v>1737</v>
      </c>
      <c r="F398" s="15" t="s">
        <v>180</v>
      </c>
      <c r="G398" s="15" t="s">
        <v>76</v>
      </c>
      <c r="H398" s="15" t="s">
        <v>1738</v>
      </c>
      <c r="I398" s="15" t="s">
        <v>44</v>
      </c>
      <c r="J398" s="15" t="s">
        <v>45</v>
      </c>
      <c r="K398" s="15" t="s">
        <v>46</v>
      </c>
      <c r="L398" s="15" t="s">
        <v>189</v>
      </c>
      <c r="M398" s="15">
        <v>5</v>
      </c>
      <c r="N398" s="15">
        <v>700</v>
      </c>
      <c r="O398" s="15">
        <v>0</v>
      </c>
      <c r="P398" s="15">
        <v>3500</v>
      </c>
      <c r="Q398" s="15">
        <v>2</v>
      </c>
      <c r="R398" s="15" t="s">
        <v>79</v>
      </c>
      <c r="S398" s="15" t="s">
        <v>61</v>
      </c>
      <c r="T398" s="15" t="s">
        <v>89</v>
      </c>
      <c r="U398" s="17" t="s">
        <v>1739</v>
      </c>
      <c r="V398" s="15" t="s">
        <v>69</v>
      </c>
      <c r="W398" s="24" t="str">
        <f t="shared" si="6"/>
        <v>Blacklisted</v>
      </c>
    </row>
    <row r="399" spans="1:23">
      <c r="A399" s="18" t="s">
        <v>1740</v>
      </c>
      <c r="B399" s="18" t="s">
        <v>83</v>
      </c>
      <c r="C399" s="18" t="s">
        <v>40</v>
      </c>
      <c r="D399" s="18" t="s">
        <v>1654</v>
      </c>
      <c r="E399" s="18" t="s">
        <v>765</v>
      </c>
      <c r="F399" s="18" t="s">
        <v>180</v>
      </c>
      <c r="G399" s="18" t="s">
        <v>76</v>
      </c>
      <c r="H399" s="18" t="s">
        <v>1741</v>
      </c>
      <c r="I399" s="18" t="s">
        <v>294</v>
      </c>
      <c r="J399" s="18" t="s">
        <v>295</v>
      </c>
      <c r="K399" s="18" t="s">
        <v>46</v>
      </c>
      <c r="L399" s="18" t="s">
        <v>47</v>
      </c>
      <c r="M399" s="18">
        <v>19</v>
      </c>
      <c r="N399" s="18">
        <v>12000</v>
      </c>
      <c r="O399" s="18">
        <v>0</v>
      </c>
      <c r="P399" s="18">
        <v>228000</v>
      </c>
      <c r="Q399" s="18">
        <v>4</v>
      </c>
      <c r="R399" s="18" t="s">
        <v>88</v>
      </c>
      <c r="S399" s="18" t="s">
        <v>61</v>
      </c>
      <c r="T399" s="18" t="s">
        <v>89</v>
      </c>
      <c r="U399" s="19" t="s">
        <v>1742</v>
      </c>
      <c r="V399" s="18" t="s">
        <v>64</v>
      </c>
      <c r="W399" s="24" t="str">
        <f t="shared" si="6"/>
        <v>Blacklisted</v>
      </c>
    </row>
    <row r="400" spans="1:23">
      <c r="A400" s="15" t="s">
        <v>1743</v>
      </c>
      <c r="B400" s="15" t="s">
        <v>327</v>
      </c>
      <c r="C400" s="15" t="s">
        <v>184</v>
      </c>
      <c r="D400" s="15"/>
      <c r="E400" s="15" t="s">
        <v>1225</v>
      </c>
      <c r="F400" s="15" t="s">
        <v>394</v>
      </c>
      <c r="G400" s="15" t="s">
        <v>76</v>
      </c>
      <c r="H400" s="15" t="s">
        <v>1744</v>
      </c>
      <c r="I400" s="15" t="s">
        <v>59</v>
      </c>
      <c r="J400" s="15" t="s">
        <v>31</v>
      </c>
      <c r="K400" s="15" t="s">
        <v>46</v>
      </c>
      <c r="L400" s="15" t="s">
        <v>189</v>
      </c>
      <c r="M400" s="15">
        <v>12</v>
      </c>
      <c r="N400" s="15">
        <v>700</v>
      </c>
      <c r="O400" s="15">
        <v>15</v>
      </c>
      <c r="P400" s="15">
        <v>7140</v>
      </c>
      <c r="Q400" s="15">
        <v>3</v>
      </c>
      <c r="R400" s="15" t="s">
        <v>79</v>
      </c>
      <c r="S400" s="15" t="s">
        <v>35</v>
      </c>
      <c r="T400" s="15" t="s">
        <v>332</v>
      </c>
      <c r="U400" s="17" t="s">
        <v>1745</v>
      </c>
      <c r="V400" s="15" t="s">
        <v>38</v>
      </c>
      <c r="W400" s="24" t="str">
        <f t="shared" si="6"/>
        <v>Silver</v>
      </c>
    </row>
    <row r="401" spans="1:23">
      <c r="A401" s="18" t="s">
        <v>1746</v>
      </c>
      <c r="B401" s="18" t="s">
        <v>23</v>
      </c>
      <c r="C401" s="18" t="s">
        <v>72</v>
      </c>
      <c r="D401" s="18" t="s">
        <v>1747</v>
      </c>
      <c r="E401" s="18" t="s">
        <v>707</v>
      </c>
      <c r="F401" s="18" t="s">
        <v>27</v>
      </c>
      <c r="G401" s="18" t="s">
        <v>28</v>
      </c>
      <c r="H401" s="18" t="s">
        <v>1748</v>
      </c>
      <c r="I401" s="18" t="s">
        <v>44</v>
      </c>
      <c r="J401" s="18" t="s">
        <v>45</v>
      </c>
      <c r="K401" s="18" t="s">
        <v>46</v>
      </c>
      <c r="L401" s="18" t="s">
        <v>78</v>
      </c>
      <c r="M401" s="18">
        <v>16</v>
      </c>
      <c r="N401" s="18">
        <v>1200</v>
      </c>
      <c r="O401" s="18">
        <v>20</v>
      </c>
      <c r="P401" s="18">
        <v>15360</v>
      </c>
      <c r="Q401" s="18">
        <v>1</v>
      </c>
      <c r="R401" s="18" t="s">
        <v>34</v>
      </c>
      <c r="S401" s="18" t="s">
        <v>49</v>
      </c>
      <c r="T401" s="18" t="s">
        <v>50</v>
      </c>
      <c r="U401" s="19" t="s">
        <v>1749</v>
      </c>
      <c r="V401" s="18" t="s">
        <v>64</v>
      </c>
      <c r="W401" s="24" t="str">
        <f t="shared" si="6"/>
        <v>Blacklisted</v>
      </c>
    </row>
    <row r="402" spans="1:23">
      <c r="A402" s="15" t="s">
        <v>1750</v>
      </c>
      <c r="B402" s="15" t="s">
        <v>71</v>
      </c>
      <c r="C402" s="15" t="s">
        <v>169</v>
      </c>
      <c r="D402" s="15" t="s">
        <v>1052</v>
      </c>
      <c r="E402" s="15" t="s">
        <v>84</v>
      </c>
      <c r="F402" s="15" t="s">
        <v>217</v>
      </c>
      <c r="G402" s="15" t="s">
        <v>76</v>
      </c>
      <c r="H402" s="15" t="s">
        <v>1751</v>
      </c>
      <c r="I402" s="15" t="s">
        <v>30</v>
      </c>
      <c r="J402" s="15" t="s">
        <v>31</v>
      </c>
      <c r="K402" s="15" t="s">
        <v>32</v>
      </c>
      <c r="L402" s="15" t="s">
        <v>174</v>
      </c>
      <c r="M402" s="15">
        <v>10</v>
      </c>
      <c r="N402" s="15">
        <v>8500</v>
      </c>
      <c r="O402" s="15">
        <v>5</v>
      </c>
      <c r="P402" s="15">
        <v>80750</v>
      </c>
      <c r="Q402" s="15">
        <v>5</v>
      </c>
      <c r="R402" s="15" t="s">
        <v>48</v>
      </c>
      <c r="S402" s="15" t="s">
        <v>35</v>
      </c>
      <c r="T402" s="15" t="s">
        <v>80</v>
      </c>
      <c r="U402" s="17" t="s">
        <v>1752</v>
      </c>
      <c r="V402" s="15" t="s">
        <v>38</v>
      </c>
      <c r="W402" s="24" t="str">
        <f t="shared" si="6"/>
        <v>Gold</v>
      </c>
    </row>
    <row r="403" spans="1:23">
      <c r="A403" s="18" t="s">
        <v>1753</v>
      </c>
      <c r="B403" s="18" t="s">
        <v>23</v>
      </c>
      <c r="C403" s="18" t="s">
        <v>222</v>
      </c>
      <c r="D403" s="18" t="s">
        <v>1373</v>
      </c>
      <c r="E403" s="18" t="s">
        <v>386</v>
      </c>
      <c r="F403" s="18" t="s">
        <v>27</v>
      </c>
      <c r="G403" s="18" t="s">
        <v>28</v>
      </c>
      <c r="H403" s="18" t="s">
        <v>1754</v>
      </c>
      <c r="I403" s="18" t="s">
        <v>138</v>
      </c>
      <c r="J403" s="18" t="s">
        <v>106</v>
      </c>
      <c r="K403" s="18" t="s">
        <v>122</v>
      </c>
      <c r="L403" s="18" t="s">
        <v>227</v>
      </c>
      <c r="M403" s="18">
        <v>18</v>
      </c>
      <c r="N403" s="18">
        <v>20</v>
      </c>
      <c r="O403" s="18">
        <v>20</v>
      </c>
      <c r="P403" s="18">
        <v>288</v>
      </c>
      <c r="Q403" s="18">
        <v>1</v>
      </c>
      <c r="R403" s="18" t="s">
        <v>88</v>
      </c>
      <c r="S403" s="18" t="s">
        <v>35</v>
      </c>
      <c r="T403" s="18" t="s">
        <v>50</v>
      </c>
      <c r="U403" s="19" t="s">
        <v>1755</v>
      </c>
      <c r="V403" s="18" t="s">
        <v>64</v>
      </c>
      <c r="W403" s="24" t="str">
        <f t="shared" si="6"/>
        <v>Blacklisted</v>
      </c>
    </row>
    <row r="404" spans="1:23">
      <c r="A404" s="15" t="s">
        <v>1756</v>
      </c>
      <c r="B404" s="15" t="s">
        <v>71</v>
      </c>
      <c r="C404" s="15" t="s">
        <v>169</v>
      </c>
      <c r="D404" s="15" t="s">
        <v>241</v>
      </c>
      <c r="E404" s="15" t="s">
        <v>404</v>
      </c>
      <c r="F404" s="15" t="s">
        <v>217</v>
      </c>
      <c r="G404" s="15" t="s">
        <v>76</v>
      </c>
      <c r="H404" s="15" t="s">
        <v>1757</v>
      </c>
      <c r="I404" s="15" t="s">
        <v>105</v>
      </c>
      <c r="J404" s="15" t="s">
        <v>106</v>
      </c>
      <c r="K404" s="15" t="s">
        <v>32</v>
      </c>
      <c r="L404" s="15" t="s">
        <v>174</v>
      </c>
      <c r="M404" s="15">
        <v>9</v>
      </c>
      <c r="N404" s="15">
        <v>8500</v>
      </c>
      <c r="O404" s="15">
        <v>0</v>
      </c>
      <c r="P404" s="15">
        <v>76500</v>
      </c>
      <c r="Q404" s="15">
        <v>2</v>
      </c>
      <c r="R404" s="15" t="s">
        <v>79</v>
      </c>
      <c r="S404" s="15" t="s">
        <v>35</v>
      </c>
      <c r="T404" s="15" t="s">
        <v>80</v>
      </c>
      <c r="U404" s="17" t="s">
        <v>1758</v>
      </c>
      <c r="V404" s="15" t="s">
        <v>64</v>
      </c>
      <c r="W404" s="24" t="str">
        <f t="shared" si="6"/>
        <v>Blacklisted</v>
      </c>
    </row>
    <row r="405" spans="1:23">
      <c r="A405" s="18" t="s">
        <v>1759</v>
      </c>
      <c r="B405" s="18" t="s">
        <v>23</v>
      </c>
      <c r="C405" s="18" t="s">
        <v>169</v>
      </c>
      <c r="D405" s="18" t="s">
        <v>1221</v>
      </c>
      <c r="E405" s="18" t="s">
        <v>1760</v>
      </c>
      <c r="F405" s="18" t="s">
        <v>27</v>
      </c>
      <c r="G405" s="18" t="s">
        <v>28</v>
      </c>
      <c r="H405" s="18" t="s">
        <v>1761</v>
      </c>
      <c r="I405" s="18" t="s">
        <v>105</v>
      </c>
      <c r="J405" s="18" t="s">
        <v>106</v>
      </c>
      <c r="K405" s="18" t="s">
        <v>32</v>
      </c>
      <c r="L405" s="18" t="s">
        <v>174</v>
      </c>
      <c r="M405" s="18">
        <v>8</v>
      </c>
      <c r="N405" s="18">
        <v>8500</v>
      </c>
      <c r="O405" s="18">
        <v>10</v>
      </c>
      <c r="P405" s="18">
        <v>61200</v>
      </c>
      <c r="Q405" s="18">
        <v>4</v>
      </c>
      <c r="R405" s="18" t="s">
        <v>34</v>
      </c>
      <c r="S405" s="18" t="s">
        <v>115</v>
      </c>
      <c r="T405" s="18" t="s">
        <v>50</v>
      </c>
      <c r="U405" s="19" t="s">
        <v>1762</v>
      </c>
      <c r="V405" s="18" t="s">
        <v>69</v>
      </c>
      <c r="W405" s="24" t="str">
        <f t="shared" si="6"/>
        <v>Blacklisted</v>
      </c>
    </row>
    <row r="406" spans="1:23">
      <c r="A406" s="15" t="s">
        <v>1763</v>
      </c>
      <c r="B406" s="15" t="s">
        <v>53</v>
      </c>
      <c r="C406" s="15" t="s">
        <v>222</v>
      </c>
      <c r="D406" s="15" t="s">
        <v>483</v>
      </c>
      <c r="E406" s="15" t="s">
        <v>1764</v>
      </c>
      <c r="F406" s="15" t="s">
        <v>163</v>
      </c>
      <c r="G406" s="15" t="s">
        <v>28</v>
      </c>
      <c r="H406" s="15" t="s">
        <v>1765</v>
      </c>
      <c r="I406" s="15" t="s">
        <v>114</v>
      </c>
      <c r="J406" s="15" t="s">
        <v>106</v>
      </c>
      <c r="K406" s="15" t="s">
        <v>122</v>
      </c>
      <c r="L406" s="15" t="s">
        <v>227</v>
      </c>
      <c r="M406" s="15">
        <v>3</v>
      </c>
      <c r="N406" s="15">
        <v>20</v>
      </c>
      <c r="O406" s="15">
        <v>10</v>
      </c>
      <c r="P406" s="15">
        <v>54</v>
      </c>
      <c r="Q406" s="15">
        <v>3</v>
      </c>
      <c r="R406" s="15" t="s">
        <v>79</v>
      </c>
      <c r="S406" s="15" t="s">
        <v>151</v>
      </c>
      <c r="T406" s="15" t="s">
        <v>62</v>
      </c>
      <c r="U406" s="17" t="s">
        <v>1766</v>
      </c>
      <c r="V406" s="15" t="s">
        <v>64</v>
      </c>
      <c r="W406" s="24" t="str">
        <f t="shared" si="6"/>
        <v>Blacklisted</v>
      </c>
    </row>
    <row r="407" spans="1:23">
      <c r="A407" s="18" t="s">
        <v>1767</v>
      </c>
      <c r="B407" s="18" t="s">
        <v>168</v>
      </c>
      <c r="C407" s="18" t="s">
        <v>169</v>
      </c>
      <c r="D407" s="18" t="s">
        <v>232</v>
      </c>
      <c r="E407" s="18" t="s">
        <v>641</v>
      </c>
      <c r="F407" s="18" t="s">
        <v>361</v>
      </c>
      <c r="G407" s="18" t="s">
        <v>28</v>
      </c>
      <c r="H407" s="18" t="s">
        <v>1768</v>
      </c>
      <c r="I407" s="18" t="s">
        <v>294</v>
      </c>
      <c r="J407" s="18" t="s">
        <v>295</v>
      </c>
      <c r="K407" s="18" t="s">
        <v>32</v>
      </c>
      <c r="L407" s="18" t="s">
        <v>174</v>
      </c>
      <c r="M407" s="18">
        <v>18</v>
      </c>
      <c r="N407" s="18">
        <v>8500</v>
      </c>
      <c r="O407" s="18">
        <v>10</v>
      </c>
      <c r="P407" s="18">
        <v>137700</v>
      </c>
      <c r="Q407" s="18">
        <v>4</v>
      </c>
      <c r="R407" s="18" t="s">
        <v>34</v>
      </c>
      <c r="S407" s="18" t="s">
        <v>49</v>
      </c>
      <c r="T407" s="18" t="s">
        <v>175</v>
      </c>
      <c r="U407" s="19" t="s">
        <v>1769</v>
      </c>
      <c r="V407" s="18" t="s">
        <v>69</v>
      </c>
      <c r="W407" s="24" t="str">
        <f t="shared" si="6"/>
        <v>Blacklisted</v>
      </c>
    </row>
    <row r="408" spans="1:23">
      <c r="A408" s="15" t="s">
        <v>1770</v>
      </c>
      <c r="B408" s="15" t="s">
        <v>53</v>
      </c>
      <c r="C408" s="15" t="s">
        <v>259</v>
      </c>
      <c r="D408" s="15" t="s">
        <v>308</v>
      </c>
      <c r="E408" s="15" t="s">
        <v>281</v>
      </c>
      <c r="F408" s="15" t="s">
        <v>163</v>
      </c>
      <c r="G408" s="15" t="s">
        <v>28</v>
      </c>
      <c r="H408" s="15" t="s">
        <v>1771</v>
      </c>
      <c r="I408" s="15" t="s">
        <v>114</v>
      </c>
      <c r="J408" s="15" t="s">
        <v>106</v>
      </c>
      <c r="K408" s="15" t="s">
        <v>122</v>
      </c>
      <c r="L408" s="15" t="s">
        <v>263</v>
      </c>
      <c r="M408" s="15">
        <v>5</v>
      </c>
      <c r="N408" s="15">
        <v>45</v>
      </c>
      <c r="O408" s="15">
        <v>10</v>
      </c>
      <c r="P408" s="15">
        <v>202.5</v>
      </c>
      <c r="Q408" s="15">
        <v>3</v>
      </c>
      <c r="R408" s="15" t="s">
        <v>34</v>
      </c>
      <c r="S408" s="15" t="s">
        <v>115</v>
      </c>
      <c r="T408" s="15" t="s">
        <v>62</v>
      </c>
      <c r="U408" s="17" t="s">
        <v>1772</v>
      </c>
      <c r="V408" s="15" t="s">
        <v>64</v>
      </c>
      <c r="W408" s="24" t="str">
        <f t="shared" si="6"/>
        <v>Blacklisted</v>
      </c>
    </row>
    <row r="409" spans="1:23">
      <c r="A409" s="18" t="s">
        <v>1773</v>
      </c>
      <c r="B409" s="18" t="s">
        <v>71</v>
      </c>
      <c r="C409" s="18" t="s">
        <v>259</v>
      </c>
      <c r="D409" s="18" t="s">
        <v>683</v>
      </c>
      <c r="E409" s="18" t="s">
        <v>684</v>
      </c>
      <c r="F409" s="18" t="s">
        <v>217</v>
      </c>
      <c r="G409" s="18" t="s">
        <v>76</v>
      </c>
      <c r="H409" s="18" t="s">
        <v>1774</v>
      </c>
      <c r="I409" s="18" t="s">
        <v>105</v>
      </c>
      <c r="J409" s="18" t="s">
        <v>106</v>
      </c>
      <c r="K409" s="18" t="s">
        <v>122</v>
      </c>
      <c r="L409" s="18" t="s">
        <v>263</v>
      </c>
      <c r="M409" s="18">
        <v>2</v>
      </c>
      <c r="N409" s="18">
        <v>45</v>
      </c>
      <c r="O409" s="18">
        <v>20</v>
      </c>
      <c r="P409" s="18">
        <v>72</v>
      </c>
      <c r="Q409" s="18">
        <v>5</v>
      </c>
      <c r="R409" s="18" t="s">
        <v>88</v>
      </c>
      <c r="S409" s="18" t="s">
        <v>61</v>
      </c>
      <c r="T409" s="18" t="s">
        <v>80</v>
      </c>
      <c r="U409" s="19" t="s">
        <v>1775</v>
      </c>
      <c r="V409" s="18" t="s">
        <v>69</v>
      </c>
      <c r="W409" s="24" t="str">
        <f t="shared" si="6"/>
        <v>Blacklisted</v>
      </c>
    </row>
    <row r="410" spans="1:23">
      <c r="A410" s="15" t="s">
        <v>1776</v>
      </c>
      <c r="B410" s="15" t="s">
        <v>100</v>
      </c>
      <c r="C410" s="15" t="s">
        <v>259</v>
      </c>
      <c r="D410" s="15" t="s">
        <v>1379</v>
      </c>
      <c r="E410" s="15" t="s">
        <v>900</v>
      </c>
      <c r="F410" s="15" t="s">
        <v>103</v>
      </c>
      <c r="G410" s="15" t="s">
        <v>28</v>
      </c>
      <c r="H410" s="15" t="s">
        <v>1777</v>
      </c>
      <c r="I410" s="15" t="s">
        <v>30</v>
      </c>
      <c r="J410" s="15" t="s">
        <v>31</v>
      </c>
      <c r="K410" s="15" t="s">
        <v>122</v>
      </c>
      <c r="L410" s="15" t="s">
        <v>263</v>
      </c>
      <c r="M410" s="15">
        <v>18</v>
      </c>
      <c r="N410" s="15">
        <v>45</v>
      </c>
      <c r="O410" s="15">
        <v>10</v>
      </c>
      <c r="P410" s="15">
        <v>729</v>
      </c>
      <c r="Q410" s="15">
        <v>2</v>
      </c>
      <c r="R410" s="15" t="s">
        <v>48</v>
      </c>
      <c r="S410" s="15" t="s">
        <v>115</v>
      </c>
      <c r="T410" s="15" t="s">
        <v>144</v>
      </c>
      <c r="U410" s="17" t="s">
        <v>1778</v>
      </c>
      <c r="V410" s="15" t="s">
        <v>64</v>
      </c>
      <c r="W410" s="24" t="str">
        <f t="shared" si="6"/>
        <v>Blacklisted</v>
      </c>
    </row>
    <row r="411" spans="1:23">
      <c r="A411" s="18" t="s">
        <v>1779</v>
      </c>
      <c r="B411" s="18" t="s">
        <v>127</v>
      </c>
      <c r="C411" s="18" t="s">
        <v>72</v>
      </c>
      <c r="D411" s="18" t="s">
        <v>463</v>
      </c>
      <c r="E411" s="18" t="s">
        <v>216</v>
      </c>
      <c r="F411" s="18" t="s">
        <v>200</v>
      </c>
      <c r="G411" s="18" t="s">
        <v>76</v>
      </c>
      <c r="H411" s="18" t="s">
        <v>1780</v>
      </c>
      <c r="I411" s="18" t="s">
        <v>294</v>
      </c>
      <c r="J411" s="18" t="s">
        <v>295</v>
      </c>
      <c r="K411" s="18" t="s">
        <v>46</v>
      </c>
      <c r="L411" s="18" t="s">
        <v>78</v>
      </c>
      <c r="M411" s="18">
        <v>13</v>
      </c>
      <c r="N411" s="18">
        <v>1200</v>
      </c>
      <c r="O411" s="18">
        <v>5</v>
      </c>
      <c r="P411" s="18">
        <v>14820</v>
      </c>
      <c r="Q411" s="18">
        <v>4</v>
      </c>
      <c r="R411" s="18" t="s">
        <v>79</v>
      </c>
      <c r="S411" s="18" t="s">
        <v>115</v>
      </c>
      <c r="T411" s="18" t="s">
        <v>132</v>
      </c>
      <c r="U411" s="19" t="s">
        <v>1781</v>
      </c>
      <c r="V411" s="18" t="s">
        <v>38</v>
      </c>
      <c r="W411" s="24" t="str">
        <f t="shared" si="6"/>
        <v>Silver</v>
      </c>
    </row>
    <row r="412" spans="1:23">
      <c r="A412" s="15" t="s">
        <v>1782</v>
      </c>
      <c r="B412" s="15" t="s">
        <v>23</v>
      </c>
      <c r="C412" s="15" t="s">
        <v>222</v>
      </c>
      <c r="D412" s="15" t="s">
        <v>1344</v>
      </c>
      <c r="E412" s="15" t="s">
        <v>1783</v>
      </c>
      <c r="F412" s="15" t="s">
        <v>27</v>
      </c>
      <c r="G412" s="15" t="s">
        <v>28</v>
      </c>
      <c r="H412" s="15" t="s">
        <v>1784</v>
      </c>
      <c r="I412" s="15" t="s">
        <v>30</v>
      </c>
      <c r="J412" s="15" t="s">
        <v>31</v>
      </c>
      <c r="K412" s="15" t="s">
        <v>122</v>
      </c>
      <c r="L412" s="15" t="s">
        <v>227</v>
      </c>
      <c r="M412" s="15">
        <v>14</v>
      </c>
      <c r="N412" s="15">
        <v>20</v>
      </c>
      <c r="O412" s="15">
        <v>20</v>
      </c>
      <c r="P412" s="15">
        <v>224</v>
      </c>
      <c r="Q412" s="15">
        <v>5</v>
      </c>
      <c r="R412" s="15" t="s">
        <v>88</v>
      </c>
      <c r="S412" s="15" t="s">
        <v>49</v>
      </c>
      <c r="T412" s="15" t="s">
        <v>50</v>
      </c>
      <c r="U412" s="17" t="s">
        <v>1785</v>
      </c>
      <c r="V412" s="15" t="s">
        <v>64</v>
      </c>
      <c r="W412" s="24" t="str">
        <f t="shared" si="6"/>
        <v>Blacklisted</v>
      </c>
    </row>
    <row r="413" spans="1:23">
      <c r="A413" s="18" t="s">
        <v>1786</v>
      </c>
      <c r="B413" s="18" t="s">
        <v>100</v>
      </c>
      <c r="C413" s="18" t="s">
        <v>92</v>
      </c>
      <c r="D413" s="18" t="s">
        <v>1787</v>
      </c>
      <c r="E413" s="18" t="s">
        <v>1689</v>
      </c>
      <c r="F413" s="18" t="s">
        <v>103</v>
      </c>
      <c r="G413" s="18" t="s">
        <v>28</v>
      </c>
      <c r="H413" s="18" t="s">
        <v>1788</v>
      </c>
      <c r="I413" s="18" t="s">
        <v>30</v>
      </c>
      <c r="J413" s="18" t="s">
        <v>31</v>
      </c>
      <c r="K413" s="18" t="s">
        <v>32</v>
      </c>
      <c r="L413" s="18" t="s">
        <v>97</v>
      </c>
      <c r="M413" s="18">
        <v>16</v>
      </c>
      <c r="N413" s="18">
        <v>3500</v>
      </c>
      <c r="O413" s="18">
        <v>15</v>
      </c>
      <c r="P413" s="18">
        <v>47600</v>
      </c>
      <c r="Q413" s="18">
        <v>3</v>
      </c>
      <c r="R413" s="18" t="s">
        <v>88</v>
      </c>
      <c r="S413" s="18" t="s">
        <v>61</v>
      </c>
      <c r="T413" s="18" t="s">
        <v>144</v>
      </c>
      <c r="U413" s="19" t="s">
        <v>1789</v>
      </c>
      <c r="V413" s="18" t="s">
        <v>69</v>
      </c>
      <c r="W413" s="24" t="str">
        <f t="shared" si="6"/>
        <v>Blacklisted</v>
      </c>
    </row>
    <row r="414" spans="1:23">
      <c r="A414" s="15" t="s">
        <v>1790</v>
      </c>
      <c r="B414" s="15" t="s">
        <v>251</v>
      </c>
      <c r="C414" s="15" t="s">
        <v>222</v>
      </c>
      <c r="D414" s="15" t="s">
        <v>987</v>
      </c>
      <c r="E414" s="15" t="s">
        <v>1110</v>
      </c>
      <c r="F414" s="15" t="s">
        <v>254</v>
      </c>
      <c r="G414" s="15" t="s">
        <v>28</v>
      </c>
      <c r="H414" s="15" t="s">
        <v>1791</v>
      </c>
      <c r="I414" s="15" t="s">
        <v>59</v>
      </c>
      <c r="J414" s="15" t="s">
        <v>31</v>
      </c>
      <c r="K414" s="15" t="s">
        <v>122</v>
      </c>
      <c r="L414" s="15" t="s">
        <v>227</v>
      </c>
      <c r="M414" s="15">
        <v>20</v>
      </c>
      <c r="N414" s="15">
        <v>20</v>
      </c>
      <c r="O414" s="15">
        <v>15</v>
      </c>
      <c r="P414" s="15">
        <v>340</v>
      </c>
      <c r="Q414" s="15">
        <v>1</v>
      </c>
      <c r="R414" s="15" t="s">
        <v>48</v>
      </c>
      <c r="S414" s="15" t="s">
        <v>61</v>
      </c>
      <c r="T414" s="15" t="s">
        <v>256</v>
      </c>
      <c r="U414" s="17" t="s">
        <v>1792</v>
      </c>
      <c r="V414" s="15" t="s">
        <v>69</v>
      </c>
      <c r="W414" s="24" t="str">
        <f t="shared" si="6"/>
        <v>Blacklisted</v>
      </c>
    </row>
    <row r="415" spans="1:23">
      <c r="A415" s="18" t="s">
        <v>1793</v>
      </c>
      <c r="B415" s="18" t="s">
        <v>168</v>
      </c>
      <c r="C415" s="18" t="s">
        <v>54</v>
      </c>
      <c r="D415" s="18" t="s">
        <v>652</v>
      </c>
      <c r="E415" s="18" t="s">
        <v>666</v>
      </c>
      <c r="F415" s="18" t="s">
        <v>361</v>
      </c>
      <c r="G415" s="18" t="s">
        <v>28</v>
      </c>
      <c r="H415" s="18" t="s">
        <v>1794</v>
      </c>
      <c r="I415" s="18" t="s">
        <v>138</v>
      </c>
      <c r="J415" s="18" t="s">
        <v>106</v>
      </c>
      <c r="K415" s="18" t="s">
        <v>46</v>
      </c>
      <c r="L415" s="18" t="s">
        <v>60</v>
      </c>
      <c r="M415" s="18">
        <v>1</v>
      </c>
      <c r="N415" s="18">
        <v>55000</v>
      </c>
      <c r="O415" s="18">
        <v>15</v>
      </c>
      <c r="P415" s="18">
        <v>46750</v>
      </c>
      <c r="Q415" s="18">
        <v>2</v>
      </c>
      <c r="R415" s="18" t="s">
        <v>88</v>
      </c>
      <c r="S415" s="18" t="s">
        <v>115</v>
      </c>
      <c r="T415" s="18" t="s">
        <v>175</v>
      </c>
      <c r="U415" s="19" t="s">
        <v>1795</v>
      </c>
      <c r="V415" s="18" t="s">
        <v>69</v>
      </c>
      <c r="W415" s="24" t="str">
        <f t="shared" si="6"/>
        <v>Blacklisted</v>
      </c>
    </row>
    <row r="416" spans="1:23">
      <c r="A416" s="15" t="s">
        <v>1796</v>
      </c>
      <c r="B416" s="15" t="s">
        <v>100</v>
      </c>
      <c r="C416" s="15" t="s">
        <v>118</v>
      </c>
      <c r="D416" s="15" t="s">
        <v>142</v>
      </c>
      <c r="E416" s="15" t="s">
        <v>620</v>
      </c>
      <c r="F416" s="15" t="s">
        <v>103</v>
      </c>
      <c r="G416" s="15" t="s">
        <v>28</v>
      </c>
      <c r="H416" s="15" t="s">
        <v>1797</v>
      </c>
      <c r="I416" s="15" t="s">
        <v>138</v>
      </c>
      <c r="J416" s="15" t="s">
        <v>106</v>
      </c>
      <c r="K416" s="15" t="s">
        <v>122</v>
      </c>
      <c r="L416" s="15" t="s">
        <v>123</v>
      </c>
      <c r="M416" s="15">
        <v>15</v>
      </c>
      <c r="N416" s="15">
        <v>60</v>
      </c>
      <c r="O416" s="15">
        <v>5</v>
      </c>
      <c r="P416" s="15">
        <v>855</v>
      </c>
      <c r="Q416" s="15">
        <v>4</v>
      </c>
      <c r="R416" s="15" t="s">
        <v>48</v>
      </c>
      <c r="S416" s="15" t="s">
        <v>61</v>
      </c>
      <c r="T416" s="15" t="s">
        <v>144</v>
      </c>
      <c r="U416" s="17" t="s">
        <v>1798</v>
      </c>
      <c r="V416" s="15" t="s">
        <v>38</v>
      </c>
      <c r="W416" s="24" t="str">
        <f t="shared" si="6"/>
        <v>Silver</v>
      </c>
    </row>
    <row r="417" spans="1:23">
      <c r="A417" s="18" t="s">
        <v>1799</v>
      </c>
      <c r="B417" s="18" t="s">
        <v>83</v>
      </c>
      <c r="C417" s="18" t="s">
        <v>184</v>
      </c>
      <c r="D417" s="18" t="s">
        <v>1800</v>
      </c>
      <c r="E417" s="18" t="s">
        <v>66</v>
      </c>
      <c r="F417" s="18" t="s">
        <v>180</v>
      </c>
      <c r="G417" s="18" t="s">
        <v>76</v>
      </c>
      <c r="H417" s="18" t="s">
        <v>1801</v>
      </c>
      <c r="I417" s="18" t="s">
        <v>105</v>
      </c>
      <c r="J417" s="18" t="s">
        <v>106</v>
      </c>
      <c r="K417" s="18" t="s">
        <v>46</v>
      </c>
      <c r="L417" s="18" t="s">
        <v>189</v>
      </c>
      <c r="M417" s="18">
        <v>15</v>
      </c>
      <c r="N417" s="18">
        <v>700</v>
      </c>
      <c r="O417" s="18">
        <v>0</v>
      </c>
      <c r="P417" s="18">
        <v>10500</v>
      </c>
      <c r="Q417" s="18">
        <v>5</v>
      </c>
      <c r="R417" s="18" t="s">
        <v>48</v>
      </c>
      <c r="S417" s="18" t="s">
        <v>115</v>
      </c>
      <c r="T417" s="18" t="s">
        <v>89</v>
      </c>
      <c r="U417" s="19" t="s">
        <v>1802</v>
      </c>
      <c r="V417" s="18" t="s">
        <v>38</v>
      </c>
      <c r="W417" s="24" t="str">
        <f t="shared" si="6"/>
        <v>Silver</v>
      </c>
    </row>
    <row r="418" spans="1:23">
      <c r="A418" s="15" t="s">
        <v>1803</v>
      </c>
      <c r="B418" s="15" t="s">
        <v>221</v>
      </c>
      <c r="C418" s="15" t="s">
        <v>40</v>
      </c>
      <c r="D418" s="15" t="s">
        <v>1199</v>
      </c>
      <c r="E418" s="15" t="s">
        <v>440</v>
      </c>
      <c r="F418" s="15" t="s">
        <v>225</v>
      </c>
      <c r="G418" s="15" t="s">
        <v>76</v>
      </c>
      <c r="H418" s="15" t="s">
        <v>1804</v>
      </c>
      <c r="I418" s="15" t="s">
        <v>294</v>
      </c>
      <c r="J418" s="15" t="s">
        <v>295</v>
      </c>
      <c r="K418" s="15" t="s">
        <v>46</v>
      </c>
      <c r="L418" s="15" t="s">
        <v>47</v>
      </c>
      <c r="M418" s="15">
        <v>13</v>
      </c>
      <c r="N418" s="15">
        <v>12000</v>
      </c>
      <c r="O418" s="15">
        <v>10</v>
      </c>
      <c r="P418" s="15">
        <v>140400</v>
      </c>
      <c r="Q418" s="15">
        <v>1</v>
      </c>
      <c r="R418" s="15" t="s">
        <v>34</v>
      </c>
      <c r="S418" s="15" t="s">
        <v>151</v>
      </c>
      <c r="T418" s="15" t="s">
        <v>228</v>
      </c>
      <c r="U418" s="17" t="s">
        <v>1805</v>
      </c>
      <c r="V418" s="15" t="s">
        <v>69</v>
      </c>
      <c r="W418" s="24" t="str">
        <f t="shared" si="6"/>
        <v>Blacklisted</v>
      </c>
    </row>
    <row r="419" spans="1:23">
      <c r="A419" s="18" t="s">
        <v>1806</v>
      </c>
      <c r="B419" s="18" t="s">
        <v>83</v>
      </c>
      <c r="C419" s="18" t="s">
        <v>40</v>
      </c>
      <c r="D419" s="18" t="s">
        <v>1807</v>
      </c>
      <c r="E419" s="18" t="s">
        <v>1081</v>
      </c>
      <c r="F419" s="18" t="s">
        <v>180</v>
      </c>
      <c r="G419" s="18" t="s">
        <v>76</v>
      </c>
      <c r="H419" s="18" t="s">
        <v>1808</v>
      </c>
      <c r="I419" s="18" t="s">
        <v>30</v>
      </c>
      <c r="J419" s="18" t="s">
        <v>31</v>
      </c>
      <c r="K419" s="18" t="s">
        <v>46</v>
      </c>
      <c r="L419" s="18" t="s">
        <v>47</v>
      </c>
      <c r="M419" s="18">
        <v>12</v>
      </c>
      <c r="N419" s="18">
        <v>12000</v>
      </c>
      <c r="O419" s="18">
        <v>20</v>
      </c>
      <c r="P419" s="18">
        <v>115200</v>
      </c>
      <c r="Q419" s="18">
        <v>2</v>
      </c>
      <c r="R419" s="18" t="s">
        <v>34</v>
      </c>
      <c r="S419" s="18" t="s">
        <v>35</v>
      </c>
      <c r="T419" s="18" t="s">
        <v>89</v>
      </c>
      <c r="U419" s="19" t="s">
        <v>1809</v>
      </c>
      <c r="V419" s="18" t="s">
        <v>38</v>
      </c>
      <c r="W419" s="24" t="str">
        <f t="shared" si="6"/>
        <v>Blacklisted</v>
      </c>
    </row>
    <row r="420" spans="1:23">
      <c r="A420" s="15" t="s">
        <v>1810</v>
      </c>
      <c r="B420" s="15" t="s">
        <v>83</v>
      </c>
      <c r="C420" s="15" t="s">
        <v>259</v>
      </c>
      <c r="D420" s="15" t="s">
        <v>119</v>
      </c>
      <c r="E420" s="15" t="s">
        <v>1298</v>
      </c>
      <c r="F420" s="15" t="s">
        <v>180</v>
      </c>
      <c r="G420" s="15" t="s">
        <v>76</v>
      </c>
      <c r="H420" s="15" t="s">
        <v>1811</v>
      </c>
      <c r="I420" s="15" t="s">
        <v>105</v>
      </c>
      <c r="J420" s="15" t="s">
        <v>106</v>
      </c>
      <c r="K420" s="15" t="s">
        <v>122</v>
      </c>
      <c r="L420" s="15" t="s">
        <v>263</v>
      </c>
      <c r="M420" s="15">
        <v>10</v>
      </c>
      <c r="N420" s="15">
        <v>45</v>
      </c>
      <c r="O420" s="15">
        <v>0</v>
      </c>
      <c r="P420" s="15">
        <v>450</v>
      </c>
      <c r="Q420" s="15">
        <v>5</v>
      </c>
      <c r="R420" s="15" t="s">
        <v>79</v>
      </c>
      <c r="S420" s="15" t="s">
        <v>115</v>
      </c>
      <c r="T420" s="15" t="s">
        <v>89</v>
      </c>
      <c r="U420" s="17" t="s">
        <v>1812</v>
      </c>
      <c r="V420" s="15" t="s">
        <v>69</v>
      </c>
      <c r="W420" s="24" t="str">
        <f t="shared" si="6"/>
        <v>Blacklisted</v>
      </c>
    </row>
    <row r="421" spans="1:23">
      <c r="A421" s="18" t="s">
        <v>1813</v>
      </c>
      <c r="B421" s="18" t="s">
        <v>127</v>
      </c>
      <c r="C421" s="18" t="s">
        <v>72</v>
      </c>
      <c r="D421" s="18" t="s">
        <v>41</v>
      </c>
      <c r="E421" s="18" t="s">
        <v>596</v>
      </c>
      <c r="F421" s="18" t="s">
        <v>200</v>
      </c>
      <c r="G421" s="18" t="s">
        <v>76</v>
      </c>
      <c r="H421" s="18" t="s">
        <v>1814</v>
      </c>
      <c r="I421" s="18" t="s">
        <v>105</v>
      </c>
      <c r="J421" s="18" t="s">
        <v>106</v>
      </c>
      <c r="K421" s="18" t="s">
        <v>46</v>
      </c>
      <c r="L421" s="18" t="s">
        <v>78</v>
      </c>
      <c r="M421" s="18">
        <v>20</v>
      </c>
      <c r="N421" s="18">
        <v>1200</v>
      </c>
      <c r="O421" s="18">
        <v>20</v>
      </c>
      <c r="P421" s="18">
        <v>19200</v>
      </c>
      <c r="Q421" s="18">
        <v>5</v>
      </c>
      <c r="R421" s="18" t="s">
        <v>48</v>
      </c>
      <c r="S421" s="18" t="s">
        <v>61</v>
      </c>
      <c r="T421" s="18" t="s">
        <v>132</v>
      </c>
      <c r="U421" s="19" t="s">
        <v>1815</v>
      </c>
      <c r="V421" s="18" t="s">
        <v>69</v>
      </c>
      <c r="W421" s="24" t="str">
        <f t="shared" si="6"/>
        <v>Blacklisted</v>
      </c>
    </row>
    <row r="422" spans="1:23">
      <c r="A422" s="15" t="s">
        <v>1816</v>
      </c>
      <c r="B422" s="15" t="s">
        <v>71</v>
      </c>
      <c r="C422" s="15" t="s">
        <v>72</v>
      </c>
      <c r="D422" s="15" t="s">
        <v>128</v>
      </c>
      <c r="E422" s="15" t="s">
        <v>1817</v>
      </c>
      <c r="F422" s="15" t="s">
        <v>217</v>
      </c>
      <c r="G422" s="15" t="s">
        <v>76</v>
      </c>
      <c r="H422" s="15" t="s">
        <v>1818</v>
      </c>
      <c r="I422" s="15" t="s">
        <v>114</v>
      </c>
      <c r="J422" s="15" t="s">
        <v>106</v>
      </c>
      <c r="K422" s="15" t="s">
        <v>46</v>
      </c>
      <c r="L422" s="15" t="s">
        <v>78</v>
      </c>
      <c r="M422" s="15">
        <v>8</v>
      </c>
      <c r="N422" s="15">
        <v>1200</v>
      </c>
      <c r="O422" s="15">
        <v>10</v>
      </c>
      <c r="P422" s="15">
        <v>8640</v>
      </c>
      <c r="Q422" s="15">
        <v>4</v>
      </c>
      <c r="R422" s="15" t="s">
        <v>48</v>
      </c>
      <c r="S422" s="15" t="s">
        <v>61</v>
      </c>
      <c r="T422" s="15" t="s">
        <v>80</v>
      </c>
      <c r="U422" s="17" t="s">
        <v>1819</v>
      </c>
      <c r="V422" s="15" t="s">
        <v>38</v>
      </c>
      <c r="W422" s="24" t="str">
        <f t="shared" si="6"/>
        <v>Silver</v>
      </c>
    </row>
    <row r="423" spans="1:23">
      <c r="A423" s="18" t="s">
        <v>1820</v>
      </c>
      <c r="B423" s="18" t="s">
        <v>127</v>
      </c>
      <c r="C423" s="18" t="s">
        <v>72</v>
      </c>
      <c r="D423" s="18" t="s">
        <v>1085</v>
      </c>
      <c r="E423" s="18" t="s">
        <v>1086</v>
      </c>
      <c r="F423" s="18" t="s">
        <v>200</v>
      </c>
      <c r="G423" s="18" t="s">
        <v>76</v>
      </c>
      <c r="H423" s="18" t="s">
        <v>1821</v>
      </c>
      <c r="I423" s="18" t="s">
        <v>212</v>
      </c>
      <c r="J423" s="18" t="s">
        <v>45</v>
      </c>
      <c r="K423" s="18" t="s">
        <v>46</v>
      </c>
      <c r="L423" s="18" t="s">
        <v>78</v>
      </c>
      <c r="M423" s="18">
        <v>8</v>
      </c>
      <c r="N423" s="18">
        <v>1200</v>
      </c>
      <c r="O423" s="18">
        <v>10</v>
      </c>
      <c r="P423" s="18">
        <v>8640</v>
      </c>
      <c r="Q423" s="18">
        <v>5</v>
      </c>
      <c r="R423" s="18" t="s">
        <v>79</v>
      </c>
      <c r="S423" s="18" t="s">
        <v>49</v>
      </c>
      <c r="T423" s="18" t="s">
        <v>132</v>
      </c>
      <c r="U423" s="19" t="s">
        <v>1822</v>
      </c>
      <c r="V423" s="18" t="s">
        <v>69</v>
      </c>
      <c r="W423" s="24" t="str">
        <f t="shared" si="6"/>
        <v>Blacklisted</v>
      </c>
    </row>
    <row r="424" spans="1:23">
      <c r="A424" s="15" t="s">
        <v>1823</v>
      </c>
      <c r="B424" s="15" t="s">
        <v>327</v>
      </c>
      <c r="C424" s="15" t="s">
        <v>24</v>
      </c>
      <c r="D424" s="15" t="s">
        <v>1824</v>
      </c>
      <c r="E424" s="15" t="s">
        <v>1444</v>
      </c>
      <c r="F424" s="15" t="s">
        <v>394</v>
      </c>
      <c r="G424" s="15" t="s">
        <v>76</v>
      </c>
      <c r="H424" s="15" t="s">
        <v>1825</v>
      </c>
      <c r="I424" s="15" t="s">
        <v>212</v>
      </c>
      <c r="J424" s="15" t="s">
        <v>45</v>
      </c>
      <c r="K424" s="15" t="s">
        <v>32</v>
      </c>
      <c r="L424" s="15" t="s">
        <v>33</v>
      </c>
      <c r="M424" s="15">
        <v>9</v>
      </c>
      <c r="N424" s="15">
        <v>2200</v>
      </c>
      <c r="O424" s="15">
        <v>20</v>
      </c>
      <c r="P424" s="15">
        <v>15840</v>
      </c>
      <c r="Q424" s="15">
        <v>1</v>
      </c>
      <c r="R424" s="15" t="s">
        <v>48</v>
      </c>
      <c r="S424" s="15" t="s">
        <v>115</v>
      </c>
      <c r="T424" s="15" t="s">
        <v>332</v>
      </c>
      <c r="U424" s="17" t="s">
        <v>1826</v>
      </c>
      <c r="V424" s="15" t="s">
        <v>38</v>
      </c>
      <c r="W424" s="24" t="str">
        <f t="shared" si="6"/>
        <v>Blacklisted</v>
      </c>
    </row>
    <row r="425" spans="1:23">
      <c r="A425" s="18" t="s">
        <v>1827</v>
      </c>
      <c r="B425" s="18" t="s">
        <v>127</v>
      </c>
      <c r="C425" s="18" t="s">
        <v>222</v>
      </c>
      <c r="D425" s="18" t="s">
        <v>1268</v>
      </c>
      <c r="E425" s="18" t="s">
        <v>760</v>
      </c>
      <c r="F425" s="18" t="s">
        <v>200</v>
      </c>
      <c r="G425" s="18" t="s">
        <v>76</v>
      </c>
      <c r="H425" s="18" t="s">
        <v>1828</v>
      </c>
      <c r="I425" s="18" t="s">
        <v>294</v>
      </c>
      <c r="J425" s="18" t="s">
        <v>295</v>
      </c>
      <c r="K425" s="18" t="s">
        <v>122</v>
      </c>
      <c r="L425" s="18" t="s">
        <v>227</v>
      </c>
      <c r="M425" s="18">
        <v>8</v>
      </c>
      <c r="N425" s="18">
        <v>20</v>
      </c>
      <c r="O425" s="18">
        <v>20</v>
      </c>
      <c r="P425" s="18">
        <v>128</v>
      </c>
      <c r="Q425" s="18">
        <v>4</v>
      </c>
      <c r="R425" s="18" t="s">
        <v>34</v>
      </c>
      <c r="S425" s="18" t="s">
        <v>35</v>
      </c>
      <c r="T425" s="18" t="s">
        <v>132</v>
      </c>
      <c r="U425" s="19" t="s">
        <v>1829</v>
      </c>
      <c r="V425" s="18" t="s">
        <v>69</v>
      </c>
      <c r="W425" s="24" t="str">
        <f t="shared" si="6"/>
        <v>Blacklisted</v>
      </c>
    </row>
    <row r="426" spans="1:23">
      <c r="A426" s="15" t="s">
        <v>1830</v>
      </c>
      <c r="B426" s="15" t="s">
        <v>221</v>
      </c>
      <c r="C426" s="15" t="s">
        <v>54</v>
      </c>
      <c r="D426" s="15" t="s">
        <v>1176</v>
      </c>
      <c r="E426" s="15" t="s">
        <v>1831</v>
      </c>
      <c r="F426" s="15" t="s">
        <v>225</v>
      </c>
      <c r="G426" s="15" t="s">
        <v>76</v>
      </c>
      <c r="H426" s="15" t="s">
        <v>1006</v>
      </c>
      <c r="I426" s="15" t="s">
        <v>114</v>
      </c>
      <c r="J426" s="15" t="s">
        <v>106</v>
      </c>
      <c r="K426" s="15" t="s">
        <v>46</v>
      </c>
      <c r="L426" s="15" t="s">
        <v>60</v>
      </c>
      <c r="M426" s="15">
        <v>5</v>
      </c>
      <c r="N426" s="15">
        <v>55000</v>
      </c>
      <c r="O426" s="15">
        <v>0</v>
      </c>
      <c r="P426" s="15">
        <v>275000</v>
      </c>
      <c r="Q426" s="15">
        <v>1</v>
      </c>
      <c r="R426" s="15" t="s">
        <v>79</v>
      </c>
      <c r="S426" s="15" t="s">
        <v>115</v>
      </c>
      <c r="T426" s="15" t="s">
        <v>228</v>
      </c>
      <c r="U426" s="17" t="s">
        <v>1832</v>
      </c>
      <c r="V426" s="15" t="s">
        <v>38</v>
      </c>
      <c r="W426" s="24" t="str">
        <f t="shared" si="6"/>
        <v>Blacklisted</v>
      </c>
    </row>
    <row r="427" spans="1:23">
      <c r="A427" s="18" t="s">
        <v>1833</v>
      </c>
      <c r="B427" s="18" t="s">
        <v>100</v>
      </c>
      <c r="C427" s="18" t="s">
        <v>72</v>
      </c>
      <c r="D427" s="18" t="s">
        <v>1834</v>
      </c>
      <c r="E427" s="18" t="s">
        <v>636</v>
      </c>
      <c r="F427" s="18" t="s">
        <v>103</v>
      </c>
      <c r="G427" s="18" t="s">
        <v>28</v>
      </c>
      <c r="H427" s="18" t="s">
        <v>1835</v>
      </c>
      <c r="I427" s="18" t="s">
        <v>105</v>
      </c>
      <c r="J427" s="18" t="s">
        <v>106</v>
      </c>
      <c r="K427" s="18" t="s">
        <v>46</v>
      </c>
      <c r="L427" s="18" t="s">
        <v>78</v>
      </c>
      <c r="M427" s="18">
        <v>13</v>
      </c>
      <c r="N427" s="18">
        <v>1200</v>
      </c>
      <c r="O427" s="18">
        <v>5</v>
      </c>
      <c r="P427" s="18">
        <v>14820</v>
      </c>
      <c r="Q427" s="18">
        <v>2</v>
      </c>
      <c r="R427" s="18" t="s">
        <v>79</v>
      </c>
      <c r="S427" s="18" t="s">
        <v>35</v>
      </c>
      <c r="T427" s="18" t="s">
        <v>144</v>
      </c>
      <c r="U427" s="19" t="s">
        <v>1836</v>
      </c>
      <c r="V427" s="18" t="s">
        <v>69</v>
      </c>
      <c r="W427" s="24" t="str">
        <f t="shared" si="6"/>
        <v>Blacklisted</v>
      </c>
    </row>
    <row r="428" spans="1:23">
      <c r="A428" s="15" t="s">
        <v>1837</v>
      </c>
      <c r="B428" s="15" t="s">
        <v>83</v>
      </c>
      <c r="C428" s="15" t="s">
        <v>169</v>
      </c>
      <c r="D428" s="15" t="s">
        <v>1484</v>
      </c>
      <c r="E428" s="15" t="s">
        <v>1838</v>
      </c>
      <c r="F428" s="15" t="s">
        <v>180</v>
      </c>
      <c r="G428" s="15" t="s">
        <v>76</v>
      </c>
      <c r="H428" s="15" t="s">
        <v>1839</v>
      </c>
      <c r="I428" s="15" t="s">
        <v>212</v>
      </c>
      <c r="J428" s="15" t="s">
        <v>45</v>
      </c>
      <c r="K428" s="15" t="s">
        <v>32</v>
      </c>
      <c r="L428" s="15" t="s">
        <v>174</v>
      </c>
      <c r="M428" s="15">
        <v>13</v>
      </c>
      <c r="N428" s="15">
        <v>8500</v>
      </c>
      <c r="O428" s="15">
        <v>20</v>
      </c>
      <c r="P428" s="15">
        <v>88400</v>
      </c>
      <c r="Q428" s="15">
        <v>5</v>
      </c>
      <c r="R428" s="15" t="s">
        <v>34</v>
      </c>
      <c r="S428" s="15" t="s">
        <v>49</v>
      </c>
      <c r="T428" s="15" t="s">
        <v>89</v>
      </c>
      <c r="U428" s="17" t="s">
        <v>1840</v>
      </c>
      <c r="V428" s="15" t="s">
        <v>64</v>
      </c>
      <c r="W428" s="24" t="str">
        <f t="shared" si="6"/>
        <v>Blacklisted</v>
      </c>
    </row>
    <row r="429" spans="1:23">
      <c r="A429" s="18" t="s">
        <v>1841</v>
      </c>
      <c r="B429" s="18" t="s">
        <v>71</v>
      </c>
      <c r="C429" s="18" t="s">
        <v>118</v>
      </c>
      <c r="D429" s="18" t="s">
        <v>765</v>
      </c>
      <c r="E429" s="18" t="s">
        <v>1842</v>
      </c>
      <c r="F429" s="18" t="s">
        <v>217</v>
      </c>
      <c r="G429" s="18" t="s">
        <v>76</v>
      </c>
      <c r="H429" s="18" t="s">
        <v>1843</v>
      </c>
      <c r="I429" s="18" t="s">
        <v>114</v>
      </c>
      <c r="J429" s="18" t="s">
        <v>106</v>
      </c>
      <c r="K429" s="18" t="s">
        <v>122</v>
      </c>
      <c r="L429" s="18" t="s">
        <v>123</v>
      </c>
      <c r="M429" s="18">
        <v>14</v>
      </c>
      <c r="N429" s="18">
        <v>60</v>
      </c>
      <c r="O429" s="18">
        <v>10</v>
      </c>
      <c r="P429" s="18">
        <v>756</v>
      </c>
      <c r="Q429" s="18">
        <v>1</v>
      </c>
      <c r="R429" s="18" t="s">
        <v>34</v>
      </c>
      <c r="S429" s="18" t="s">
        <v>61</v>
      </c>
      <c r="T429" s="18" t="s">
        <v>80</v>
      </c>
      <c r="U429" s="19" t="s">
        <v>1844</v>
      </c>
      <c r="V429" s="18" t="s">
        <v>69</v>
      </c>
      <c r="W429" s="24" t="str">
        <f t="shared" si="6"/>
        <v>Blacklisted</v>
      </c>
    </row>
    <row r="430" spans="1:23">
      <c r="A430" s="15" t="s">
        <v>1845</v>
      </c>
      <c r="B430" s="15" t="s">
        <v>251</v>
      </c>
      <c r="C430" s="15" t="s">
        <v>24</v>
      </c>
      <c r="D430" s="15" t="s">
        <v>336</v>
      </c>
      <c r="E430" s="15" t="s">
        <v>606</v>
      </c>
      <c r="F430" s="15" t="s">
        <v>254</v>
      </c>
      <c r="G430" s="15" t="s">
        <v>28</v>
      </c>
      <c r="H430" s="15" t="s">
        <v>1846</v>
      </c>
      <c r="I430" s="15" t="s">
        <v>59</v>
      </c>
      <c r="J430" s="15" t="s">
        <v>31</v>
      </c>
      <c r="K430" s="15" t="s">
        <v>32</v>
      </c>
      <c r="L430" s="15" t="s">
        <v>33</v>
      </c>
      <c r="M430" s="15">
        <v>15</v>
      </c>
      <c r="N430" s="15">
        <v>2200</v>
      </c>
      <c r="O430" s="15">
        <v>0</v>
      </c>
      <c r="P430" s="15">
        <v>33000</v>
      </c>
      <c r="Q430" s="15">
        <v>1</v>
      </c>
      <c r="R430" s="15" t="s">
        <v>34</v>
      </c>
      <c r="S430" s="15" t="s">
        <v>61</v>
      </c>
      <c r="T430" s="15" t="s">
        <v>256</v>
      </c>
      <c r="U430" s="17" t="s">
        <v>1847</v>
      </c>
      <c r="V430" s="15" t="s">
        <v>38</v>
      </c>
      <c r="W430" s="24" t="str">
        <f t="shared" si="6"/>
        <v>Blacklisted</v>
      </c>
    </row>
    <row r="431" spans="1:23">
      <c r="A431" s="18" t="s">
        <v>1848</v>
      </c>
      <c r="B431" s="18" t="s">
        <v>83</v>
      </c>
      <c r="C431" s="18" t="s">
        <v>118</v>
      </c>
      <c r="D431" s="18" t="s">
        <v>1849</v>
      </c>
      <c r="E431" s="18" t="s">
        <v>1850</v>
      </c>
      <c r="F431" s="18" t="s">
        <v>180</v>
      </c>
      <c r="G431" s="18" t="s">
        <v>76</v>
      </c>
      <c r="H431" s="18" t="s">
        <v>1851</v>
      </c>
      <c r="I431" s="18" t="s">
        <v>212</v>
      </c>
      <c r="J431" s="18" t="s">
        <v>45</v>
      </c>
      <c r="K431" s="18" t="s">
        <v>122</v>
      </c>
      <c r="L431" s="18" t="s">
        <v>123</v>
      </c>
      <c r="M431" s="18">
        <v>19</v>
      </c>
      <c r="N431" s="18">
        <v>60</v>
      </c>
      <c r="O431" s="18">
        <v>20</v>
      </c>
      <c r="P431" s="18">
        <v>912</v>
      </c>
      <c r="Q431" s="18">
        <v>3</v>
      </c>
      <c r="R431" s="18" t="s">
        <v>34</v>
      </c>
      <c r="S431" s="18" t="s">
        <v>151</v>
      </c>
      <c r="T431" s="18" t="s">
        <v>89</v>
      </c>
      <c r="U431" s="19" t="s">
        <v>1852</v>
      </c>
      <c r="V431" s="18" t="s">
        <v>64</v>
      </c>
      <c r="W431" s="24" t="str">
        <f t="shared" si="6"/>
        <v>Blacklisted</v>
      </c>
    </row>
    <row r="432" spans="1:23">
      <c r="A432" s="15" t="s">
        <v>1853</v>
      </c>
      <c r="B432" s="15" t="s">
        <v>53</v>
      </c>
      <c r="C432" s="15" t="s">
        <v>259</v>
      </c>
      <c r="D432" s="15" t="s">
        <v>1760</v>
      </c>
      <c r="E432" s="15" t="s">
        <v>341</v>
      </c>
      <c r="F432" s="15" t="s">
        <v>163</v>
      </c>
      <c r="G432" s="15" t="s">
        <v>28</v>
      </c>
      <c r="H432" s="15" t="s">
        <v>1854</v>
      </c>
      <c r="I432" s="15" t="s">
        <v>212</v>
      </c>
      <c r="J432" s="15" t="s">
        <v>45</v>
      </c>
      <c r="K432" s="15" t="s">
        <v>122</v>
      </c>
      <c r="L432" s="15" t="s">
        <v>263</v>
      </c>
      <c r="M432" s="15">
        <v>13</v>
      </c>
      <c r="N432" s="15">
        <v>45</v>
      </c>
      <c r="O432" s="15">
        <v>15</v>
      </c>
      <c r="P432" s="15">
        <v>497.25</v>
      </c>
      <c r="Q432" s="15">
        <v>2</v>
      </c>
      <c r="R432" s="15" t="s">
        <v>34</v>
      </c>
      <c r="S432" s="15" t="s">
        <v>49</v>
      </c>
      <c r="T432" s="15" t="s">
        <v>62</v>
      </c>
      <c r="U432" s="17" t="s">
        <v>1855</v>
      </c>
      <c r="V432" s="15" t="s">
        <v>38</v>
      </c>
      <c r="W432" s="24" t="str">
        <f t="shared" si="6"/>
        <v>Blacklisted</v>
      </c>
    </row>
    <row r="433" spans="1:23">
      <c r="A433" s="18" t="s">
        <v>1856</v>
      </c>
      <c r="B433" s="18" t="s">
        <v>251</v>
      </c>
      <c r="C433" s="18" t="s">
        <v>40</v>
      </c>
      <c r="D433" s="18" t="s">
        <v>998</v>
      </c>
      <c r="E433" s="18" t="s">
        <v>1128</v>
      </c>
      <c r="F433" s="18" t="s">
        <v>254</v>
      </c>
      <c r="G433" s="18" t="s">
        <v>28</v>
      </c>
      <c r="H433" s="18" t="s">
        <v>1857</v>
      </c>
      <c r="I433" s="18" t="s">
        <v>105</v>
      </c>
      <c r="J433" s="18" t="s">
        <v>106</v>
      </c>
      <c r="K433" s="18" t="s">
        <v>46</v>
      </c>
      <c r="L433" s="18" t="s">
        <v>47</v>
      </c>
      <c r="M433" s="18">
        <v>7</v>
      </c>
      <c r="N433" s="18">
        <v>12000</v>
      </c>
      <c r="O433" s="18">
        <v>5</v>
      </c>
      <c r="P433" s="18">
        <v>79800</v>
      </c>
      <c r="Q433" s="18">
        <v>4</v>
      </c>
      <c r="R433" s="18" t="s">
        <v>79</v>
      </c>
      <c r="S433" s="18" t="s">
        <v>151</v>
      </c>
      <c r="T433" s="18" t="s">
        <v>256</v>
      </c>
      <c r="U433" s="19" t="s">
        <v>1858</v>
      </c>
      <c r="V433" s="18" t="s">
        <v>69</v>
      </c>
      <c r="W433" s="24" t="str">
        <f t="shared" si="6"/>
        <v>Blacklisted</v>
      </c>
    </row>
    <row r="434" spans="1:23">
      <c r="A434" s="15" t="s">
        <v>1859</v>
      </c>
      <c r="B434" s="15" t="s">
        <v>327</v>
      </c>
      <c r="C434" s="15" t="s">
        <v>222</v>
      </c>
      <c r="D434" s="15" t="s">
        <v>601</v>
      </c>
      <c r="E434" s="15"/>
      <c r="F434" s="15" t="s">
        <v>394</v>
      </c>
      <c r="G434" s="15" t="s">
        <v>76</v>
      </c>
      <c r="H434" s="15" t="s">
        <v>1860</v>
      </c>
      <c r="I434" s="15" t="s">
        <v>294</v>
      </c>
      <c r="J434" s="15" t="s">
        <v>295</v>
      </c>
      <c r="K434" s="15" t="s">
        <v>122</v>
      </c>
      <c r="L434" s="15" t="s">
        <v>227</v>
      </c>
      <c r="M434" s="15">
        <v>8</v>
      </c>
      <c r="N434" s="15">
        <v>20</v>
      </c>
      <c r="O434" s="15">
        <v>0</v>
      </c>
      <c r="P434" s="15">
        <v>160</v>
      </c>
      <c r="Q434" s="15">
        <v>4</v>
      </c>
      <c r="R434" s="15" t="s">
        <v>79</v>
      </c>
      <c r="S434" s="15" t="s">
        <v>61</v>
      </c>
      <c r="T434" s="15" t="s">
        <v>332</v>
      </c>
      <c r="U434" s="17" t="s">
        <v>1861</v>
      </c>
      <c r="V434" s="15" t="s">
        <v>64</v>
      </c>
      <c r="W434" s="24" t="str">
        <f t="shared" si="6"/>
        <v>Blacklisted</v>
      </c>
    </row>
    <row r="435" spans="1:23">
      <c r="A435" s="18" t="s">
        <v>1862</v>
      </c>
      <c r="B435" s="18" t="s">
        <v>23</v>
      </c>
      <c r="C435" s="18" t="s">
        <v>92</v>
      </c>
      <c r="D435" s="18" t="s">
        <v>1863</v>
      </c>
      <c r="E435" s="18" t="s">
        <v>900</v>
      </c>
      <c r="F435" s="18" t="s">
        <v>27</v>
      </c>
      <c r="G435" s="18" t="s">
        <v>28</v>
      </c>
      <c r="H435" s="18" t="s">
        <v>1864</v>
      </c>
      <c r="I435" s="18" t="s">
        <v>294</v>
      </c>
      <c r="J435" s="18" t="s">
        <v>295</v>
      </c>
      <c r="K435" s="18" t="s">
        <v>32</v>
      </c>
      <c r="L435" s="18" t="s">
        <v>97</v>
      </c>
      <c r="M435" s="18">
        <v>16</v>
      </c>
      <c r="N435" s="18">
        <v>3500</v>
      </c>
      <c r="O435" s="18">
        <v>5</v>
      </c>
      <c r="P435" s="18">
        <v>53200</v>
      </c>
      <c r="Q435" s="18">
        <v>1</v>
      </c>
      <c r="R435" s="18" t="s">
        <v>79</v>
      </c>
      <c r="S435" s="18" t="s">
        <v>61</v>
      </c>
      <c r="T435" s="18" t="s">
        <v>50</v>
      </c>
      <c r="U435" s="19" t="s">
        <v>1865</v>
      </c>
      <c r="V435" s="18" t="s">
        <v>69</v>
      </c>
      <c r="W435" s="24" t="str">
        <f t="shared" si="6"/>
        <v>Blacklisted</v>
      </c>
    </row>
    <row r="436" spans="1:23">
      <c r="A436" s="15" t="s">
        <v>1866</v>
      </c>
      <c r="B436" s="15" t="s">
        <v>327</v>
      </c>
      <c r="C436" s="15" t="s">
        <v>169</v>
      </c>
      <c r="D436" s="15" t="s">
        <v>1867</v>
      </c>
      <c r="E436" s="15" t="s">
        <v>1157</v>
      </c>
      <c r="F436" s="15" t="s">
        <v>394</v>
      </c>
      <c r="G436" s="15" t="s">
        <v>76</v>
      </c>
      <c r="H436" s="15" t="s">
        <v>1868</v>
      </c>
      <c r="I436" s="15" t="s">
        <v>105</v>
      </c>
      <c r="J436" s="15" t="s">
        <v>106</v>
      </c>
      <c r="K436" s="15" t="s">
        <v>32</v>
      </c>
      <c r="L436" s="15" t="s">
        <v>174</v>
      </c>
      <c r="M436" s="15">
        <v>12</v>
      </c>
      <c r="N436" s="15">
        <v>8500</v>
      </c>
      <c r="O436" s="15">
        <v>10</v>
      </c>
      <c r="P436" s="15">
        <v>91800</v>
      </c>
      <c r="Q436" s="15">
        <v>3</v>
      </c>
      <c r="R436" s="15" t="s">
        <v>79</v>
      </c>
      <c r="S436" s="15" t="s">
        <v>35</v>
      </c>
      <c r="T436" s="15" t="s">
        <v>332</v>
      </c>
      <c r="U436" s="17" t="s">
        <v>1869</v>
      </c>
      <c r="V436" s="15" t="s">
        <v>38</v>
      </c>
      <c r="W436" s="24" t="str">
        <f t="shared" si="6"/>
        <v>Gold</v>
      </c>
    </row>
    <row r="437" spans="1:23">
      <c r="A437" s="18" t="s">
        <v>1870</v>
      </c>
      <c r="B437" s="18" t="s">
        <v>23</v>
      </c>
      <c r="C437" s="18" t="s">
        <v>118</v>
      </c>
      <c r="D437" s="18" t="s">
        <v>539</v>
      </c>
      <c r="E437" s="18" t="s">
        <v>1114</v>
      </c>
      <c r="F437" s="18" t="s">
        <v>27</v>
      </c>
      <c r="G437" s="18" t="s">
        <v>28</v>
      </c>
      <c r="H437" s="18" t="s">
        <v>1871</v>
      </c>
      <c r="I437" s="18" t="s">
        <v>138</v>
      </c>
      <c r="J437" s="18" t="s">
        <v>106</v>
      </c>
      <c r="K437" s="18" t="s">
        <v>122</v>
      </c>
      <c r="L437" s="18" t="s">
        <v>123</v>
      </c>
      <c r="M437" s="18">
        <v>1</v>
      </c>
      <c r="N437" s="18">
        <v>60</v>
      </c>
      <c r="O437" s="18">
        <v>20</v>
      </c>
      <c r="P437" s="18">
        <v>48</v>
      </c>
      <c r="Q437" s="18">
        <v>2</v>
      </c>
      <c r="R437" s="18" t="s">
        <v>79</v>
      </c>
      <c r="S437" s="18" t="s">
        <v>151</v>
      </c>
      <c r="T437" s="18" t="s">
        <v>50</v>
      </c>
      <c r="U437" s="19" t="s">
        <v>1872</v>
      </c>
      <c r="V437" s="18" t="s">
        <v>38</v>
      </c>
      <c r="W437" s="24" t="str">
        <f t="shared" si="6"/>
        <v>Blacklisted</v>
      </c>
    </row>
    <row r="438" spans="1:23">
      <c r="A438" s="15" t="s">
        <v>1873</v>
      </c>
      <c r="B438" s="15" t="s">
        <v>127</v>
      </c>
      <c r="C438" s="15" t="s">
        <v>118</v>
      </c>
      <c r="D438" s="15" t="s">
        <v>507</v>
      </c>
      <c r="E438" s="15" t="s">
        <v>535</v>
      </c>
      <c r="F438" s="15" t="s">
        <v>200</v>
      </c>
      <c r="G438" s="15" t="s">
        <v>76</v>
      </c>
      <c r="H438" s="15" t="s">
        <v>1874</v>
      </c>
      <c r="I438" s="15" t="s">
        <v>30</v>
      </c>
      <c r="J438" s="15" t="s">
        <v>31</v>
      </c>
      <c r="K438" s="15" t="s">
        <v>122</v>
      </c>
      <c r="L438" s="15" t="s">
        <v>123</v>
      </c>
      <c r="M438" s="15">
        <v>3</v>
      </c>
      <c r="N438" s="15">
        <v>60</v>
      </c>
      <c r="O438" s="15">
        <v>15</v>
      </c>
      <c r="P438" s="15">
        <v>153</v>
      </c>
      <c r="Q438" s="15">
        <v>4</v>
      </c>
      <c r="R438" s="15" t="s">
        <v>79</v>
      </c>
      <c r="S438" s="15" t="s">
        <v>35</v>
      </c>
      <c r="T438" s="15" t="s">
        <v>132</v>
      </c>
      <c r="U438" s="17" t="s">
        <v>1875</v>
      </c>
      <c r="V438" s="15" t="s">
        <v>38</v>
      </c>
      <c r="W438" s="24" t="str">
        <f t="shared" si="6"/>
        <v>Silver</v>
      </c>
    </row>
    <row r="439" spans="1:23">
      <c r="A439" s="18" t="s">
        <v>1876</v>
      </c>
      <c r="B439" s="18" t="s">
        <v>100</v>
      </c>
      <c r="C439" s="18" t="s">
        <v>184</v>
      </c>
      <c r="D439" s="18" t="s">
        <v>568</v>
      </c>
      <c r="E439" s="18" t="s">
        <v>119</v>
      </c>
      <c r="F439" s="18" t="s">
        <v>103</v>
      </c>
      <c r="G439" s="18" t="s">
        <v>28</v>
      </c>
      <c r="H439" s="18" t="s">
        <v>1877</v>
      </c>
      <c r="I439" s="18" t="s">
        <v>294</v>
      </c>
      <c r="J439" s="18" t="s">
        <v>295</v>
      </c>
      <c r="K439" s="18" t="s">
        <v>46</v>
      </c>
      <c r="L439" s="18" t="s">
        <v>189</v>
      </c>
      <c r="M439" s="18">
        <v>10</v>
      </c>
      <c r="N439" s="18">
        <v>700</v>
      </c>
      <c r="O439" s="18">
        <v>15</v>
      </c>
      <c r="P439" s="18">
        <v>5950</v>
      </c>
      <c r="Q439" s="18">
        <v>3</v>
      </c>
      <c r="R439" s="18" t="s">
        <v>48</v>
      </c>
      <c r="S439" s="18" t="s">
        <v>35</v>
      </c>
      <c r="T439" s="18" t="s">
        <v>144</v>
      </c>
      <c r="U439" s="19" t="s">
        <v>1878</v>
      </c>
      <c r="V439" s="18" t="s">
        <v>64</v>
      </c>
      <c r="W439" s="24" t="str">
        <f t="shared" si="6"/>
        <v>Blacklisted</v>
      </c>
    </row>
    <row r="440" spans="1:23">
      <c r="A440" s="15" t="s">
        <v>1879</v>
      </c>
      <c r="B440" s="15" t="s">
        <v>83</v>
      </c>
      <c r="C440" s="15" t="s">
        <v>222</v>
      </c>
      <c r="D440" s="15" t="s">
        <v>1880</v>
      </c>
      <c r="E440" s="15" t="s">
        <v>1881</v>
      </c>
      <c r="F440" s="15" t="s">
        <v>180</v>
      </c>
      <c r="G440" s="15" t="s">
        <v>76</v>
      </c>
      <c r="H440" s="15" t="s">
        <v>1882</v>
      </c>
      <c r="I440" s="15" t="s">
        <v>138</v>
      </c>
      <c r="J440" s="15" t="s">
        <v>106</v>
      </c>
      <c r="K440" s="15" t="s">
        <v>122</v>
      </c>
      <c r="L440" s="15" t="s">
        <v>227</v>
      </c>
      <c r="M440" s="15">
        <v>2</v>
      </c>
      <c r="N440" s="15">
        <v>20</v>
      </c>
      <c r="O440" s="15">
        <v>10</v>
      </c>
      <c r="P440" s="15">
        <v>36</v>
      </c>
      <c r="Q440" s="15">
        <v>2</v>
      </c>
      <c r="R440" s="15" t="s">
        <v>88</v>
      </c>
      <c r="S440" s="15" t="s">
        <v>61</v>
      </c>
      <c r="T440" s="15" t="s">
        <v>89</v>
      </c>
      <c r="U440" s="17" t="s">
        <v>1883</v>
      </c>
      <c r="V440" s="15" t="s">
        <v>38</v>
      </c>
      <c r="W440" s="24" t="str">
        <f t="shared" si="6"/>
        <v>Blacklisted</v>
      </c>
    </row>
    <row r="441" spans="1:23">
      <c r="A441" s="18" t="s">
        <v>1884</v>
      </c>
      <c r="B441" s="18" t="s">
        <v>83</v>
      </c>
      <c r="C441" s="18" t="s">
        <v>222</v>
      </c>
      <c r="D441" s="18" t="s">
        <v>1885</v>
      </c>
      <c r="E441" s="18" t="s">
        <v>1199</v>
      </c>
      <c r="F441" s="18" t="s">
        <v>180</v>
      </c>
      <c r="G441" s="18" t="s">
        <v>76</v>
      </c>
      <c r="H441" s="18" t="s">
        <v>1886</v>
      </c>
      <c r="I441" s="18" t="s">
        <v>44</v>
      </c>
      <c r="J441" s="18" t="s">
        <v>45</v>
      </c>
      <c r="K441" s="18" t="s">
        <v>122</v>
      </c>
      <c r="L441" s="18" t="s">
        <v>227</v>
      </c>
      <c r="M441" s="18">
        <v>14</v>
      </c>
      <c r="N441" s="18">
        <v>20</v>
      </c>
      <c r="O441" s="18">
        <v>20</v>
      </c>
      <c r="P441" s="18">
        <v>224</v>
      </c>
      <c r="Q441" s="18">
        <v>5</v>
      </c>
      <c r="R441" s="18" t="s">
        <v>34</v>
      </c>
      <c r="S441" s="18" t="s">
        <v>151</v>
      </c>
      <c r="T441" s="18" t="s">
        <v>89</v>
      </c>
      <c r="U441" s="19" t="s">
        <v>1887</v>
      </c>
      <c r="V441" s="18" t="s">
        <v>64</v>
      </c>
      <c r="W441" s="24" t="str">
        <f t="shared" si="6"/>
        <v>Blacklisted</v>
      </c>
    </row>
    <row r="442" spans="1:23">
      <c r="A442" s="15" t="s">
        <v>1888</v>
      </c>
      <c r="B442" s="15" t="s">
        <v>327</v>
      </c>
      <c r="C442" s="15" t="s">
        <v>92</v>
      </c>
      <c r="D442" s="15" t="s">
        <v>1713</v>
      </c>
      <c r="E442" s="15" t="s">
        <v>193</v>
      </c>
      <c r="F442" s="15" t="s">
        <v>394</v>
      </c>
      <c r="G442" s="15" t="s">
        <v>76</v>
      </c>
      <c r="H442" s="15" t="s">
        <v>1889</v>
      </c>
      <c r="I442" s="15" t="s">
        <v>138</v>
      </c>
      <c r="J442" s="15" t="s">
        <v>106</v>
      </c>
      <c r="K442" s="15" t="s">
        <v>32</v>
      </c>
      <c r="L442" s="15" t="s">
        <v>97</v>
      </c>
      <c r="M442" s="15">
        <v>4</v>
      </c>
      <c r="N442" s="15">
        <v>3500</v>
      </c>
      <c r="O442" s="15">
        <v>0</v>
      </c>
      <c r="P442" s="15">
        <v>14000</v>
      </c>
      <c r="Q442" s="15">
        <v>2</v>
      </c>
      <c r="R442" s="15" t="s">
        <v>88</v>
      </c>
      <c r="S442" s="15" t="s">
        <v>35</v>
      </c>
      <c r="T442" s="15" t="s">
        <v>332</v>
      </c>
      <c r="U442" s="17" t="s">
        <v>1890</v>
      </c>
      <c r="V442" s="15" t="s">
        <v>69</v>
      </c>
      <c r="W442" s="24" t="str">
        <f t="shared" si="6"/>
        <v>Blacklisted</v>
      </c>
    </row>
    <row r="443" spans="1:23">
      <c r="A443" s="18" t="s">
        <v>1891</v>
      </c>
      <c r="B443" s="18" t="s">
        <v>83</v>
      </c>
      <c r="C443" s="18" t="s">
        <v>92</v>
      </c>
      <c r="D443" s="18" t="s">
        <v>318</v>
      </c>
      <c r="E443" s="18" t="s">
        <v>1119</v>
      </c>
      <c r="F443" s="18" t="s">
        <v>180</v>
      </c>
      <c r="G443" s="18" t="s">
        <v>76</v>
      </c>
      <c r="H443" s="18" t="s">
        <v>1892</v>
      </c>
      <c r="I443" s="18" t="s">
        <v>212</v>
      </c>
      <c r="J443" s="18" t="s">
        <v>45</v>
      </c>
      <c r="K443" s="18" t="s">
        <v>32</v>
      </c>
      <c r="L443" s="18" t="s">
        <v>97</v>
      </c>
      <c r="M443" s="18">
        <v>9</v>
      </c>
      <c r="N443" s="18">
        <v>3500</v>
      </c>
      <c r="O443" s="18">
        <v>5</v>
      </c>
      <c r="P443" s="18">
        <v>29925</v>
      </c>
      <c r="Q443" s="18">
        <v>3</v>
      </c>
      <c r="R443" s="18" t="s">
        <v>79</v>
      </c>
      <c r="S443" s="18" t="s">
        <v>61</v>
      </c>
      <c r="T443" s="18" t="s">
        <v>89</v>
      </c>
      <c r="U443" s="19" t="s">
        <v>1893</v>
      </c>
      <c r="V443" s="18" t="s">
        <v>38</v>
      </c>
      <c r="W443" s="24" t="str">
        <f t="shared" si="6"/>
        <v>Silver</v>
      </c>
    </row>
    <row r="444" spans="1:23">
      <c r="A444" s="15" t="s">
        <v>1894</v>
      </c>
      <c r="B444" s="15" t="s">
        <v>127</v>
      </c>
      <c r="C444" s="15" t="s">
        <v>118</v>
      </c>
      <c r="D444" s="15" t="s">
        <v>683</v>
      </c>
      <c r="E444" s="15" t="s">
        <v>1465</v>
      </c>
      <c r="F444" s="15" t="s">
        <v>200</v>
      </c>
      <c r="G444" s="15" t="s">
        <v>76</v>
      </c>
      <c r="H444" s="15" t="s">
        <v>1895</v>
      </c>
      <c r="I444" s="15" t="s">
        <v>105</v>
      </c>
      <c r="J444" s="15" t="s">
        <v>106</v>
      </c>
      <c r="K444" s="15" t="s">
        <v>122</v>
      </c>
      <c r="L444" s="15" t="s">
        <v>123</v>
      </c>
      <c r="M444" s="15">
        <v>9</v>
      </c>
      <c r="N444" s="15">
        <v>60</v>
      </c>
      <c r="O444" s="15">
        <v>0</v>
      </c>
      <c r="P444" s="15">
        <v>540</v>
      </c>
      <c r="Q444" s="15">
        <v>3</v>
      </c>
      <c r="R444" s="15" t="s">
        <v>88</v>
      </c>
      <c r="S444" s="15" t="s">
        <v>35</v>
      </c>
      <c r="T444" s="15" t="s">
        <v>132</v>
      </c>
      <c r="U444" s="17" t="s">
        <v>1896</v>
      </c>
      <c r="V444" s="15" t="s">
        <v>64</v>
      </c>
      <c r="W444" s="24" t="str">
        <f t="shared" si="6"/>
        <v>Blacklisted</v>
      </c>
    </row>
    <row r="445" spans="1:23">
      <c r="A445" s="18" t="s">
        <v>1897</v>
      </c>
      <c r="B445" s="18" t="s">
        <v>168</v>
      </c>
      <c r="C445" s="18" t="s">
        <v>72</v>
      </c>
      <c r="D445" s="18" t="s">
        <v>1898</v>
      </c>
      <c r="E445" s="18" t="s">
        <v>1263</v>
      </c>
      <c r="F445" s="18" t="s">
        <v>361</v>
      </c>
      <c r="G445" s="18" t="s">
        <v>28</v>
      </c>
      <c r="H445" s="18" t="s">
        <v>1899</v>
      </c>
      <c r="I445" s="18" t="s">
        <v>138</v>
      </c>
      <c r="J445" s="18" t="s">
        <v>106</v>
      </c>
      <c r="K445" s="18" t="s">
        <v>46</v>
      </c>
      <c r="L445" s="18" t="s">
        <v>78</v>
      </c>
      <c r="M445" s="18">
        <v>4</v>
      </c>
      <c r="N445" s="18">
        <v>1200</v>
      </c>
      <c r="O445" s="18">
        <v>0</v>
      </c>
      <c r="P445" s="18">
        <v>4800</v>
      </c>
      <c r="Q445" s="18">
        <v>1</v>
      </c>
      <c r="R445" s="18" t="s">
        <v>48</v>
      </c>
      <c r="S445" s="18" t="s">
        <v>61</v>
      </c>
      <c r="T445" s="18" t="s">
        <v>175</v>
      </c>
      <c r="U445" s="19" t="s">
        <v>1900</v>
      </c>
      <c r="V445" s="18" t="s">
        <v>38</v>
      </c>
      <c r="W445" s="24" t="str">
        <f t="shared" si="6"/>
        <v>Blacklisted</v>
      </c>
    </row>
    <row r="446" spans="1:23">
      <c r="A446" s="15" t="s">
        <v>1901</v>
      </c>
      <c r="B446" s="15" t="s">
        <v>53</v>
      </c>
      <c r="C446" s="15" t="s">
        <v>54</v>
      </c>
      <c r="D446" s="15" t="s">
        <v>1620</v>
      </c>
      <c r="E446" s="15" t="s">
        <v>302</v>
      </c>
      <c r="F446" s="15" t="s">
        <v>163</v>
      </c>
      <c r="G446" s="15" t="s">
        <v>28</v>
      </c>
      <c r="H446" s="15" t="s">
        <v>1902</v>
      </c>
      <c r="I446" s="15" t="s">
        <v>30</v>
      </c>
      <c r="J446" s="15" t="s">
        <v>31</v>
      </c>
      <c r="K446" s="15" t="s">
        <v>46</v>
      </c>
      <c r="L446" s="15" t="s">
        <v>60</v>
      </c>
      <c r="M446" s="15">
        <v>10</v>
      </c>
      <c r="N446" s="15">
        <v>55000</v>
      </c>
      <c r="O446" s="15">
        <v>5</v>
      </c>
      <c r="P446" s="15">
        <v>522500</v>
      </c>
      <c r="Q446" s="15">
        <v>5</v>
      </c>
      <c r="R446" s="15" t="s">
        <v>88</v>
      </c>
      <c r="S446" s="15" t="s">
        <v>115</v>
      </c>
      <c r="T446" s="15" t="s">
        <v>62</v>
      </c>
      <c r="U446" s="17" t="s">
        <v>1903</v>
      </c>
      <c r="V446" s="15" t="s">
        <v>38</v>
      </c>
      <c r="W446" s="24" t="str">
        <f t="shared" si="6"/>
        <v>Platinum</v>
      </c>
    </row>
    <row r="447" spans="1:23">
      <c r="A447" s="18" t="s">
        <v>1904</v>
      </c>
      <c r="B447" s="18" t="s">
        <v>221</v>
      </c>
      <c r="C447" s="18" t="s">
        <v>259</v>
      </c>
      <c r="D447" s="18" t="s">
        <v>1905</v>
      </c>
      <c r="E447" s="18" t="s">
        <v>881</v>
      </c>
      <c r="F447" s="18" t="s">
        <v>225</v>
      </c>
      <c r="G447" s="18" t="s">
        <v>76</v>
      </c>
      <c r="H447" s="18" t="s">
        <v>1906</v>
      </c>
      <c r="I447" s="18" t="s">
        <v>30</v>
      </c>
      <c r="J447" s="18" t="s">
        <v>31</v>
      </c>
      <c r="K447" s="18" t="s">
        <v>122</v>
      </c>
      <c r="L447" s="18" t="s">
        <v>263</v>
      </c>
      <c r="M447" s="18">
        <v>20</v>
      </c>
      <c r="N447" s="18">
        <v>45</v>
      </c>
      <c r="O447" s="18">
        <v>15</v>
      </c>
      <c r="P447" s="18">
        <v>765</v>
      </c>
      <c r="Q447" s="18">
        <v>2</v>
      </c>
      <c r="R447" s="18" t="s">
        <v>79</v>
      </c>
      <c r="S447" s="18" t="s">
        <v>35</v>
      </c>
      <c r="T447" s="18" t="s">
        <v>228</v>
      </c>
      <c r="U447" s="19" t="s">
        <v>1907</v>
      </c>
      <c r="V447" s="18" t="s">
        <v>69</v>
      </c>
      <c r="W447" s="24" t="str">
        <f t="shared" si="6"/>
        <v>Blacklisted</v>
      </c>
    </row>
    <row r="448" spans="1:23">
      <c r="A448" s="15" t="s">
        <v>1908</v>
      </c>
      <c r="B448" s="15" t="s">
        <v>23</v>
      </c>
      <c r="C448" s="15" t="s">
        <v>222</v>
      </c>
      <c r="D448" s="15" t="s">
        <v>314</v>
      </c>
      <c r="E448" s="15" t="s">
        <v>170</v>
      </c>
      <c r="F448" s="15" t="s">
        <v>27</v>
      </c>
      <c r="G448" s="15" t="s">
        <v>28</v>
      </c>
      <c r="H448" s="15" t="s">
        <v>1909</v>
      </c>
      <c r="I448" s="15" t="s">
        <v>105</v>
      </c>
      <c r="J448" s="15" t="s">
        <v>106</v>
      </c>
      <c r="K448" s="15" t="s">
        <v>122</v>
      </c>
      <c r="L448" s="15" t="s">
        <v>227</v>
      </c>
      <c r="M448" s="15">
        <v>9</v>
      </c>
      <c r="N448" s="15">
        <v>20</v>
      </c>
      <c r="O448" s="15">
        <v>20</v>
      </c>
      <c r="P448" s="15">
        <v>144</v>
      </c>
      <c r="Q448" s="15">
        <v>3</v>
      </c>
      <c r="R448" s="15" t="s">
        <v>79</v>
      </c>
      <c r="S448" s="15" t="s">
        <v>61</v>
      </c>
      <c r="T448" s="15" t="s">
        <v>50</v>
      </c>
      <c r="U448" s="17" t="s">
        <v>1910</v>
      </c>
      <c r="V448" s="15" t="s">
        <v>38</v>
      </c>
      <c r="W448" s="24" t="str">
        <f t="shared" si="6"/>
        <v>Silver</v>
      </c>
    </row>
    <row r="449" spans="1:23">
      <c r="A449" s="18" t="s">
        <v>1911</v>
      </c>
      <c r="B449" s="18" t="s">
        <v>23</v>
      </c>
      <c r="C449" s="18" t="s">
        <v>54</v>
      </c>
      <c r="D449" s="18" t="s">
        <v>1912</v>
      </c>
      <c r="E449" s="18" t="s">
        <v>910</v>
      </c>
      <c r="F449" s="18" t="s">
        <v>27</v>
      </c>
      <c r="G449" s="18" t="s">
        <v>28</v>
      </c>
      <c r="H449" s="18" t="s">
        <v>1913</v>
      </c>
      <c r="I449" s="18" t="s">
        <v>114</v>
      </c>
      <c r="J449" s="18" t="s">
        <v>106</v>
      </c>
      <c r="K449" s="18" t="s">
        <v>46</v>
      </c>
      <c r="L449" s="18" t="s">
        <v>60</v>
      </c>
      <c r="M449" s="18">
        <v>8</v>
      </c>
      <c r="N449" s="18">
        <v>55000</v>
      </c>
      <c r="O449" s="18">
        <v>0</v>
      </c>
      <c r="P449" s="18">
        <v>440000</v>
      </c>
      <c r="Q449" s="18">
        <v>4</v>
      </c>
      <c r="R449" s="18" t="s">
        <v>34</v>
      </c>
      <c r="S449" s="18" t="s">
        <v>115</v>
      </c>
      <c r="T449" s="18" t="s">
        <v>50</v>
      </c>
      <c r="U449" s="19" t="s">
        <v>1914</v>
      </c>
      <c r="V449" s="18" t="s">
        <v>38</v>
      </c>
      <c r="W449" s="24" t="str">
        <f t="shared" si="6"/>
        <v>Platinum</v>
      </c>
    </row>
    <row r="450" spans="1:23">
      <c r="A450" s="15" t="s">
        <v>1915</v>
      </c>
      <c r="B450" s="15" t="s">
        <v>327</v>
      </c>
      <c r="C450" s="15" t="s">
        <v>72</v>
      </c>
      <c r="D450" s="15" t="s">
        <v>1916</v>
      </c>
      <c r="E450" s="15" t="s">
        <v>1430</v>
      </c>
      <c r="F450" s="15" t="s">
        <v>394</v>
      </c>
      <c r="G450" s="15" t="s">
        <v>76</v>
      </c>
      <c r="H450" s="15" t="s">
        <v>1917</v>
      </c>
      <c r="I450" s="15" t="s">
        <v>138</v>
      </c>
      <c r="J450" s="15" t="s">
        <v>106</v>
      </c>
      <c r="K450" s="15" t="s">
        <v>46</v>
      </c>
      <c r="L450" s="15" t="s">
        <v>78</v>
      </c>
      <c r="M450" s="15">
        <v>4</v>
      </c>
      <c r="N450" s="15">
        <v>1200</v>
      </c>
      <c r="O450" s="15">
        <v>10</v>
      </c>
      <c r="P450" s="15">
        <v>4320</v>
      </c>
      <c r="Q450" s="15">
        <v>4</v>
      </c>
      <c r="R450" s="15" t="s">
        <v>88</v>
      </c>
      <c r="S450" s="15" t="s">
        <v>35</v>
      </c>
      <c r="T450" s="16" t="s">
        <v>1918</v>
      </c>
      <c r="U450" s="17" t="s">
        <v>1919</v>
      </c>
      <c r="V450" s="15" t="s">
        <v>69</v>
      </c>
      <c r="W450" s="24" t="str">
        <f t="shared" si="6"/>
        <v>Blacklisted</v>
      </c>
    </row>
    <row r="451" spans="1:23">
      <c r="A451" s="18" t="s">
        <v>1920</v>
      </c>
      <c r="B451" s="18" t="s">
        <v>327</v>
      </c>
      <c r="C451" s="18" t="s">
        <v>169</v>
      </c>
      <c r="D451" s="18" t="s">
        <v>518</v>
      </c>
      <c r="E451" s="18" t="s">
        <v>426</v>
      </c>
      <c r="F451" s="18" t="s">
        <v>394</v>
      </c>
      <c r="G451" s="18" t="s">
        <v>76</v>
      </c>
      <c r="H451" s="18" t="s">
        <v>1921</v>
      </c>
      <c r="I451" s="18" t="s">
        <v>294</v>
      </c>
      <c r="J451" s="18" t="s">
        <v>295</v>
      </c>
      <c r="K451" s="18" t="s">
        <v>32</v>
      </c>
      <c r="L451" s="18" t="s">
        <v>174</v>
      </c>
      <c r="M451" s="18">
        <v>14</v>
      </c>
      <c r="N451" s="18">
        <v>8500</v>
      </c>
      <c r="O451" s="18">
        <v>10</v>
      </c>
      <c r="P451" s="18">
        <v>107100</v>
      </c>
      <c r="Q451" s="18">
        <v>4</v>
      </c>
      <c r="R451" s="18" t="s">
        <v>34</v>
      </c>
      <c r="S451" s="18" t="s">
        <v>35</v>
      </c>
      <c r="T451" s="18" t="s">
        <v>332</v>
      </c>
      <c r="U451" s="19" t="s">
        <v>1922</v>
      </c>
      <c r="V451" s="18" t="s">
        <v>38</v>
      </c>
      <c r="W451" s="24" t="str">
        <f t="shared" ref="W451:W501" si="7">IF(OR(Q451&lt;=2,V451="Cancelled"),"Blacklisted",IF(AND(P451&gt;=100000,Q451&gt;=4,O451&lt;10,V451="Completed"),"Platinum",IF(AND(P451&gt;=50000,P451&lt;=99999,Q451&gt;=3,V451="Completed"),"Gold",IF(AND(P451&lt;50000,V451="Completed"),"Silver","Blacklisted"))))</f>
        <v>Blacklisted</v>
      </c>
    </row>
    <row r="452" spans="1:23">
      <c r="A452" s="15" t="s">
        <v>1923</v>
      </c>
      <c r="B452" s="15" t="s">
        <v>71</v>
      </c>
      <c r="C452" s="15" t="s">
        <v>259</v>
      </c>
      <c r="D452" s="15" t="s">
        <v>683</v>
      </c>
      <c r="E452" s="15" t="s">
        <v>1924</v>
      </c>
      <c r="F452" s="15" t="s">
        <v>217</v>
      </c>
      <c r="G452" s="15" t="s">
        <v>76</v>
      </c>
      <c r="H452" s="15" t="s">
        <v>1925</v>
      </c>
      <c r="I452" s="15" t="s">
        <v>30</v>
      </c>
      <c r="J452" s="15" t="s">
        <v>31</v>
      </c>
      <c r="K452" s="15" t="s">
        <v>122</v>
      </c>
      <c r="L452" s="15" t="s">
        <v>263</v>
      </c>
      <c r="M452" s="15">
        <v>1</v>
      </c>
      <c r="N452" s="15">
        <v>45</v>
      </c>
      <c r="O452" s="15">
        <v>0</v>
      </c>
      <c r="P452" s="15">
        <v>45</v>
      </c>
      <c r="Q452" s="15">
        <v>3</v>
      </c>
      <c r="R452" s="15" t="s">
        <v>88</v>
      </c>
      <c r="S452" s="15" t="s">
        <v>151</v>
      </c>
      <c r="T452" s="15" t="s">
        <v>80</v>
      </c>
      <c r="U452" s="17" t="s">
        <v>1926</v>
      </c>
      <c r="V452" s="15" t="s">
        <v>69</v>
      </c>
      <c r="W452" s="24" t="str">
        <f t="shared" si="7"/>
        <v>Blacklisted</v>
      </c>
    </row>
    <row r="453" spans="1:23">
      <c r="A453" s="18" t="s">
        <v>1927</v>
      </c>
      <c r="B453" s="18" t="s">
        <v>71</v>
      </c>
      <c r="C453" s="18" t="s">
        <v>54</v>
      </c>
      <c r="D453" s="18" t="s">
        <v>901</v>
      </c>
      <c r="E453" s="18" t="s">
        <v>1069</v>
      </c>
      <c r="F453" s="18" t="s">
        <v>217</v>
      </c>
      <c r="G453" s="18" t="s">
        <v>76</v>
      </c>
      <c r="H453" s="18" t="s">
        <v>1928</v>
      </c>
      <c r="I453" s="18" t="s">
        <v>44</v>
      </c>
      <c r="J453" s="18" t="s">
        <v>45</v>
      </c>
      <c r="K453" s="18" t="s">
        <v>46</v>
      </c>
      <c r="L453" s="18" t="s">
        <v>60</v>
      </c>
      <c r="M453" s="18">
        <v>16</v>
      </c>
      <c r="N453" s="18">
        <v>55000</v>
      </c>
      <c r="O453" s="18">
        <v>15</v>
      </c>
      <c r="P453" s="18">
        <v>748000</v>
      </c>
      <c r="Q453" s="18">
        <v>1</v>
      </c>
      <c r="R453" s="18" t="s">
        <v>79</v>
      </c>
      <c r="S453" s="18" t="s">
        <v>151</v>
      </c>
      <c r="T453" s="18" t="s">
        <v>80</v>
      </c>
      <c r="U453" s="19" t="s">
        <v>1929</v>
      </c>
      <c r="V453" s="18" t="s">
        <v>69</v>
      </c>
      <c r="W453" s="24" t="str">
        <f t="shared" si="7"/>
        <v>Blacklisted</v>
      </c>
    </row>
    <row r="454" spans="1:23">
      <c r="A454" s="15" t="s">
        <v>1930</v>
      </c>
      <c r="B454" s="15" t="s">
        <v>53</v>
      </c>
      <c r="C454" s="15" t="s">
        <v>184</v>
      </c>
      <c r="D454" s="15" t="s">
        <v>1931</v>
      </c>
      <c r="E454" s="15" t="s">
        <v>1932</v>
      </c>
      <c r="F454" s="15" t="s">
        <v>163</v>
      </c>
      <c r="G454" s="15" t="s">
        <v>28</v>
      </c>
      <c r="H454" s="15" t="s">
        <v>1933</v>
      </c>
      <c r="I454" s="15" t="s">
        <v>138</v>
      </c>
      <c r="J454" s="15" t="s">
        <v>106</v>
      </c>
      <c r="K454" s="15" t="s">
        <v>46</v>
      </c>
      <c r="L454" s="15" t="s">
        <v>189</v>
      </c>
      <c r="M454" s="15">
        <v>8</v>
      </c>
      <c r="N454" s="15">
        <v>700</v>
      </c>
      <c r="O454" s="15">
        <v>0</v>
      </c>
      <c r="P454" s="15">
        <v>5600</v>
      </c>
      <c r="Q454" s="15">
        <v>3</v>
      </c>
      <c r="R454" s="15" t="s">
        <v>34</v>
      </c>
      <c r="S454" s="15" t="s">
        <v>49</v>
      </c>
      <c r="T454" s="15" t="s">
        <v>62</v>
      </c>
      <c r="U454" s="17" t="s">
        <v>1934</v>
      </c>
      <c r="V454" s="15" t="s">
        <v>38</v>
      </c>
      <c r="W454" s="24" t="str">
        <f t="shared" si="7"/>
        <v>Silver</v>
      </c>
    </row>
    <row r="455" spans="1:23">
      <c r="A455" s="18" t="s">
        <v>1935</v>
      </c>
      <c r="B455" s="18" t="s">
        <v>251</v>
      </c>
      <c r="C455" s="18" t="s">
        <v>72</v>
      </c>
      <c r="D455" s="18" t="s">
        <v>66</v>
      </c>
      <c r="E455" s="18" t="s">
        <v>1936</v>
      </c>
      <c r="F455" s="18" t="s">
        <v>254</v>
      </c>
      <c r="G455" s="18" t="s">
        <v>28</v>
      </c>
      <c r="H455" s="18" t="s">
        <v>1937</v>
      </c>
      <c r="I455" s="18" t="s">
        <v>138</v>
      </c>
      <c r="J455" s="18" t="s">
        <v>106</v>
      </c>
      <c r="K455" s="18" t="s">
        <v>46</v>
      </c>
      <c r="L455" s="18" t="s">
        <v>78</v>
      </c>
      <c r="M455" s="18">
        <v>3</v>
      </c>
      <c r="N455" s="18">
        <v>1200</v>
      </c>
      <c r="O455" s="18">
        <v>0</v>
      </c>
      <c r="P455" s="18">
        <v>3600</v>
      </c>
      <c r="Q455" s="18">
        <v>1</v>
      </c>
      <c r="R455" s="18" t="s">
        <v>79</v>
      </c>
      <c r="S455" s="18" t="s">
        <v>49</v>
      </c>
      <c r="T455" s="18" t="s">
        <v>256</v>
      </c>
      <c r="U455" s="19" t="s">
        <v>1938</v>
      </c>
      <c r="V455" s="18" t="s">
        <v>69</v>
      </c>
      <c r="W455" s="24" t="str">
        <f t="shared" si="7"/>
        <v>Blacklisted</v>
      </c>
    </row>
    <row r="456" spans="1:23">
      <c r="A456" s="15" t="s">
        <v>1939</v>
      </c>
      <c r="B456" s="15" t="s">
        <v>71</v>
      </c>
      <c r="C456" s="15" t="s">
        <v>92</v>
      </c>
      <c r="D456" s="15" t="s">
        <v>988</v>
      </c>
      <c r="E456" s="15" t="s">
        <v>387</v>
      </c>
      <c r="F456" s="15" t="s">
        <v>217</v>
      </c>
      <c r="G456" s="15" t="s">
        <v>76</v>
      </c>
      <c r="H456" s="15" t="s">
        <v>1940</v>
      </c>
      <c r="I456" s="15" t="s">
        <v>294</v>
      </c>
      <c r="J456" s="15" t="s">
        <v>295</v>
      </c>
      <c r="K456" s="15" t="s">
        <v>32</v>
      </c>
      <c r="L456" s="15" t="s">
        <v>97</v>
      </c>
      <c r="M456" s="15">
        <v>7</v>
      </c>
      <c r="N456" s="15">
        <v>3500</v>
      </c>
      <c r="O456" s="15">
        <v>15</v>
      </c>
      <c r="P456" s="15">
        <v>20825</v>
      </c>
      <c r="Q456" s="15">
        <v>4</v>
      </c>
      <c r="R456" s="15" t="s">
        <v>79</v>
      </c>
      <c r="S456" s="15" t="s">
        <v>61</v>
      </c>
      <c r="T456" s="15" t="s">
        <v>80</v>
      </c>
      <c r="U456" s="17" t="s">
        <v>1941</v>
      </c>
      <c r="V456" s="15" t="s">
        <v>64</v>
      </c>
      <c r="W456" s="24" t="str">
        <f t="shared" si="7"/>
        <v>Blacklisted</v>
      </c>
    </row>
    <row r="457" spans="1:23">
      <c r="A457" s="18" t="s">
        <v>1942</v>
      </c>
      <c r="B457" s="18" t="s">
        <v>53</v>
      </c>
      <c r="C457" s="18" t="s">
        <v>54</v>
      </c>
      <c r="D457" s="18" t="s">
        <v>1932</v>
      </c>
      <c r="E457" s="18" t="s">
        <v>740</v>
      </c>
      <c r="F457" s="18" t="s">
        <v>163</v>
      </c>
      <c r="G457" s="18" t="s">
        <v>28</v>
      </c>
      <c r="H457" s="18" t="s">
        <v>1943</v>
      </c>
      <c r="I457" s="18" t="s">
        <v>114</v>
      </c>
      <c r="J457" s="18" t="s">
        <v>106</v>
      </c>
      <c r="K457" s="18" t="s">
        <v>46</v>
      </c>
      <c r="L457" s="18" t="s">
        <v>60</v>
      </c>
      <c r="M457" s="18">
        <v>9</v>
      </c>
      <c r="N457" s="18">
        <v>55000</v>
      </c>
      <c r="O457" s="18">
        <v>15</v>
      </c>
      <c r="P457" s="18">
        <v>420750</v>
      </c>
      <c r="Q457" s="18">
        <v>3</v>
      </c>
      <c r="R457" s="18" t="s">
        <v>88</v>
      </c>
      <c r="S457" s="18" t="s">
        <v>35</v>
      </c>
      <c r="T457" s="18" t="s">
        <v>62</v>
      </c>
      <c r="U457" s="19" t="s">
        <v>1944</v>
      </c>
      <c r="V457" s="18" t="s">
        <v>69</v>
      </c>
      <c r="W457" s="24" t="str">
        <f t="shared" si="7"/>
        <v>Blacklisted</v>
      </c>
    </row>
    <row r="458" spans="1:23">
      <c r="A458" s="15" t="s">
        <v>1945</v>
      </c>
      <c r="B458" s="15" t="s">
        <v>327</v>
      </c>
      <c r="C458" s="15" t="s">
        <v>40</v>
      </c>
      <c r="D458" s="15" t="s">
        <v>185</v>
      </c>
      <c r="E458" s="15" t="s">
        <v>918</v>
      </c>
      <c r="F458" s="15" t="s">
        <v>394</v>
      </c>
      <c r="G458" s="15" t="s">
        <v>76</v>
      </c>
      <c r="H458" s="15" t="s">
        <v>1946</v>
      </c>
      <c r="I458" s="15" t="s">
        <v>59</v>
      </c>
      <c r="J458" s="15" t="s">
        <v>31</v>
      </c>
      <c r="K458" s="15" t="s">
        <v>46</v>
      </c>
      <c r="L458" s="15" t="s">
        <v>47</v>
      </c>
      <c r="M458" s="15">
        <v>12</v>
      </c>
      <c r="N458" s="15">
        <v>12000</v>
      </c>
      <c r="O458" s="15">
        <v>0</v>
      </c>
      <c r="P458" s="15">
        <v>144000</v>
      </c>
      <c r="Q458" s="15">
        <v>3</v>
      </c>
      <c r="R458" s="15" t="s">
        <v>79</v>
      </c>
      <c r="S458" s="15" t="s">
        <v>151</v>
      </c>
      <c r="T458" s="15" t="s">
        <v>332</v>
      </c>
      <c r="U458" s="17" t="s">
        <v>1947</v>
      </c>
      <c r="V458" s="15" t="s">
        <v>69</v>
      </c>
      <c r="W458" s="24" t="str">
        <f t="shared" si="7"/>
        <v>Blacklisted</v>
      </c>
    </row>
    <row r="459" spans="1:23">
      <c r="A459" s="18" t="s">
        <v>1948</v>
      </c>
      <c r="B459" s="18" t="s">
        <v>100</v>
      </c>
      <c r="C459" s="18" t="s">
        <v>118</v>
      </c>
      <c r="D459" s="18" t="s">
        <v>42</v>
      </c>
      <c r="E459" s="18" t="s">
        <v>597</v>
      </c>
      <c r="F459" s="18" t="s">
        <v>103</v>
      </c>
      <c r="G459" s="18" t="s">
        <v>28</v>
      </c>
      <c r="H459" s="18" t="s">
        <v>1949</v>
      </c>
      <c r="I459" s="18" t="s">
        <v>138</v>
      </c>
      <c r="J459" s="18" t="s">
        <v>106</v>
      </c>
      <c r="K459" s="18" t="s">
        <v>122</v>
      </c>
      <c r="L459" s="18" t="s">
        <v>123</v>
      </c>
      <c r="M459" s="18">
        <v>7</v>
      </c>
      <c r="N459" s="18">
        <v>60</v>
      </c>
      <c r="O459" s="18">
        <v>10</v>
      </c>
      <c r="P459" s="18">
        <v>378</v>
      </c>
      <c r="Q459" s="18">
        <v>4</v>
      </c>
      <c r="R459" s="18" t="s">
        <v>34</v>
      </c>
      <c r="S459" s="18" t="s">
        <v>49</v>
      </c>
      <c r="T459" s="18" t="s">
        <v>144</v>
      </c>
      <c r="U459" s="19" t="s">
        <v>1950</v>
      </c>
      <c r="V459" s="18" t="s">
        <v>69</v>
      </c>
      <c r="W459" s="24" t="str">
        <f t="shared" si="7"/>
        <v>Blacklisted</v>
      </c>
    </row>
    <row r="460" spans="1:23">
      <c r="A460" s="15" t="s">
        <v>1951</v>
      </c>
      <c r="B460" s="15" t="s">
        <v>221</v>
      </c>
      <c r="C460" s="15" t="s">
        <v>24</v>
      </c>
      <c r="D460" s="15" t="s">
        <v>377</v>
      </c>
      <c r="E460" s="15" t="s">
        <v>674</v>
      </c>
      <c r="F460" s="15" t="s">
        <v>225</v>
      </c>
      <c r="G460" s="15" t="s">
        <v>76</v>
      </c>
      <c r="H460" s="15" t="s">
        <v>1952</v>
      </c>
      <c r="I460" s="15" t="s">
        <v>105</v>
      </c>
      <c r="J460" s="15" t="s">
        <v>106</v>
      </c>
      <c r="K460" s="15" t="s">
        <v>32</v>
      </c>
      <c r="L460" s="15" t="s">
        <v>33</v>
      </c>
      <c r="M460" s="15">
        <v>17</v>
      </c>
      <c r="N460" s="15">
        <v>2200</v>
      </c>
      <c r="O460" s="15">
        <v>15</v>
      </c>
      <c r="P460" s="15">
        <v>31790</v>
      </c>
      <c r="Q460" s="15">
        <v>3</v>
      </c>
      <c r="R460" s="15" t="s">
        <v>88</v>
      </c>
      <c r="S460" s="15" t="s">
        <v>151</v>
      </c>
      <c r="T460" s="15" t="s">
        <v>228</v>
      </c>
      <c r="U460" s="17" t="s">
        <v>1953</v>
      </c>
      <c r="V460" s="15" t="s">
        <v>64</v>
      </c>
      <c r="W460" s="24" t="str">
        <f t="shared" si="7"/>
        <v>Blacklisted</v>
      </c>
    </row>
    <row r="461" spans="1:23">
      <c r="A461" s="18" t="s">
        <v>1954</v>
      </c>
      <c r="B461" s="18" t="s">
        <v>327</v>
      </c>
      <c r="C461" s="18" t="s">
        <v>184</v>
      </c>
      <c r="D461" s="18" t="s">
        <v>351</v>
      </c>
      <c r="E461" s="18" t="s">
        <v>1537</v>
      </c>
      <c r="F461" s="18" t="s">
        <v>394</v>
      </c>
      <c r="G461" s="18" t="s">
        <v>76</v>
      </c>
      <c r="H461" s="18" t="s">
        <v>1955</v>
      </c>
      <c r="I461" s="18" t="s">
        <v>59</v>
      </c>
      <c r="J461" s="18" t="s">
        <v>31</v>
      </c>
      <c r="K461" s="18" t="s">
        <v>46</v>
      </c>
      <c r="L461" s="18" t="s">
        <v>189</v>
      </c>
      <c r="M461" s="18">
        <v>17</v>
      </c>
      <c r="N461" s="18">
        <v>700</v>
      </c>
      <c r="O461" s="18">
        <v>10</v>
      </c>
      <c r="P461" s="18">
        <v>10710</v>
      </c>
      <c r="Q461" s="18">
        <v>2</v>
      </c>
      <c r="R461" s="18" t="s">
        <v>34</v>
      </c>
      <c r="S461" s="18" t="s">
        <v>61</v>
      </c>
      <c r="T461" s="18" t="s">
        <v>332</v>
      </c>
      <c r="U461" s="19" t="s">
        <v>1956</v>
      </c>
      <c r="V461" s="18" t="s">
        <v>64</v>
      </c>
      <c r="W461" s="24" t="str">
        <f t="shared" si="7"/>
        <v>Blacklisted</v>
      </c>
    </row>
    <row r="462" spans="1:23">
      <c r="A462" s="15" t="s">
        <v>1957</v>
      </c>
      <c r="B462" s="15" t="s">
        <v>327</v>
      </c>
      <c r="C462" s="15" t="s">
        <v>54</v>
      </c>
      <c r="D462" s="15" t="s">
        <v>1958</v>
      </c>
      <c r="E462" s="15" t="s">
        <v>1188</v>
      </c>
      <c r="F462" s="15" t="s">
        <v>394</v>
      </c>
      <c r="G462" s="15" t="s">
        <v>76</v>
      </c>
      <c r="H462" s="15" t="s">
        <v>1959</v>
      </c>
      <c r="I462" s="15" t="s">
        <v>44</v>
      </c>
      <c r="J462" s="15" t="s">
        <v>45</v>
      </c>
      <c r="K462" s="15" t="s">
        <v>46</v>
      </c>
      <c r="L462" s="15" t="s">
        <v>60</v>
      </c>
      <c r="M462" s="15">
        <v>19</v>
      </c>
      <c r="N462" s="15">
        <v>55000</v>
      </c>
      <c r="O462" s="15">
        <v>20</v>
      </c>
      <c r="P462" s="15">
        <v>836000</v>
      </c>
      <c r="Q462" s="15">
        <v>5</v>
      </c>
      <c r="R462" s="15" t="s">
        <v>48</v>
      </c>
      <c r="S462" s="15" t="s">
        <v>61</v>
      </c>
      <c r="T462" s="15" t="s">
        <v>332</v>
      </c>
      <c r="U462" s="17" t="s">
        <v>1960</v>
      </c>
      <c r="V462" s="15" t="s">
        <v>38</v>
      </c>
      <c r="W462" s="24" t="str">
        <f t="shared" si="7"/>
        <v>Blacklisted</v>
      </c>
    </row>
    <row r="463" spans="1:23">
      <c r="A463" s="18" t="s">
        <v>1961</v>
      </c>
      <c r="B463" s="18" t="s">
        <v>127</v>
      </c>
      <c r="C463" s="18" t="s">
        <v>118</v>
      </c>
      <c r="D463" s="18" t="s">
        <v>1172</v>
      </c>
      <c r="E463" s="18" t="s">
        <v>128</v>
      </c>
      <c r="F463" s="18" t="s">
        <v>200</v>
      </c>
      <c r="G463" s="18" t="s">
        <v>76</v>
      </c>
      <c r="H463" s="18" t="s">
        <v>1962</v>
      </c>
      <c r="I463" s="18" t="s">
        <v>44</v>
      </c>
      <c r="J463" s="18" t="s">
        <v>45</v>
      </c>
      <c r="K463" s="18" t="s">
        <v>122</v>
      </c>
      <c r="L463" s="18" t="s">
        <v>123</v>
      </c>
      <c r="M463" s="18">
        <v>1</v>
      </c>
      <c r="N463" s="18">
        <v>60</v>
      </c>
      <c r="O463" s="18">
        <v>10</v>
      </c>
      <c r="P463" s="18">
        <v>54</v>
      </c>
      <c r="Q463" s="18">
        <v>4</v>
      </c>
      <c r="R463" s="18" t="s">
        <v>48</v>
      </c>
      <c r="S463" s="18"/>
      <c r="T463" s="20" t="s">
        <v>1963</v>
      </c>
      <c r="U463" s="19" t="s">
        <v>1964</v>
      </c>
      <c r="V463" s="18" t="s">
        <v>69</v>
      </c>
      <c r="W463" s="24" t="str">
        <f t="shared" si="7"/>
        <v>Blacklisted</v>
      </c>
    </row>
    <row r="464" spans="1:23">
      <c r="A464" s="15" t="s">
        <v>1965</v>
      </c>
      <c r="B464" s="15" t="s">
        <v>71</v>
      </c>
      <c r="C464" s="15" t="s">
        <v>92</v>
      </c>
      <c r="D464" s="15" t="s">
        <v>1142</v>
      </c>
      <c r="E464" s="15" t="s">
        <v>554</v>
      </c>
      <c r="F464" s="15" t="s">
        <v>217</v>
      </c>
      <c r="G464" s="15" t="s">
        <v>76</v>
      </c>
      <c r="H464" s="15" t="s">
        <v>1966</v>
      </c>
      <c r="I464" s="15" t="s">
        <v>30</v>
      </c>
      <c r="J464" s="15" t="s">
        <v>31</v>
      </c>
      <c r="K464" s="15" t="s">
        <v>32</v>
      </c>
      <c r="L464" s="15" t="s">
        <v>97</v>
      </c>
      <c r="M464" s="15">
        <v>16</v>
      </c>
      <c r="N464" s="15">
        <v>3500</v>
      </c>
      <c r="O464" s="15">
        <v>0</v>
      </c>
      <c r="P464" s="15">
        <v>56000</v>
      </c>
      <c r="Q464" s="15">
        <v>4</v>
      </c>
      <c r="R464" s="15" t="s">
        <v>48</v>
      </c>
      <c r="S464" s="15" t="s">
        <v>35</v>
      </c>
      <c r="T464" s="15" t="s">
        <v>80</v>
      </c>
      <c r="U464" s="17" t="s">
        <v>1967</v>
      </c>
      <c r="V464" s="15" t="s">
        <v>64</v>
      </c>
      <c r="W464" s="24" t="str">
        <f t="shared" si="7"/>
        <v>Blacklisted</v>
      </c>
    </row>
    <row r="465" spans="1:23">
      <c r="A465" s="18" t="s">
        <v>1968</v>
      </c>
      <c r="B465" s="18" t="s">
        <v>127</v>
      </c>
      <c r="C465" s="18" t="s">
        <v>222</v>
      </c>
      <c r="D465" s="18" t="s">
        <v>957</v>
      </c>
      <c r="E465" s="18" t="s">
        <v>766</v>
      </c>
      <c r="F465" s="18" t="s">
        <v>200</v>
      </c>
      <c r="G465" s="18" t="s">
        <v>76</v>
      </c>
      <c r="H465" s="18" t="s">
        <v>1295</v>
      </c>
      <c r="I465" s="18" t="s">
        <v>114</v>
      </c>
      <c r="J465" s="18" t="s">
        <v>106</v>
      </c>
      <c r="K465" s="18" t="s">
        <v>122</v>
      </c>
      <c r="L465" s="18" t="s">
        <v>227</v>
      </c>
      <c r="M465" s="18">
        <v>14</v>
      </c>
      <c r="N465" s="18">
        <v>20</v>
      </c>
      <c r="O465" s="18">
        <v>10</v>
      </c>
      <c r="P465" s="18">
        <v>252</v>
      </c>
      <c r="Q465" s="18">
        <v>1</v>
      </c>
      <c r="R465" s="18" t="s">
        <v>48</v>
      </c>
      <c r="S465" s="18" t="s">
        <v>61</v>
      </c>
      <c r="T465" s="18" t="s">
        <v>132</v>
      </c>
      <c r="U465" s="19" t="s">
        <v>1969</v>
      </c>
      <c r="V465" s="18" t="s">
        <v>64</v>
      </c>
      <c r="W465" s="24" t="str">
        <f t="shared" si="7"/>
        <v>Blacklisted</v>
      </c>
    </row>
    <row r="466" spans="1:23">
      <c r="A466" s="15" t="s">
        <v>1970</v>
      </c>
      <c r="B466" s="15" t="s">
        <v>71</v>
      </c>
      <c r="C466" s="15" t="s">
        <v>24</v>
      </c>
      <c r="D466" s="15" t="s">
        <v>473</v>
      </c>
      <c r="E466" s="15" t="s">
        <v>454</v>
      </c>
      <c r="F466" s="15" t="s">
        <v>217</v>
      </c>
      <c r="G466" s="15" t="s">
        <v>76</v>
      </c>
      <c r="H466" s="15" t="s">
        <v>1971</v>
      </c>
      <c r="I466" s="15" t="s">
        <v>59</v>
      </c>
      <c r="J466" s="15" t="s">
        <v>31</v>
      </c>
      <c r="K466" s="15" t="s">
        <v>32</v>
      </c>
      <c r="L466" s="15" t="s">
        <v>33</v>
      </c>
      <c r="M466" s="15">
        <v>11</v>
      </c>
      <c r="N466" s="15">
        <v>2200</v>
      </c>
      <c r="O466" s="15">
        <v>15</v>
      </c>
      <c r="P466" s="15">
        <v>20570</v>
      </c>
      <c r="Q466" s="15">
        <v>4</v>
      </c>
      <c r="R466" s="15" t="s">
        <v>48</v>
      </c>
      <c r="S466" s="15" t="s">
        <v>49</v>
      </c>
      <c r="T466" s="15" t="s">
        <v>80</v>
      </c>
      <c r="U466" s="17" t="s">
        <v>1972</v>
      </c>
      <c r="V466" s="15" t="s">
        <v>69</v>
      </c>
      <c r="W466" s="24" t="str">
        <f t="shared" si="7"/>
        <v>Blacklisted</v>
      </c>
    </row>
    <row r="467" spans="1:23">
      <c r="A467" s="18" t="s">
        <v>1973</v>
      </c>
      <c r="B467" s="18" t="s">
        <v>83</v>
      </c>
      <c r="C467" s="18" t="s">
        <v>54</v>
      </c>
      <c r="D467" s="18" t="s">
        <v>756</v>
      </c>
      <c r="E467" s="18" t="s">
        <v>1282</v>
      </c>
      <c r="F467" s="18" t="s">
        <v>180</v>
      </c>
      <c r="G467" s="18" t="s">
        <v>76</v>
      </c>
      <c r="H467" s="18" t="s">
        <v>1974</v>
      </c>
      <c r="I467" s="18" t="s">
        <v>212</v>
      </c>
      <c r="J467" s="18" t="s">
        <v>45</v>
      </c>
      <c r="K467" s="18" t="s">
        <v>46</v>
      </c>
      <c r="L467" s="18" t="s">
        <v>60</v>
      </c>
      <c r="M467" s="18">
        <v>2</v>
      </c>
      <c r="N467" s="18">
        <v>55000</v>
      </c>
      <c r="O467" s="18">
        <v>0</v>
      </c>
      <c r="P467" s="18">
        <v>110000</v>
      </c>
      <c r="Q467" s="18">
        <v>4</v>
      </c>
      <c r="R467" s="18" t="s">
        <v>48</v>
      </c>
      <c r="S467" s="18" t="s">
        <v>49</v>
      </c>
      <c r="T467" s="18" t="s">
        <v>89</v>
      </c>
      <c r="U467" s="19" t="s">
        <v>1975</v>
      </c>
      <c r="V467" s="18" t="s">
        <v>69</v>
      </c>
      <c r="W467" s="24" t="str">
        <f t="shared" si="7"/>
        <v>Blacklisted</v>
      </c>
    </row>
    <row r="468" spans="1:23">
      <c r="A468" s="15" t="s">
        <v>1976</v>
      </c>
      <c r="B468" s="15" t="s">
        <v>53</v>
      </c>
      <c r="C468" s="15" t="s">
        <v>24</v>
      </c>
      <c r="D468" s="15" t="s">
        <v>512</v>
      </c>
      <c r="E468" s="15" t="s">
        <v>513</v>
      </c>
      <c r="F468" s="15" t="s">
        <v>163</v>
      </c>
      <c r="G468" s="15" t="s">
        <v>28</v>
      </c>
      <c r="H468" s="15" t="s">
        <v>1977</v>
      </c>
      <c r="I468" s="15" t="s">
        <v>114</v>
      </c>
      <c r="J468" s="15" t="s">
        <v>106</v>
      </c>
      <c r="K468" s="15" t="s">
        <v>32</v>
      </c>
      <c r="L468" s="15" t="s">
        <v>33</v>
      </c>
      <c r="M468" s="15">
        <v>7</v>
      </c>
      <c r="N468" s="15">
        <v>2200</v>
      </c>
      <c r="O468" s="15">
        <v>5</v>
      </c>
      <c r="P468" s="15">
        <v>14630</v>
      </c>
      <c r="Q468" s="15">
        <v>4</v>
      </c>
      <c r="R468" s="15" t="s">
        <v>79</v>
      </c>
      <c r="S468" s="15" t="s">
        <v>115</v>
      </c>
      <c r="T468" s="15" t="s">
        <v>62</v>
      </c>
      <c r="U468" s="17" t="s">
        <v>1978</v>
      </c>
      <c r="V468" s="15" t="s">
        <v>69</v>
      </c>
      <c r="W468" s="24" t="str">
        <f t="shared" si="7"/>
        <v>Blacklisted</v>
      </c>
    </row>
    <row r="469" spans="1:23">
      <c r="A469" s="18" t="s">
        <v>1979</v>
      </c>
      <c r="B469" s="18" t="s">
        <v>23</v>
      </c>
      <c r="C469" s="18" t="s">
        <v>259</v>
      </c>
      <c r="D469" s="18" t="s">
        <v>1507</v>
      </c>
      <c r="E469" s="18" t="s">
        <v>577</v>
      </c>
      <c r="F469" s="18" t="s">
        <v>27</v>
      </c>
      <c r="G469" s="18" t="s">
        <v>28</v>
      </c>
      <c r="H469" s="18" t="s">
        <v>1980</v>
      </c>
      <c r="I469" s="18" t="s">
        <v>138</v>
      </c>
      <c r="J469" s="18" t="s">
        <v>106</v>
      </c>
      <c r="K469" s="18" t="s">
        <v>122</v>
      </c>
      <c r="L469" s="18" t="s">
        <v>263</v>
      </c>
      <c r="M469" s="18">
        <v>11</v>
      </c>
      <c r="N469" s="18">
        <v>45</v>
      </c>
      <c r="O469" s="18">
        <v>15</v>
      </c>
      <c r="P469" s="18">
        <v>420.75</v>
      </c>
      <c r="Q469" s="18">
        <v>4</v>
      </c>
      <c r="R469" s="18" t="s">
        <v>79</v>
      </c>
      <c r="S469" s="18" t="s">
        <v>61</v>
      </c>
      <c r="T469" s="18" t="s">
        <v>50</v>
      </c>
      <c r="U469" s="19" t="s">
        <v>1981</v>
      </c>
      <c r="V469" s="18" t="s">
        <v>64</v>
      </c>
      <c r="W469" s="24" t="str">
        <f t="shared" si="7"/>
        <v>Blacklisted</v>
      </c>
    </row>
    <row r="470" spans="1:23">
      <c r="A470" s="15" t="s">
        <v>1982</v>
      </c>
      <c r="B470" s="15" t="s">
        <v>100</v>
      </c>
      <c r="C470" s="15" t="s">
        <v>118</v>
      </c>
      <c r="D470" s="15" t="s">
        <v>1114</v>
      </c>
      <c r="E470" s="15" t="s">
        <v>210</v>
      </c>
      <c r="F470" s="15" t="s">
        <v>103</v>
      </c>
      <c r="G470" s="15" t="s">
        <v>28</v>
      </c>
      <c r="H470" s="15" t="s">
        <v>1983</v>
      </c>
      <c r="I470" s="15" t="s">
        <v>105</v>
      </c>
      <c r="J470" s="15" t="s">
        <v>106</v>
      </c>
      <c r="K470" s="15" t="s">
        <v>122</v>
      </c>
      <c r="L470" s="15" t="s">
        <v>123</v>
      </c>
      <c r="M470" s="15">
        <v>16</v>
      </c>
      <c r="N470" s="15">
        <v>60</v>
      </c>
      <c r="O470" s="15">
        <v>5</v>
      </c>
      <c r="P470" s="15">
        <v>912</v>
      </c>
      <c r="Q470" s="15">
        <v>2</v>
      </c>
      <c r="R470" s="15" t="s">
        <v>34</v>
      </c>
      <c r="S470" s="15" t="s">
        <v>115</v>
      </c>
      <c r="T470" s="15" t="s">
        <v>144</v>
      </c>
      <c r="U470" s="17" t="s">
        <v>1984</v>
      </c>
      <c r="V470" s="15" t="s">
        <v>69</v>
      </c>
      <c r="W470" s="24" t="str">
        <f t="shared" si="7"/>
        <v>Blacklisted</v>
      </c>
    </row>
    <row r="471" spans="1:23">
      <c r="A471" s="18" t="s">
        <v>1985</v>
      </c>
      <c r="B471" s="18" t="s">
        <v>327</v>
      </c>
      <c r="C471" s="18" t="s">
        <v>54</v>
      </c>
      <c r="D471" s="18" t="s">
        <v>1102</v>
      </c>
      <c r="E471" s="18" t="s">
        <v>864</v>
      </c>
      <c r="F471" s="18" t="s">
        <v>394</v>
      </c>
      <c r="G471" s="18" t="s">
        <v>76</v>
      </c>
      <c r="H471" s="18" t="s">
        <v>1986</v>
      </c>
      <c r="I471" s="18" t="s">
        <v>114</v>
      </c>
      <c r="J471" s="18" t="s">
        <v>106</v>
      </c>
      <c r="K471" s="18" t="s">
        <v>46</v>
      </c>
      <c r="L471" s="18" t="s">
        <v>60</v>
      </c>
      <c r="M471" s="18">
        <v>18</v>
      </c>
      <c r="N471" s="18">
        <v>55000</v>
      </c>
      <c r="O471" s="18">
        <v>0</v>
      </c>
      <c r="P471" s="18">
        <v>990000</v>
      </c>
      <c r="Q471" s="18">
        <v>5</v>
      </c>
      <c r="R471" s="18" t="s">
        <v>48</v>
      </c>
      <c r="S471" s="18" t="s">
        <v>49</v>
      </c>
      <c r="T471" s="18" t="s">
        <v>332</v>
      </c>
      <c r="U471" s="19" t="s">
        <v>1987</v>
      </c>
      <c r="V471" s="18" t="s">
        <v>64</v>
      </c>
      <c r="W471" s="24" t="str">
        <f t="shared" si="7"/>
        <v>Blacklisted</v>
      </c>
    </row>
    <row r="472" spans="1:23">
      <c r="A472" s="15" t="s">
        <v>1988</v>
      </c>
      <c r="B472" s="15" t="s">
        <v>23</v>
      </c>
      <c r="C472" s="15" t="s">
        <v>72</v>
      </c>
      <c r="D472" s="15" t="s">
        <v>1989</v>
      </c>
      <c r="E472" s="15" t="s">
        <v>1880</v>
      </c>
      <c r="F472" s="15" t="s">
        <v>27</v>
      </c>
      <c r="G472" s="15" t="s">
        <v>28</v>
      </c>
      <c r="H472" s="15" t="s">
        <v>1990</v>
      </c>
      <c r="I472" s="15" t="s">
        <v>59</v>
      </c>
      <c r="J472" s="15" t="s">
        <v>31</v>
      </c>
      <c r="K472" s="15" t="s">
        <v>46</v>
      </c>
      <c r="L472" s="15" t="s">
        <v>78</v>
      </c>
      <c r="M472" s="15">
        <v>17</v>
      </c>
      <c r="N472" s="15">
        <v>1200</v>
      </c>
      <c r="O472" s="15">
        <v>5</v>
      </c>
      <c r="P472" s="15">
        <v>19380</v>
      </c>
      <c r="Q472" s="15">
        <v>1</v>
      </c>
      <c r="R472" s="15" t="s">
        <v>48</v>
      </c>
      <c r="S472" s="15" t="s">
        <v>35</v>
      </c>
      <c r="T472" s="15" t="s">
        <v>50</v>
      </c>
      <c r="U472" s="17" t="s">
        <v>1991</v>
      </c>
      <c r="V472" s="15" t="s">
        <v>64</v>
      </c>
      <c r="W472" s="24" t="str">
        <f t="shared" si="7"/>
        <v>Blacklisted</v>
      </c>
    </row>
    <row r="473" spans="1:23">
      <c r="A473" s="18" t="s">
        <v>1992</v>
      </c>
      <c r="B473" s="18" t="s">
        <v>53</v>
      </c>
      <c r="C473" s="18" t="s">
        <v>54</v>
      </c>
      <c r="D473" s="18" t="s">
        <v>41</v>
      </c>
      <c r="E473" s="18" t="s">
        <v>199</v>
      </c>
      <c r="F473" s="18" t="s">
        <v>163</v>
      </c>
      <c r="G473" s="18" t="s">
        <v>28</v>
      </c>
      <c r="H473" s="18" t="s">
        <v>1993</v>
      </c>
      <c r="I473" s="18" t="s">
        <v>114</v>
      </c>
      <c r="J473" s="18" t="s">
        <v>106</v>
      </c>
      <c r="K473" s="18" t="s">
        <v>46</v>
      </c>
      <c r="L473" s="18" t="s">
        <v>60</v>
      </c>
      <c r="M473" s="18">
        <v>11</v>
      </c>
      <c r="N473" s="18">
        <v>55000</v>
      </c>
      <c r="O473" s="18">
        <v>0</v>
      </c>
      <c r="P473" s="18">
        <v>605000</v>
      </c>
      <c r="Q473" s="18">
        <v>2</v>
      </c>
      <c r="R473" s="18" t="s">
        <v>34</v>
      </c>
      <c r="S473" s="18" t="s">
        <v>61</v>
      </c>
      <c r="T473" s="18" t="s">
        <v>62</v>
      </c>
      <c r="U473" s="19" t="s">
        <v>1994</v>
      </c>
      <c r="V473" s="18" t="s">
        <v>64</v>
      </c>
      <c r="W473" s="24" t="str">
        <f t="shared" si="7"/>
        <v>Blacklisted</v>
      </c>
    </row>
    <row r="474" spans="1:23">
      <c r="A474" s="15" t="s">
        <v>1995</v>
      </c>
      <c r="B474" s="15" t="s">
        <v>251</v>
      </c>
      <c r="C474" s="15" t="s">
        <v>184</v>
      </c>
      <c r="D474" s="15" t="s">
        <v>236</v>
      </c>
      <c r="E474" s="15" t="s">
        <v>678</v>
      </c>
      <c r="F474" s="15" t="s">
        <v>254</v>
      </c>
      <c r="G474" s="15" t="s">
        <v>28</v>
      </c>
      <c r="H474" s="15" t="s">
        <v>1996</v>
      </c>
      <c r="I474" s="15" t="s">
        <v>44</v>
      </c>
      <c r="J474" s="15" t="s">
        <v>45</v>
      </c>
      <c r="K474" s="15" t="s">
        <v>46</v>
      </c>
      <c r="L474" s="15" t="s">
        <v>189</v>
      </c>
      <c r="M474" s="15">
        <v>20</v>
      </c>
      <c r="N474" s="15">
        <v>700</v>
      </c>
      <c r="O474" s="15">
        <v>20</v>
      </c>
      <c r="P474" s="15">
        <v>11200</v>
      </c>
      <c r="Q474" s="15">
        <v>5</v>
      </c>
      <c r="R474" s="15" t="s">
        <v>48</v>
      </c>
      <c r="S474" s="15" t="s">
        <v>61</v>
      </c>
      <c r="T474" s="15" t="s">
        <v>256</v>
      </c>
      <c r="U474" s="17" t="s">
        <v>1997</v>
      </c>
      <c r="V474" s="15" t="s">
        <v>38</v>
      </c>
      <c r="W474" s="24" t="str">
        <f t="shared" si="7"/>
        <v>Silver</v>
      </c>
    </row>
    <row r="475" spans="1:23">
      <c r="A475" s="18" t="s">
        <v>1998</v>
      </c>
      <c r="B475" s="18" t="s">
        <v>71</v>
      </c>
      <c r="C475" s="18" t="s">
        <v>222</v>
      </c>
      <c r="D475" s="18" t="s">
        <v>484</v>
      </c>
      <c r="E475" s="18" t="s">
        <v>322</v>
      </c>
      <c r="F475" s="18" t="s">
        <v>217</v>
      </c>
      <c r="G475" s="18" t="s">
        <v>76</v>
      </c>
      <c r="H475" s="18" t="s">
        <v>1999</v>
      </c>
      <c r="I475" s="18" t="s">
        <v>44</v>
      </c>
      <c r="J475" s="18" t="s">
        <v>45</v>
      </c>
      <c r="K475" s="18" t="s">
        <v>122</v>
      </c>
      <c r="L475" s="18" t="s">
        <v>227</v>
      </c>
      <c r="M475" s="18">
        <v>5</v>
      </c>
      <c r="N475" s="18">
        <v>20</v>
      </c>
      <c r="O475" s="18">
        <v>5</v>
      </c>
      <c r="P475" s="18">
        <v>95</v>
      </c>
      <c r="Q475" s="18">
        <v>4</v>
      </c>
      <c r="R475" s="18" t="s">
        <v>34</v>
      </c>
      <c r="S475" s="18" t="s">
        <v>49</v>
      </c>
      <c r="T475" s="18" t="s">
        <v>80</v>
      </c>
      <c r="U475" s="19" t="s">
        <v>2000</v>
      </c>
      <c r="V475" s="18" t="s">
        <v>69</v>
      </c>
      <c r="W475" s="24" t="str">
        <f t="shared" si="7"/>
        <v>Blacklisted</v>
      </c>
    </row>
    <row r="476" spans="1:23">
      <c r="A476" s="15" t="s">
        <v>2001</v>
      </c>
      <c r="B476" s="15" t="s">
        <v>327</v>
      </c>
      <c r="C476" s="15" t="s">
        <v>54</v>
      </c>
      <c r="D476" s="15" t="s">
        <v>765</v>
      </c>
      <c r="E476" s="15" t="s">
        <v>1373</v>
      </c>
      <c r="F476" s="15" t="s">
        <v>394</v>
      </c>
      <c r="G476" s="15" t="s">
        <v>76</v>
      </c>
      <c r="H476" s="15" t="s">
        <v>2002</v>
      </c>
      <c r="I476" s="15" t="s">
        <v>105</v>
      </c>
      <c r="J476" s="15" t="s">
        <v>106</v>
      </c>
      <c r="K476" s="15" t="s">
        <v>46</v>
      </c>
      <c r="L476" s="15" t="s">
        <v>60</v>
      </c>
      <c r="M476" s="15">
        <v>13</v>
      </c>
      <c r="N476" s="15">
        <v>55000</v>
      </c>
      <c r="O476" s="15">
        <v>5</v>
      </c>
      <c r="P476" s="15">
        <v>679250</v>
      </c>
      <c r="Q476" s="15">
        <v>1</v>
      </c>
      <c r="R476" s="15" t="s">
        <v>48</v>
      </c>
      <c r="S476" s="15" t="s">
        <v>49</v>
      </c>
      <c r="T476" s="15" t="s">
        <v>332</v>
      </c>
      <c r="U476" s="17" t="s">
        <v>2003</v>
      </c>
      <c r="V476" s="15" t="s">
        <v>64</v>
      </c>
      <c r="W476" s="24" t="str">
        <f t="shared" si="7"/>
        <v>Blacklisted</v>
      </c>
    </row>
    <row r="477" spans="1:23">
      <c r="A477" s="18" t="s">
        <v>2004</v>
      </c>
      <c r="B477" s="18" t="s">
        <v>127</v>
      </c>
      <c r="C477" s="18" t="s">
        <v>54</v>
      </c>
      <c r="D477" s="18" t="s">
        <v>102</v>
      </c>
      <c r="E477" s="18" t="s">
        <v>1114</v>
      </c>
      <c r="F477" s="18" t="s">
        <v>200</v>
      </c>
      <c r="G477" s="18" t="s">
        <v>76</v>
      </c>
      <c r="H477" s="18" t="s">
        <v>2005</v>
      </c>
      <c r="I477" s="18" t="s">
        <v>294</v>
      </c>
      <c r="J477" s="18" t="s">
        <v>295</v>
      </c>
      <c r="K477" s="18" t="s">
        <v>46</v>
      </c>
      <c r="L477" s="18" t="s">
        <v>60</v>
      </c>
      <c r="M477" s="18">
        <v>12</v>
      </c>
      <c r="N477" s="18">
        <v>55000</v>
      </c>
      <c r="O477" s="18">
        <v>5</v>
      </c>
      <c r="P477" s="18">
        <v>627000</v>
      </c>
      <c r="Q477" s="18">
        <v>1</v>
      </c>
      <c r="R477" s="18" t="s">
        <v>48</v>
      </c>
      <c r="S477" s="18" t="s">
        <v>115</v>
      </c>
      <c r="T477" s="18" t="s">
        <v>132</v>
      </c>
      <c r="U477" s="19" t="s">
        <v>2006</v>
      </c>
      <c r="V477" s="18" t="s">
        <v>69</v>
      </c>
      <c r="W477" s="24" t="str">
        <f t="shared" si="7"/>
        <v>Blacklisted</v>
      </c>
    </row>
    <row r="478" spans="1:23">
      <c r="A478" s="15" t="s">
        <v>2007</v>
      </c>
      <c r="B478" s="15" t="s">
        <v>53</v>
      </c>
      <c r="C478" s="15" t="s">
        <v>259</v>
      </c>
      <c r="D478" s="15" t="s">
        <v>761</v>
      </c>
      <c r="E478" s="15" t="s">
        <v>1705</v>
      </c>
      <c r="F478" s="15" t="s">
        <v>163</v>
      </c>
      <c r="G478" s="15" t="s">
        <v>28</v>
      </c>
      <c r="H478" s="15" t="s">
        <v>2008</v>
      </c>
      <c r="I478" s="15" t="s">
        <v>105</v>
      </c>
      <c r="J478" s="15" t="s">
        <v>106</v>
      </c>
      <c r="K478" s="15" t="s">
        <v>122</v>
      </c>
      <c r="L478" s="15" t="s">
        <v>263</v>
      </c>
      <c r="M478" s="15">
        <v>16</v>
      </c>
      <c r="N478" s="15">
        <v>45</v>
      </c>
      <c r="O478" s="15">
        <v>20</v>
      </c>
      <c r="P478" s="15">
        <v>576</v>
      </c>
      <c r="Q478" s="15">
        <v>2</v>
      </c>
      <c r="R478" s="15" t="s">
        <v>34</v>
      </c>
      <c r="S478" s="15" t="s">
        <v>49</v>
      </c>
      <c r="T478" s="15" t="s">
        <v>62</v>
      </c>
      <c r="U478" s="17" t="s">
        <v>2009</v>
      </c>
      <c r="V478" s="15" t="s">
        <v>64</v>
      </c>
      <c r="W478" s="24" t="str">
        <f t="shared" si="7"/>
        <v>Blacklisted</v>
      </c>
    </row>
    <row r="479" spans="1:23">
      <c r="A479" s="18" t="s">
        <v>2010</v>
      </c>
      <c r="B479" s="18" t="s">
        <v>23</v>
      </c>
      <c r="C479" s="18" t="s">
        <v>72</v>
      </c>
      <c r="D479" s="18" t="s">
        <v>25</v>
      </c>
      <c r="E479" s="18" t="s">
        <v>73</v>
      </c>
      <c r="F479" s="18" t="s">
        <v>27</v>
      </c>
      <c r="G479" s="18" t="s">
        <v>28</v>
      </c>
      <c r="H479" s="18" t="s">
        <v>2011</v>
      </c>
      <c r="I479" s="18" t="s">
        <v>59</v>
      </c>
      <c r="J479" s="18" t="s">
        <v>31</v>
      </c>
      <c r="K479" s="18" t="s">
        <v>46</v>
      </c>
      <c r="L479" s="18" t="s">
        <v>78</v>
      </c>
      <c r="M479" s="18">
        <v>5</v>
      </c>
      <c r="N479" s="18">
        <v>1200</v>
      </c>
      <c r="O479" s="18">
        <v>10</v>
      </c>
      <c r="P479" s="18">
        <v>5400</v>
      </c>
      <c r="Q479" s="18">
        <v>1</v>
      </c>
      <c r="R479" s="18" t="s">
        <v>34</v>
      </c>
      <c r="S479" s="18"/>
      <c r="T479" s="20" t="s">
        <v>2012</v>
      </c>
      <c r="U479" s="19" t="s">
        <v>2013</v>
      </c>
      <c r="V479" s="18" t="s">
        <v>38</v>
      </c>
      <c r="W479" s="24" t="str">
        <f t="shared" si="7"/>
        <v>Blacklisted</v>
      </c>
    </row>
    <row r="480" spans="1:23">
      <c r="A480" s="15" t="s">
        <v>2014</v>
      </c>
      <c r="B480" s="15" t="s">
        <v>168</v>
      </c>
      <c r="C480" s="15" t="s">
        <v>259</v>
      </c>
      <c r="D480" s="15" t="s">
        <v>282</v>
      </c>
      <c r="E480" s="15" t="s">
        <v>702</v>
      </c>
      <c r="F480" s="15" t="s">
        <v>2015</v>
      </c>
      <c r="G480" s="15" t="s">
        <v>28</v>
      </c>
      <c r="H480" s="15" t="s">
        <v>2016</v>
      </c>
      <c r="I480" s="15" t="s">
        <v>294</v>
      </c>
      <c r="J480" s="15" t="s">
        <v>295</v>
      </c>
      <c r="K480" s="15" t="s">
        <v>122</v>
      </c>
      <c r="L480" s="15" t="s">
        <v>263</v>
      </c>
      <c r="M480" s="15">
        <v>2</v>
      </c>
      <c r="N480" s="15">
        <v>45</v>
      </c>
      <c r="O480" s="15">
        <v>10</v>
      </c>
      <c r="P480" s="15">
        <v>81</v>
      </c>
      <c r="Q480" s="15">
        <v>4</v>
      </c>
      <c r="R480" s="15" t="s">
        <v>88</v>
      </c>
      <c r="S480" s="15" t="s">
        <v>49</v>
      </c>
      <c r="T480" s="15" t="s">
        <v>175</v>
      </c>
      <c r="U480" s="17" t="s">
        <v>2017</v>
      </c>
      <c r="V480" s="15" t="s">
        <v>64</v>
      </c>
      <c r="W480" s="24" t="str">
        <f t="shared" si="7"/>
        <v>Blacklisted</v>
      </c>
    </row>
    <row r="481" spans="1:23">
      <c r="A481" s="18" t="s">
        <v>2018</v>
      </c>
      <c r="B481" s="18" t="s">
        <v>127</v>
      </c>
      <c r="C481" s="18" t="s">
        <v>40</v>
      </c>
      <c r="D481" s="18" t="s">
        <v>85</v>
      </c>
      <c r="E481" s="18" t="s">
        <v>587</v>
      </c>
      <c r="F481" s="18" t="s">
        <v>200</v>
      </c>
      <c r="G481" s="18" t="s">
        <v>76</v>
      </c>
      <c r="H481" s="18" t="s">
        <v>2019</v>
      </c>
      <c r="I481" s="18" t="s">
        <v>138</v>
      </c>
      <c r="J481" s="18" t="s">
        <v>106</v>
      </c>
      <c r="K481" s="18" t="s">
        <v>46</v>
      </c>
      <c r="L481" s="18" t="s">
        <v>47</v>
      </c>
      <c r="M481" s="18">
        <v>3</v>
      </c>
      <c r="N481" s="18">
        <v>12000</v>
      </c>
      <c r="O481" s="18">
        <v>0</v>
      </c>
      <c r="P481" s="18">
        <v>36000</v>
      </c>
      <c r="Q481" s="18">
        <v>2</v>
      </c>
      <c r="R481" s="18" t="s">
        <v>88</v>
      </c>
      <c r="S481" s="18" t="s">
        <v>151</v>
      </c>
      <c r="T481" s="18" t="s">
        <v>132</v>
      </c>
      <c r="U481" s="19" t="s">
        <v>2020</v>
      </c>
      <c r="V481" s="18" t="s">
        <v>64</v>
      </c>
      <c r="W481" s="24" t="str">
        <f t="shared" si="7"/>
        <v>Blacklisted</v>
      </c>
    </row>
    <row r="482" spans="1:23">
      <c r="A482" s="15" t="s">
        <v>2021</v>
      </c>
      <c r="B482" s="15" t="s">
        <v>23</v>
      </c>
      <c r="C482" s="15" t="s">
        <v>40</v>
      </c>
      <c r="D482" s="15" t="s">
        <v>2022</v>
      </c>
      <c r="E482" s="15" t="s">
        <v>1863</v>
      </c>
      <c r="F482" s="15" t="s">
        <v>95</v>
      </c>
      <c r="G482" s="15" t="s">
        <v>28</v>
      </c>
      <c r="H482" s="15" t="s">
        <v>2023</v>
      </c>
      <c r="I482" s="15" t="s">
        <v>59</v>
      </c>
      <c r="J482" s="15" t="s">
        <v>31</v>
      </c>
      <c r="K482" s="15" t="s">
        <v>46</v>
      </c>
      <c r="L482" s="15" t="s">
        <v>47</v>
      </c>
      <c r="M482" s="15">
        <v>3</v>
      </c>
      <c r="N482" s="15">
        <v>12000</v>
      </c>
      <c r="O482" s="15">
        <v>20</v>
      </c>
      <c r="P482" s="15">
        <v>28800</v>
      </c>
      <c r="Q482" s="15">
        <v>3</v>
      </c>
      <c r="R482" s="15" t="s">
        <v>88</v>
      </c>
      <c r="S482" s="15" t="s">
        <v>115</v>
      </c>
      <c r="T482" s="15" t="s">
        <v>50</v>
      </c>
      <c r="U482" s="17" t="s">
        <v>2024</v>
      </c>
      <c r="V482" s="15" t="s">
        <v>38</v>
      </c>
      <c r="W482" s="24" t="str">
        <f t="shared" si="7"/>
        <v>Silver</v>
      </c>
    </row>
    <row r="483" spans="1:23">
      <c r="A483" s="18" t="s">
        <v>2025</v>
      </c>
      <c r="B483" s="18" t="s">
        <v>127</v>
      </c>
      <c r="C483" s="18" t="s">
        <v>169</v>
      </c>
      <c r="D483" s="18" t="s">
        <v>892</v>
      </c>
      <c r="E483" s="18" t="s">
        <v>161</v>
      </c>
      <c r="F483" s="18" t="s">
        <v>200</v>
      </c>
      <c r="G483" s="18" t="s">
        <v>76</v>
      </c>
      <c r="H483" s="18" t="s">
        <v>2026</v>
      </c>
      <c r="I483" s="18" t="s">
        <v>294</v>
      </c>
      <c r="J483" s="18" t="s">
        <v>295</v>
      </c>
      <c r="K483" s="18" t="s">
        <v>32</v>
      </c>
      <c r="L483" s="18" t="s">
        <v>174</v>
      </c>
      <c r="M483" s="18">
        <v>9</v>
      </c>
      <c r="N483" s="18">
        <v>8500</v>
      </c>
      <c r="O483" s="18">
        <v>15</v>
      </c>
      <c r="P483" s="18">
        <v>65025</v>
      </c>
      <c r="Q483" s="18">
        <v>5</v>
      </c>
      <c r="R483" s="18" t="s">
        <v>34</v>
      </c>
      <c r="S483" s="18" t="s">
        <v>49</v>
      </c>
      <c r="T483" s="18" t="s">
        <v>132</v>
      </c>
      <c r="U483" s="19" t="s">
        <v>2027</v>
      </c>
      <c r="V483" s="18" t="s">
        <v>64</v>
      </c>
      <c r="W483" s="24" t="str">
        <f t="shared" si="7"/>
        <v>Blacklisted</v>
      </c>
    </row>
    <row r="484" spans="1:23">
      <c r="A484" s="15" t="s">
        <v>2028</v>
      </c>
      <c r="B484" s="15" t="s">
        <v>71</v>
      </c>
      <c r="C484" s="15" t="s">
        <v>184</v>
      </c>
      <c r="D484" s="15" t="s">
        <v>261</v>
      </c>
      <c r="E484" s="15" t="s">
        <v>881</v>
      </c>
      <c r="F484" s="15" t="s">
        <v>2029</v>
      </c>
      <c r="G484" s="15" t="s">
        <v>76</v>
      </c>
      <c r="H484" s="15" t="s">
        <v>2030</v>
      </c>
      <c r="I484" s="15" t="s">
        <v>294</v>
      </c>
      <c r="J484" s="15" t="s">
        <v>295</v>
      </c>
      <c r="K484" s="15" t="s">
        <v>46</v>
      </c>
      <c r="L484" s="15" t="s">
        <v>189</v>
      </c>
      <c r="M484" s="15">
        <v>17</v>
      </c>
      <c r="N484" s="15">
        <v>700</v>
      </c>
      <c r="O484" s="15">
        <v>0</v>
      </c>
      <c r="P484" s="15">
        <v>11900</v>
      </c>
      <c r="Q484" s="15">
        <v>2</v>
      </c>
      <c r="R484" s="15" t="s">
        <v>34</v>
      </c>
      <c r="S484" s="15" t="s">
        <v>61</v>
      </c>
      <c r="T484" s="15" t="s">
        <v>80</v>
      </c>
      <c r="U484" s="17" t="s">
        <v>2031</v>
      </c>
      <c r="V484" s="15" t="s">
        <v>69</v>
      </c>
      <c r="W484" s="24" t="str">
        <f t="shared" si="7"/>
        <v>Blacklisted</v>
      </c>
    </row>
    <row r="485" spans="1:23">
      <c r="A485" s="18" t="s">
        <v>2032</v>
      </c>
      <c r="B485" s="18" t="s">
        <v>23</v>
      </c>
      <c r="C485" s="18" t="s">
        <v>184</v>
      </c>
      <c r="D485" s="18" t="s">
        <v>1249</v>
      </c>
      <c r="E485" s="18" t="s">
        <v>1572</v>
      </c>
      <c r="F485" s="18" t="s">
        <v>27</v>
      </c>
      <c r="G485" s="18" t="s">
        <v>28</v>
      </c>
      <c r="H485" s="18" t="s">
        <v>2033</v>
      </c>
      <c r="I485" s="18" t="s">
        <v>30</v>
      </c>
      <c r="J485" s="18" t="s">
        <v>31</v>
      </c>
      <c r="K485" s="18" t="s">
        <v>46</v>
      </c>
      <c r="L485" s="18" t="s">
        <v>189</v>
      </c>
      <c r="M485" s="18">
        <v>20</v>
      </c>
      <c r="N485" s="18">
        <v>700</v>
      </c>
      <c r="O485" s="18">
        <v>5</v>
      </c>
      <c r="P485" s="18">
        <v>13300</v>
      </c>
      <c r="Q485" s="18">
        <v>2</v>
      </c>
      <c r="R485" s="18" t="s">
        <v>88</v>
      </c>
      <c r="S485" s="18" t="s">
        <v>35</v>
      </c>
      <c r="T485" s="18" t="s">
        <v>50</v>
      </c>
      <c r="U485" s="19" t="s">
        <v>2034</v>
      </c>
      <c r="V485" s="18" t="s">
        <v>38</v>
      </c>
      <c r="W485" s="24" t="str">
        <f t="shared" si="7"/>
        <v>Blacklisted</v>
      </c>
    </row>
    <row r="486" spans="1:23">
      <c r="A486" s="15" t="s">
        <v>2035</v>
      </c>
      <c r="B486" s="15" t="s">
        <v>327</v>
      </c>
      <c r="C486" s="15" t="s">
        <v>72</v>
      </c>
      <c r="D486" s="15" t="s">
        <v>554</v>
      </c>
      <c r="E486" s="15" t="s">
        <v>65</v>
      </c>
      <c r="F486" s="15" t="s">
        <v>2036</v>
      </c>
      <c r="G486" s="15" t="s">
        <v>76</v>
      </c>
      <c r="H486" s="15" t="s">
        <v>2037</v>
      </c>
      <c r="I486" s="15" t="s">
        <v>138</v>
      </c>
      <c r="J486" s="15" t="s">
        <v>106</v>
      </c>
      <c r="K486" s="15" t="s">
        <v>46</v>
      </c>
      <c r="L486" s="15" t="s">
        <v>78</v>
      </c>
      <c r="M486" s="15">
        <v>13</v>
      </c>
      <c r="N486" s="15">
        <v>1200</v>
      </c>
      <c r="O486" s="15">
        <v>20</v>
      </c>
      <c r="P486" s="15">
        <v>12480</v>
      </c>
      <c r="Q486" s="15">
        <v>5</v>
      </c>
      <c r="R486" s="15" t="s">
        <v>79</v>
      </c>
      <c r="S486" s="15" t="s">
        <v>115</v>
      </c>
      <c r="T486" s="15" t="s">
        <v>332</v>
      </c>
      <c r="U486" s="17" t="s">
        <v>2038</v>
      </c>
      <c r="V486" s="15" t="s">
        <v>38</v>
      </c>
      <c r="W486" s="24" t="str">
        <f t="shared" si="7"/>
        <v>Silver</v>
      </c>
    </row>
    <row r="487" spans="1:23">
      <c r="A487" s="18" t="s">
        <v>2039</v>
      </c>
      <c r="B487" s="18" t="s">
        <v>100</v>
      </c>
      <c r="C487" s="18" t="s">
        <v>54</v>
      </c>
      <c r="D487" s="18" t="s">
        <v>2040</v>
      </c>
      <c r="E487" s="18" t="s">
        <v>1932</v>
      </c>
      <c r="F487" s="18" t="s">
        <v>103</v>
      </c>
      <c r="G487" s="18" t="s">
        <v>28</v>
      </c>
      <c r="H487" s="18" t="s">
        <v>1082</v>
      </c>
      <c r="I487" s="18" t="s">
        <v>212</v>
      </c>
      <c r="J487" s="18" t="s">
        <v>45</v>
      </c>
      <c r="K487" s="18" t="s">
        <v>46</v>
      </c>
      <c r="L487" s="18" t="s">
        <v>60</v>
      </c>
      <c r="M487" s="18">
        <v>20</v>
      </c>
      <c r="N487" s="18">
        <v>55000</v>
      </c>
      <c r="O487" s="18">
        <v>10</v>
      </c>
      <c r="P487" s="18">
        <v>990000</v>
      </c>
      <c r="Q487" s="18">
        <v>1</v>
      </c>
      <c r="R487" s="18" t="s">
        <v>88</v>
      </c>
      <c r="S487" s="18" t="s">
        <v>35</v>
      </c>
      <c r="T487" s="18" t="s">
        <v>144</v>
      </c>
      <c r="U487" s="19" t="s">
        <v>2041</v>
      </c>
      <c r="V487" s="18" t="s">
        <v>64</v>
      </c>
      <c r="W487" s="24" t="str">
        <f t="shared" si="7"/>
        <v>Blacklisted</v>
      </c>
    </row>
    <row r="488" spans="1:23">
      <c r="A488" s="15" t="s">
        <v>2042</v>
      </c>
      <c r="B488" s="15" t="s">
        <v>251</v>
      </c>
      <c r="C488" s="15" t="s">
        <v>72</v>
      </c>
      <c r="D488" s="15" t="s">
        <v>531</v>
      </c>
      <c r="E488" s="15" t="s">
        <v>291</v>
      </c>
      <c r="F488" s="15" t="s">
        <v>254</v>
      </c>
      <c r="G488" s="15" t="s">
        <v>28</v>
      </c>
      <c r="H488" s="15" t="s">
        <v>2043</v>
      </c>
      <c r="I488" s="15" t="s">
        <v>294</v>
      </c>
      <c r="J488" s="15" t="s">
        <v>295</v>
      </c>
      <c r="K488" s="15" t="s">
        <v>46</v>
      </c>
      <c r="L488" s="15" t="s">
        <v>78</v>
      </c>
      <c r="M488" s="15">
        <v>8</v>
      </c>
      <c r="N488" s="15">
        <v>1200</v>
      </c>
      <c r="O488" s="15">
        <v>0</v>
      </c>
      <c r="P488" s="15">
        <v>9600</v>
      </c>
      <c r="Q488" s="15">
        <v>2</v>
      </c>
      <c r="R488" s="15" t="s">
        <v>48</v>
      </c>
      <c r="S488" s="15" t="s">
        <v>151</v>
      </c>
      <c r="T488" s="15" t="s">
        <v>256</v>
      </c>
      <c r="U488" s="17" t="s">
        <v>2044</v>
      </c>
      <c r="V488" s="15" t="s">
        <v>38</v>
      </c>
      <c r="W488" s="24" t="str">
        <f t="shared" si="7"/>
        <v>Blacklisted</v>
      </c>
    </row>
    <row r="489" spans="1:23">
      <c r="A489" s="18" t="s">
        <v>2045</v>
      </c>
      <c r="B489" s="18" t="s">
        <v>53</v>
      </c>
      <c r="C489" s="18" t="s">
        <v>222</v>
      </c>
      <c r="D489" s="18" t="s">
        <v>2046</v>
      </c>
      <c r="E489" s="18" t="s">
        <v>1238</v>
      </c>
      <c r="F489" s="18" t="s">
        <v>163</v>
      </c>
      <c r="G489" s="18" t="s">
        <v>28</v>
      </c>
      <c r="H489" s="18" t="s">
        <v>2047</v>
      </c>
      <c r="I489" s="18" t="s">
        <v>294</v>
      </c>
      <c r="J489" s="18" t="s">
        <v>295</v>
      </c>
      <c r="K489" s="18" t="s">
        <v>122</v>
      </c>
      <c r="L489" s="18" t="s">
        <v>227</v>
      </c>
      <c r="M489" s="18">
        <v>18</v>
      </c>
      <c r="N489" s="18">
        <v>20</v>
      </c>
      <c r="O489" s="18">
        <v>10</v>
      </c>
      <c r="P489" s="18">
        <v>324</v>
      </c>
      <c r="Q489" s="18">
        <v>5</v>
      </c>
      <c r="R489" s="18" t="s">
        <v>79</v>
      </c>
      <c r="S489" s="18"/>
      <c r="T489" s="20" t="s">
        <v>2048</v>
      </c>
      <c r="U489" s="19" t="s">
        <v>2049</v>
      </c>
      <c r="V489" s="18" t="s">
        <v>64</v>
      </c>
      <c r="W489" s="24" t="str">
        <f t="shared" si="7"/>
        <v>Blacklisted</v>
      </c>
    </row>
    <row r="490" spans="1:23">
      <c r="A490" s="15" t="s">
        <v>2050</v>
      </c>
      <c r="B490" s="15" t="s">
        <v>168</v>
      </c>
      <c r="C490" s="15" t="s">
        <v>40</v>
      </c>
      <c r="D490" s="15" t="s">
        <v>2051</v>
      </c>
      <c r="E490" s="15" t="s">
        <v>272</v>
      </c>
      <c r="F490" s="15" t="s">
        <v>361</v>
      </c>
      <c r="G490" s="15" t="s">
        <v>28</v>
      </c>
      <c r="H490" s="15" t="s">
        <v>2052</v>
      </c>
      <c r="I490" s="15" t="s">
        <v>114</v>
      </c>
      <c r="J490" s="15" t="s">
        <v>106</v>
      </c>
      <c r="K490" s="15" t="s">
        <v>46</v>
      </c>
      <c r="L490" s="15" t="s">
        <v>47</v>
      </c>
      <c r="M490" s="15">
        <v>11</v>
      </c>
      <c r="N490" s="15">
        <v>12000</v>
      </c>
      <c r="O490" s="15">
        <v>10</v>
      </c>
      <c r="P490" s="15">
        <v>118800</v>
      </c>
      <c r="Q490" s="15">
        <v>1</v>
      </c>
      <c r="R490" s="15" t="s">
        <v>79</v>
      </c>
      <c r="S490" s="15" t="s">
        <v>49</v>
      </c>
      <c r="T490" s="15" t="s">
        <v>175</v>
      </c>
      <c r="U490" s="17" t="s">
        <v>2053</v>
      </c>
      <c r="V490" s="15" t="s">
        <v>69</v>
      </c>
      <c r="W490" s="24" t="str">
        <f t="shared" si="7"/>
        <v>Blacklisted</v>
      </c>
    </row>
    <row r="491" spans="1:23">
      <c r="A491" s="18" t="s">
        <v>2054</v>
      </c>
      <c r="B491" s="18" t="s">
        <v>327</v>
      </c>
      <c r="C491" s="18" t="s">
        <v>169</v>
      </c>
      <c r="D491" s="18" t="s">
        <v>142</v>
      </c>
      <c r="E491" s="18" t="s">
        <v>1378</v>
      </c>
      <c r="F491" s="18" t="s">
        <v>394</v>
      </c>
      <c r="G491" s="18" t="s">
        <v>76</v>
      </c>
      <c r="H491" s="18" t="s">
        <v>2055</v>
      </c>
      <c r="I491" s="18" t="s">
        <v>30</v>
      </c>
      <c r="J491" s="18" t="s">
        <v>31</v>
      </c>
      <c r="K491" s="18" t="s">
        <v>32</v>
      </c>
      <c r="L491" s="18" t="s">
        <v>174</v>
      </c>
      <c r="M491" s="18">
        <v>2</v>
      </c>
      <c r="N491" s="18">
        <v>8500</v>
      </c>
      <c r="O491" s="18">
        <v>5</v>
      </c>
      <c r="P491" s="18">
        <v>16150</v>
      </c>
      <c r="Q491" s="18">
        <v>1</v>
      </c>
      <c r="R491" s="18" t="s">
        <v>79</v>
      </c>
      <c r="S491" s="18" t="s">
        <v>61</v>
      </c>
      <c r="T491" s="18" t="s">
        <v>332</v>
      </c>
      <c r="U491" s="19" t="s">
        <v>2056</v>
      </c>
      <c r="V491" s="18" t="s">
        <v>38</v>
      </c>
      <c r="W491" s="24" t="str">
        <f t="shared" si="7"/>
        <v>Blacklisted</v>
      </c>
    </row>
    <row r="492" spans="1:23">
      <c r="A492" s="15" t="s">
        <v>2057</v>
      </c>
      <c r="B492" s="15" t="s">
        <v>100</v>
      </c>
      <c r="C492" s="15" t="s">
        <v>24</v>
      </c>
      <c r="D492" s="15" t="s">
        <v>328</v>
      </c>
      <c r="E492" s="15" t="s">
        <v>1507</v>
      </c>
      <c r="F492" s="15" t="s">
        <v>2058</v>
      </c>
      <c r="G492" s="15" t="s">
        <v>28</v>
      </c>
      <c r="H492" s="15" t="s">
        <v>2059</v>
      </c>
      <c r="I492" s="15" t="s">
        <v>114</v>
      </c>
      <c r="J492" s="15" t="s">
        <v>106</v>
      </c>
      <c r="K492" s="15" t="s">
        <v>32</v>
      </c>
      <c r="L492" s="15" t="s">
        <v>33</v>
      </c>
      <c r="M492" s="15">
        <v>7</v>
      </c>
      <c r="N492" s="15">
        <v>2200</v>
      </c>
      <c r="O492" s="15">
        <v>0</v>
      </c>
      <c r="P492" s="15">
        <v>15400</v>
      </c>
      <c r="Q492" s="15">
        <v>5</v>
      </c>
      <c r="R492" s="15" t="s">
        <v>48</v>
      </c>
      <c r="S492" s="15" t="s">
        <v>35</v>
      </c>
      <c r="T492" s="15" t="s">
        <v>144</v>
      </c>
      <c r="U492" s="17" t="s">
        <v>2060</v>
      </c>
      <c r="V492" s="15" t="s">
        <v>64</v>
      </c>
      <c r="W492" s="24" t="str">
        <f t="shared" si="7"/>
        <v>Blacklisted</v>
      </c>
    </row>
    <row r="493" spans="1:23">
      <c r="A493" s="18" t="s">
        <v>2061</v>
      </c>
      <c r="B493" s="18" t="s">
        <v>83</v>
      </c>
      <c r="C493" s="18" t="s">
        <v>169</v>
      </c>
      <c r="D493" s="18" t="s">
        <v>1916</v>
      </c>
      <c r="E493" s="18" t="s">
        <v>1098</v>
      </c>
      <c r="F493" s="18" t="s">
        <v>180</v>
      </c>
      <c r="G493" s="18" t="s">
        <v>76</v>
      </c>
      <c r="H493" s="18" t="s">
        <v>2062</v>
      </c>
      <c r="I493" s="18" t="s">
        <v>44</v>
      </c>
      <c r="J493" s="18" t="s">
        <v>45</v>
      </c>
      <c r="K493" s="18" t="s">
        <v>32</v>
      </c>
      <c r="L493" s="18" t="s">
        <v>174</v>
      </c>
      <c r="M493" s="18">
        <v>20</v>
      </c>
      <c r="N493" s="18">
        <v>8500</v>
      </c>
      <c r="O493" s="18">
        <v>0</v>
      </c>
      <c r="P493" s="18">
        <v>170000</v>
      </c>
      <c r="Q493" s="18">
        <v>3</v>
      </c>
      <c r="R493" s="18" t="s">
        <v>48</v>
      </c>
      <c r="S493" s="18" t="s">
        <v>49</v>
      </c>
      <c r="T493" s="18" t="s">
        <v>89</v>
      </c>
      <c r="U493" s="19" t="s">
        <v>2063</v>
      </c>
      <c r="V493" s="18" t="s">
        <v>38</v>
      </c>
      <c r="W493" s="24" t="str">
        <f t="shared" si="7"/>
        <v>Blacklisted</v>
      </c>
    </row>
    <row r="494" spans="1:23">
      <c r="A494" s="15" t="s">
        <v>2064</v>
      </c>
      <c r="B494" s="15" t="s">
        <v>127</v>
      </c>
      <c r="C494" s="15" t="s">
        <v>72</v>
      </c>
      <c r="D494" s="15" t="s">
        <v>1106</v>
      </c>
      <c r="E494" s="15" t="s">
        <v>839</v>
      </c>
      <c r="F494" s="15" t="s">
        <v>2065</v>
      </c>
      <c r="G494" s="15" t="s">
        <v>76</v>
      </c>
      <c r="H494" s="15" t="s">
        <v>2066</v>
      </c>
      <c r="I494" s="15" t="s">
        <v>30</v>
      </c>
      <c r="J494" s="15" t="s">
        <v>31</v>
      </c>
      <c r="K494" s="15" t="s">
        <v>46</v>
      </c>
      <c r="L494" s="15" t="s">
        <v>78</v>
      </c>
      <c r="M494" s="15">
        <v>11</v>
      </c>
      <c r="N494" s="15">
        <v>1200</v>
      </c>
      <c r="O494" s="15">
        <v>5</v>
      </c>
      <c r="P494" s="15">
        <v>12540</v>
      </c>
      <c r="Q494" s="15">
        <v>2</v>
      </c>
      <c r="R494" s="15" t="s">
        <v>34</v>
      </c>
      <c r="S494" s="15" t="s">
        <v>35</v>
      </c>
      <c r="T494" s="15" t="s">
        <v>132</v>
      </c>
      <c r="U494" s="17" t="s">
        <v>2067</v>
      </c>
      <c r="V494" s="15" t="s">
        <v>64</v>
      </c>
      <c r="W494" s="24" t="str">
        <f t="shared" si="7"/>
        <v>Blacklisted</v>
      </c>
    </row>
    <row r="495" spans="1:23">
      <c r="A495" s="18" t="s">
        <v>2068</v>
      </c>
      <c r="B495" s="18" t="s">
        <v>83</v>
      </c>
      <c r="C495" s="18" t="s">
        <v>184</v>
      </c>
      <c r="D495" s="18" t="s">
        <v>839</v>
      </c>
      <c r="E495" s="18" t="s">
        <v>756</v>
      </c>
      <c r="F495" s="18" t="s">
        <v>180</v>
      </c>
      <c r="G495" s="18" t="s">
        <v>76</v>
      </c>
      <c r="H495" s="18" t="s">
        <v>2069</v>
      </c>
      <c r="I495" s="18" t="s">
        <v>138</v>
      </c>
      <c r="J495" s="18" t="s">
        <v>106</v>
      </c>
      <c r="K495" s="18" t="s">
        <v>46</v>
      </c>
      <c r="L495" s="18" t="s">
        <v>189</v>
      </c>
      <c r="M495" s="18">
        <v>14</v>
      </c>
      <c r="N495" s="18">
        <v>700</v>
      </c>
      <c r="O495" s="18">
        <v>0</v>
      </c>
      <c r="P495" s="18">
        <v>9800</v>
      </c>
      <c r="Q495" s="18">
        <v>2</v>
      </c>
      <c r="R495" s="18" t="s">
        <v>79</v>
      </c>
      <c r="S495" s="18" t="s">
        <v>151</v>
      </c>
      <c r="T495" s="18" t="s">
        <v>89</v>
      </c>
      <c r="U495" s="19" t="s">
        <v>2070</v>
      </c>
      <c r="V495" s="18" t="s">
        <v>69</v>
      </c>
      <c r="W495" s="24" t="str">
        <f t="shared" si="7"/>
        <v>Blacklisted</v>
      </c>
    </row>
    <row r="496" spans="1:23">
      <c r="A496" s="15" t="s">
        <v>2071</v>
      </c>
      <c r="B496" s="15" t="s">
        <v>71</v>
      </c>
      <c r="C496" s="15" t="s">
        <v>72</v>
      </c>
      <c r="D496" s="15" t="s">
        <v>793</v>
      </c>
      <c r="E496" s="15" t="s">
        <v>1650</v>
      </c>
      <c r="F496" s="15" t="s">
        <v>217</v>
      </c>
      <c r="G496" s="15" t="s">
        <v>76</v>
      </c>
      <c r="H496" s="15" t="s">
        <v>2072</v>
      </c>
      <c r="I496" s="15" t="s">
        <v>114</v>
      </c>
      <c r="J496" s="15" t="s">
        <v>106</v>
      </c>
      <c r="K496" s="15" t="s">
        <v>46</v>
      </c>
      <c r="L496" s="15" t="s">
        <v>78</v>
      </c>
      <c r="M496" s="15">
        <v>16</v>
      </c>
      <c r="N496" s="15">
        <v>1200</v>
      </c>
      <c r="O496" s="15">
        <v>15</v>
      </c>
      <c r="P496" s="15">
        <v>16320</v>
      </c>
      <c r="Q496" s="15">
        <v>4</v>
      </c>
      <c r="R496" s="15" t="s">
        <v>34</v>
      </c>
      <c r="S496" s="15" t="s">
        <v>151</v>
      </c>
      <c r="T496" s="15" t="s">
        <v>80</v>
      </c>
      <c r="U496" s="17" t="s">
        <v>2073</v>
      </c>
      <c r="V496" s="15" t="s">
        <v>64</v>
      </c>
      <c r="W496" s="24" t="str">
        <f t="shared" si="7"/>
        <v>Blacklisted</v>
      </c>
    </row>
    <row r="497" spans="1:23">
      <c r="A497" s="18" t="s">
        <v>2074</v>
      </c>
      <c r="B497" s="18" t="s">
        <v>168</v>
      </c>
      <c r="C497" s="18" t="s">
        <v>24</v>
      </c>
      <c r="D497" s="18" t="s">
        <v>493</v>
      </c>
      <c r="E497" s="18" t="s">
        <v>1932</v>
      </c>
      <c r="F497" s="18" t="s">
        <v>2075</v>
      </c>
      <c r="G497" s="18" t="s">
        <v>28</v>
      </c>
      <c r="H497" s="18" t="s">
        <v>2076</v>
      </c>
      <c r="I497" s="18" t="s">
        <v>212</v>
      </c>
      <c r="J497" s="18" t="s">
        <v>45</v>
      </c>
      <c r="K497" s="18" t="s">
        <v>32</v>
      </c>
      <c r="L497" s="18" t="s">
        <v>33</v>
      </c>
      <c r="M497" s="18">
        <v>20</v>
      </c>
      <c r="N497" s="18">
        <v>2200</v>
      </c>
      <c r="O497" s="18">
        <v>0</v>
      </c>
      <c r="P497" s="18">
        <v>44000</v>
      </c>
      <c r="Q497" s="18">
        <v>5</v>
      </c>
      <c r="R497" s="18" t="s">
        <v>34</v>
      </c>
      <c r="S497" s="18" t="s">
        <v>35</v>
      </c>
      <c r="T497" s="18" t="s">
        <v>175</v>
      </c>
      <c r="U497" s="19" t="s">
        <v>2077</v>
      </c>
      <c r="V497" s="18" t="s">
        <v>69</v>
      </c>
      <c r="W497" s="24" t="str">
        <f t="shared" si="7"/>
        <v>Blacklisted</v>
      </c>
    </row>
    <row r="498" spans="1:23">
      <c r="A498" s="15" t="s">
        <v>2078</v>
      </c>
      <c r="B498" s="15" t="s">
        <v>83</v>
      </c>
      <c r="C498" s="15" t="s">
        <v>40</v>
      </c>
      <c r="D498" s="15" t="s">
        <v>2051</v>
      </c>
      <c r="E498" s="15" t="s">
        <v>272</v>
      </c>
      <c r="F498" s="15" t="s">
        <v>180</v>
      </c>
      <c r="G498" s="15" t="s">
        <v>76</v>
      </c>
      <c r="H498" s="15" t="s">
        <v>2079</v>
      </c>
      <c r="I498" s="15" t="s">
        <v>212</v>
      </c>
      <c r="J498" s="15" t="s">
        <v>45</v>
      </c>
      <c r="K498" s="15" t="s">
        <v>46</v>
      </c>
      <c r="L498" s="15" t="s">
        <v>47</v>
      </c>
      <c r="M498" s="15">
        <v>12</v>
      </c>
      <c r="N498" s="15">
        <v>12000</v>
      </c>
      <c r="O498" s="15">
        <v>15</v>
      </c>
      <c r="P498" s="15">
        <v>122400</v>
      </c>
      <c r="Q498" s="15">
        <v>5</v>
      </c>
      <c r="R498" s="15" t="s">
        <v>34</v>
      </c>
      <c r="S498" s="15" t="s">
        <v>151</v>
      </c>
      <c r="T498" s="15" t="s">
        <v>89</v>
      </c>
      <c r="U498" s="17" t="s">
        <v>2080</v>
      </c>
      <c r="V498" s="15" t="s">
        <v>38</v>
      </c>
      <c r="W498" s="24" t="str">
        <f t="shared" si="7"/>
        <v>Blacklisted</v>
      </c>
    </row>
    <row r="499" spans="1:23">
      <c r="A499" s="18" t="s">
        <v>2081</v>
      </c>
      <c r="B499" s="18" t="s">
        <v>221</v>
      </c>
      <c r="C499" s="18" t="s">
        <v>72</v>
      </c>
      <c r="D499" s="18" t="s">
        <v>610</v>
      </c>
      <c r="E499" s="18" t="s">
        <v>611</v>
      </c>
      <c r="F499" s="18" t="s">
        <v>225</v>
      </c>
      <c r="G499" s="18" t="s">
        <v>76</v>
      </c>
      <c r="H499" s="18" t="s">
        <v>2082</v>
      </c>
      <c r="I499" s="18" t="s">
        <v>44</v>
      </c>
      <c r="J499" s="18" t="s">
        <v>45</v>
      </c>
      <c r="K499" s="18" t="s">
        <v>46</v>
      </c>
      <c r="L499" s="18" t="s">
        <v>78</v>
      </c>
      <c r="M499" s="18">
        <v>3</v>
      </c>
      <c r="N499" s="18">
        <v>1200</v>
      </c>
      <c r="O499" s="18">
        <v>20</v>
      </c>
      <c r="P499" s="18">
        <v>2880</v>
      </c>
      <c r="Q499" s="18">
        <v>2</v>
      </c>
      <c r="R499" s="18" t="s">
        <v>48</v>
      </c>
      <c r="S499" s="18" t="s">
        <v>115</v>
      </c>
      <c r="T499" s="18" t="s">
        <v>907</v>
      </c>
      <c r="U499" s="19" t="s">
        <v>2083</v>
      </c>
      <c r="V499" s="18" t="s">
        <v>64</v>
      </c>
      <c r="W499" s="24" t="str">
        <f t="shared" si="7"/>
        <v>Blacklisted</v>
      </c>
    </row>
    <row r="500" spans="1:23">
      <c r="A500" s="15" t="s">
        <v>2084</v>
      </c>
      <c r="B500" s="15" t="s">
        <v>100</v>
      </c>
      <c r="C500" s="15" t="s">
        <v>54</v>
      </c>
      <c r="D500" s="15" t="s">
        <v>276</v>
      </c>
      <c r="E500" s="15" t="s">
        <v>2085</v>
      </c>
      <c r="F500" s="15" t="s">
        <v>103</v>
      </c>
      <c r="G500" s="15" t="s">
        <v>28</v>
      </c>
      <c r="H500" s="15" t="s">
        <v>2086</v>
      </c>
      <c r="I500" s="15" t="s">
        <v>105</v>
      </c>
      <c r="J500" s="15" t="s">
        <v>106</v>
      </c>
      <c r="K500" s="15" t="s">
        <v>46</v>
      </c>
      <c r="L500" s="15" t="s">
        <v>2087</v>
      </c>
      <c r="M500" s="15">
        <v>6</v>
      </c>
      <c r="N500" s="15">
        <v>55000</v>
      </c>
      <c r="O500" s="15">
        <v>20</v>
      </c>
      <c r="P500" s="15">
        <v>264000</v>
      </c>
      <c r="Q500" s="15">
        <v>3</v>
      </c>
      <c r="R500" s="15" t="s">
        <v>34</v>
      </c>
      <c r="S500" s="15" t="s">
        <v>151</v>
      </c>
      <c r="T500" s="15" t="s">
        <v>144</v>
      </c>
      <c r="U500" s="17" t="s">
        <v>2088</v>
      </c>
      <c r="V500" s="15" t="s">
        <v>38</v>
      </c>
      <c r="W500" s="24" t="str">
        <f t="shared" si="7"/>
        <v>Blacklisted</v>
      </c>
    </row>
    <row r="501" spans="1:23">
      <c r="A501" s="18" t="s">
        <v>2089</v>
      </c>
      <c r="B501" s="18" t="s">
        <v>100</v>
      </c>
      <c r="C501" s="18" t="s">
        <v>92</v>
      </c>
      <c r="D501" s="18" t="s">
        <v>2090</v>
      </c>
      <c r="E501" s="18" t="s">
        <v>129</v>
      </c>
      <c r="F501" s="18" t="s">
        <v>103</v>
      </c>
      <c r="G501" s="18" t="s">
        <v>28</v>
      </c>
      <c r="H501" s="18" t="s">
        <v>2091</v>
      </c>
      <c r="I501" s="18" t="s">
        <v>59</v>
      </c>
      <c r="J501" s="18" t="s">
        <v>31</v>
      </c>
      <c r="K501" s="18" t="s">
        <v>32</v>
      </c>
      <c r="L501" s="18" t="s">
        <v>97</v>
      </c>
      <c r="M501" s="18">
        <v>20</v>
      </c>
      <c r="N501" s="18">
        <v>3500</v>
      </c>
      <c r="O501" s="18">
        <v>0</v>
      </c>
      <c r="P501" s="18">
        <v>70000</v>
      </c>
      <c r="Q501" s="18">
        <v>1</v>
      </c>
      <c r="R501" s="18" t="s">
        <v>48</v>
      </c>
      <c r="S501" s="18" t="s">
        <v>151</v>
      </c>
      <c r="T501" s="18" t="s">
        <v>144</v>
      </c>
      <c r="U501" s="19" t="s">
        <v>2092</v>
      </c>
      <c r="V501" s="18" t="s">
        <v>64</v>
      </c>
      <c r="W501" s="24" t="str">
        <f t="shared" si="7"/>
        <v>Blacklisted</v>
      </c>
    </row>
  </sheetData>
  <hyperlinks>
    <hyperlink ref="T2" r:id="rId1" xr:uid="{5F1ECA22-C93C-4D45-B475-E29B58037AF5}"/>
    <hyperlink ref="T5" r:id="rId2" xr:uid="{54D01F65-A032-44A0-B4F3-82921D3957BA}"/>
    <hyperlink ref="T9" r:id="rId3" xr:uid="{AFFAC00F-E198-45CB-943B-B50D888FC241}"/>
    <hyperlink ref="T11" r:id="rId4" xr:uid="{42217325-8EEC-4150-8F93-D788F52EACE8}"/>
    <hyperlink ref="T16" r:id="rId5" xr:uid="{66BCE55F-41D4-4D4A-8A18-67F3FB3B4323}"/>
    <hyperlink ref="T15" r:id="rId6" xr:uid="{9D14359C-9D9D-475B-88C8-CA935230C7B6}"/>
    <hyperlink ref="T20" r:id="rId7" xr:uid="{07A1F84F-E49B-42AC-BF02-A61FF4E0F065}"/>
    <hyperlink ref="T61" r:id="rId8" xr:uid="{F3029908-BF32-49FA-B6C1-32C5FBC95A2E}"/>
    <hyperlink ref="T72" r:id="rId9" xr:uid="{74A03FF7-0682-46AB-A098-C652A757B9E5}"/>
    <hyperlink ref="T294" r:id="rId10" xr:uid="{FA2784F2-8904-4508-A219-49CA763261E3}"/>
    <hyperlink ref="T489" r:id="rId11" xr:uid="{312B1E4F-33AB-451A-BA1A-768CAFFE0B0F}"/>
    <hyperlink ref="T479" r:id="rId12" xr:uid="{A200965E-4EB9-42C3-A7C3-DC4F9B072170}"/>
    <hyperlink ref="T463" r:id="rId13" xr:uid="{93C71B3D-7064-497F-AB8E-7AC9E7FFA097}"/>
    <hyperlink ref="T450" r:id="rId14" xr:uid="{EA8956ED-35FC-41A0-8F1E-28B0C8ABF8A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E23EB-BC90-4E91-921C-02EF0687059D}">
  <dimension ref="A1:Z501"/>
  <sheetViews>
    <sheetView topLeftCell="V475" workbookViewId="0">
      <selection sqref="A1:Z501"/>
    </sheetView>
  </sheetViews>
  <sheetFormatPr defaultRowHeight="14.4"/>
  <cols>
    <col min="23" max="23" width="21.33203125" bestFit="1" customWidth="1"/>
    <col min="24" max="24" width="26.44140625" bestFit="1" customWidth="1"/>
    <col min="25" max="25" width="14" bestFit="1" customWidth="1"/>
    <col min="26" max="26" width="25.109375" bestFit="1" customWidth="1"/>
  </cols>
  <sheetData>
    <row r="1" spans="1:26">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4" t="s">
        <v>17</v>
      </c>
      <c r="S1" s="14" t="s">
        <v>18</v>
      </c>
      <c r="T1" s="14" t="s">
        <v>19</v>
      </c>
      <c r="U1" s="14" t="s">
        <v>20</v>
      </c>
      <c r="V1" s="14" t="s">
        <v>21</v>
      </c>
      <c r="W1" s="25" t="s">
        <v>2110</v>
      </c>
      <c r="X1" s="26" t="s">
        <v>2111</v>
      </c>
      <c r="Y1" s="28" t="s">
        <v>2112</v>
      </c>
      <c r="Z1" s="30" t="s">
        <v>2113</v>
      </c>
    </row>
    <row r="2" spans="1:26">
      <c r="A2" s="15" t="s">
        <v>22</v>
      </c>
      <c r="B2" s="15" t="s">
        <v>23</v>
      </c>
      <c r="C2" s="15" t="s">
        <v>24</v>
      </c>
      <c r="D2" s="15" t="s">
        <v>25</v>
      </c>
      <c r="E2" s="15" t="s">
        <v>26</v>
      </c>
      <c r="F2" s="15" t="s">
        <v>27</v>
      </c>
      <c r="G2" s="15" t="s">
        <v>28</v>
      </c>
      <c r="H2" s="15" t="s">
        <v>29</v>
      </c>
      <c r="I2" s="15" t="s">
        <v>30</v>
      </c>
      <c r="J2" s="15" t="s">
        <v>31</v>
      </c>
      <c r="K2" s="15" t="s">
        <v>32</v>
      </c>
      <c r="L2" s="15" t="s">
        <v>33</v>
      </c>
      <c r="M2" s="15">
        <v>4</v>
      </c>
      <c r="N2" s="15">
        <v>2200</v>
      </c>
      <c r="O2" s="15">
        <v>10</v>
      </c>
      <c r="P2" s="15">
        <v>7920</v>
      </c>
      <c r="Q2" s="15">
        <v>4</v>
      </c>
      <c r="R2" s="15" t="s">
        <v>34</v>
      </c>
      <c r="S2" s="15" t="s">
        <v>35</v>
      </c>
      <c r="T2" s="16" t="s">
        <v>36</v>
      </c>
      <c r="U2" s="17" t="s">
        <v>37</v>
      </c>
      <c r="V2" s="15" t="s">
        <v>38</v>
      </c>
      <c r="W2" t="str">
        <f>IF(OR(Q2&lt;=2,V2="Cancelled"),"Blacklisted",IF(AND(P2&gt;=100000,Q2&gt;=4,O2&lt;10,V2="Completed"),"Platinum",IF(AND(P2&gt;=50000,P2&lt;=99999,Q2&gt;=3,V2="Completed"),"Gold",IF(AND(P2&lt;50000,V2="Completed"),"Silver","Blacklisted"))))</f>
        <v>Silver</v>
      </c>
      <c r="X2" s="27" t="str">
        <f>PROPER(TRIM(F2))</f>
        <v>Kavya Nair</v>
      </c>
      <c r="Y2" s="29" t="str">
        <f>LEFT(X2,3)&amp;MID(B2,2,2)&amp;"ID"&amp;LEFT(I2,2)</f>
        <v>Kav00IDHy</v>
      </c>
      <c r="Z2" s="30" t="str">
        <f>IF(ISNUMBER(SEARCH("@",T2)),LOWER(TRIM(T2)),"Invalid Email")</f>
        <v>kavya.nair@company.com</v>
      </c>
    </row>
    <row r="3" spans="1:26">
      <c r="A3" s="18" t="s">
        <v>39</v>
      </c>
      <c r="B3" s="18" t="s">
        <v>23</v>
      </c>
      <c r="C3" s="18" t="s">
        <v>40</v>
      </c>
      <c r="D3" s="18" t="s">
        <v>41</v>
      </c>
      <c r="E3" s="18" t="s">
        <v>42</v>
      </c>
      <c r="F3" s="18" t="s">
        <v>27</v>
      </c>
      <c r="G3" s="18" t="s">
        <v>28</v>
      </c>
      <c r="H3" s="18" t="s">
        <v>43</v>
      </c>
      <c r="I3" s="18" t="s">
        <v>44</v>
      </c>
      <c r="J3" s="18" t="s">
        <v>45</v>
      </c>
      <c r="K3" s="18" t="s">
        <v>46</v>
      </c>
      <c r="L3" s="18" t="s">
        <v>47</v>
      </c>
      <c r="M3" s="18">
        <v>17</v>
      </c>
      <c r="N3" s="18">
        <v>12000</v>
      </c>
      <c r="O3" s="18">
        <v>10</v>
      </c>
      <c r="P3" s="18">
        <v>183600</v>
      </c>
      <c r="Q3" s="18">
        <v>1</v>
      </c>
      <c r="R3" s="18" t="s">
        <v>48</v>
      </c>
      <c r="S3" s="18" t="s">
        <v>49</v>
      </c>
      <c r="T3" s="18" t="s">
        <v>50</v>
      </c>
      <c r="U3" s="19" t="s">
        <v>51</v>
      </c>
      <c r="V3" s="18" t="s">
        <v>38</v>
      </c>
      <c r="W3" t="str">
        <f t="shared" ref="W3:W66" si="0">IF(OR(Q3&lt;=2,V3="Cancelled"),"Blacklisted",IF(AND(P3&gt;=100000,Q3&gt;=4,O3&lt;10,V3="Completed"),"Platinum",IF(AND(P3&gt;=50000,P3&lt;=99999,Q3&gt;=3,V3="Completed"),"Gold",IF(AND(P3&lt;50000,V3="Completed"),"Silver","Blacklisted"))))</f>
        <v>Blacklisted</v>
      </c>
      <c r="X3" s="27" t="str">
        <f t="shared" ref="X3:X66" si="1">PROPER(TRIM(F3))</f>
        <v>Kavya Nair</v>
      </c>
      <c r="Y3" s="29" t="str">
        <f t="shared" ref="Y3:Y66" si="2">LEFT(X3,3)&amp;MID(B3,2,2)&amp;"ID"&amp;LEFT(I3,2)</f>
        <v>Kav00IDDe</v>
      </c>
      <c r="Z3" s="30" t="str">
        <f t="shared" ref="Z3:Z66" si="3">IF(ISNUMBER(SEARCH("@",T3)),LOWER(TRIM(T3)),"Invalid Email")</f>
        <v>kavya.nair@company.com</v>
      </c>
    </row>
    <row r="4" spans="1:26">
      <c r="A4" s="15" t="s">
        <v>52</v>
      </c>
      <c r="B4" s="15" t="s">
        <v>53</v>
      </c>
      <c r="C4" s="15" t="s">
        <v>54</v>
      </c>
      <c r="D4" s="15" t="s">
        <v>55</v>
      </c>
      <c r="E4" s="15" t="s">
        <v>56</v>
      </c>
      <c r="F4" s="15" t="s">
        <v>57</v>
      </c>
      <c r="G4" s="15" t="s">
        <v>28</v>
      </c>
      <c r="H4" s="15" t="s">
        <v>58</v>
      </c>
      <c r="I4" s="15" t="s">
        <v>59</v>
      </c>
      <c r="J4" s="15" t="s">
        <v>31</v>
      </c>
      <c r="K4" s="15" t="s">
        <v>46</v>
      </c>
      <c r="L4" s="15" t="s">
        <v>60</v>
      </c>
      <c r="M4" s="15">
        <v>5</v>
      </c>
      <c r="N4" s="15">
        <v>55000</v>
      </c>
      <c r="O4" s="15">
        <v>5</v>
      </c>
      <c r="P4" s="15">
        <v>261250</v>
      </c>
      <c r="Q4" s="15">
        <v>3</v>
      </c>
      <c r="R4" s="15" t="s">
        <v>48</v>
      </c>
      <c r="S4" s="15" t="s">
        <v>61</v>
      </c>
      <c r="T4" s="15" t="s">
        <v>62</v>
      </c>
      <c r="U4" s="17" t="s">
        <v>63</v>
      </c>
      <c r="V4" s="15" t="s">
        <v>64</v>
      </c>
      <c r="W4" t="str">
        <f t="shared" si="0"/>
        <v>Blacklisted</v>
      </c>
      <c r="X4" s="27" t="str">
        <f t="shared" si="1"/>
        <v>Pooja Shah</v>
      </c>
      <c r="Y4" s="29" t="str">
        <f t="shared" si="2"/>
        <v>Poo01IDBe</v>
      </c>
      <c r="Z4" s="30" t="str">
        <f t="shared" si="3"/>
        <v>pooja.shah@company.com</v>
      </c>
    </row>
    <row r="5" spans="1:26">
      <c r="A5" s="18" t="s">
        <v>39</v>
      </c>
      <c r="B5" s="18" t="s">
        <v>23</v>
      </c>
      <c r="C5" s="18" t="s">
        <v>24</v>
      </c>
      <c r="D5" s="18" t="s">
        <v>65</v>
      </c>
      <c r="E5" s="18" t="s">
        <v>66</v>
      </c>
      <c r="F5" s="18" t="s">
        <v>27</v>
      </c>
      <c r="G5" s="18" t="s">
        <v>28</v>
      </c>
      <c r="H5" s="18" t="s">
        <v>67</v>
      </c>
      <c r="I5" s="18" t="s">
        <v>59</v>
      </c>
      <c r="J5" s="18" t="s">
        <v>31</v>
      </c>
      <c r="K5" s="18" t="s">
        <v>32</v>
      </c>
      <c r="L5" s="18" t="s">
        <v>33</v>
      </c>
      <c r="M5" s="18">
        <v>5</v>
      </c>
      <c r="N5" s="18">
        <v>2200</v>
      </c>
      <c r="O5" s="18">
        <v>5</v>
      </c>
      <c r="P5" s="18">
        <v>10450</v>
      </c>
      <c r="Q5" s="18">
        <v>5</v>
      </c>
      <c r="R5" s="18" t="s">
        <v>48</v>
      </c>
      <c r="S5" s="18" t="s">
        <v>61</v>
      </c>
      <c r="T5" s="20" t="s">
        <v>50</v>
      </c>
      <c r="U5" s="19" t="s">
        <v>68</v>
      </c>
      <c r="V5" s="18" t="s">
        <v>69</v>
      </c>
      <c r="W5" t="str">
        <f t="shared" si="0"/>
        <v>Blacklisted</v>
      </c>
      <c r="X5" s="27" t="str">
        <f t="shared" si="1"/>
        <v>Kavya Nair</v>
      </c>
      <c r="Y5" s="29" t="str">
        <f t="shared" si="2"/>
        <v>Kav00IDBe</v>
      </c>
      <c r="Z5" s="30" t="str">
        <f t="shared" si="3"/>
        <v>kavya.nair@company.com</v>
      </c>
    </row>
    <row r="6" spans="1:26">
      <c r="A6" s="15" t="s">
        <v>70</v>
      </c>
      <c r="B6" s="15" t="s">
        <v>71</v>
      </c>
      <c r="C6" s="15" t="s">
        <v>72</v>
      </c>
      <c r="D6" s="15" t="s">
        <v>73</v>
      </c>
      <c r="E6" s="15" t="s">
        <v>74</v>
      </c>
      <c r="F6" s="15" t="s">
        <v>75</v>
      </c>
      <c r="G6" s="15" t="s">
        <v>76</v>
      </c>
      <c r="H6" s="15" t="s">
        <v>77</v>
      </c>
      <c r="I6" s="15" t="s">
        <v>44</v>
      </c>
      <c r="J6" s="15" t="s">
        <v>45</v>
      </c>
      <c r="K6" s="15" t="s">
        <v>46</v>
      </c>
      <c r="L6" s="15" t="s">
        <v>78</v>
      </c>
      <c r="M6" s="15">
        <v>8</v>
      </c>
      <c r="N6" s="15">
        <v>1200</v>
      </c>
      <c r="O6" s="15">
        <v>5</v>
      </c>
      <c r="P6" s="15">
        <v>9120</v>
      </c>
      <c r="Q6" s="15">
        <v>2</v>
      </c>
      <c r="R6" s="15" t="s">
        <v>79</v>
      </c>
      <c r="S6" s="15" t="s">
        <v>61</v>
      </c>
      <c r="T6" s="15" t="s">
        <v>80</v>
      </c>
      <c r="U6" s="17" t="s">
        <v>81</v>
      </c>
      <c r="V6" s="15" t="s">
        <v>64</v>
      </c>
      <c r="W6" t="str">
        <f t="shared" si="0"/>
        <v>Blacklisted</v>
      </c>
      <c r="X6" s="27" t="str">
        <f t="shared" si="1"/>
        <v>Mohit Verma</v>
      </c>
      <c r="Y6" s="29" t="str">
        <f t="shared" si="2"/>
        <v>Moh00IDDe</v>
      </c>
      <c r="Z6" s="30" t="str">
        <f t="shared" si="3"/>
        <v>mohit.verma@company.com</v>
      </c>
    </row>
    <row r="7" spans="1:26">
      <c r="A7" s="18" t="s">
        <v>82</v>
      </c>
      <c r="B7" s="18" t="s">
        <v>83</v>
      </c>
      <c r="C7" s="18" t="s">
        <v>24</v>
      </c>
      <c r="D7" s="18" t="s">
        <v>84</v>
      </c>
      <c r="E7" s="18" t="s">
        <v>85</v>
      </c>
      <c r="F7" s="18" t="s">
        <v>86</v>
      </c>
      <c r="G7" s="18" t="s">
        <v>76</v>
      </c>
      <c r="H7" s="18" t="s">
        <v>87</v>
      </c>
      <c r="I7" s="18" t="s">
        <v>30</v>
      </c>
      <c r="J7" s="18" t="s">
        <v>31</v>
      </c>
      <c r="K7" s="18" t="s">
        <v>32</v>
      </c>
      <c r="L7" s="18" t="s">
        <v>33</v>
      </c>
      <c r="M7" s="18">
        <v>4</v>
      </c>
      <c r="N7" s="18">
        <v>2200</v>
      </c>
      <c r="O7" s="18">
        <v>0</v>
      </c>
      <c r="P7" s="18">
        <v>8800</v>
      </c>
      <c r="Q7" s="18">
        <v>1</v>
      </c>
      <c r="R7" s="18" t="s">
        <v>88</v>
      </c>
      <c r="S7" s="18" t="s">
        <v>35</v>
      </c>
      <c r="T7" s="18" t="s">
        <v>89</v>
      </c>
      <c r="U7" s="19" t="s">
        <v>90</v>
      </c>
      <c r="V7" s="18" t="s">
        <v>38</v>
      </c>
      <c r="W7" t="str">
        <f t="shared" si="0"/>
        <v>Blacklisted</v>
      </c>
      <c r="X7" s="27" t="str">
        <f t="shared" si="1"/>
        <v>Arjun Rao</v>
      </c>
      <c r="Y7" s="29" t="str">
        <f t="shared" si="2"/>
        <v>Arj00IDHy</v>
      </c>
      <c r="Z7" s="30" t="str">
        <f t="shared" si="3"/>
        <v>arjun.rao@company.com</v>
      </c>
    </row>
    <row r="8" spans="1:26">
      <c r="A8" s="15" t="s">
        <v>91</v>
      </c>
      <c r="B8" s="15" t="s">
        <v>23</v>
      </c>
      <c r="C8" s="15" t="s">
        <v>92</v>
      </c>
      <c r="D8" s="15" t="s">
        <v>93</v>
      </c>
      <c r="E8" s="15" t="s">
        <v>94</v>
      </c>
      <c r="F8" s="15" t="s">
        <v>95</v>
      </c>
      <c r="G8" s="15" t="s">
        <v>28</v>
      </c>
      <c r="H8" s="15" t="s">
        <v>96</v>
      </c>
      <c r="I8" s="15" t="s">
        <v>30</v>
      </c>
      <c r="J8" s="15" t="s">
        <v>31</v>
      </c>
      <c r="K8" s="15" t="s">
        <v>32</v>
      </c>
      <c r="L8" s="15" t="s">
        <v>97</v>
      </c>
      <c r="M8" s="15">
        <v>2</v>
      </c>
      <c r="N8" s="15">
        <v>3500</v>
      </c>
      <c r="O8" s="15">
        <v>5</v>
      </c>
      <c r="P8" s="15">
        <v>6650</v>
      </c>
      <c r="Q8" s="15">
        <v>1</v>
      </c>
      <c r="R8" s="15" t="s">
        <v>88</v>
      </c>
      <c r="S8" s="15" t="s">
        <v>35</v>
      </c>
      <c r="T8" s="15" t="s">
        <v>50</v>
      </c>
      <c r="U8" s="17" t="s">
        <v>98</v>
      </c>
      <c r="V8" s="15" t="s">
        <v>38</v>
      </c>
      <c r="W8" t="str">
        <f t="shared" si="0"/>
        <v>Blacklisted</v>
      </c>
      <c r="X8" s="27" t="str">
        <f t="shared" si="1"/>
        <v>Kavya Nair</v>
      </c>
      <c r="Y8" s="29" t="str">
        <f t="shared" si="2"/>
        <v>Kav00IDHy</v>
      </c>
      <c r="Z8" s="30" t="str">
        <f t="shared" si="3"/>
        <v>kavya.nair@company.com</v>
      </c>
    </row>
    <row r="9" spans="1:26">
      <c r="A9" s="18" t="s">
        <v>99</v>
      </c>
      <c r="B9" s="18" t="s">
        <v>100</v>
      </c>
      <c r="C9" s="18" t="s">
        <v>40</v>
      </c>
      <c r="D9" s="18" t="s">
        <v>101</v>
      </c>
      <c r="E9" s="18" t="s">
        <v>102</v>
      </c>
      <c r="F9" s="18" t="s">
        <v>103</v>
      </c>
      <c r="G9" s="18" t="s">
        <v>28</v>
      </c>
      <c r="H9" s="18" t="s">
        <v>104</v>
      </c>
      <c r="I9" s="18" t="s">
        <v>105</v>
      </c>
      <c r="J9" s="18" t="s">
        <v>106</v>
      </c>
      <c r="K9" s="18" t="s">
        <v>46</v>
      </c>
      <c r="L9" s="18" t="s">
        <v>47</v>
      </c>
      <c r="M9" s="18">
        <v>14</v>
      </c>
      <c r="N9" s="18">
        <v>12000</v>
      </c>
      <c r="O9" s="18">
        <v>15</v>
      </c>
      <c r="P9" s="18">
        <v>142800</v>
      </c>
      <c r="Q9" s="18">
        <v>4</v>
      </c>
      <c r="R9" s="18" t="s">
        <v>48</v>
      </c>
      <c r="S9" s="18" t="s">
        <v>35</v>
      </c>
      <c r="T9" s="20" t="s">
        <v>107</v>
      </c>
      <c r="U9" s="19" t="s">
        <v>108</v>
      </c>
      <c r="V9" s="18" t="s">
        <v>38</v>
      </c>
      <c r="W9" t="str">
        <f t="shared" si="0"/>
        <v>Blacklisted</v>
      </c>
      <c r="X9" s="27" t="str">
        <f t="shared" si="1"/>
        <v>Priya Patel</v>
      </c>
      <c r="Y9" s="29" t="str">
        <f t="shared" si="2"/>
        <v>Pri00IDMu</v>
      </c>
      <c r="Z9" s="30" t="str">
        <f t="shared" si="3"/>
        <v>priya.patel@company.com</v>
      </c>
    </row>
    <row r="10" spans="1:26">
      <c r="A10" s="15" t="s">
        <v>109</v>
      </c>
      <c r="B10" s="15" t="s">
        <v>23</v>
      </c>
      <c r="C10" s="15" t="s">
        <v>40</v>
      </c>
      <c r="D10" s="15" t="s">
        <v>110</v>
      </c>
      <c r="E10" s="15" t="s">
        <v>111</v>
      </c>
      <c r="F10" s="15" t="s">
        <v>112</v>
      </c>
      <c r="G10" s="15" t="s">
        <v>28</v>
      </c>
      <c r="H10" s="15" t="s">
        <v>113</v>
      </c>
      <c r="I10" s="15" t="s">
        <v>114</v>
      </c>
      <c r="J10" s="15" t="s">
        <v>106</v>
      </c>
      <c r="K10" s="15" t="s">
        <v>46</v>
      </c>
      <c r="L10" s="15" t="s">
        <v>47</v>
      </c>
      <c r="M10" s="15">
        <v>4</v>
      </c>
      <c r="N10" s="15">
        <v>12000</v>
      </c>
      <c r="O10" s="15">
        <v>15</v>
      </c>
      <c r="P10" s="15">
        <v>40800</v>
      </c>
      <c r="Q10" s="15">
        <v>4</v>
      </c>
      <c r="R10" s="15" t="s">
        <v>88</v>
      </c>
      <c r="S10" s="15" t="s">
        <v>115</v>
      </c>
      <c r="T10" s="15" t="s">
        <v>50</v>
      </c>
      <c r="U10" s="17" t="s">
        <v>116</v>
      </c>
      <c r="V10" s="15" t="s">
        <v>38</v>
      </c>
      <c r="W10" t="str">
        <f t="shared" si="0"/>
        <v>Silver</v>
      </c>
      <c r="X10" s="27" t="str">
        <f t="shared" si="1"/>
        <v>Kavya Nair</v>
      </c>
      <c r="Y10" s="29" t="str">
        <f t="shared" si="2"/>
        <v>Kav00IDPu</v>
      </c>
      <c r="Z10" s="30" t="str">
        <f t="shared" si="3"/>
        <v>kavya.nair@company.com</v>
      </c>
    </row>
    <row r="11" spans="1:26">
      <c r="A11" s="18" t="s">
        <v>117</v>
      </c>
      <c r="B11" s="18" t="s">
        <v>100</v>
      </c>
      <c r="C11" s="18" t="s">
        <v>118</v>
      </c>
      <c r="D11" s="18" t="s">
        <v>119</v>
      </c>
      <c r="E11" s="18" t="s">
        <v>120</v>
      </c>
      <c r="F11" s="18" t="s">
        <v>103</v>
      </c>
      <c r="G11" s="18" t="s">
        <v>28</v>
      </c>
      <c r="H11" s="18" t="s">
        <v>121</v>
      </c>
      <c r="I11" s="18" t="s">
        <v>105</v>
      </c>
      <c r="J11" s="18" t="s">
        <v>106</v>
      </c>
      <c r="K11" s="18" t="s">
        <v>122</v>
      </c>
      <c r="L11" s="18" t="s">
        <v>123</v>
      </c>
      <c r="M11" s="18">
        <v>6</v>
      </c>
      <c r="N11" s="18">
        <v>60</v>
      </c>
      <c r="O11" s="18">
        <v>0</v>
      </c>
      <c r="P11" s="18">
        <v>360</v>
      </c>
      <c r="Q11" s="18">
        <v>4</v>
      </c>
      <c r="R11" s="18" t="s">
        <v>79</v>
      </c>
      <c r="S11" s="18" t="s">
        <v>115</v>
      </c>
      <c r="T11" s="20" t="s">
        <v>124</v>
      </c>
      <c r="U11" s="19" t="s">
        <v>125</v>
      </c>
      <c r="V11" s="18" t="s">
        <v>38</v>
      </c>
      <c r="W11" t="str">
        <f t="shared" si="0"/>
        <v>Silver</v>
      </c>
      <c r="X11" s="27" t="str">
        <f t="shared" si="1"/>
        <v>Priya Patel</v>
      </c>
      <c r="Y11" s="29" t="str">
        <f t="shared" si="2"/>
        <v>Pri00IDMu</v>
      </c>
      <c r="Z11" s="30" t="str">
        <f t="shared" si="3"/>
        <v>priya.patel@company.com</v>
      </c>
    </row>
    <row r="12" spans="1:26">
      <c r="A12" s="15" t="s">
        <v>126</v>
      </c>
      <c r="B12" s="15" t="s">
        <v>127</v>
      </c>
      <c r="C12" s="15" t="s">
        <v>24</v>
      </c>
      <c r="D12" s="15" t="s">
        <v>128</v>
      </c>
      <c r="E12" s="15" t="s">
        <v>129</v>
      </c>
      <c r="F12" s="15" t="s">
        <v>130</v>
      </c>
      <c r="G12" s="15" t="s">
        <v>76</v>
      </c>
      <c r="H12" s="15" t="s">
        <v>131</v>
      </c>
      <c r="I12" s="15" t="s">
        <v>44</v>
      </c>
      <c r="J12" s="15" t="s">
        <v>45</v>
      </c>
      <c r="K12" s="15" t="s">
        <v>32</v>
      </c>
      <c r="L12" s="15" t="s">
        <v>33</v>
      </c>
      <c r="M12" s="15">
        <v>-3</v>
      </c>
      <c r="N12" s="15">
        <v>2200</v>
      </c>
      <c r="O12" s="15">
        <v>0</v>
      </c>
      <c r="P12" s="15">
        <v>35200</v>
      </c>
      <c r="Q12" s="15">
        <v>2</v>
      </c>
      <c r="R12" s="15" t="s">
        <v>79</v>
      </c>
      <c r="S12" s="15" t="s">
        <v>49</v>
      </c>
      <c r="T12" s="15" t="s">
        <v>132</v>
      </c>
      <c r="U12" s="17" t="s">
        <v>133</v>
      </c>
      <c r="V12" s="15" t="s">
        <v>64</v>
      </c>
      <c r="W12" t="str">
        <f t="shared" si="0"/>
        <v>Blacklisted</v>
      </c>
      <c r="X12" s="27" t="str">
        <f t="shared" si="1"/>
        <v>Rohit Singh</v>
      </c>
      <c r="Y12" s="29" t="str">
        <f t="shared" si="2"/>
        <v>Roh00IDDe</v>
      </c>
      <c r="Z12" s="30" t="str">
        <f t="shared" si="3"/>
        <v>rohit.singh@company.com</v>
      </c>
    </row>
    <row r="13" spans="1:26">
      <c r="A13" s="18" t="s">
        <v>134</v>
      </c>
      <c r="B13" s="18" t="s">
        <v>23</v>
      </c>
      <c r="C13" s="18" t="s">
        <v>92</v>
      </c>
      <c r="D13" s="18" t="s">
        <v>135</v>
      </c>
      <c r="E13" s="18" t="s">
        <v>136</v>
      </c>
      <c r="F13" s="18" t="s">
        <v>27</v>
      </c>
      <c r="G13" s="18" t="s">
        <v>28</v>
      </c>
      <c r="H13" s="18" t="s">
        <v>137</v>
      </c>
      <c r="I13" s="18" t="s">
        <v>138</v>
      </c>
      <c r="J13" s="18" t="s">
        <v>106</v>
      </c>
      <c r="K13" s="18" t="s">
        <v>32</v>
      </c>
      <c r="L13" s="18" t="s">
        <v>97</v>
      </c>
      <c r="M13" s="18">
        <v>10</v>
      </c>
      <c r="N13" s="18">
        <v>3500</v>
      </c>
      <c r="O13" s="18">
        <v>5</v>
      </c>
      <c r="P13" s="18">
        <v>33250</v>
      </c>
      <c r="Q13" s="18">
        <v>5</v>
      </c>
      <c r="R13" s="18" t="s">
        <v>79</v>
      </c>
      <c r="S13" s="18" t="s">
        <v>61</v>
      </c>
      <c r="T13" s="18" t="s">
        <v>50</v>
      </c>
      <c r="U13" s="19" t="s">
        <v>139</v>
      </c>
      <c r="V13" s="18" t="s">
        <v>69</v>
      </c>
      <c r="W13" t="str">
        <f t="shared" si="0"/>
        <v>Blacklisted</v>
      </c>
      <c r="X13" s="27" t="str">
        <f t="shared" si="1"/>
        <v>Kavya Nair</v>
      </c>
      <c r="Y13" s="29" t="str">
        <f t="shared" si="2"/>
        <v>Kav00IDAh</v>
      </c>
      <c r="Z13" s="30" t="str">
        <f t="shared" si="3"/>
        <v>kavya.nair@company.com</v>
      </c>
    </row>
    <row r="14" spans="1:26">
      <c r="A14" s="15" t="s">
        <v>140</v>
      </c>
      <c r="B14" s="15" t="s">
        <v>100</v>
      </c>
      <c r="C14" s="15" t="s">
        <v>24</v>
      </c>
      <c r="D14" s="15" t="s">
        <v>141</v>
      </c>
      <c r="E14" s="15" t="s">
        <v>142</v>
      </c>
      <c r="F14" s="15" t="s">
        <v>103</v>
      </c>
      <c r="G14" s="15" t="s">
        <v>28</v>
      </c>
      <c r="H14" s="15" t="s">
        <v>143</v>
      </c>
      <c r="I14" s="15" t="s">
        <v>114</v>
      </c>
      <c r="J14" s="15" t="s">
        <v>106</v>
      </c>
      <c r="K14" s="15" t="s">
        <v>32</v>
      </c>
      <c r="L14" s="15" t="s">
        <v>33</v>
      </c>
      <c r="M14" s="15">
        <v>15</v>
      </c>
      <c r="N14" s="15">
        <v>2200</v>
      </c>
      <c r="O14" s="15">
        <v>10</v>
      </c>
      <c r="P14" s="15">
        <v>29700</v>
      </c>
      <c r="Q14" s="15">
        <v>1</v>
      </c>
      <c r="R14" s="15" t="s">
        <v>88</v>
      </c>
      <c r="S14" s="15" t="s">
        <v>115</v>
      </c>
      <c r="T14" s="15" t="s">
        <v>144</v>
      </c>
      <c r="U14" s="17" t="s">
        <v>145</v>
      </c>
      <c r="V14" s="15" t="s">
        <v>64</v>
      </c>
      <c r="W14" t="str">
        <f t="shared" si="0"/>
        <v>Blacklisted</v>
      </c>
      <c r="X14" s="27" t="str">
        <f t="shared" si="1"/>
        <v>Priya Patel</v>
      </c>
      <c r="Y14" s="29" t="str">
        <f t="shared" si="2"/>
        <v>Pri00IDPu</v>
      </c>
      <c r="Z14" s="30" t="str">
        <f t="shared" si="3"/>
        <v>priya.patel@company.com</v>
      </c>
    </row>
    <row r="15" spans="1:26">
      <c r="A15" s="18" t="s">
        <v>146</v>
      </c>
      <c r="B15" s="18" t="s">
        <v>127</v>
      </c>
      <c r="C15" s="18" t="s">
        <v>24</v>
      </c>
      <c r="D15" s="18" t="s">
        <v>147</v>
      </c>
      <c r="E15" s="18" t="s">
        <v>148</v>
      </c>
      <c r="F15" s="18" t="s">
        <v>149</v>
      </c>
      <c r="G15" s="18" t="s">
        <v>76</v>
      </c>
      <c r="H15" s="18" t="s">
        <v>150</v>
      </c>
      <c r="I15" s="18" t="s">
        <v>105</v>
      </c>
      <c r="J15" s="18" t="s">
        <v>106</v>
      </c>
      <c r="K15" s="18" t="s">
        <v>32</v>
      </c>
      <c r="L15" s="18" t="s">
        <v>33</v>
      </c>
      <c r="M15" s="18">
        <v>17</v>
      </c>
      <c r="N15" s="18">
        <v>2200</v>
      </c>
      <c r="O15" s="18">
        <v>5</v>
      </c>
      <c r="P15" s="18">
        <v>35530</v>
      </c>
      <c r="Q15" s="18">
        <v>1</v>
      </c>
      <c r="R15" s="18" t="s">
        <v>34</v>
      </c>
      <c r="S15" s="18" t="s">
        <v>151</v>
      </c>
      <c r="T15" s="20" t="s">
        <v>152</v>
      </c>
      <c r="U15" s="19" t="s">
        <v>153</v>
      </c>
      <c r="V15" s="18" t="s">
        <v>38</v>
      </c>
      <c r="W15" t="str">
        <f t="shared" si="0"/>
        <v>Blacklisted</v>
      </c>
      <c r="X15" s="27" t="str">
        <f t="shared" si="1"/>
        <v>Rohit Singh</v>
      </c>
      <c r="Y15" s="29" t="str">
        <f t="shared" si="2"/>
        <v>Roh00IDMu</v>
      </c>
      <c r="Z15" s="30" t="str">
        <f t="shared" si="3"/>
        <v>rohit.singh@company.com</v>
      </c>
    </row>
    <row r="16" spans="1:26">
      <c r="A16" s="15" t="s">
        <v>154</v>
      </c>
      <c r="B16" s="15" t="s">
        <v>23</v>
      </c>
      <c r="C16" s="15" t="s">
        <v>92</v>
      </c>
      <c r="D16" s="15" t="s">
        <v>155</v>
      </c>
      <c r="E16" s="15" t="s">
        <v>156</v>
      </c>
      <c r="F16" s="15" t="s">
        <v>157</v>
      </c>
      <c r="G16" s="15" t="s">
        <v>28</v>
      </c>
      <c r="H16" s="15" t="s">
        <v>158</v>
      </c>
      <c r="I16" s="15" t="s">
        <v>105</v>
      </c>
      <c r="J16" s="15" t="s">
        <v>106</v>
      </c>
      <c r="K16" s="15" t="s">
        <v>32</v>
      </c>
      <c r="L16" s="15" t="s">
        <v>97</v>
      </c>
      <c r="M16" s="15">
        <v>15</v>
      </c>
      <c r="N16" s="15">
        <v>3500</v>
      </c>
      <c r="O16" s="15">
        <v>15</v>
      </c>
      <c r="P16" s="15">
        <v>44625</v>
      </c>
      <c r="Q16" s="15">
        <v>2</v>
      </c>
      <c r="R16" s="15" t="s">
        <v>34</v>
      </c>
      <c r="S16" s="15" t="s">
        <v>115</v>
      </c>
      <c r="T16" s="16" t="s">
        <v>50</v>
      </c>
      <c r="U16" s="17" t="s">
        <v>159</v>
      </c>
      <c r="V16" s="15" t="s">
        <v>69</v>
      </c>
      <c r="W16" t="str">
        <f t="shared" si="0"/>
        <v>Blacklisted</v>
      </c>
      <c r="X16" s="27" t="str">
        <f t="shared" si="1"/>
        <v>Kavya Nair</v>
      </c>
      <c r="Y16" s="29" t="str">
        <f t="shared" si="2"/>
        <v>Kav00IDMu</v>
      </c>
      <c r="Z16" s="30" t="str">
        <f t="shared" si="3"/>
        <v>kavya.nair@company.com</v>
      </c>
    </row>
    <row r="17" spans="1:26">
      <c r="A17" s="18" t="s">
        <v>160</v>
      </c>
      <c r="B17" s="18" t="s">
        <v>53</v>
      </c>
      <c r="C17" s="18" t="s">
        <v>72</v>
      </c>
      <c r="D17" s="18" t="s">
        <v>161</v>
      </c>
      <c r="E17" s="18" t="s">
        <v>162</v>
      </c>
      <c r="F17" s="18" t="s">
        <v>163</v>
      </c>
      <c r="G17" s="18" t="s">
        <v>28</v>
      </c>
      <c r="H17" s="18" t="s">
        <v>164</v>
      </c>
      <c r="I17" s="18" t="s">
        <v>30</v>
      </c>
      <c r="J17" s="18" t="s">
        <v>31</v>
      </c>
      <c r="K17" s="18" t="s">
        <v>46</v>
      </c>
      <c r="L17" s="18" t="s">
        <v>78</v>
      </c>
      <c r="M17" s="18">
        <v>3</v>
      </c>
      <c r="N17" s="18">
        <v>1200</v>
      </c>
      <c r="O17" s="18">
        <v>5</v>
      </c>
      <c r="P17" s="18">
        <v>3420</v>
      </c>
      <c r="Q17" s="18">
        <v>5</v>
      </c>
      <c r="R17" s="18" t="s">
        <v>88</v>
      </c>
      <c r="S17" s="18" t="s">
        <v>35</v>
      </c>
      <c r="T17" s="18" t="s">
        <v>165</v>
      </c>
      <c r="U17" s="19" t="s">
        <v>166</v>
      </c>
      <c r="V17" s="18" t="s">
        <v>38</v>
      </c>
      <c r="W17" t="str">
        <f t="shared" si="0"/>
        <v>Silver</v>
      </c>
      <c r="X17" s="27" t="str">
        <f t="shared" si="1"/>
        <v>Pooja Shah</v>
      </c>
      <c r="Y17" s="29" t="str">
        <f t="shared" si="2"/>
        <v>Poo01IDHy</v>
      </c>
      <c r="Z17" s="30" t="str">
        <f t="shared" si="3"/>
        <v>Invalid Email</v>
      </c>
    </row>
    <row r="18" spans="1:26">
      <c r="A18" s="15" t="s">
        <v>167</v>
      </c>
      <c r="B18" s="15" t="s">
        <v>168</v>
      </c>
      <c r="C18" s="15" t="s">
        <v>169</v>
      </c>
      <c r="D18" s="15" t="s">
        <v>170</v>
      </c>
      <c r="E18" s="15" t="s">
        <v>171</v>
      </c>
      <c r="F18" s="15" t="s">
        <v>172</v>
      </c>
      <c r="G18" s="15" t="s">
        <v>28</v>
      </c>
      <c r="H18" s="15" t="s">
        <v>173</v>
      </c>
      <c r="I18" s="15" t="s">
        <v>114</v>
      </c>
      <c r="J18" s="15" t="s">
        <v>106</v>
      </c>
      <c r="K18" s="15" t="s">
        <v>32</v>
      </c>
      <c r="L18" s="15" t="s">
        <v>174</v>
      </c>
      <c r="M18" s="15">
        <v>13</v>
      </c>
      <c r="N18" s="15">
        <v>8500</v>
      </c>
      <c r="O18" s="15">
        <v>20</v>
      </c>
      <c r="P18" s="15">
        <v>88400</v>
      </c>
      <c r="Q18" s="15">
        <v>4</v>
      </c>
      <c r="R18" s="15" t="s">
        <v>79</v>
      </c>
      <c r="S18" s="15" t="s">
        <v>49</v>
      </c>
      <c r="T18" s="15" t="s">
        <v>175</v>
      </c>
      <c r="U18" s="17" t="s">
        <v>176</v>
      </c>
      <c r="V18" s="15" t="s">
        <v>64</v>
      </c>
      <c r="W18" t="str">
        <f t="shared" si="0"/>
        <v>Blacklisted</v>
      </c>
      <c r="X18" s="27" t="str">
        <f t="shared" si="1"/>
        <v>Amit Sharma</v>
      </c>
      <c r="Y18" s="29" t="str">
        <f t="shared" si="2"/>
        <v>Ami00IDPu</v>
      </c>
      <c r="Z18" s="30" t="str">
        <f t="shared" si="3"/>
        <v>anita.gupta@company.com</v>
      </c>
    </row>
    <row r="19" spans="1:26">
      <c r="A19" s="18" t="s">
        <v>177</v>
      </c>
      <c r="B19" s="18" t="s">
        <v>83</v>
      </c>
      <c r="C19" s="18" t="s">
        <v>169</v>
      </c>
      <c r="D19" s="18" t="s">
        <v>178</v>
      </c>
      <c r="E19" s="18" t="s">
        <v>179</v>
      </c>
      <c r="F19" s="18" t="s">
        <v>180</v>
      </c>
      <c r="G19" s="18" t="s">
        <v>76</v>
      </c>
      <c r="H19" s="18" t="s">
        <v>181</v>
      </c>
      <c r="I19" s="18" t="s">
        <v>138</v>
      </c>
      <c r="J19" s="18" t="s">
        <v>106</v>
      </c>
      <c r="K19" s="18" t="s">
        <v>32</v>
      </c>
      <c r="L19" s="18" t="s">
        <v>174</v>
      </c>
      <c r="M19" s="18">
        <v>4</v>
      </c>
      <c r="N19" s="18">
        <v>8500</v>
      </c>
      <c r="O19" s="18">
        <v>20</v>
      </c>
      <c r="P19" s="18">
        <v>27200</v>
      </c>
      <c r="Q19" s="18">
        <v>5</v>
      </c>
      <c r="R19" s="18" t="s">
        <v>79</v>
      </c>
      <c r="S19" s="18" t="s">
        <v>61</v>
      </c>
      <c r="T19" s="18" t="s">
        <v>89</v>
      </c>
      <c r="U19" s="19" t="s">
        <v>182</v>
      </c>
      <c r="V19" s="18" t="s">
        <v>64</v>
      </c>
      <c r="W19" t="str">
        <f t="shared" si="0"/>
        <v>Blacklisted</v>
      </c>
      <c r="X19" s="27" t="str">
        <f t="shared" si="1"/>
        <v>Arjun Rao</v>
      </c>
      <c r="Y19" s="29" t="str">
        <f t="shared" si="2"/>
        <v>Arj00IDAh</v>
      </c>
      <c r="Z19" s="30" t="str">
        <f t="shared" si="3"/>
        <v>arjun.rao@company.com</v>
      </c>
    </row>
    <row r="20" spans="1:26">
      <c r="A20" s="15" t="s">
        <v>183</v>
      </c>
      <c r="B20" s="15" t="s">
        <v>83</v>
      </c>
      <c r="C20" s="15" t="s">
        <v>184</v>
      </c>
      <c r="D20" s="15" t="s">
        <v>185</v>
      </c>
      <c r="E20" s="15" t="s">
        <v>186</v>
      </c>
      <c r="F20" s="15" t="s">
        <v>187</v>
      </c>
      <c r="G20" s="15" t="s">
        <v>76</v>
      </c>
      <c r="H20" s="15" t="s">
        <v>188</v>
      </c>
      <c r="I20" s="15" t="s">
        <v>105</v>
      </c>
      <c r="J20" s="15" t="s">
        <v>106</v>
      </c>
      <c r="K20" s="15" t="s">
        <v>46</v>
      </c>
      <c r="L20" s="15" t="s">
        <v>189</v>
      </c>
      <c r="M20" s="15">
        <v>9</v>
      </c>
      <c r="N20" s="15">
        <v>700</v>
      </c>
      <c r="O20" s="15">
        <v>5</v>
      </c>
      <c r="P20" s="15">
        <v>5985</v>
      </c>
      <c r="Q20" s="15">
        <v>3</v>
      </c>
      <c r="R20" s="15" t="s">
        <v>88</v>
      </c>
      <c r="S20" s="15" t="s">
        <v>35</v>
      </c>
      <c r="T20" s="16" t="s">
        <v>190</v>
      </c>
      <c r="U20" s="17" t="s">
        <v>191</v>
      </c>
      <c r="V20" s="15" t="s">
        <v>64</v>
      </c>
      <c r="W20" t="str">
        <f t="shared" si="0"/>
        <v>Blacklisted</v>
      </c>
      <c r="X20" s="27" t="str">
        <f t="shared" si="1"/>
        <v>Arjun Rao</v>
      </c>
      <c r="Y20" s="29" t="str">
        <f t="shared" si="2"/>
        <v>Arj00IDMu</v>
      </c>
      <c r="Z20" s="30" t="str">
        <f t="shared" si="3"/>
        <v>arjun.rao@company.com</v>
      </c>
    </row>
    <row r="21" spans="1:26">
      <c r="A21" s="18" t="s">
        <v>192</v>
      </c>
      <c r="B21" s="18" t="s">
        <v>23</v>
      </c>
      <c r="C21" s="18" t="s">
        <v>54</v>
      </c>
      <c r="D21" s="18" t="s">
        <v>193</v>
      </c>
      <c r="E21" s="18" t="s">
        <v>194</v>
      </c>
      <c r="F21" s="18" t="s">
        <v>27</v>
      </c>
      <c r="G21" s="18" t="s">
        <v>28</v>
      </c>
      <c r="H21" s="18" t="s">
        <v>195</v>
      </c>
      <c r="I21" s="18" t="s">
        <v>138</v>
      </c>
      <c r="J21" s="18" t="s">
        <v>106</v>
      </c>
      <c r="K21" s="18" t="s">
        <v>46</v>
      </c>
      <c r="L21" s="18" t="s">
        <v>60</v>
      </c>
      <c r="M21" s="18">
        <v>8</v>
      </c>
      <c r="N21" s="18">
        <v>55000</v>
      </c>
      <c r="O21" s="18">
        <v>20</v>
      </c>
      <c r="P21" s="18">
        <v>352000</v>
      </c>
      <c r="Q21" s="18">
        <v>1</v>
      </c>
      <c r="R21" s="18" t="s">
        <v>34</v>
      </c>
      <c r="S21" s="18" t="s">
        <v>151</v>
      </c>
      <c r="T21" s="18" t="s">
        <v>50</v>
      </c>
      <c r="U21" s="19" t="s">
        <v>196</v>
      </c>
      <c r="V21" s="18" t="s">
        <v>38</v>
      </c>
      <c r="W21" t="str">
        <f t="shared" si="0"/>
        <v>Blacklisted</v>
      </c>
      <c r="X21" s="27" t="str">
        <f t="shared" si="1"/>
        <v>Kavya Nair</v>
      </c>
      <c r="Y21" s="29" t="str">
        <f t="shared" si="2"/>
        <v>Kav00IDAh</v>
      </c>
      <c r="Z21" s="30" t="str">
        <f t="shared" si="3"/>
        <v>kavya.nair@company.com</v>
      </c>
    </row>
    <row r="22" spans="1:26">
      <c r="A22" s="15" t="s">
        <v>197</v>
      </c>
      <c r="B22" s="15" t="s">
        <v>127</v>
      </c>
      <c r="C22" s="15" t="s">
        <v>184</v>
      </c>
      <c r="D22" s="15" t="s">
        <v>198</v>
      </c>
      <c r="E22" s="15" t="s">
        <v>199</v>
      </c>
      <c r="F22" s="15" t="s">
        <v>200</v>
      </c>
      <c r="G22" s="15" t="s">
        <v>76</v>
      </c>
      <c r="H22" s="15" t="s">
        <v>201</v>
      </c>
      <c r="I22" s="15" t="s">
        <v>44</v>
      </c>
      <c r="J22" s="15" t="s">
        <v>45</v>
      </c>
      <c r="K22" s="15" t="s">
        <v>202</v>
      </c>
      <c r="L22" s="15" t="s">
        <v>189</v>
      </c>
      <c r="M22" s="15">
        <v>10</v>
      </c>
      <c r="N22" s="15">
        <v>700</v>
      </c>
      <c r="O22" s="15">
        <v>20</v>
      </c>
      <c r="P22" s="15">
        <v>5600</v>
      </c>
      <c r="Q22" s="15">
        <v>4</v>
      </c>
      <c r="R22" s="15" t="s">
        <v>79</v>
      </c>
      <c r="S22" s="15" t="s">
        <v>61</v>
      </c>
      <c r="T22" s="15" t="s">
        <v>132</v>
      </c>
      <c r="U22" s="17" t="s">
        <v>203</v>
      </c>
      <c r="V22" s="15" t="s">
        <v>69</v>
      </c>
      <c r="W22" t="str">
        <f t="shared" si="0"/>
        <v>Blacklisted</v>
      </c>
      <c r="X22" s="27" t="str">
        <f t="shared" si="1"/>
        <v>Rohit Singh</v>
      </c>
      <c r="Y22" s="29" t="str">
        <f t="shared" si="2"/>
        <v>Roh00IDDe</v>
      </c>
      <c r="Z22" s="30" t="str">
        <f t="shared" si="3"/>
        <v>rohit.singh@company.com</v>
      </c>
    </row>
    <row r="23" spans="1:26">
      <c r="A23" s="18" t="s">
        <v>204</v>
      </c>
      <c r="B23" s="18" t="s">
        <v>23</v>
      </c>
      <c r="C23" s="18" t="s">
        <v>92</v>
      </c>
      <c r="D23" s="18" t="s">
        <v>205</v>
      </c>
      <c r="E23" s="18" t="s">
        <v>206</v>
      </c>
      <c r="F23" s="18" t="s">
        <v>112</v>
      </c>
      <c r="G23" s="18" t="s">
        <v>28</v>
      </c>
      <c r="H23" s="18" t="s">
        <v>207</v>
      </c>
      <c r="I23" s="18" t="s">
        <v>59</v>
      </c>
      <c r="J23" s="18" t="s">
        <v>31</v>
      </c>
      <c r="K23" s="18" t="s">
        <v>32</v>
      </c>
      <c r="L23" s="18" t="s">
        <v>97</v>
      </c>
      <c r="M23" s="18">
        <v>1</v>
      </c>
      <c r="N23" s="18">
        <v>3500</v>
      </c>
      <c r="O23" s="18">
        <v>5</v>
      </c>
      <c r="P23" s="18">
        <v>3325</v>
      </c>
      <c r="Q23" s="18">
        <v>3</v>
      </c>
      <c r="R23" s="18" t="s">
        <v>88</v>
      </c>
      <c r="S23" s="18" t="s">
        <v>115</v>
      </c>
      <c r="T23" s="18" t="s">
        <v>50</v>
      </c>
      <c r="U23" s="19" t="s">
        <v>208</v>
      </c>
      <c r="V23" s="18" t="s">
        <v>69</v>
      </c>
      <c r="W23" t="str">
        <f t="shared" si="0"/>
        <v>Blacklisted</v>
      </c>
      <c r="X23" s="27" t="str">
        <f t="shared" si="1"/>
        <v>Kavya Nair</v>
      </c>
      <c r="Y23" s="29" t="str">
        <f t="shared" si="2"/>
        <v>Kav00IDBe</v>
      </c>
      <c r="Z23" s="30" t="str">
        <f t="shared" si="3"/>
        <v>kavya.nair@company.com</v>
      </c>
    </row>
    <row r="24" spans="1:26">
      <c r="A24" s="15" t="s">
        <v>209</v>
      </c>
      <c r="B24" s="15" t="s">
        <v>100</v>
      </c>
      <c r="C24" s="15" t="s">
        <v>184</v>
      </c>
      <c r="D24" s="15" t="s">
        <v>102</v>
      </c>
      <c r="E24" s="15" t="s">
        <v>210</v>
      </c>
      <c r="F24" s="15" t="s">
        <v>103</v>
      </c>
      <c r="G24" s="15" t="s">
        <v>28</v>
      </c>
      <c r="H24" s="15" t="s">
        <v>211</v>
      </c>
      <c r="I24" s="15" t="s">
        <v>212</v>
      </c>
      <c r="J24" s="15" t="s">
        <v>45</v>
      </c>
      <c r="K24" s="15" t="s">
        <v>46</v>
      </c>
      <c r="L24" s="15" t="s">
        <v>189</v>
      </c>
      <c r="M24" s="15">
        <v>19</v>
      </c>
      <c r="N24" s="15">
        <v>700</v>
      </c>
      <c r="O24" s="15">
        <v>15</v>
      </c>
      <c r="P24" s="15">
        <v>11305</v>
      </c>
      <c r="Q24" s="15">
        <v>3</v>
      </c>
      <c r="R24" s="15" t="s">
        <v>48</v>
      </c>
      <c r="S24" s="15" t="s">
        <v>151</v>
      </c>
      <c r="T24" s="15" t="s">
        <v>144</v>
      </c>
      <c r="U24" s="17" t="s">
        <v>213</v>
      </c>
      <c r="V24" s="15" t="s">
        <v>64</v>
      </c>
      <c r="W24" t="str">
        <f t="shared" si="0"/>
        <v>Blacklisted</v>
      </c>
      <c r="X24" s="27" t="str">
        <f t="shared" si="1"/>
        <v>Priya Patel</v>
      </c>
      <c r="Y24" s="29" t="str">
        <f t="shared" si="2"/>
        <v>Pri00IDJa</v>
      </c>
      <c r="Z24" s="30" t="str">
        <f t="shared" si="3"/>
        <v>priya.patel@company.com</v>
      </c>
    </row>
    <row r="25" spans="1:26">
      <c r="A25" s="18" t="s">
        <v>214</v>
      </c>
      <c r="B25" s="18" t="s">
        <v>71</v>
      </c>
      <c r="C25" s="18" t="s">
        <v>54</v>
      </c>
      <c r="D25" s="18" t="s">
        <v>215</v>
      </c>
      <c r="E25" s="18" t="s">
        <v>216</v>
      </c>
      <c r="F25" s="18" t="s">
        <v>217</v>
      </c>
      <c r="G25" s="18" t="s">
        <v>76</v>
      </c>
      <c r="H25" s="18" t="s">
        <v>218</v>
      </c>
      <c r="I25" s="18" t="s">
        <v>59</v>
      </c>
      <c r="J25" s="18" t="s">
        <v>31</v>
      </c>
      <c r="K25" s="18" t="s">
        <v>46</v>
      </c>
      <c r="L25" s="18" t="s">
        <v>60</v>
      </c>
      <c r="M25" s="18">
        <v>12</v>
      </c>
      <c r="N25" s="18">
        <v>55000</v>
      </c>
      <c r="O25" s="18">
        <v>0</v>
      </c>
      <c r="P25" s="18">
        <v>660000</v>
      </c>
      <c r="Q25" s="18">
        <v>1</v>
      </c>
      <c r="R25" s="18" t="s">
        <v>79</v>
      </c>
      <c r="S25" s="18" t="s">
        <v>49</v>
      </c>
      <c r="T25" s="18" t="s">
        <v>80</v>
      </c>
      <c r="U25" s="19" t="s">
        <v>219</v>
      </c>
      <c r="V25" s="18" t="s">
        <v>64</v>
      </c>
      <c r="W25" t="str">
        <f t="shared" si="0"/>
        <v>Blacklisted</v>
      </c>
      <c r="X25" s="27" t="str">
        <f t="shared" si="1"/>
        <v>Mohit Verma</v>
      </c>
      <c r="Y25" s="29" t="str">
        <f t="shared" si="2"/>
        <v>Moh00IDBe</v>
      </c>
      <c r="Z25" s="30" t="str">
        <f t="shared" si="3"/>
        <v>mohit.verma@company.com</v>
      </c>
    </row>
    <row r="26" spans="1:26">
      <c r="A26" s="15" t="s">
        <v>220</v>
      </c>
      <c r="B26" s="15" t="s">
        <v>221</v>
      </c>
      <c r="C26" s="15" t="s">
        <v>222</v>
      </c>
      <c r="D26" s="15" t="s">
        <v>223</v>
      </c>
      <c r="E26" s="15" t="s">
        <v>224</v>
      </c>
      <c r="F26" s="15" t="s">
        <v>225</v>
      </c>
      <c r="G26" s="15" t="s">
        <v>76</v>
      </c>
      <c r="H26" s="15" t="s">
        <v>226</v>
      </c>
      <c r="I26" s="15" t="s">
        <v>105</v>
      </c>
      <c r="J26" s="15" t="s">
        <v>106</v>
      </c>
      <c r="K26" s="15" t="s">
        <v>122</v>
      </c>
      <c r="L26" s="15" t="s">
        <v>227</v>
      </c>
      <c r="M26" s="15">
        <v>1</v>
      </c>
      <c r="N26" s="15">
        <v>20</v>
      </c>
      <c r="O26" s="15">
        <v>5</v>
      </c>
      <c r="P26" s="15">
        <v>19</v>
      </c>
      <c r="Q26" s="15">
        <v>5</v>
      </c>
      <c r="R26" s="15" t="s">
        <v>79</v>
      </c>
      <c r="S26" s="15" t="s">
        <v>35</v>
      </c>
      <c r="T26" s="15" t="s">
        <v>228</v>
      </c>
      <c r="U26" s="17" t="s">
        <v>229</v>
      </c>
      <c r="V26" s="15" t="s">
        <v>69</v>
      </c>
      <c r="W26" t="str">
        <f t="shared" si="0"/>
        <v>Blacklisted</v>
      </c>
      <c r="X26" s="27" t="str">
        <f t="shared" si="1"/>
        <v>Vikas Mehta</v>
      </c>
      <c r="Y26" s="29" t="str">
        <f t="shared" si="2"/>
        <v>Vik00IDMu</v>
      </c>
      <c r="Z26" s="30" t="str">
        <f t="shared" si="3"/>
        <v>vikas.mehta@company.com</v>
      </c>
    </row>
    <row r="27" spans="1:26">
      <c r="A27" s="18" t="s">
        <v>230</v>
      </c>
      <c r="B27" s="18" t="s">
        <v>83</v>
      </c>
      <c r="C27" s="18" t="s">
        <v>222</v>
      </c>
      <c r="D27" s="18" t="s">
        <v>231</v>
      </c>
      <c r="E27" s="18" t="s">
        <v>232</v>
      </c>
      <c r="F27" s="18" t="s">
        <v>180</v>
      </c>
      <c r="G27" s="18" t="s">
        <v>76</v>
      </c>
      <c r="H27" s="18" t="s">
        <v>233</v>
      </c>
      <c r="I27" s="18" t="s">
        <v>105</v>
      </c>
      <c r="J27" s="18" t="s">
        <v>106</v>
      </c>
      <c r="K27" s="18" t="s">
        <v>122</v>
      </c>
      <c r="L27" s="18" t="s">
        <v>227</v>
      </c>
      <c r="M27" s="18">
        <v>2</v>
      </c>
      <c r="N27" s="18">
        <v>20</v>
      </c>
      <c r="O27" s="18">
        <v>15</v>
      </c>
      <c r="P27" s="18">
        <v>34</v>
      </c>
      <c r="Q27" s="18">
        <v>1</v>
      </c>
      <c r="R27" s="18" t="s">
        <v>88</v>
      </c>
      <c r="S27" s="18" t="s">
        <v>35</v>
      </c>
      <c r="T27" s="18" t="s">
        <v>89</v>
      </c>
      <c r="U27" s="19" t="s">
        <v>234</v>
      </c>
      <c r="V27" s="18" t="s">
        <v>64</v>
      </c>
      <c r="W27" t="str">
        <f t="shared" si="0"/>
        <v>Blacklisted</v>
      </c>
      <c r="X27" s="27" t="str">
        <f t="shared" si="1"/>
        <v>Arjun Rao</v>
      </c>
      <c r="Y27" s="29" t="str">
        <f t="shared" si="2"/>
        <v>Arj00IDMu</v>
      </c>
      <c r="Z27" s="30" t="str">
        <f t="shared" si="3"/>
        <v>arjun.rao@company.com</v>
      </c>
    </row>
    <row r="28" spans="1:26">
      <c r="A28" s="15" t="s">
        <v>235</v>
      </c>
      <c r="B28" s="15" t="s">
        <v>71</v>
      </c>
      <c r="C28" s="15" t="s">
        <v>92</v>
      </c>
      <c r="D28" s="15" t="s">
        <v>236</v>
      </c>
      <c r="E28" s="15" t="s">
        <v>237</v>
      </c>
      <c r="F28" s="15" t="s">
        <v>217</v>
      </c>
      <c r="G28" s="15" t="s">
        <v>76</v>
      </c>
      <c r="H28" s="15" t="s">
        <v>238</v>
      </c>
      <c r="I28" s="15" t="s">
        <v>138</v>
      </c>
      <c r="J28" s="15" t="s">
        <v>106</v>
      </c>
      <c r="K28" s="15" t="s">
        <v>32</v>
      </c>
      <c r="L28" s="15" t="s">
        <v>97</v>
      </c>
      <c r="M28" s="15">
        <v>12</v>
      </c>
      <c r="N28" s="15">
        <v>3500</v>
      </c>
      <c r="O28" s="15">
        <v>15</v>
      </c>
      <c r="P28" s="15">
        <v>35700</v>
      </c>
      <c r="Q28" s="15">
        <v>4</v>
      </c>
      <c r="R28" s="15" t="s">
        <v>34</v>
      </c>
      <c r="S28" s="15" t="s">
        <v>49</v>
      </c>
      <c r="T28" s="15" t="s">
        <v>80</v>
      </c>
      <c r="U28" s="17" t="s">
        <v>239</v>
      </c>
      <c r="V28" s="15" t="s">
        <v>69</v>
      </c>
      <c r="W28" t="str">
        <f t="shared" si="0"/>
        <v>Blacklisted</v>
      </c>
      <c r="X28" s="27" t="str">
        <f t="shared" si="1"/>
        <v>Mohit Verma</v>
      </c>
      <c r="Y28" s="29" t="str">
        <f t="shared" si="2"/>
        <v>Moh00IDAh</v>
      </c>
      <c r="Z28" s="30" t="str">
        <f t="shared" si="3"/>
        <v>mohit.verma@company.com</v>
      </c>
    </row>
    <row r="29" spans="1:26">
      <c r="A29" s="18" t="s">
        <v>240</v>
      </c>
      <c r="B29" s="18" t="s">
        <v>23</v>
      </c>
      <c r="C29" s="18" t="s">
        <v>72</v>
      </c>
      <c r="D29" s="18" t="s">
        <v>241</v>
      </c>
      <c r="E29" s="18" t="s">
        <v>242</v>
      </c>
      <c r="F29" s="18" t="s">
        <v>27</v>
      </c>
      <c r="G29" s="18" t="s">
        <v>28</v>
      </c>
      <c r="H29" s="18" t="s">
        <v>243</v>
      </c>
      <c r="I29" s="18" t="s">
        <v>138</v>
      </c>
      <c r="J29" s="18" t="s">
        <v>106</v>
      </c>
      <c r="K29" s="18" t="s">
        <v>46</v>
      </c>
      <c r="L29" s="18" t="s">
        <v>78</v>
      </c>
      <c r="M29" s="18">
        <v>11</v>
      </c>
      <c r="N29" s="18">
        <v>1200</v>
      </c>
      <c r="O29" s="18">
        <v>0</v>
      </c>
      <c r="P29" s="18">
        <v>13200</v>
      </c>
      <c r="Q29" s="18">
        <v>2</v>
      </c>
      <c r="R29" s="18" t="s">
        <v>88</v>
      </c>
      <c r="S29" s="18" t="s">
        <v>151</v>
      </c>
      <c r="T29" s="18" t="s">
        <v>50</v>
      </c>
      <c r="U29" s="19" t="s">
        <v>244</v>
      </c>
      <c r="V29" s="18" t="s">
        <v>38</v>
      </c>
      <c r="W29" t="str">
        <f t="shared" si="0"/>
        <v>Blacklisted</v>
      </c>
      <c r="X29" s="27" t="str">
        <f t="shared" si="1"/>
        <v>Kavya Nair</v>
      </c>
      <c r="Y29" s="29" t="str">
        <f t="shared" si="2"/>
        <v>Kav00IDAh</v>
      </c>
      <c r="Z29" s="30" t="str">
        <f t="shared" si="3"/>
        <v>kavya.nair@company.com</v>
      </c>
    </row>
    <row r="30" spans="1:26">
      <c r="A30" s="15" t="s">
        <v>245</v>
      </c>
      <c r="B30" s="15" t="s">
        <v>127</v>
      </c>
      <c r="C30" s="15" t="s">
        <v>169</v>
      </c>
      <c r="D30" s="15" t="s">
        <v>246</v>
      </c>
      <c r="E30" s="15" t="s">
        <v>247</v>
      </c>
      <c r="F30" s="15" t="s">
        <v>200</v>
      </c>
      <c r="G30" s="15" t="s">
        <v>76</v>
      </c>
      <c r="H30" s="15" t="s">
        <v>248</v>
      </c>
      <c r="I30" s="15" t="s">
        <v>114</v>
      </c>
      <c r="J30" s="15" t="s">
        <v>106</v>
      </c>
      <c r="K30" s="15" t="s">
        <v>32</v>
      </c>
      <c r="L30" s="15" t="s">
        <v>174</v>
      </c>
      <c r="M30" s="15">
        <v>6</v>
      </c>
      <c r="N30" s="15">
        <v>8500</v>
      </c>
      <c r="O30" s="15">
        <v>65</v>
      </c>
      <c r="P30" s="15">
        <v>51000</v>
      </c>
      <c r="Q30" s="15">
        <v>1</v>
      </c>
      <c r="R30" s="15" t="s">
        <v>79</v>
      </c>
      <c r="S30" s="15" t="s">
        <v>61</v>
      </c>
      <c r="T30" s="15" t="s">
        <v>132</v>
      </c>
      <c r="U30" s="17" t="s">
        <v>249</v>
      </c>
      <c r="V30" s="15" t="s">
        <v>38</v>
      </c>
      <c r="W30" t="str">
        <f t="shared" si="0"/>
        <v>Blacklisted</v>
      </c>
      <c r="X30" s="27" t="str">
        <f t="shared" si="1"/>
        <v>Rohit Singh</v>
      </c>
      <c r="Y30" s="29" t="str">
        <f t="shared" si="2"/>
        <v>Roh00IDPu</v>
      </c>
      <c r="Z30" s="30" t="str">
        <f t="shared" si="3"/>
        <v>rohit.singh@company.com</v>
      </c>
    </row>
    <row r="31" spans="1:26">
      <c r="A31" s="18" t="s">
        <v>250</v>
      </c>
      <c r="B31" s="18" t="s">
        <v>251</v>
      </c>
      <c r="C31" s="18" t="s">
        <v>118</v>
      </c>
      <c r="D31" s="18" t="s">
        <v>252</v>
      </c>
      <c r="E31" s="18" t="s">
        <v>253</v>
      </c>
      <c r="F31" s="18" t="s">
        <v>254</v>
      </c>
      <c r="G31" s="18" t="s">
        <v>28</v>
      </c>
      <c r="H31" s="18" t="s">
        <v>255</v>
      </c>
      <c r="I31" s="18" t="s">
        <v>114</v>
      </c>
      <c r="J31" s="18" t="s">
        <v>106</v>
      </c>
      <c r="K31" s="18" t="s">
        <v>122</v>
      </c>
      <c r="L31" s="18" t="s">
        <v>123</v>
      </c>
      <c r="M31" s="18">
        <v>2</v>
      </c>
      <c r="N31" s="18">
        <v>60</v>
      </c>
      <c r="O31" s="18">
        <v>5</v>
      </c>
      <c r="P31" s="18">
        <v>114</v>
      </c>
      <c r="Q31" s="18">
        <v>3</v>
      </c>
      <c r="R31" s="18" t="s">
        <v>34</v>
      </c>
      <c r="S31" s="18" t="s">
        <v>151</v>
      </c>
      <c r="T31" s="18" t="s">
        <v>256</v>
      </c>
      <c r="U31" s="19" t="s">
        <v>257</v>
      </c>
      <c r="V31" s="18" t="s">
        <v>69</v>
      </c>
      <c r="W31" t="str">
        <f t="shared" si="0"/>
        <v>Blacklisted</v>
      </c>
      <c r="X31" s="27" t="str">
        <f t="shared" si="1"/>
        <v>Sneha Joshi</v>
      </c>
      <c r="Y31" s="29" t="str">
        <f t="shared" si="2"/>
        <v>Sne00IDPu</v>
      </c>
      <c r="Z31" s="30" t="str">
        <f t="shared" si="3"/>
        <v>sneha.joshi@company.com</v>
      </c>
    </row>
    <row r="32" spans="1:26">
      <c r="A32" s="15" t="s">
        <v>258</v>
      </c>
      <c r="B32" s="15" t="s">
        <v>23</v>
      </c>
      <c r="C32" s="15" t="s">
        <v>259</v>
      </c>
      <c r="D32" s="15" t="s">
        <v>260</v>
      </c>
      <c r="E32" s="15" t="s">
        <v>261</v>
      </c>
      <c r="F32" s="15" t="s">
        <v>27</v>
      </c>
      <c r="G32" s="15" t="s">
        <v>28</v>
      </c>
      <c r="H32" s="15" t="s">
        <v>262</v>
      </c>
      <c r="I32" s="15" t="s">
        <v>59</v>
      </c>
      <c r="J32" s="15" t="s">
        <v>31</v>
      </c>
      <c r="K32" s="15" t="s">
        <v>122</v>
      </c>
      <c r="L32" s="15" t="s">
        <v>263</v>
      </c>
      <c r="M32" s="15">
        <v>19</v>
      </c>
      <c r="N32" s="15">
        <v>45</v>
      </c>
      <c r="O32" s="15">
        <v>20</v>
      </c>
      <c r="P32" s="15">
        <v>684</v>
      </c>
      <c r="Q32" s="15">
        <v>4</v>
      </c>
      <c r="R32" s="15" t="s">
        <v>48</v>
      </c>
      <c r="S32" s="15" t="s">
        <v>61</v>
      </c>
      <c r="T32" s="15" t="s">
        <v>50</v>
      </c>
      <c r="U32" s="17" t="s">
        <v>264</v>
      </c>
      <c r="V32" s="15" t="s">
        <v>69</v>
      </c>
      <c r="W32" t="str">
        <f t="shared" si="0"/>
        <v>Blacklisted</v>
      </c>
      <c r="X32" s="27" t="str">
        <f t="shared" si="1"/>
        <v>Kavya Nair</v>
      </c>
      <c r="Y32" s="29" t="str">
        <f t="shared" si="2"/>
        <v>Kav00IDBe</v>
      </c>
      <c r="Z32" s="30" t="str">
        <f t="shared" si="3"/>
        <v>kavya.nair@company.com</v>
      </c>
    </row>
    <row r="33" spans="1:26">
      <c r="A33" s="18" t="s">
        <v>265</v>
      </c>
      <c r="B33" s="18" t="s">
        <v>100</v>
      </c>
      <c r="C33" s="18" t="s">
        <v>40</v>
      </c>
      <c r="D33" s="18" t="s">
        <v>266</v>
      </c>
      <c r="E33" s="18" t="s">
        <v>267</v>
      </c>
      <c r="F33" s="18" t="s">
        <v>268</v>
      </c>
      <c r="G33" s="18" t="s">
        <v>28</v>
      </c>
      <c r="H33" s="18" t="s">
        <v>269</v>
      </c>
      <c r="I33" s="18" t="s">
        <v>138</v>
      </c>
      <c r="J33" s="18" t="s">
        <v>106</v>
      </c>
      <c r="K33" s="18" t="s">
        <v>46</v>
      </c>
      <c r="L33" s="18" t="s">
        <v>47</v>
      </c>
      <c r="M33" s="18">
        <v>11</v>
      </c>
      <c r="N33" s="18">
        <v>12000</v>
      </c>
      <c r="O33" s="18">
        <v>0</v>
      </c>
      <c r="P33" s="18">
        <v>132000</v>
      </c>
      <c r="Q33" s="18">
        <v>3</v>
      </c>
      <c r="R33" s="18" t="s">
        <v>88</v>
      </c>
      <c r="S33" s="18" t="s">
        <v>35</v>
      </c>
      <c r="T33" s="18" t="s">
        <v>144</v>
      </c>
      <c r="U33" s="19" t="s">
        <v>270</v>
      </c>
      <c r="V33" s="18" t="s">
        <v>64</v>
      </c>
      <c r="W33" t="str">
        <f t="shared" si="0"/>
        <v>Blacklisted</v>
      </c>
      <c r="X33" s="27" t="str">
        <f t="shared" si="1"/>
        <v>Priya Patel</v>
      </c>
      <c r="Y33" s="29" t="str">
        <f t="shared" si="2"/>
        <v>Pri00IDAh</v>
      </c>
      <c r="Z33" s="30" t="str">
        <f t="shared" si="3"/>
        <v>priya.patel@company.com</v>
      </c>
    </row>
    <row r="34" spans="1:26">
      <c r="A34" s="15" t="s">
        <v>271</v>
      </c>
      <c r="B34" s="15" t="s">
        <v>251</v>
      </c>
      <c r="C34" s="15" t="s">
        <v>24</v>
      </c>
      <c r="D34" s="15" t="s">
        <v>272</v>
      </c>
      <c r="E34" s="15" t="s">
        <v>136</v>
      </c>
      <c r="F34" s="15" t="s">
        <v>254</v>
      </c>
      <c r="G34" s="15" t="s">
        <v>28</v>
      </c>
      <c r="H34" s="15" t="s">
        <v>273</v>
      </c>
      <c r="I34" s="15" t="s">
        <v>59</v>
      </c>
      <c r="J34" s="15" t="s">
        <v>31</v>
      </c>
      <c r="K34" s="15" t="s">
        <v>32</v>
      </c>
      <c r="L34" s="15" t="s">
        <v>33</v>
      </c>
      <c r="M34" s="15">
        <v>20</v>
      </c>
      <c r="N34" s="15">
        <v>2200</v>
      </c>
      <c r="O34" s="15">
        <v>5</v>
      </c>
      <c r="P34" s="15">
        <v>41800</v>
      </c>
      <c r="Q34" s="15">
        <v>1</v>
      </c>
      <c r="R34" s="15" t="s">
        <v>34</v>
      </c>
      <c r="S34" s="15" t="s">
        <v>49</v>
      </c>
      <c r="T34" s="15" t="s">
        <v>256</v>
      </c>
      <c r="U34" s="17" t="s">
        <v>274</v>
      </c>
      <c r="V34" s="15" t="s">
        <v>64</v>
      </c>
      <c r="W34" t="str">
        <f t="shared" si="0"/>
        <v>Blacklisted</v>
      </c>
      <c r="X34" s="27" t="str">
        <f t="shared" si="1"/>
        <v>Sneha Joshi</v>
      </c>
      <c r="Y34" s="29" t="str">
        <f t="shared" si="2"/>
        <v>Sne00IDBe</v>
      </c>
      <c r="Z34" s="30" t="str">
        <f t="shared" si="3"/>
        <v>sneha.joshi@company.com</v>
      </c>
    </row>
    <row r="35" spans="1:26">
      <c r="A35" s="18" t="s">
        <v>275</v>
      </c>
      <c r="B35" s="18" t="s">
        <v>83</v>
      </c>
      <c r="C35" s="18" t="s">
        <v>222</v>
      </c>
      <c r="D35" s="18" t="s">
        <v>231</v>
      </c>
      <c r="E35" s="18" t="s">
        <v>276</v>
      </c>
      <c r="F35" s="18" t="s">
        <v>180</v>
      </c>
      <c r="G35" s="18" t="s">
        <v>76</v>
      </c>
      <c r="H35" s="18" t="s">
        <v>277</v>
      </c>
      <c r="I35" s="18" t="s">
        <v>138</v>
      </c>
      <c r="J35" s="18" t="s">
        <v>106</v>
      </c>
      <c r="K35" s="18" t="s">
        <v>122</v>
      </c>
      <c r="L35" s="18" t="s">
        <v>227</v>
      </c>
      <c r="M35" s="18">
        <v>3</v>
      </c>
      <c r="N35" s="18">
        <v>20</v>
      </c>
      <c r="O35" s="18">
        <v>0</v>
      </c>
      <c r="P35" s="18">
        <v>60</v>
      </c>
      <c r="Q35" s="18">
        <v>2</v>
      </c>
      <c r="R35" s="18" t="s">
        <v>79</v>
      </c>
      <c r="S35" s="18" t="s">
        <v>35</v>
      </c>
      <c r="T35" s="18" t="s">
        <v>278</v>
      </c>
      <c r="U35" s="19" t="s">
        <v>279</v>
      </c>
      <c r="V35" s="18" t="s">
        <v>69</v>
      </c>
      <c r="W35" t="str">
        <f t="shared" si="0"/>
        <v>Blacklisted</v>
      </c>
      <c r="X35" s="27" t="str">
        <f t="shared" si="1"/>
        <v>Arjun Rao</v>
      </c>
      <c r="Y35" s="29" t="str">
        <f t="shared" si="2"/>
        <v>Arj00IDAh</v>
      </c>
      <c r="Z35" s="30" t="str">
        <f t="shared" si="3"/>
        <v>Invalid Email</v>
      </c>
    </row>
    <row r="36" spans="1:26">
      <c r="A36" s="15" t="s">
        <v>280</v>
      </c>
      <c r="B36" s="15" t="s">
        <v>127</v>
      </c>
      <c r="C36" s="15" t="s">
        <v>259</v>
      </c>
      <c r="D36" s="15" t="s">
        <v>281</v>
      </c>
      <c r="E36" s="15" t="s">
        <v>282</v>
      </c>
      <c r="F36" s="15" t="s">
        <v>200</v>
      </c>
      <c r="G36" s="15" t="s">
        <v>76</v>
      </c>
      <c r="H36" s="15" t="s">
        <v>283</v>
      </c>
      <c r="I36" s="15" t="s">
        <v>114</v>
      </c>
      <c r="J36" s="15" t="s">
        <v>106</v>
      </c>
      <c r="K36" s="15" t="s">
        <v>122</v>
      </c>
      <c r="L36" s="15" t="s">
        <v>263</v>
      </c>
      <c r="M36" s="15">
        <v>18</v>
      </c>
      <c r="N36" s="15">
        <v>45</v>
      </c>
      <c r="O36" s="15">
        <v>20</v>
      </c>
      <c r="P36" s="15">
        <v>648</v>
      </c>
      <c r="Q36" s="15">
        <v>4</v>
      </c>
      <c r="R36" s="15" t="s">
        <v>48</v>
      </c>
      <c r="S36" s="15" t="s">
        <v>35</v>
      </c>
      <c r="T36" s="15" t="s">
        <v>132</v>
      </c>
      <c r="U36" s="17" t="s">
        <v>284</v>
      </c>
      <c r="V36" s="15" t="s">
        <v>69</v>
      </c>
      <c r="W36" t="str">
        <f t="shared" si="0"/>
        <v>Blacklisted</v>
      </c>
      <c r="X36" s="27" t="str">
        <f t="shared" si="1"/>
        <v>Rohit Singh</v>
      </c>
      <c r="Y36" s="29" t="str">
        <f t="shared" si="2"/>
        <v>Roh00IDPu</v>
      </c>
      <c r="Z36" s="30" t="str">
        <f t="shared" si="3"/>
        <v>rohit.singh@company.com</v>
      </c>
    </row>
    <row r="37" spans="1:26">
      <c r="A37" s="18" t="s">
        <v>285</v>
      </c>
      <c r="B37" s="18" t="s">
        <v>127</v>
      </c>
      <c r="C37" s="18" t="s">
        <v>72</v>
      </c>
      <c r="D37" s="18" t="s">
        <v>286</v>
      </c>
      <c r="E37" s="18" t="s">
        <v>287</v>
      </c>
      <c r="F37" s="18" t="s">
        <v>200</v>
      </c>
      <c r="G37" s="18" t="s">
        <v>76</v>
      </c>
      <c r="H37" s="18" t="s">
        <v>288</v>
      </c>
      <c r="I37" s="18" t="s">
        <v>59</v>
      </c>
      <c r="J37" s="18" t="s">
        <v>31</v>
      </c>
      <c r="K37" s="18" t="s">
        <v>46</v>
      </c>
      <c r="L37" s="18" t="s">
        <v>78</v>
      </c>
      <c r="M37" s="18">
        <v>4</v>
      </c>
      <c r="N37" s="18">
        <v>1200</v>
      </c>
      <c r="O37" s="18">
        <v>20</v>
      </c>
      <c r="P37" s="18">
        <v>3840</v>
      </c>
      <c r="Q37" s="18">
        <v>3</v>
      </c>
      <c r="R37" s="18" t="s">
        <v>48</v>
      </c>
      <c r="S37" s="18" t="s">
        <v>61</v>
      </c>
      <c r="T37" s="18" t="s">
        <v>132</v>
      </c>
      <c r="U37" s="19" t="s">
        <v>289</v>
      </c>
      <c r="V37" s="18" t="s">
        <v>38</v>
      </c>
      <c r="W37" t="str">
        <f t="shared" si="0"/>
        <v>Silver</v>
      </c>
      <c r="X37" s="27" t="str">
        <f t="shared" si="1"/>
        <v>Rohit Singh</v>
      </c>
      <c r="Y37" s="29" t="str">
        <f t="shared" si="2"/>
        <v>Roh00IDBe</v>
      </c>
      <c r="Z37" s="30" t="str">
        <f t="shared" si="3"/>
        <v>rohit.singh@company.com</v>
      </c>
    </row>
    <row r="38" spans="1:26">
      <c r="A38" s="15" t="s">
        <v>290</v>
      </c>
      <c r="B38" s="15" t="s">
        <v>71</v>
      </c>
      <c r="C38" s="15" t="s">
        <v>54</v>
      </c>
      <c r="D38" s="15" t="s">
        <v>291</v>
      </c>
      <c r="E38" s="15" t="s">
        <v>292</v>
      </c>
      <c r="F38" s="15" t="s">
        <v>217</v>
      </c>
      <c r="G38" s="15" t="s">
        <v>76</v>
      </c>
      <c r="H38" s="15" t="s">
        <v>293</v>
      </c>
      <c r="I38" s="15" t="s">
        <v>294</v>
      </c>
      <c r="J38" s="15" t="s">
        <v>295</v>
      </c>
      <c r="K38" s="15" t="s">
        <v>46</v>
      </c>
      <c r="L38" s="15" t="s">
        <v>60</v>
      </c>
      <c r="M38" s="15">
        <v>10</v>
      </c>
      <c r="N38" s="15">
        <v>55000</v>
      </c>
      <c r="O38" s="15">
        <v>0</v>
      </c>
      <c r="P38" s="15">
        <v>550000</v>
      </c>
      <c r="Q38" s="15">
        <v>1</v>
      </c>
      <c r="R38" s="15" t="s">
        <v>88</v>
      </c>
      <c r="S38" s="15" t="s">
        <v>49</v>
      </c>
      <c r="T38" s="15" t="s">
        <v>80</v>
      </c>
      <c r="U38" s="17" t="s">
        <v>296</v>
      </c>
      <c r="V38" s="15" t="s">
        <v>69</v>
      </c>
      <c r="W38" t="str">
        <f t="shared" si="0"/>
        <v>Blacklisted</v>
      </c>
      <c r="X38" s="27" t="str">
        <f t="shared" si="1"/>
        <v>Mohit Verma</v>
      </c>
      <c r="Y38" s="29" t="str">
        <f t="shared" si="2"/>
        <v>Moh00IDKo</v>
      </c>
      <c r="Z38" s="30" t="str">
        <f t="shared" si="3"/>
        <v>mohit.verma@company.com</v>
      </c>
    </row>
    <row r="39" spans="1:26">
      <c r="A39" s="18" t="s">
        <v>297</v>
      </c>
      <c r="B39" s="18" t="s">
        <v>251</v>
      </c>
      <c r="C39" s="18" t="s">
        <v>92</v>
      </c>
      <c r="D39" s="18" t="s">
        <v>298</v>
      </c>
      <c r="E39" s="18" t="s">
        <v>242</v>
      </c>
      <c r="F39" s="18" t="s">
        <v>254</v>
      </c>
      <c r="G39" s="18" t="s">
        <v>28</v>
      </c>
      <c r="H39" s="18" t="s">
        <v>299</v>
      </c>
      <c r="I39" s="18" t="s">
        <v>44</v>
      </c>
      <c r="J39" s="18" t="s">
        <v>45</v>
      </c>
      <c r="K39" s="18" t="s">
        <v>32</v>
      </c>
      <c r="L39" s="18" t="s">
        <v>97</v>
      </c>
      <c r="M39" s="18">
        <v>20</v>
      </c>
      <c r="N39" s="18">
        <v>3500</v>
      </c>
      <c r="O39" s="18">
        <v>10</v>
      </c>
      <c r="P39" s="18">
        <v>63000</v>
      </c>
      <c r="Q39" s="18">
        <v>3</v>
      </c>
      <c r="R39" s="18" t="s">
        <v>79</v>
      </c>
      <c r="S39" s="18" t="s">
        <v>49</v>
      </c>
      <c r="T39" s="18" t="s">
        <v>256</v>
      </c>
      <c r="U39" s="19" t="s">
        <v>300</v>
      </c>
      <c r="V39" s="18" t="s">
        <v>69</v>
      </c>
      <c r="W39" t="str">
        <f t="shared" si="0"/>
        <v>Blacklisted</v>
      </c>
      <c r="X39" s="27" t="str">
        <f t="shared" si="1"/>
        <v>Sneha Joshi</v>
      </c>
      <c r="Y39" s="29" t="str">
        <f t="shared" si="2"/>
        <v>Sne00IDDe</v>
      </c>
      <c r="Z39" s="30" t="str">
        <f t="shared" si="3"/>
        <v>sneha.joshi@company.com</v>
      </c>
    </row>
    <row r="40" spans="1:26">
      <c r="A40" s="15" t="s">
        <v>301</v>
      </c>
      <c r="B40" s="15" t="s">
        <v>23</v>
      </c>
      <c r="C40" s="15" t="s">
        <v>222</v>
      </c>
      <c r="D40" s="15" t="s">
        <v>302</v>
      </c>
      <c r="E40" s="15" t="s">
        <v>303</v>
      </c>
      <c r="F40" s="15" t="s">
        <v>27</v>
      </c>
      <c r="G40" s="15" t="s">
        <v>28</v>
      </c>
      <c r="H40" s="15" t="s">
        <v>304</v>
      </c>
      <c r="I40" s="15" t="s">
        <v>114</v>
      </c>
      <c r="J40" s="15" t="s">
        <v>106</v>
      </c>
      <c r="K40" s="15" t="s">
        <v>122</v>
      </c>
      <c r="L40" s="15" t="s">
        <v>227</v>
      </c>
      <c r="M40" s="15">
        <v>5</v>
      </c>
      <c r="N40" s="15" t="s">
        <v>305</v>
      </c>
      <c r="O40" s="15">
        <v>0</v>
      </c>
      <c r="P40" s="15">
        <v>100</v>
      </c>
      <c r="Q40" s="15">
        <v>1</v>
      </c>
      <c r="R40" s="15" t="s">
        <v>34</v>
      </c>
      <c r="S40" s="15" t="s">
        <v>49</v>
      </c>
      <c r="T40" s="15" t="s">
        <v>50</v>
      </c>
      <c r="U40" s="17" t="s">
        <v>306</v>
      </c>
      <c r="V40" s="15" t="s">
        <v>69</v>
      </c>
      <c r="W40" t="str">
        <f t="shared" si="0"/>
        <v>Blacklisted</v>
      </c>
      <c r="X40" s="27" t="str">
        <f t="shared" si="1"/>
        <v>Kavya Nair</v>
      </c>
      <c r="Y40" s="29" t="str">
        <f t="shared" si="2"/>
        <v>Kav00IDPu</v>
      </c>
      <c r="Z40" s="30" t="str">
        <f t="shared" si="3"/>
        <v>kavya.nair@company.com</v>
      </c>
    </row>
    <row r="41" spans="1:26">
      <c r="A41" s="18" t="s">
        <v>307</v>
      </c>
      <c r="B41" s="18" t="s">
        <v>53</v>
      </c>
      <c r="C41" s="18" t="s">
        <v>169</v>
      </c>
      <c r="D41" s="18" t="s">
        <v>308</v>
      </c>
      <c r="E41" s="18" t="s">
        <v>309</v>
      </c>
      <c r="F41" s="18" t="s">
        <v>163</v>
      </c>
      <c r="G41" s="18" t="s">
        <v>28</v>
      </c>
      <c r="H41" s="18" t="s">
        <v>310</v>
      </c>
      <c r="I41" s="18" t="s">
        <v>105</v>
      </c>
      <c r="J41" s="18" t="s">
        <v>106</v>
      </c>
      <c r="K41" s="18" t="s">
        <v>32</v>
      </c>
      <c r="L41" s="18" t="s">
        <v>174</v>
      </c>
      <c r="M41" s="18">
        <v>20</v>
      </c>
      <c r="N41" s="18">
        <v>8500</v>
      </c>
      <c r="O41" s="18">
        <v>0</v>
      </c>
      <c r="P41" s="18">
        <v>170000</v>
      </c>
      <c r="Q41" s="18">
        <v>1</v>
      </c>
      <c r="R41" s="18" t="s">
        <v>88</v>
      </c>
      <c r="S41" s="18" t="s">
        <v>115</v>
      </c>
      <c r="T41" s="18" t="s">
        <v>62</v>
      </c>
      <c r="U41" s="19" t="s">
        <v>311</v>
      </c>
      <c r="V41" s="18" t="s">
        <v>69</v>
      </c>
      <c r="W41" t="str">
        <f t="shared" si="0"/>
        <v>Blacklisted</v>
      </c>
      <c r="X41" s="27" t="str">
        <f t="shared" si="1"/>
        <v>Pooja Shah</v>
      </c>
      <c r="Y41" s="29" t="str">
        <f t="shared" si="2"/>
        <v>Poo01IDMu</v>
      </c>
      <c r="Z41" s="30" t="str">
        <f t="shared" si="3"/>
        <v>pooja.shah@company.com</v>
      </c>
    </row>
    <row r="42" spans="1:26">
      <c r="A42" s="15" t="s">
        <v>312</v>
      </c>
      <c r="B42" s="15" t="s">
        <v>83</v>
      </c>
      <c r="C42" s="15" t="s">
        <v>118</v>
      </c>
      <c r="D42" s="15" t="s">
        <v>313</v>
      </c>
      <c r="E42" s="15" t="s">
        <v>314</v>
      </c>
      <c r="F42" s="15" t="s">
        <v>180</v>
      </c>
      <c r="G42" s="15" t="s">
        <v>76</v>
      </c>
      <c r="H42" s="15" t="s">
        <v>315</v>
      </c>
      <c r="I42" s="15" t="s">
        <v>59</v>
      </c>
      <c r="J42" s="15" t="s">
        <v>31</v>
      </c>
      <c r="K42" s="15" t="s">
        <v>122</v>
      </c>
      <c r="L42" s="15" t="s">
        <v>123</v>
      </c>
      <c r="M42" s="15">
        <v>8</v>
      </c>
      <c r="N42" s="15">
        <v>60</v>
      </c>
      <c r="O42" s="15">
        <v>15</v>
      </c>
      <c r="P42" s="15">
        <v>408</v>
      </c>
      <c r="Q42" s="15">
        <v>5</v>
      </c>
      <c r="R42" s="15" t="s">
        <v>88</v>
      </c>
      <c r="S42" s="15" t="s">
        <v>49</v>
      </c>
      <c r="T42" s="15" t="s">
        <v>89</v>
      </c>
      <c r="U42" s="17" t="s">
        <v>316</v>
      </c>
      <c r="V42" s="15" t="s">
        <v>64</v>
      </c>
      <c r="W42" t="str">
        <f t="shared" si="0"/>
        <v>Blacklisted</v>
      </c>
      <c r="X42" s="27" t="str">
        <f t="shared" si="1"/>
        <v>Arjun Rao</v>
      </c>
      <c r="Y42" s="29" t="str">
        <f t="shared" si="2"/>
        <v>Arj00IDBe</v>
      </c>
      <c r="Z42" s="30" t="str">
        <f t="shared" si="3"/>
        <v>arjun.rao@company.com</v>
      </c>
    </row>
    <row r="43" spans="1:26">
      <c r="A43" s="18" t="s">
        <v>317</v>
      </c>
      <c r="B43" s="18" t="s">
        <v>53</v>
      </c>
      <c r="C43" s="18" t="s">
        <v>92</v>
      </c>
      <c r="D43" s="18" t="s">
        <v>318</v>
      </c>
      <c r="E43" s="18" t="s">
        <v>260</v>
      </c>
      <c r="F43" s="18" t="s">
        <v>163</v>
      </c>
      <c r="G43" s="18" t="s">
        <v>28</v>
      </c>
      <c r="H43" s="18" t="s">
        <v>319</v>
      </c>
      <c r="I43" s="18" t="s">
        <v>114</v>
      </c>
      <c r="J43" s="18" t="s">
        <v>106</v>
      </c>
      <c r="K43" s="18" t="s">
        <v>32</v>
      </c>
      <c r="L43" s="18" t="s">
        <v>97</v>
      </c>
      <c r="M43" s="18">
        <v>8</v>
      </c>
      <c r="N43" s="18">
        <v>3500</v>
      </c>
      <c r="O43" s="18">
        <v>5</v>
      </c>
      <c r="P43" s="18">
        <v>26600</v>
      </c>
      <c r="Q43" s="18">
        <v>1</v>
      </c>
      <c r="R43" s="18" t="s">
        <v>79</v>
      </c>
      <c r="S43" s="18" t="s">
        <v>115</v>
      </c>
      <c r="T43" s="18" t="s">
        <v>62</v>
      </c>
      <c r="U43" s="19" t="s">
        <v>320</v>
      </c>
      <c r="V43" s="18" t="s">
        <v>64</v>
      </c>
      <c r="W43" t="str">
        <f t="shared" si="0"/>
        <v>Blacklisted</v>
      </c>
      <c r="X43" s="27" t="str">
        <f t="shared" si="1"/>
        <v>Pooja Shah</v>
      </c>
      <c r="Y43" s="29" t="str">
        <f t="shared" si="2"/>
        <v>Poo01IDPu</v>
      </c>
      <c r="Z43" s="30" t="str">
        <f t="shared" si="3"/>
        <v>pooja.shah@company.com</v>
      </c>
    </row>
    <row r="44" spans="1:26">
      <c r="A44" s="15" t="s">
        <v>321</v>
      </c>
      <c r="B44" s="15" t="s">
        <v>71</v>
      </c>
      <c r="C44" s="15" t="s">
        <v>169</v>
      </c>
      <c r="D44" s="15" t="s">
        <v>322</v>
      </c>
      <c r="E44" s="15" t="s">
        <v>323</v>
      </c>
      <c r="F44" s="15" t="s">
        <v>217</v>
      </c>
      <c r="G44" s="15" t="s">
        <v>76</v>
      </c>
      <c r="H44" s="15" t="s">
        <v>324</v>
      </c>
      <c r="I44" s="15" t="s">
        <v>212</v>
      </c>
      <c r="J44" s="15" t="s">
        <v>45</v>
      </c>
      <c r="K44" s="15" t="s">
        <v>32</v>
      </c>
      <c r="L44" s="15" t="s">
        <v>174</v>
      </c>
      <c r="M44" s="15">
        <v>1</v>
      </c>
      <c r="N44" s="15">
        <v>8500</v>
      </c>
      <c r="O44" s="15">
        <v>0</v>
      </c>
      <c r="P44" s="15">
        <v>8500</v>
      </c>
      <c r="Q44" s="15">
        <v>2</v>
      </c>
      <c r="R44" s="15" t="s">
        <v>79</v>
      </c>
      <c r="S44" s="15" t="s">
        <v>115</v>
      </c>
      <c r="T44" s="15" t="s">
        <v>80</v>
      </c>
      <c r="U44" s="17" t="s">
        <v>325</v>
      </c>
      <c r="V44" s="15" t="s">
        <v>64</v>
      </c>
      <c r="W44" t="str">
        <f t="shared" si="0"/>
        <v>Blacklisted</v>
      </c>
      <c r="X44" s="27" t="str">
        <f t="shared" si="1"/>
        <v>Mohit Verma</v>
      </c>
      <c r="Y44" s="29" t="str">
        <f t="shared" si="2"/>
        <v>Moh00IDJa</v>
      </c>
      <c r="Z44" s="30" t="str">
        <f t="shared" si="3"/>
        <v>mohit.verma@company.com</v>
      </c>
    </row>
    <row r="45" spans="1:26">
      <c r="A45" s="18" t="s">
        <v>326</v>
      </c>
      <c r="B45" s="18" t="s">
        <v>327</v>
      </c>
      <c r="C45" s="18" t="s">
        <v>259</v>
      </c>
      <c r="D45" s="18" t="s">
        <v>328</v>
      </c>
      <c r="E45" s="18" t="s">
        <v>329</v>
      </c>
      <c r="F45" s="18" t="s">
        <v>330</v>
      </c>
      <c r="G45" s="18" t="s">
        <v>76</v>
      </c>
      <c r="H45" s="18" t="s">
        <v>331</v>
      </c>
      <c r="I45" s="18" t="s">
        <v>114</v>
      </c>
      <c r="J45" s="18" t="s">
        <v>106</v>
      </c>
      <c r="K45" s="18" t="s">
        <v>122</v>
      </c>
      <c r="L45" s="18" t="s">
        <v>263</v>
      </c>
      <c r="M45" s="18">
        <v>8</v>
      </c>
      <c r="N45" s="18">
        <v>45</v>
      </c>
      <c r="O45" s="18">
        <v>15</v>
      </c>
      <c r="P45" s="18">
        <v>306</v>
      </c>
      <c r="Q45" s="18">
        <v>2</v>
      </c>
      <c r="R45" s="18" t="s">
        <v>79</v>
      </c>
      <c r="S45" s="18" t="s">
        <v>61</v>
      </c>
      <c r="T45" s="18" t="s">
        <v>332</v>
      </c>
      <c r="U45" s="19" t="s">
        <v>333</v>
      </c>
      <c r="V45" s="18" t="s">
        <v>38</v>
      </c>
      <c r="W45" t="str">
        <f t="shared" si="0"/>
        <v>Blacklisted</v>
      </c>
      <c r="X45" s="27" t="str">
        <f t="shared" si="1"/>
        <v>Amit Sharma</v>
      </c>
      <c r="Y45" s="29" t="str">
        <f t="shared" si="2"/>
        <v>Ami00IDPu</v>
      </c>
      <c r="Z45" s="30" t="str">
        <f t="shared" si="3"/>
        <v>amit.sharma@company.com</v>
      </c>
    </row>
    <row r="46" spans="1:26">
      <c r="A46" s="15" t="s">
        <v>334</v>
      </c>
      <c r="B46" s="15" t="s">
        <v>251</v>
      </c>
      <c r="C46" s="15" t="s">
        <v>24</v>
      </c>
      <c r="D46" s="15" t="s">
        <v>335</v>
      </c>
      <c r="E46" s="15" t="s">
        <v>336</v>
      </c>
      <c r="F46" s="15" t="s">
        <v>254</v>
      </c>
      <c r="G46" s="15" t="s">
        <v>28</v>
      </c>
      <c r="H46" s="15" t="s">
        <v>337</v>
      </c>
      <c r="I46" s="15" t="s">
        <v>114</v>
      </c>
      <c r="J46" s="15" t="s">
        <v>106</v>
      </c>
      <c r="K46" s="15" t="s">
        <v>32</v>
      </c>
      <c r="L46" s="15" t="s">
        <v>33</v>
      </c>
      <c r="M46" s="15">
        <v>16</v>
      </c>
      <c r="N46" s="15">
        <v>2200</v>
      </c>
      <c r="O46" s="15">
        <v>5</v>
      </c>
      <c r="P46" s="15">
        <v>33440</v>
      </c>
      <c r="Q46" s="15">
        <v>5</v>
      </c>
      <c r="R46" s="15" t="s">
        <v>79</v>
      </c>
      <c r="S46" s="15" t="s">
        <v>61</v>
      </c>
      <c r="T46" s="15" t="s">
        <v>256</v>
      </c>
      <c r="U46" s="17" t="s">
        <v>338</v>
      </c>
      <c r="V46" s="15" t="s">
        <v>69</v>
      </c>
      <c r="W46" t="str">
        <f t="shared" si="0"/>
        <v>Blacklisted</v>
      </c>
      <c r="X46" s="27" t="str">
        <f t="shared" si="1"/>
        <v>Sneha Joshi</v>
      </c>
      <c r="Y46" s="29" t="str">
        <f t="shared" si="2"/>
        <v>Sne00IDPu</v>
      </c>
      <c r="Z46" s="30" t="str">
        <f t="shared" si="3"/>
        <v>sneha.joshi@company.com</v>
      </c>
    </row>
    <row r="47" spans="1:26">
      <c r="A47" s="18" t="s">
        <v>339</v>
      </c>
      <c r="B47" s="18" t="s">
        <v>71</v>
      </c>
      <c r="C47" s="18" t="s">
        <v>92</v>
      </c>
      <c r="D47" s="18" t="s">
        <v>340</v>
      </c>
      <c r="E47" s="18" t="s">
        <v>341</v>
      </c>
      <c r="F47" s="18" t="s">
        <v>217</v>
      </c>
      <c r="G47" s="18" t="s">
        <v>76</v>
      </c>
      <c r="H47" s="18" t="s">
        <v>342</v>
      </c>
      <c r="I47" s="18" t="s">
        <v>59</v>
      </c>
      <c r="J47" s="18" t="s">
        <v>31</v>
      </c>
      <c r="K47" s="18" t="s">
        <v>32</v>
      </c>
      <c r="L47" s="18" t="s">
        <v>97</v>
      </c>
      <c r="M47" s="18">
        <v>19</v>
      </c>
      <c r="N47" s="18">
        <v>3500</v>
      </c>
      <c r="O47" s="18">
        <v>20</v>
      </c>
      <c r="P47" s="18">
        <v>53200</v>
      </c>
      <c r="Q47" s="18">
        <v>3</v>
      </c>
      <c r="R47" s="18" t="s">
        <v>34</v>
      </c>
      <c r="S47" s="18" t="s">
        <v>151</v>
      </c>
      <c r="T47" s="18" t="s">
        <v>80</v>
      </c>
      <c r="U47" s="19" t="s">
        <v>343</v>
      </c>
      <c r="V47" s="18" t="s">
        <v>69</v>
      </c>
      <c r="W47" t="str">
        <f t="shared" si="0"/>
        <v>Blacklisted</v>
      </c>
      <c r="X47" s="27" t="str">
        <f t="shared" si="1"/>
        <v>Mohit Verma</v>
      </c>
      <c r="Y47" s="29" t="str">
        <f t="shared" si="2"/>
        <v>Moh00IDBe</v>
      </c>
      <c r="Z47" s="30" t="str">
        <f t="shared" si="3"/>
        <v>mohit.verma@company.com</v>
      </c>
    </row>
    <row r="48" spans="1:26">
      <c r="A48" s="15" t="s">
        <v>344</v>
      </c>
      <c r="B48" s="15" t="s">
        <v>251</v>
      </c>
      <c r="C48" s="15" t="s">
        <v>184</v>
      </c>
      <c r="D48" s="15" t="s">
        <v>345</v>
      </c>
      <c r="E48" s="15" t="s">
        <v>346</v>
      </c>
      <c r="F48" s="15" t="s">
        <v>254</v>
      </c>
      <c r="G48" s="15" t="s">
        <v>28</v>
      </c>
      <c r="H48" s="15" t="s">
        <v>347</v>
      </c>
      <c r="I48" s="15" t="s">
        <v>114</v>
      </c>
      <c r="J48" s="15" t="s">
        <v>106</v>
      </c>
      <c r="K48" s="15" t="s">
        <v>46</v>
      </c>
      <c r="L48" s="15" t="s">
        <v>189</v>
      </c>
      <c r="M48" s="15">
        <v>15</v>
      </c>
      <c r="N48" s="15">
        <v>700</v>
      </c>
      <c r="O48" s="15">
        <v>15</v>
      </c>
      <c r="P48" s="15">
        <v>8925</v>
      </c>
      <c r="Q48" s="15">
        <v>4</v>
      </c>
      <c r="R48" s="15" t="s">
        <v>88</v>
      </c>
      <c r="S48" s="15" t="s">
        <v>115</v>
      </c>
      <c r="T48" s="15" t="s">
        <v>348</v>
      </c>
      <c r="U48" s="17" t="s">
        <v>349</v>
      </c>
      <c r="V48" s="15" t="s">
        <v>38</v>
      </c>
      <c r="W48" t="str">
        <f t="shared" si="0"/>
        <v>Silver</v>
      </c>
      <c r="X48" s="27" t="str">
        <f t="shared" si="1"/>
        <v>Sneha Joshi</v>
      </c>
      <c r="Y48" s="29" t="str">
        <f t="shared" si="2"/>
        <v>Sne00IDPu</v>
      </c>
      <c r="Z48" s="30" t="str">
        <f t="shared" si="3"/>
        <v>Invalid Email</v>
      </c>
    </row>
    <row r="49" spans="1:26">
      <c r="A49" s="18" t="s">
        <v>350</v>
      </c>
      <c r="B49" s="18" t="s">
        <v>251</v>
      </c>
      <c r="C49" s="18" t="s">
        <v>184</v>
      </c>
      <c r="D49" s="18" t="s">
        <v>351</v>
      </c>
      <c r="E49" s="18" t="s">
        <v>352</v>
      </c>
      <c r="F49" s="18" t="s">
        <v>254</v>
      </c>
      <c r="G49" s="18" t="s">
        <v>28</v>
      </c>
      <c r="H49" s="18" t="s">
        <v>353</v>
      </c>
      <c r="I49" s="18" t="s">
        <v>212</v>
      </c>
      <c r="J49" s="18" t="s">
        <v>45</v>
      </c>
      <c r="K49" s="18" t="s">
        <v>46</v>
      </c>
      <c r="L49" s="18" t="s">
        <v>189</v>
      </c>
      <c r="M49" s="18">
        <v>19</v>
      </c>
      <c r="N49" s="18">
        <v>700</v>
      </c>
      <c r="O49" s="18">
        <v>20</v>
      </c>
      <c r="P49" s="18">
        <v>10640</v>
      </c>
      <c r="Q49" s="18">
        <v>1</v>
      </c>
      <c r="R49" s="18" t="s">
        <v>34</v>
      </c>
      <c r="S49" s="18" t="s">
        <v>115</v>
      </c>
      <c r="T49" s="18" t="s">
        <v>256</v>
      </c>
      <c r="U49" s="19" t="s">
        <v>354</v>
      </c>
      <c r="V49" s="18" t="s">
        <v>38</v>
      </c>
      <c r="W49" t="str">
        <f t="shared" si="0"/>
        <v>Blacklisted</v>
      </c>
      <c r="X49" s="27" t="str">
        <f t="shared" si="1"/>
        <v>Sneha Joshi</v>
      </c>
      <c r="Y49" s="29" t="str">
        <f t="shared" si="2"/>
        <v>Sne00IDJa</v>
      </c>
      <c r="Z49" s="30" t="str">
        <f t="shared" si="3"/>
        <v>sneha.joshi@company.com</v>
      </c>
    </row>
    <row r="50" spans="1:26">
      <c r="A50" s="15" t="s">
        <v>355</v>
      </c>
      <c r="B50" s="15" t="s">
        <v>71</v>
      </c>
      <c r="C50" s="15" t="s">
        <v>40</v>
      </c>
      <c r="D50" s="15" t="s">
        <v>356</v>
      </c>
      <c r="E50" s="15"/>
      <c r="F50" s="15" t="s">
        <v>217</v>
      </c>
      <c r="G50" s="15" t="s">
        <v>76</v>
      </c>
      <c r="H50" s="15" t="s">
        <v>357</v>
      </c>
      <c r="I50" s="15" t="s">
        <v>44</v>
      </c>
      <c r="J50" s="15" t="s">
        <v>45</v>
      </c>
      <c r="K50" s="15" t="s">
        <v>46</v>
      </c>
      <c r="L50" s="15" t="s">
        <v>47</v>
      </c>
      <c r="M50" s="15">
        <v>19</v>
      </c>
      <c r="N50" s="15">
        <v>12000</v>
      </c>
      <c r="O50" s="15">
        <v>0</v>
      </c>
      <c r="P50" s="15">
        <v>228000</v>
      </c>
      <c r="Q50" s="15">
        <v>1</v>
      </c>
      <c r="R50" s="15" t="s">
        <v>48</v>
      </c>
      <c r="S50" s="15" t="s">
        <v>61</v>
      </c>
      <c r="T50" s="15" t="s">
        <v>80</v>
      </c>
      <c r="U50" s="17" t="s">
        <v>358</v>
      </c>
      <c r="V50" s="15" t="s">
        <v>38</v>
      </c>
      <c r="W50" t="str">
        <f t="shared" si="0"/>
        <v>Blacklisted</v>
      </c>
      <c r="X50" s="27" t="str">
        <f t="shared" si="1"/>
        <v>Mohit Verma</v>
      </c>
      <c r="Y50" s="29" t="str">
        <f t="shared" si="2"/>
        <v>Moh00IDDe</v>
      </c>
      <c r="Z50" s="30" t="str">
        <f t="shared" si="3"/>
        <v>mohit.verma@company.com</v>
      </c>
    </row>
    <row r="51" spans="1:26">
      <c r="A51" s="18" t="s">
        <v>359</v>
      </c>
      <c r="B51" s="18" t="s">
        <v>168</v>
      </c>
      <c r="C51" s="18" t="s">
        <v>72</v>
      </c>
      <c r="D51" s="18" t="s">
        <v>356</v>
      </c>
      <c r="E51" s="18" t="s">
        <v>360</v>
      </c>
      <c r="F51" s="18" t="s">
        <v>361</v>
      </c>
      <c r="G51" s="18" t="s">
        <v>28</v>
      </c>
      <c r="H51" s="18" t="s">
        <v>362</v>
      </c>
      <c r="I51" s="18" t="s">
        <v>114</v>
      </c>
      <c r="J51" s="18" t="s">
        <v>106</v>
      </c>
      <c r="K51" s="18" t="s">
        <v>46</v>
      </c>
      <c r="L51" s="18" t="s">
        <v>78</v>
      </c>
      <c r="M51" s="18">
        <v>6</v>
      </c>
      <c r="N51" s="18">
        <v>1200</v>
      </c>
      <c r="O51" s="18">
        <v>5</v>
      </c>
      <c r="P51" s="18">
        <v>6840</v>
      </c>
      <c r="Q51" s="18">
        <v>2</v>
      </c>
      <c r="R51" s="18" t="s">
        <v>34</v>
      </c>
      <c r="S51" s="18" t="s">
        <v>35</v>
      </c>
      <c r="T51" s="18" t="s">
        <v>175</v>
      </c>
      <c r="U51" s="19" t="s">
        <v>363</v>
      </c>
      <c r="V51" s="18" t="s">
        <v>64</v>
      </c>
      <c r="W51" t="str">
        <f t="shared" si="0"/>
        <v>Blacklisted</v>
      </c>
      <c r="X51" s="27" t="str">
        <f t="shared" si="1"/>
        <v>Anita Gupta</v>
      </c>
      <c r="Y51" s="29" t="str">
        <f t="shared" si="2"/>
        <v>Ani00IDPu</v>
      </c>
      <c r="Z51" s="30" t="str">
        <f t="shared" si="3"/>
        <v>anita.gupta@company.com</v>
      </c>
    </row>
    <row r="52" spans="1:26">
      <c r="A52" s="15" t="s">
        <v>364</v>
      </c>
      <c r="B52" s="15" t="s">
        <v>53</v>
      </c>
      <c r="C52" s="15" t="s">
        <v>24</v>
      </c>
      <c r="D52" s="15" t="s">
        <v>365</v>
      </c>
      <c r="E52" s="15" t="s">
        <v>366</v>
      </c>
      <c r="F52" s="15" t="s">
        <v>367</v>
      </c>
      <c r="G52" s="15" t="s">
        <v>28</v>
      </c>
      <c r="H52" s="15" t="s">
        <v>368</v>
      </c>
      <c r="I52" s="15" t="s">
        <v>59</v>
      </c>
      <c r="J52" s="15" t="s">
        <v>31</v>
      </c>
      <c r="K52" s="15" t="s">
        <v>32</v>
      </c>
      <c r="L52" s="15" t="s">
        <v>33</v>
      </c>
      <c r="M52" s="15">
        <v>7</v>
      </c>
      <c r="N52" s="15">
        <v>2200</v>
      </c>
      <c r="O52" s="15">
        <v>15</v>
      </c>
      <c r="P52" s="15">
        <v>13090</v>
      </c>
      <c r="Q52" s="15">
        <v>1</v>
      </c>
      <c r="R52" s="15" t="s">
        <v>88</v>
      </c>
      <c r="S52" s="15" t="s">
        <v>61</v>
      </c>
      <c r="T52" s="15" t="s">
        <v>62</v>
      </c>
      <c r="U52" s="17" t="s">
        <v>369</v>
      </c>
      <c r="V52" s="15" t="s">
        <v>38</v>
      </c>
      <c r="W52" t="str">
        <f t="shared" si="0"/>
        <v>Blacklisted</v>
      </c>
      <c r="X52" s="27" t="str">
        <f t="shared" si="1"/>
        <v>Pooja Shah</v>
      </c>
      <c r="Y52" s="29" t="str">
        <f t="shared" si="2"/>
        <v>Poo01IDBe</v>
      </c>
      <c r="Z52" s="30" t="str">
        <f t="shared" si="3"/>
        <v>pooja.shah@company.com</v>
      </c>
    </row>
    <row r="53" spans="1:26">
      <c r="A53" s="18" t="s">
        <v>370</v>
      </c>
      <c r="B53" s="18" t="s">
        <v>100</v>
      </c>
      <c r="C53" s="18" t="s">
        <v>118</v>
      </c>
      <c r="D53" s="18" t="s">
        <v>371</v>
      </c>
      <c r="E53" s="18" t="s">
        <v>372</v>
      </c>
      <c r="F53" s="18" t="s">
        <v>103</v>
      </c>
      <c r="G53" s="18" t="s">
        <v>28</v>
      </c>
      <c r="H53" s="18" t="s">
        <v>373</v>
      </c>
      <c r="I53" s="18" t="s">
        <v>212</v>
      </c>
      <c r="J53" s="18" t="s">
        <v>45</v>
      </c>
      <c r="K53" s="18" t="s">
        <v>122</v>
      </c>
      <c r="L53" s="18" t="s">
        <v>123</v>
      </c>
      <c r="M53" s="18">
        <v>8</v>
      </c>
      <c r="N53" s="18">
        <v>60</v>
      </c>
      <c r="O53" s="18">
        <v>10</v>
      </c>
      <c r="P53" s="18">
        <v>432</v>
      </c>
      <c r="Q53" s="18">
        <v>5</v>
      </c>
      <c r="R53" s="18" t="s">
        <v>79</v>
      </c>
      <c r="S53" s="18" t="s">
        <v>61</v>
      </c>
      <c r="T53" s="18" t="s">
        <v>144</v>
      </c>
      <c r="U53" s="19" t="s">
        <v>374</v>
      </c>
      <c r="V53" s="18" t="s">
        <v>69</v>
      </c>
      <c r="W53" t="str">
        <f t="shared" si="0"/>
        <v>Blacklisted</v>
      </c>
      <c r="X53" s="27" t="str">
        <f t="shared" si="1"/>
        <v>Priya Patel</v>
      </c>
      <c r="Y53" s="29" t="str">
        <f t="shared" si="2"/>
        <v>Pri00IDJa</v>
      </c>
      <c r="Z53" s="30" t="str">
        <f t="shared" si="3"/>
        <v>priya.patel@company.com</v>
      </c>
    </row>
    <row r="54" spans="1:26">
      <c r="A54" s="15" t="s">
        <v>375</v>
      </c>
      <c r="B54" s="15" t="s">
        <v>221</v>
      </c>
      <c r="C54" s="15" t="s">
        <v>54</v>
      </c>
      <c r="D54" s="15" t="s">
        <v>376</v>
      </c>
      <c r="E54" s="15" t="s">
        <v>377</v>
      </c>
      <c r="F54" s="15" t="s">
        <v>225</v>
      </c>
      <c r="G54" s="15" t="s">
        <v>76</v>
      </c>
      <c r="H54" s="15" t="s">
        <v>378</v>
      </c>
      <c r="I54" s="15" t="s">
        <v>294</v>
      </c>
      <c r="J54" s="15" t="s">
        <v>295</v>
      </c>
      <c r="K54" s="15" t="s">
        <v>46</v>
      </c>
      <c r="L54" s="15" t="s">
        <v>60</v>
      </c>
      <c r="M54" s="15">
        <v>12</v>
      </c>
      <c r="N54" s="15">
        <v>55000</v>
      </c>
      <c r="O54" s="15">
        <v>5</v>
      </c>
      <c r="P54" s="15">
        <v>627000</v>
      </c>
      <c r="Q54" s="15">
        <v>2</v>
      </c>
      <c r="R54" s="15" t="s">
        <v>88</v>
      </c>
      <c r="S54" s="15" t="s">
        <v>49</v>
      </c>
      <c r="T54" s="15" t="s">
        <v>228</v>
      </c>
      <c r="U54" s="17" t="s">
        <v>379</v>
      </c>
      <c r="V54" s="15" t="s">
        <v>64</v>
      </c>
      <c r="W54" t="str">
        <f t="shared" si="0"/>
        <v>Blacklisted</v>
      </c>
      <c r="X54" s="27" t="str">
        <f t="shared" si="1"/>
        <v>Vikas Mehta</v>
      </c>
      <c r="Y54" s="29" t="str">
        <f t="shared" si="2"/>
        <v>Vik00IDKo</v>
      </c>
      <c r="Z54" s="30" t="str">
        <f t="shared" si="3"/>
        <v>vikas.mehta@company.com</v>
      </c>
    </row>
    <row r="55" spans="1:26">
      <c r="A55" s="18" t="s">
        <v>380</v>
      </c>
      <c r="B55" s="18" t="s">
        <v>23</v>
      </c>
      <c r="C55" s="18" t="s">
        <v>184</v>
      </c>
      <c r="D55" s="18" t="s">
        <v>381</v>
      </c>
      <c r="E55" s="18" t="s">
        <v>382</v>
      </c>
      <c r="F55" s="18" t="s">
        <v>27</v>
      </c>
      <c r="G55" s="18" t="s">
        <v>28</v>
      </c>
      <c r="H55" s="18" t="s">
        <v>383</v>
      </c>
      <c r="I55" s="18" t="s">
        <v>212</v>
      </c>
      <c r="J55" s="18" t="s">
        <v>45</v>
      </c>
      <c r="K55" s="18" t="s">
        <v>46</v>
      </c>
      <c r="L55" s="18" t="s">
        <v>189</v>
      </c>
      <c r="M55" s="18">
        <v>3</v>
      </c>
      <c r="N55" s="18">
        <v>700</v>
      </c>
      <c r="O55" s="18">
        <v>0</v>
      </c>
      <c r="P55" s="18">
        <v>2100</v>
      </c>
      <c r="Q55" s="18">
        <v>3</v>
      </c>
      <c r="R55" s="18" t="s">
        <v>79</v>
      </c>
      <c r="S55" s="18" t="s">
        <v>151</v>
      </c>
      <c r="T55" s="18" t="s">
        <v>50</v>
      </c>
      <c r="U55" s="19" t="s">
        <v>384</v>
      </c>
      <c r="V55" s="18" t="s">
        <v>69</v>
      </c>
      <c r="W55" t="str">
        <f t="shared" si="0"/>
        <v>Blacklisted</v>
      </c>
      <c r="X55" s="27" t="str">
        <f t="shared" si="1"/>
        <v>Kavya Nair</v>
      </c>
      <c r="Y55" s="29" t="str">
        <f t="shared" si="2"/>
        <v>Kav00IDJa</v>
      </c>
      <c r="Z55" s="30" t="str">
        <f t="shared" si="3"/>
        <v>kavya.nair@company.com</v>
      </c>
    </row>
    <row r="56" spans="1:26">
      <c r="A56" s="15" t="s">
        <v>385</v>
      </c>
      <c r="B56" s="15" t="s">
        <v>127</v>
      </c>
      <c r="C56" s="15" t="s">
        <v>118</v>
      </c>
      <c r="D56" s="15" t="s">
        <v>386</v>
      </c>
      <c r="E56" s="15" t="s">
        <v>387</v>
      </c>
      <c r="F56" s="15" t="s">
        <v>388</v>
      </c>
      <c r="G56" s="15" t="s">
        <v>76</v>
      </c>
      <c r="H56" s="15" t="s">
        <v>389</v>
      </c>
      <c r="I56" s="15" t="s">
        <v>138</v>
      </c>
      <c r="J56" s="15" t="s">
        <v>106</v>
      </c>
      <c r="K56" s="15" t="s">
        <v>122</v>
      </c>
      <c r="L56" s="15" t="s">
        <v>123</v>
      </c>
      <c r="M56" s="15">
        <v>19</v>
      </c>
      <c r="N56" s="15">
        <v>60</v>
      </c>
      <c r="O56" s="15">
        <v>15</v>
      </c>
      <c r="P56" s="15">
        <v>969</v>
      </c>
      <c r="Q56" s="15">
        <v>4</v>
      </c>
      <c r="R56" s="15" t="s">
        <v>79</v>
      </c>
      <c r="S56" s="15" t="s">
        <v>49</v>
      </c>
      <c r="T56" s="15" t="s">
        <v>132</v>
      </c>
      <c r="U56" s="17" t="s">
        <v>390</v>
      </c>
      <c r="V56" s="15" t="s">
        <v>69</v>
      </c>
      <c r="W56" t="str">
        <f t="shared" si="0"/>
        <v>Blacklisted</v>
      </c>
      <c r="X56" s="27" t="str">
        <f t="shared" si="1"/>
        <v>Rohit Singh</v>
      </c>
      <c r="Y56" s="29" t="str">
        <f t="shared" si="2"/>
        <v>Roh00IDAh</v>
      </c>
      <c r="Z56" s="30" t="str">
        <f t="shared" si="3"/>
        <v>rohit.singh@company.com</v>
      </c>
    </row>
    <row r="57" spans="1:26">
      <c r="A57" s="18" t="s">
        <v>391</v>
      </c>
      <c r="B57" s="18" t="s">
        <v>327</v>
      </c>
      <c r="C57" s="18" t="s">
        <v>118</v>
      </c>
      <c r="D57" s="18" t="s">
        <v>392</v>
      </c>
      <c r="E57" s="18" t="s">
        <v>393</v>
      </c>
      <c r="F57" s="18" t="s">
        <v>394</v>
      </c>
      <c r="G57" s="18" t="s">
        <v>76</v>
      </c>
      <c r="H57" s="18" t="s">
        <v>395</v>
      </c>
      <c r="I57" s="18" t="s">
        <v>212</v>
      </c>
      <c r="J57" s="18" t="s">
        <v>45</v>
      </c>
      <c r="K57" s="18" t="s">
        <v>122</v>
      </c>
      <c r="L57" s="18" t="s">
        <v>123</v>
      </c>
      <c r="M57" s="18">
        <v>9</v>
      </c>
      <c r="N57" s="18">
        <v>60</v>
      </c>
      <c r="O57" s="18">
        <v>20</v>
      </c>
      <c r="P57" s="18">
        <v>432</v>
      </c>
      <c r="Q57" s="18">
        <v>1</v>
      </c>
      <c r="R57" s="18" t="s">
        <v>48</v>
      </c>
      <c r="S57" s="18" t="s">
        <v>115</v>
      </c>
      <c r="T57" s="18" t="s">
        <v>332</v>
      </c>
      <c r="U57" s="19" t="s">
        <v>396</v>
      </c>
      <c r="V57" s="18" t="s">
        <v>64</v>
      </c>
      <c r="W57" t="str">
        <f t="shared" si="0"/>
        <v>Blacklisted</v>
      </c>
      <c r="X57" s="27" t="str">
        <f t="shared" si="1"/>
        <v>Amit Sharma</v>
      </c>
      <c r="Y57" s="29" t="str">
        <f t="shared" si="2"/>
        <v>Ami00IDJa</v>
      </c>
      <c r="Z57" s="30" t="str">
        <f t="shared" si="3"/>
        <v>amit.sharma@company.com</v>
      </c>
    </row>
    <row r="58" spans="1:26">
      <c r="A58" s="15" t="s">
        <v>397</v>
      </c>
      <c r="B58" s="15" t="s">
        <v>327</v>
      </c>
      <c r="C58" s="15" t="s">
        <v>184</v>
      </c>
      <c r="D58" s="15" t="s">
        <v>398</v>
      </c>
      <c r="E58" s="15" t="s">
        <v>399</v>
      </c>
      <c r="F58" s="15" t="s">
        <v>394</v>
      </c>
      <c r="G58" s="15" t="s">
        <v>76</v>
      </c>
      <c r="H58" s="15" t="s">
        <v>400</v>
      </c>
      <c r="I58" s="15" t="s">
        <v>59</v>
      </c>
      <c r="J58" s="15" t="s">
        <v>31</v>
      </c>
      <c r="K58" s="15" t="s">
        <v>46</v>
      </c>
      <c r="L58" s="15" t="s">
        <v>189</v>
      </c>
      <c r="M58" s="15">
        <v>6</v>
      </c>
      <c r="N58" s="15">
        <v>700</v>
      </c>
      <c r="O58" s="15">
        <v>0</v>
      </c>
      <c r="P58" s="15">
        <v>4200</v>
      </c>
      <c r="Q58" s="15">
        <v>4</v>
      </c>
      <c r="R58" s="15" t="s">
        <v>88</v>
      </c>
      <c r="S58" s="15" t="s">
        <v>49</v>
      </c>
      <c r="T58" s="15" t="s">
        <v>401</v>
      </c>
      <c r="U58" s="17" t="s">
        <v>402</v>
      </c>
      <c r="V58" s="15" t="s">
        <v>69</v>
      </c>
      <c r="W58" t="str">
        <f t="shared" si="0"/>
        <v>Blacklisted</v>
      </c>
      <c r="X58" s="27" t="str">
        <f t="shared" si="1"/>
        <v>Amit Sharma</v>
      </c>
      <c r="Y58" s="29" t="str">
        <f t="shared" si="2"/>
        <v>Ami00IDBe</v>
      </c>
      <c r="Z58" s="30" t="str">
        <f t="shared" si="3"/>
        <v>Invalid Email</v>
      </c>
    </row>
    <row r="59" spans="1:26">
      <c r="A59" s="18" t="s">
        <v>403</v>
      </c>
      <c r="B59" s="18" t="s">
        <v>127</v>
      </c>
      <c r="C59" s="18" t="s">
        <v>259</v>
      </c>
      <c r="D59" s="18" t="s">
        <v>241</v>
      </c>
      <c r="E59" s="18" t="s">
        <v>404</v>
      </c>
      <c r="F59" s="18" t="s">
        <v>200</v>
      </c>
      <c r="G59" s="18" t="s">
        <v>76</v>
      </c>
      <c r="H59" s="18" t="s">
        <v>405</v>
      </c>
      <c r="I59" s="18" t="s">
        <v>44</v>
      </c>
      <c r="J59" s="18" t="s">
        <v>45</v>
      </c>
      <c r="K59" s="18" t="s">
        <v>122</v>
      </c>
      <c r="L59" s="18" t="s">
        <v>263</v>
      </c>
      <c r="M59" s="18">
        <v>18</v>
      </c>
      <c r="N59" s="18">
        <v>45</v>
      </c>
      <c r="O59" s="18">
        <v>5</v>
      </c>
      <c r="P59" s="18">
        <v>769.5</v>
      </c>
      <c r="Q59" s="18">
        <v>1</v>
      </c>
      <c r="R59" s="18" t="s">
        <v>79</v>
      </c>
      <c r="S59" s="18" t="s">
        <v>61</v>
      </c>
      <c r="T59" s="18" t="s">
        <v>132</v>
      </c>
      <c r="U59" s="19" t="s">
        <v>406</v>
      </c>
      <c r="V59" s="18" t="s">
        <v>64</v>
      </c>
      <c r="W59" t="str">
        <f t="shared" si="0"/>
        <v>Blacklisted</v>
      </c>
      <c r="X59" s="27" t="str">
        <f t="shared" si="1"/>
        <v>Rohit Singh</v>
      </c>
      <c r="Y59" s="29" t="str">
        <f t="shared" si="2"/>
        <v>Roh00IDDe</v>
      </c>
      <c r="Z59" s="30" t="str">
        <f t="shared" si="3"/>
        <v>rohit.singh@company.com</v>
      </c>
    </row>
    <row r="60" spans="1:26">
      <c r="A60" s="15" t="s">
        <v>407</v>
      </c>
      <c r="B60" s="15" t="s">
        <v>83</v>
      </c>
      <c r="C60" s="15" t="s">
        <v>222</v>
      </c>
      <c r="D60" s="15" t="s">
        <v>408</v>
      </c>
      <c r="E60" s="15" t="s">
        <v>261</v>
      </c>
      <c r="F60" s="15" t="s">
        <v>180</v>
      </c>
      <c r="G60" s="15" t="s">
        <v>76</v>
      </c>
      <c r="H60" s="15" t="s">
        <v>409</v>
      </c>
      <c r="I60" s="15" t="s">
        <v>212</v>
      </c>
      <c r="J60" s="15" t="s">
        <v>45</v>
      </c>
      <c r="K60" s="15" t="s">
        <v>122</v>
      </c>
      <c r="L60" s="15" t="s">
        <v>227</v>
      </c>
      <c r="M60" s="15">
        <v>8</v>
      </c>
      <c r="N60" s="15">
        <v>20</v>
      </c>
      <c r="O60" s="15">
        <v>5</v>
      </c>
      <c r="P60" s="15">
        <v>152</v>
      </c>
      <c r="Q60" s="15">
        <v>1</v>
      </c>
      <c r="R60" s="15" t="s">
        <v>79</v>
      </c>
      <c r="S60" s="15" t="s">
        <v>35</v>
      </c>
      <c r="T60" s="15" t="s">
        <v>89</v>
      </c>
      <c r="U60" s="17" t="s">
        <v>410</v>
      </c>
      <c r="V60" s="15" t="s">
        <v>411</v>
      </c>
      <c r="W60" t="str">
        <f t="shared" si="0"/>
        <v>Blacklisted</v>
      </c>
      <c r="X60" s="27" t="str">
        <f t="shared" si="1"/>
        <v>Arjun Rao</v>
      </c>
      <c r="Y60" s="29" t="str">
        <f t="shared" si="2"/>
        <v>Arj00IDJa</v>
      </c>
      <c r="Z60" s="30" t="str">
        <f t="shared" si="3"/>
        <v>arjun.rao@company.com</v>
      </c>
    </row>
    <row r="61" spans="1:26">
      <c r="A61" s="18" t="s">
        <v>412</v>
      </c>
      <c r="B61" s="18" t="s">
        <v>221</v>
      </c>
      <c r="C61" s="18" t="s">
        <v>184</v>
      </c>
      <c r="D61" s="18" t="s">
        <v>413</v>
      </c>
      <c r="E61" s="18" t="s">
        <v>414</v>
      </c>
      <c r="F61" s="18" t="s">
        <v>225</v>
      </c>
      <c r="G61" s="18" t="s">
        <v>76</v>
      </c>
      <c r="H61" s="18" t="s">
        <v>415</v>
      </c>
      <c r="I61" s="18" t="s">
        <v>212</v>
      </c>
      <c r="J61" s="18" t="s">
        <v>45</v>
      </c>
      <c r="K61" s="18" t="s">
        <v>46</v>
      </c>
      <c r="L61" s="18" t="s">
        <v>189</v>
      </c>
      <c r="M61" s="18">
        <v>8</v>
      </c>
      <c r="N61" s="18">
        <v>700</v>
      </c>
      <c r="O61" s="18">
        <v>10</v>
      </c>
      <c r="P61" s="18">
        <v>5040</v>
      </c>
      <c r="Q61" s="18">
        <v>1</v>
      </c>
      <c r="R61" s="18" t="s">
        <v>48</v>
      </c>
      <c r="S61" s="18" t="s">
        <v>61</v>
      </c>
      <c r="T61" s="20" t="s">
        <v>416</v>
      </c>
      <c r="U61" s="19" t="s">
        <v>417</v>
      </c>
      <c r="V61" s="18" t="s">
        <v>69</v>
      </c>
      <c r="W61" t="str">
        <f t="shared" si="0"/>
        <v>Blacklisted</v>
      </c>
      <c r="X61" s="27" t="str">
        <f t="shared" si="1"/>
        <v>Vikas Mehta</v>
      </c>
      <c r="Y61" s="29" t="str">
        <f t="shared" si="2"/>
        <v>Vik00IDJa</v>
      </c>
      <c r="Z61" s="30" t="str">
        <f t="shared" si="3"/>
        <v>vikas.mehta@company.com</v>
      </c>
    </row>
    <row r="62" spans="1:26">
      <c r="A62" s="15" t="s">
        <v>418</v>
      </c>
      <c r="B62" s="15" t="s">
        <v>23</v>
      </c>
      <c r="C62" s="15" t="s">
        <v>222</v>
      </c>
      <c r="D62" s="15" t="s">
        <v>223</v>
      </c>
      <c r="E62" s="15" t="s">
        <v>356</v>
      </c>
      <c r="F62" s="15" t="s">
        <v>27</v>
      </c>
      <c r="G62" s="15" t="s">
        <v>28</v>
      </c>
      <c r="H62" s="15" t="s">
        <v>419</v>
      </c>
      <c r="I62" s="15" t="s">
        <v>44</v>
      </c>
      <c r="J62" s="15" t="s">
        <v>45</v>
      </c>
      <c r="K62" s="15" t="s">
        <v>122</v>
      </c>
      <c r="L62" s="15" t="s">
        <v>227</v>
      </c>
      <c r="M62" s="15">
        <v>7</v>
      </c>
      <c r="N62" s="15">
        <v>20</v>
      </c>
      <c r="O62" s="15">
        <v>15</v>
      </c>
      <c r="P62" s="15">
        <v>119</v>
      </c>
      <c r="Q62" s="15">
        <v>5</v>
      </c>
      <c r="R62" s="15" t="s">
        <v>79</v>
      </c>
      <c r="S62" s="15" t="s">
        <v>49</v>
      </c>
      <c r="T62" s="15" t="s">
        <v>50</v>
      </c>
      <c r="U62" s="17" t="s">
        <v>420</v>
      </c>
      <c r="V62" s="15" t="s">
        <v>38</v>
      </c>
      <c r="W62" t="str">
        <f t="shared" si="0"/>
        <v>Silver</v>
      </c>
      <c r="X62" s="27" t="str">
        <f t="shared" si="1"/>
        <v>Kavya Nair</v>
      </c>
      <c r="Y62" s="29" t="str">
        <f t="shared" si="2"/>
        <v>Kav00IDDe</v>
      </c>
      <c r="Z62" s="30" t="str">
        <f t="shared" si="3"/>
        <v>kavya.nair@company.com</v>
      </c>
    </row>
    <row r="63" spans="1:26">
      <c r="A63" s="18" t="s">
        <v>421</v>
      </c>
      <c r="B63" s="18" t="s">
        <v>100</v>
      </c>
      <c r="C63" s="18" t="s">
        <v>222</v>
      </c>
      <c r="D63" s="18" t="s">
        <v>422</v>
      </c>
      <c r="E63" s="18" t="s">
        <v>371</v>
      </c>
      <c r="F63" s="18" t="s">
        <v>103</v>
      </c>
      <c r="G63" s="18" t="s">
        <v>28</v>
      </c>
      <c r="H63" s="18" t="s">
        <v>423</v>
      </c>
      <c r="I63" s="18" t="s">
        <v>114</v>
      </c>
      <c r="J63" s="18" t="s">
        <v>106</v>
      </c>
      <c r="K63" s="18" t="s">
        <v>122</v>
      </c>
      <c r="L63" s="18" t="s">
        <v>227</v>
      </c>
      <c r="M63" s="18">
        <v>16</v>
      </c>
      <c r="N63" s="18">
        <v>20</v>
      </c>
      <c r="O63" s="18">
        <v>0</v>
      </c>
      <c r="P63" s="18">
        <v>320</v>
      </c>
      <c r="Q63" s="18">
        <v>5</v>
      </c>
      <c r="R63" s="18" t="s">
        <v>48</v>
      </c>
      <c r="S63" s="18" t="s">
        <v>61</v>
      </c>
      <c r="T63" s="18" t="s">
        <v>144</v>
      </c>
      <c r="U63" s="19" t="s">
        <v>424</v>
      </c>
      <c r="V63" s="18" t="s">
        <v>64</v>
      </c>
      <c r="W63" t="str">
        <f t="shared" si="0"/>
        <v>Blacklisted</v>
      </c>
      <c r="X63" s="27" t="str">
        <f t="shared" si="1"/>
        <v>Priya Patel</v>
      </c>
      <c r="Y63" s="29" t="str">
        <f t="shared" si="2"/>
        <v>Pri00IDPu</v>
      </c>
      <c r="Z63" s="30" t="str">
        <f t="shared" si="3"/>
        <v>priya.patel@company.com</v>
      </c>
    </row>
    <row r="64" spans="1:26">
      <c r="A64" s="15" t="s">
        <v>425</v>
      </c>
      <c r="B64" s="15" t="s">
        <v>53</v>
      </c>
      <c r="C64" s="15" t="s">
        <v>259</v>
      </c>
      <c r="D64" s="15" t="s">
        <v>426</v>
      </c>
      <c r="E64" s="15" t="s">
        <v>427</v>
      </c>
      <c r="F64" s="15" t="s">
        <v>163</v>
      </c>
      <c r="G64" s="15" t="s">
        <v>28</v>
      </c>
      <c r="H64" s="15" t="s">
        <v>428</v>
      </c>
      <c r="I64" s="15" t="s">
        <v>105</v>
      </c>
      <c r="J64" s="15" t="s">
        <v>106</v>
      </c>
      <c r="K64" s="15" t="s">
        <v>122</v>
      </c>
      <c r="L64" s="15" t="s">
        <v>263</v>
      </c>
      <c r="M64" s="15">
        <v>15</v>
      </c>
      <c r="N64" s="15">
        <v>45</v>
      </c>
      <c r="O64" s="15">
        <v>0</v>
      </c>
      <c r="P64" s="15">
        <v>675</v>
      </c>
      <c r="Q64" s="15">
        <v>4</v>
      </c>
      <c r="R64" s="15" t="s">
        <v>34</v>
      </c>
      <c r="S64" s="15" t="s">
        <v>61</v>
      </c>
      <c r="T64" s="15" t="s">
        <v>62</v>
      </c>
      <c r="U64" s="17" t="s">
        <v>429</v>
      </c>
      <c r="V64" s="15" t="s">
        <v>69</v>
      </c>
      <c r="W64" t="str">
        <f t="shared" si="0"/>
        <v>Blacklisted</v>
      </c>
      <c r="X64" s="27" t="str">
        <f t="shared" si="1"/>
        <v>Pooja Shah</v>
      </c>
      <c r="Y64" s="29" t="str">
        <f t="shared" si="2"/>
        <v>Poo01IDMu</v>
      </c>
      <c r="Z64" s="30" t="str">
        <f t="shared" si="3"/>
        <v>pooja.shah@company.com</v>
      </c>
    </row>
    <row r="65" spans="1:26">
      <c r="A65" s="18" t="s">
        <v>430</v>
      </c>
      <c r="B65" s="18" t="s">
        <v>251</v>
      </c>
      <c r="C65" s="18" t="s">
        <v>184</v>
      </c>
      <c r="D65" s="18" t="s">
        <v>431</v>
      </c>
      <c r="E65" s="18" t="s">
        <v>413</v>
      </c>
      <c r="F65" s="18" t="s">
        <v>254</v>
      </c>
      <c r="G65" s="18" t="s">
        <v>28</v>
      </c>
      <c r="H65" s="18" t="s">
        <v>432</v>
      </c>
      <c r="I65" s="18" t="s">
        <v>138</v>
      </c>
      <c r="J65" s="18" t="s">
        <v>106</v>
      </c>
      <c r="K65" s="18" t="s">
        <v>46</v>
      </c>
      <c r="L65" s="18" t="s">
        <v>189</v>
      </c>
      <c r="M65" s="18">
        <v>15</v>
      </c>
      <c r="N65" s="18">
        <v>700</v>
      </c>
      <c r="O65" s="18">
        <v>10</v>
      </c>
      <c r="P65" s="18">
        <v>9450</v>
      </c>
      <c r="Q65" s="18">
        <v>3</v>
      </c>
      <c r="R65" s="18" t="s">
        <v>48</v>
      </c>
      <c r="S65" s="18" t="s">
        <v>151</v>
      </c>
      <c r="T65" s="18" t="s">
        <v>256</v>
      </c>
      <c r="U65" s="19" t="s">
        <v>433</v>
      </c>
      <c r="V65" s="18" t="s">
        <v>38</v>
      </c>
      <c r="W65" t="str">
        <f t="shared" si="0"/>
        <v>Silver</v>
      </c>
      <c r="X65" s="27" t="str">
        <f t="shared" si="1"/>
        <v>Sneha Joshi</v>
      </c>
      <c r="Y65" s="29" t="str">
        <f t="shared" si="2"/>
        <v>Sne00IDAh</v>
      </c>
      <c r="Z65" s="30" t="str">
        <f t="shared" si="3"/>
        <v>sneha.joshi@company.com</v>
      </c>
    </row>
    <row r="66" spans="1:26">
      <c r="A66" s="15" t="s">
        <v>434</v>
      </c>
      <c r="B66" s="15" t="s">
        <v>53</v>
      </c>
      <c r="C66" s="15" t="s">
        <v>259</v>
      </c>
      <c r="D66" s="15" t="s">
        <v>435</v>
      </c>
      <c r="E66" s="15" t="s">
        <v>436</v>
      </c>
      <c r="F66" s="15" t="s">
        <v>163</v>
      </c>
      <c r="G66" s="15" t="s">
        <v>28</v>
      </c>
      <c r="H66" s="15" t="s">
        <v>437</v>
      </c>
      <c r="I66" s="15" t="s">
        <v>294</v>
      </c>
      <c r="J66" s="15" t="s">
        <v>295</v>
      </c>
      <c r="K66" s="15" t="s">
        <v>122</v>
      </c>
      <c r="L66" s="15" t="s">
        <v>263</v>
      </c>
      <c r="M66" s="15">
        <v>3</v>
      </c>
      <c r="N66" s="15">
        <v>45</v>
      </c>
      <c r="O66" s="15">
        <v>15</v>
      </c>
      <c r="P66" s="15">
        <v>114.75</v>
      </c>
      <c r="Q66" s="15">
        <v>2</v>
      </c>
      <c r="R66" s="15" t="s">
        <v>88</v>
      </c>
      <c r="S66" s="15" t="s">
        <v>115</v>
      </c>
      <c r="T66" s="15" t="s">
        <v>62</v>
      </c>
      <c r="U66" s="17" t="s">
        <v>438</v>
      </c>
      <c r="V66" s="15" t="s">
        <v>64</v>
      </c>
      <c r="W66" t="str">
        <f t="shared" si="0"/>
        <v>Blacklisted</v>
      </c>
      <c r="X66" s="27" t="str">
        <f t="shared" si="1"/>
        <v>Pooja Shah</v>
      </c>
      <c r="Y66" s="29" t="str">
        <f t="shared" si="2"/>
        <v>Poo01IDKo</v>
      </c>
      <c r="Z66" s="30" t="str">
        <f t="shared" si="3"/>
        <v>pooja.shah@company.com</v>
      </c>
    </row>
    <row r="67" spans="1:26">
      <c r="A67" s="18" t="s">
        <v>439</v>
      </c>
      <c r="B67" s="18" t="s">
        <v>100</v>
      </c>
      <c r="C67" s="18" t="s">
        <v>24</v>
      </c>
      <c r="D67" s="18" t="s">
        <v>440</v>
      </c>
      <c r="E67" s="18" t="s">
        <v>441</v>
      </c>
      <c r="F67" s="18" t="s">
        <v>103</v>
      </c>
      <c r="G67" s="18" t="s">
        <v>28</v>
      </c>
      <c r="H67" s="18" t="s">
        <v>442</v>
      </c>
      <c r="I67" s="18" t="s">
        <v>294</v>
      </c>
      <c r="J67" s="18" t="s">
        <v>295</v>
      </c>
      <c r="K67" s="18" t="s">
        <v>32</v>
      </c>
      <c r="L67" s="18" t="s">
        <v>33</v>
      </c>
      <c r="M67" s="18">
        <v>7</v>
      </c>
      <c r="N67" s="18">
        <v>2200</v>
      </c>
      <c r="O67" s="18">
        <v>15</v>
      </c>
      <c r="P67" s="18">
        <v>13090</v>
      </c>
      <c r="Q67" s="18">
        <v>5</v>
      </c>
      <c r="R67" s="18" t="s">
        <v>88</v>
      </c>
      <c r="S67" s="18" t="s">
        <v>115</v>
      </c>
      <c r="T67" s="18" t="s">
        <v>144</v>
      </c>
      <c r="U67" s="19" t="s">
        <v>443</v>
      </c>
      <c r="V67" s="18" t="s">
        <v>38</v>
      </c>
      <c r="W67" t="str">
        <f t="shared" ref="W67:W130" si="4">IF(OR(Q67&lt;=2,V67="Cancelled"),"Blacklisted",IF(AND(P67&gt;=100000,Q67&gt;=4,O67&lt;10,V67="Completed"),"Platinum",IF(AND(P67&gt;=50000,P67&lt;=99999,Q67&gt;=3,V67="Completed"),"Gold",IF(AND(P67&lt;50000,V67="Completed"),"Silver","Blacklisted"))))</f>
        <v>Silver</v>
      </c>
      <c r="X67" s="27" t="str">
        <f t="shared" ref="X67:X130" si="5">PROPER(TRIM(F67))</f>
        <v>Priya Patel</v>
      </c>
      <c r="Y67" s="29" t="str">
        <f t="shared" ref="Y67:Y130" si="6">LEFT(X67,3)&amp;MID(B67,2,2)&amp;"ID"&amp;LEFT(I67,2)</f>
        <v>Pri00IDKo</v>
      </c>
      <c r="Z67" s="30" t="str">
        <f t="shared" ref="Z67:Z130" si="7">IF(ISNUMBER(SEARCH("@",T67)),LOWER(TRIM(T67)),"Invalid Email")</f>
        <v>priya.patel@company.com</v>
      </c>
    </row>
    <row r="68" spans="1:26">
      <c r="A68" s="15" t="s">
        <v>444</v>
      </c>
      <c r="B68" s="15" t="s">
        <v>23</v>
      </c>
      <c r="C68" s="15" t="s">
        <v>259</v>
      </c>
      <c r="D68" s="15" t="s">
        <v>445</v>
      </c>
      <c r="E68" s="15" t="s">
        <v>446</v>
      </c>
      <c r="F68" s="15" t="s">
        <v>27</v>
      </c>
      <c r="G68" s="15" t="s">
        <v>28</v>
      </c>
      <c r="H68" s="15" t="s">
        <v>447</v>
      </c>
      <c r="I68" s="15" t="s">
        <v>44</v>
      </c>
      <c r="J68" s="15" t="s">
        <v>45</v>
      </c>
      <c r="K68" s="15" t="s">
        <v>122</v>
      </c>
      <c r="L68" s="15" t="s">
        <v>263</v>
      </c>
      <c r="M68" s="15">
        <v>19</v>
      </c>
      <c r="N68" s="15">
        <v>45</v>
      </c>
      <c r="O68" s="15">
        <v>10</v>
      </c>
      <c r="P68" s="15">
        <v>769.5</v>
      </c>
      <c r="Q68" s="15">
        <v>5</v>
      </c>
      <c r="R68" s="15" t="s">
        <v>79</v>
      </c>
      <c r="S68" s="15" t="s">
        <v>115</v>
      </c>
      <c r="T68" s="15" t="s">
        <v>50</v>
      </c>
      <c r="U68" s="17" t="s">
        <v>448</v>
      </c>
      <c r="V68" s="15" t="s">
        <v>69</v>
      </c>
      <c r="W68" t="str">
        <f t="shared" si="4"/>
        <v>Blacklisted</v>
      </c>
      <c r="X68" s="27" t="str">
        <f t="shared" si="5"/>
        <v>Kavya Nair</v>
      </c>
      <c r="Y68" s="29" t="str">
        <f t="shared" si="6"/>
        <v>Kav00IDDe</v>
      </c>
      <c r="Z68" s="30" t="str">
        <f t="shared" si="7"/>
        <v>kavya.nair@company.com</v>
      </c>
    </row>
    <row r="69" spans="1:26">
      <c r="A69" s="18" t="s">
        <v>449</v>
      </c>
      <c r="B69" s="18" t="s">
        <v>251</v>
      </c>
      <c r="C69" s="18" t="s">
        <v>92</v>
      </c>
      <c r="D69" s="18" t="s">
        <v>450</v>
      </c>
      <c r="E69" s="18" t="s">
        <v>323</v>
      </c>
      <c r="F69" s="18" t="s">
        <v>254</v>
      </c>
      <c r="G69" s="18" t="s">
        <v>28</v>
      </c>
      <c r="H69" s="18" t="s">
        <v>451</v>
      </c>
      <c r="I69" s="18" t="s">
        <v>30</v>
      </c>
      <c r="J69" s="18" t="s">
        <v>31</v>
      </c>
      <c r="K69" s="18" t="s">
        <v>32</v>
      </c>
      <c r="L69" s="18" t="s">
        <v>97</v>
      </c>
      <c r="M69" s="18">
        <v>7</v>
      </c>
      <c r="N69" s="18">
        <v>3500</v>
      </c>
      <c r="O69" s="18">
        <v>15</v>
      </c>
      <c r="P69" s="18">
        <v>20825</v>
      </c>
      <c r="Q69" s="18">
        <v>1</v>
      </c>
      <c r="R69" s="18" t="s">
        <v>34</v>
      </c>
      <c r="S69" s="18" t="s">
        <v>151</v>
      </c>
      <c r="T69" s="18" t="s">
        <v>256</v>
      </c>
      <c r="U69" s="19" t="s">
        <v>452</v>
      </c>
      <c r="V69" s="18" t="s">
        <v>64</v>
      </c>
      <c r="W69" t="str">
        <f t="shared" si="4"/>
        <v>Blacklisted</v>
      </c>
      <c r="X69" s="27" t="str">
        <f t="shared" si="5"/>
        <v>Sneha Joshi</v>
      </c>
      <c r="Y69" s="29" t="str">
        <f t="shared" si="6"/>
        <v>Sne00IDHy</v>
      </c>
      <c r="Z69" s="30" t="str">
        <f t="shared" si="7"/>
        <v>sneha.joshi@company.com</v>
      </c>
    </row>
    <row r="70" spans="1:26">
      <c r="A70" s="15" t="s">
        <v>453</v>
      </c>
      <c r="B70" s="15" t="s">
        <v>53</v>
      </c>
      <c r="C70" s="15" t="s">
        <v>169</v>
      </c>
      <c r="D70" s="15" t="s">
        <v>454</v>
      </c>
      <c r="E70" s="15" t="s">
        <v>455</v>
      </c>
      <c r="F70" s="15" t="s">
        <v>163</v>
      </c>
      <c r="G70" s="15" t="s">
        <v>28</v>
      </c>
      <c r="H70" s="15" t="s">
        <v>456</v>
      </c>
      <c r="I70" s="15" t="s">
        <v>212</v>
      </c>
      <c r="J70" s="15" t="s">
        <v>45</v>
      </c>
      <c r="K70" s="15" t="s">
        <v>32</v>
      </c>
      <c r="L70" s="15" t="s">
        <v>174</v>
      </c>
      <c r="M70" s="15">
        <v>7</v>
      </c>
      <c r="N70" s="15">
        <v>8500</v>
      </c>
      <c r="O70" s="15">
        <v>20</v>
      </c>
      <c r="P70" s="15">
        <v>47600</v>
      </c>
      <c r="Q70" s="15">
        <v>4</v>
      </c>
      <c r="R70" s="15" t="s">
        <v>48</v>
      </c>
      <c r="S70" s="15" t="s">
        <v>115</v>
      </c>
      <c r="T70" s="15" t="s">
        <v>62</v>
      </c>
      <c r="U70" s="17" t="s">
        <v>457</v>
      </c>
      <c r="V70" s="15" t="s">
        <v>38</v>
      </c>
      <c r="W70" t="str">
        <f t="shared" si="4"/>
        <v>Silver</v>
      </c>
      <c r="X70" s="27" t="str">
        <f t="shared" si="5"/>
        <v>Pooja Shah</v>
      </c>
      <c r="Y70" s="29" t="str">
        <f t="shared" si="6"/>
        <v>Poo01IDJa</v>
      </c>
      <c r="Z70" s="30" t="str">
        <f t="shared" si="7"/>
        <v>pooja.shah@company.com</v>
      </c>
    </row>
    <row r="71" spans="1:26">
      <c r="A71" s="18" t="s">
        <v>458</v>
      </c>
      <c r="B71" s="18" t="s">
        <v>23</v>
      </c>
      <c r="C71" s="18" t="s">
        <v>54</v>
      </c>
      <c r="D71" s="18" t="s">
        <v>366</v>
      </c>
      <c r="E71" s="18" t="s">
        <v>459</v>
      </c>
      <c r="F71" s="18" t="s">
        <v>27</v>
      </c>
      <c r="G71" s="18" t="s">
        <v>28</v>
      </c>
      <c r="H71" s="18" t="s">
        <v>460</v>
      </c>
      <c r="I71" s="18" t="s">
        <v>59</v>
      </c>
      <c r="J71" s="18" t="s">
        <v>31</v>
      </c>
      <c r="K71" s="18" t="s">
        <v>46</v>
      </c>
      <c r="L71" s="18" t="s">
        <v>60</v>
      </c>
      <c r="M71" s="18">
        <v>16</v>
      </c>
      <c r="N71" s="18">
        <v>55000</v>
      </c>
      <c r="O71" s="18">
        <v>10</v>
      </c>
      <c r="P71" s="18">
        <v>792000</v>
      </c>
      <c r="Q71" s="18">
        <v>1</v>
      </c>
      <c r="R71" s="18" t="s">
        <v>79</v>
      </c>
      <c r="S71" s="18" t="s">
        <v>61</v>
      </c>
      <c r="T71" s="18" t="s">
        <v>50</v>
      </c>
      <c r="U71" s="19" t="s">
        <v>461</v>
      </c>
      <c r="V71" s="18" t="s">
        <v>38</v>
      </c>
      <c r="W71" t="str">
        <f t="shared" si="4"/>
        <v>Blacklisted</v>
      </c>
      <c r="X71" s="27" t="str">
        <f t="shared" si="5"/>
        <v>Kavya Nair</v>
      </c>
      <c r="Y71" s="29" t="str">
        <f t="shared" si="6"/>
        <v>Kav00IDBe</v>
      </c>
      <c r="Z71" s="30" t="str">
        <f t="shared" si="7"/>
        <v>kavya.nair@company.com</v>
      </c>
    </row>
    <row r="72" spans="1:26">
      <c r="A72" s="15" t="s">
        <v>462</v>
      </c>
      <c r="B72" s="15" t="s">
        <v>168</v>
      </c>
      <c r="C72" s="15" t="s">
        <v>40</v>
      </c>
      <c r="D72" s="15" t="s">
        <v>463</v>
      </c>
      <c r="E72" s="15" t="s">
        <v>464</v>
      </c>
      <c r="F72" s="15" t="s">
        <v>361</v>
      </c>
      <c r="G72" s="15" t="s">
        <v>28</v>
      </c>
      <c r="H72" s="15" t="s">
        <v>465</v>
      </c>
      <c r="I72" s="15" t="s">
        <v>105</v>
      </c>
      <c r="J72" s="15" t="s">
        <v>106</v>
      </c>
      <c r="K72" s="15" t="s">
        <v>46</v>
      </c>
      <c r="L72" s="15" t="s">
        <v>47</v>
      </c>
      <c r="M72" s="15">
        <v>2</v>
      </c>
      <c r="N72" s="15">
        <v>12000</v>
      </c>
      <c r="O72" s="15">
        <v>20</v>
      </c>
      <c r="P72" s="15">
        <v>19200</v>
      </c>
      <c r="Q72" s="15">
        <v>1</v>
      </c>
      <c r="R72" s="15" t="s">
        <v>34</v>
      </c>
      <c r="S72" s="15" t="s">
        <v>151</v>
      </c>
      <c r="T72" s="16" t="s">
        <v>466</v>
      </c>
      <c r="U72" s="17" t="s">
        <v>467</v>
      </c>
      <c r="V72" s="15" t="s">
        <v>64</v>
      </c>
      <c r="W72" t="str">
        <f t="shared" si="4"/>
        <v>Blacklisted</v>
      </c>
      <c r="X72" s="27" t="str">
        <f t="shared" si="5"/>
        <v>Anita Gupta</v>
      </c>
      <c r="Y72" s="29" t="str">
        <f t="shared" si="6"/>
        <v>Ani00IDMu</v>
      </c>
      <c r="Z72" s="30" t="str">
        <f t="shared" si="7"/>
        <v>anita.gupta@company.com</v>
      </c>
    </row>
    <row r="73" spans="1:26">
      <c r="A73" s="18" t="s">
        <v>468</v>
      </c>
      <c r="B73" s="18" t="s">
        <v>127</v>
      </c>
      <c r="C73" s="18" t="s">
        <v>259</v>
      </c>
      <c r="D73" s="18" t="s">
        <v>469</v>
      </c>
      <c r="E73" s="18" t="s">
        <v>446</v>
      </c>
      <c r="F73" s="18" t="s">
        <v>200</v>
      </c>
      <c r="G73" s="18" t="s">
        <v>76</v>
      </c>
      <c r="H73" s="18" t="s">
        <v>470</v>
      </c>
      <c r="I73" s="18" t="s">
        <v>59</v>
      </c>
      <c r="J73" s="18" t="s">
        <v>31</v>
      </c>
      <c r="K73" s="18" t="s">
        <v>122</v>
      </c>
      <c r="L73" s="18" t="s">
        <v>263</v>
      </c>
      <c r="M73" s="18">
        <v>4</v>
      </c>
      <c r="N73" s="18">
        <v>45</v>
      </c>
      <c r="O73" s="18">
        <v>5</v>
      </c>
      <c r="P73" s="18">
        <v>171</v>
      </c>
      <c r="Q73" s="18">
        <v>1</v>
      </c>
      <c r="R73" s="18" t="s">
        <v>79</v>
      </c>
      <c r="S73" s="18" t="s">
        <v>49</v>
      </c>
      <c r="T73" s="18" t="s">
        <v>132</v>
      </c>
      <c r="U73" s="19" t="s">
        <v>471</v>
      </c>
      <c r="V73" s="18" t="s">
        <v>64</v>
      </c>
      <c r="W73" t="str">
        <f t="shared" si="4"/>
        <v>Blacklisted</v>
      </c>
      <c r="X73" s="27" t="str">
        <f t="shared" si="5"/>
        <v>Rohit Singh</v>
      </c>
      <c r="Y73" s="29" t="str">
        <f t="shared" si="6"/>
        <v>Roh00IDBe</v>
      </c>
      <c r="Z73" s="30" t="str">
        <f t="shared" si="7"/>
        <v>rohit.singh@company.com</v>
      </c>
    </row>
    <row r="74" spans="1:26">
      <c r="A74" s="15" t="s">
        <v>472</v>
      </c>
      <c r="B74" s="15" t="s">
        <v>23</v>
      </c>
      <c r="C74" s="15" t="s">
        <v>72</v>
      </c>
      <c r="D74" s="15" t="s">
        <v>473</v>
      </c>
      <c r="E74" s="15" t="s">
        <v>474</v>
      </c>
      <c r="F74" s="15" t="s">
        <v>27</v>
      </c>
      <c r="G74" s="15" t="s">
        <v>28</v>
      </c>
      <c r="H74" s="15" t="s">
        <v>475</v>
      </c>
      <c r="I74" s="15" t="s">
        <v>212</v>
      </c>
      <c r="J74" s="15" t="s">
        <v>45</v>
      </c>
      <c r="K74" s="15" t="s">
        <v>46</v>
      </c>
      <c r="L74" s="15" t="s">
        <v>78</v>
      </c>
      <c r="M74" s="15">
        <v>1</v>
      </c>
      <c r="N74" s="15">
        <v>1200</v>
      </c>
      <c r="O74" s="15">
        <v>5</v>
      </c>
      <c r="P74" s="15">
        <v>1140</v>
      </c>
      <c r="Q74" s="15">
        <v>3</v>
      </c>
      <c r="R74" s="15" t="s">
        <v>88</v>
      </c>
      <c r="S74" s="15" t="s">
        <v>61</v>
      </c>
      <c r="T74" s="15" t="s">
        <v>50</v>
      </c>
      <c r="U74" s="17" t="s">
        <v>476</v>
      </c>
      <c r="V74" s="15" t="s">
        <v>69</v>
      </c>
      <c r="W74" t="str">
        <f t="shared" si="4"/>
        <v>Blacklisted</v>
      </c>
      <c r="X74" s="27" t="str">
        <f t="shared" si="5"/>
        <v>Kavya Nair</v>
      </c>
      <c r="Y74" s="29" t="str">
        <f t="shared" si="6"/>
        <v>Kav00IDJa</v>
      </c>
      <c r="Z74" s="30" t="str">
        <f t="shared" si="7"/>
        <v>kavya.nair@company.com</v>
      </c>
    </row>
    <row r="75" spans="1:26">
      <c r="A75" s="18" t="s">
        <v>477</v>
      </c>
      <c r="B75" s="18" t="s">
        <v>53</v>
      </c>
      <c r="C75" s="18" t="s">
        <v>24</v>
      </c>
      <c r="D75" s="18" t="s">
        <v>478</v>
      </c>
      <c r="E75" s="18" t="s">
        <v>479</v>
      </c>
      <c r="F75" s="18" t="s">
        <v>163</v>
      </c>
      <c r="G75" s="18" t="s">
        <v>28</v>
      </c>
      <c r="H75" s="18" t="s">
        <v>480</v>
      </c>
      <c r="I75" s="18"/>
      <c r="J75" s="18" t="s">
        <v>31</v>
      </c>
      <c r="K75" s="18" t="s">
        <v>32</v>
      </c>
      <c r="L75" s="18" t="s">
        <v>33</v>
      </c>
      <c r="M75" s="18">
        <v>1</v>
      </c>
      <c r="N75" s="18">
        <v>2200</v>
      </c>
      <c r="O75" s="18">
        <v>15</v>
      </c>
      <c r="P75" s="18">
        <v>1870</v>
      </c>
      <c r="Q75" s="18">
        <v>4</v>
      </c>
      <c r="R75" s="18" t="s">
        <v>79</v>
      </c>
      <c r="S75" s="18" t="s">
        <v>61</v>
      </c>
      <c r="T75" s="18" t="s">
        <v>62</v>
      </c>
      <c r="U75" s="19" t="s">
        <v>481</v>
      </c>
      <c r="V75" s="18" t="s">
        <v>38</v>
      </c>
      <c r="W75" t="str">
        <f t="shared" si="4"/>
        <v>Silver</v>
      </c>
      <c r="X75" s="27" t="str">
        <f t="shared" si="5"/>
        <v>Pooja Shah</v>
      </c>
      <c r="Y75" s="29" t="str">
        <f t="shared" si="6"/>
        <v>Poo01ID</v>
      </c>
      <c r="Z75" s="30" t="str">
        <f t="shared" si="7"/>
        <v>pooja.shah@company.com</v>
      </c>
    </row>
    <row r="76" spans="1:26">
      <c r="A76" s="15" t="s">
        <v>482</v>
      </c>
      <c r="B76" s="15" t="s">
        <v>127</v>
      </c>
      <c r="C76" s="15" t="s">
        <v>72</v>
      </c>
      <c r="D76" s="15" t="s">
        <v>483</v>
      </c>
      <c r="E76" s="15" t="s">
        <v>484</v>
      </c>
      <c r="F76" s="15" t="s">
        <v>200</v>
      </c>
      <c r="G76" s="15" t="s">
        <v>76</v>
      </c>
      <c r="H76" s="15" t="s">
        <v>485</v>
      </c>
      <c r="I76" s="15" t="s">
        <v>114</v>
      </c>
      <c r="J76" s="15" t="s">
        <v>106</v>
      </c>
      <c r="K76" s="15" t="s">
        <v>46</v>
      </c>
      <c r="L76" s="15" t="s">
        <v>78</v>
      </c>
      <c r="M76" s="15">
        <v>3</v>
      </c>
      <c r="N76" s="15">
        <v>1200</v>
      </c>
      <c r="O76" s="15">
        <v>10</v>
      </c>
      <c r="P76" s="15">
        <v>3240</v>
      </c>
      <c r="Q76" s="15">
        <v>5</v>
      </c>
      <c r="R76" s="15" t="s">
        <v>34</v>
      </c>
      <c r="S76" s="15" t="s">
        <v>49</v>
      </c>
      <c r="T76" s="15" t="s">
        <v>132</v>
      </c>
      <c r="U76" s="17" t="s">
        <v>486</v>
      </c>
      <c r="V76" s="15" t="s">
        <v>38</v>
      </c>
      <c r="W76" t="str">
        <f t="shared" si="4"/>
        <v>Silver</v>
      </c>
      <c r="X76" s="27" t="str">
        <f t="shared" si="5"/>
        <v>Rohit Singh</v>
      </c>
      <c r="Y76" s="29" t="str">
        <f t="shared" si="6"/>
        <v>Roh00IDPu</v>
      </c>
      <c r="Z76" s="30" t="str">
        <f t="shared" si="7"/>
        <v>rohit.singh@company.com</v>
      </c>
    </row>
    <row r="77" spans="1:26">
      <c r="A77" s="18" t="s">
        <v>487</v>
      </c>
      <c r="B77" s="18" t="s">
        <v>23</v>
      </c>
      <c r="C77" s="18" t="s">
        <v>92</v>
      </c>
      <c r="D77" s="18" t="s">
        <v>488</v>
      </c>
      <c r="E77" s="18" t="s">
        <v>489</v>
      </c>
      <c r="F77" s="18" t="s">
        <v>27</v>
      </c>
      <c r="G77" s="18" t="s">
        <v>28</v>
      </c>
      <c r="H77" s="18" t="s">
        <v>490</v>
      </c>
      <c r="I77" s="18" t="s">
        <v>59</v>
      </c>
      <c r="J77" s="18" t="s">
        <v>31</v>
      </c>
      <c r="K77" s="18" t="s">
        <v>32</v>
      </c>
      <c r="L77" s="18" t="s">
        <v>97</v>
      </c>
      <c r="M77" s="18">
        <v>10</v>
      </c>
      <c r="N77" s="18">
        <v>3500</v>
      </c>
      <c r="O77" s="18">
        <v>20</v>
      </c>
      <c r="P77" s="18">
        <v>28000</v>
      </c>
      <c r="Q77" s="18">
        <v>5</v>
      </c>
      <c r="R77" s="18" t="s">
        <v>79</v>
      </c>
      <c r="S77" s="18" t="s">
        <v>35</v>
      </c>
      <c r="T77" s="18" t="s">
        <v>50</v>
      </c>
      <c r="U77" s="19" t="s">
        <v>491</v>
      </c>
      <c r="V77" s="18" t="s">
        <v>38</v>
      </c>
      <c r="W77" t="str">
        <f t="shared" si="4"/>
        <v>Silver</v>
      </c>
      <c r="X77" s="27" t="str">
        <f t="shared" si="5"/>
        <v>Kavya Nair</v>
      </c>
      <c r="Y77" s="29" t="str">
        <f t="shared" si="6"/>
        <v>Kav00IDBe</v>
      </c>
      <c r="Z77" s="30" t="str">
        <f t="shared" si="7"/>
        <v>kavya.nair@company.com</v>
      </c>
    </row>
    <row r="78" spans="1:26">
      <c r="A78" s="15" t="s">
        <v>492</v>
      </c>
      <c r="B78" s="15" t="s">
        <v>83</v>
      </c>
      <c r="C78" s="15" t="s">
        <v>184</v>
      </c>
      <c r="D78" s="15" t="s">
        <v>493</v>
      </c>
      <c r="E78" s="15" t="s">
        <v>404</v>
      </c>
      <c r="F78" s="15" t="s">
        <v>180</v>
      </c>
      <c r="G78" s="15" t="s">
        <v>76</v>
      </c>
      <c r="H78" s="15" t="s">
        <v>494</v>
      </c>
      <c r="I78" s="15" t="s">
        <v>44</v>
      </c>
      <c r="J78" s="15" t="s">
        <v>45</v>
      </c>
      <c r="K78" s="15" t="s">
        <v>46</v>
      </c>
      <c r="L78" s="15" t="s">
        <v>189</v>
      </c>
      <c r="M78" s="15">
        <v>18</v>
      </c>
      <c r="N78" s="15">
        <v>700</v>
      </c>
      <c r="O78" s="15">
        <v>5</v>
      </c>
      <c r="P78" s="15">
        <v>11970</v>
      </c>
      <c r="Q78" s="15">
        <v>3</v>
      </c>
      <c r="R78" s="15" t="s">
        <v>79</v>
      </c>
      <c r="S78" s="15" t="s">
        <v>115</v>
      </c>
      <c r="T78" s="15" t="s">
        <v>89</v>
      </c>
      <c r="U78" s="17" t="s">
        <v>495</v>
      </c>
      <c r="V78" s="15" t="s">
        <v>69</v>
      </c>
      <c r="W78" t="str">
        <f t="shared" si="4"/>
        <v>Blacklisted</v>
      </c>
      <c r="X78" s="27" t="str">
        <f t="shared" si="5"/>
        <v>Arjun Rao</v>
      </c>
      <c r="Y78" s="29" t="str">
        <f t="shared" si="6"/>
        <v>Arj00IDDe</v>
      </c>
      <c r="Z78" s="30" t="str">
        <f t="shared" si="7"/>
        <v>arjun.rao@company.com</v>
      </c>
    </row>
    <row r="79" spans="1:26">
      <c r="A79" s="18" t="s">
        <v>496</v>
      </c>
      <c r="B79" s="18" t="s">
        <v>221</v>
      </c>
      <c r="C79" s="18" t="s">
        <v>184</v>
      </c>
      <c r="D79" s="18" t="s">
        <v>497</v>
      </c>
      <c r="E79" s="18" t="s">
        <v>498</v>
      </c>
      <c r="F79" s="18" t="s">
        <v>225</v>
      </c>
      <c r="G79" s="18" t="s">
        <v>76</v>
      </c>
      <c r="H79" s="18" t="s">
        <v>499</v>
      </c>
      <c r="I79" s="18" t="s">
        <v>59</v>
      </c>
      <c r="J79" s="18" t="s">
        <v>31</v>
      </c>
      <c r="K79" s="18" t="s">
        <v>46</v>
      </c>
      <c r="L79" s="18" t="s">
        <v>189</v>
      </c>
      <c r="M79" s="18">
        <v>12</v>
      </c>
      <c r="N79" s="18">
        <v>700</v>
      </c>
      <c r="O79" s="18">
        <v>15</v>
      </c>
      <c r="P79" s="18">
        <v>7140</v>
      </c>
      <c r="Q79" s="18">
        <v>2</v>
      </c>
      <c r="R79" s="18" t="s">
        <v>88</v>
      </c>
      <c r="S79" s="18" t="s">
        <v>49</v>
      </c>
      <c r="T79" s="18" t="s">
        <v>228</v>
      </c>
      <c r="U79" s="19" t="s">
        <v>500</v>
      </c>
      <c r="V79" s="18" t="s">
        <v>38</v>
      </c>
      <c r="W79" t="str">
        <f t="shared" si="4"/>
        <v>Blacklisted</v>
      </c>
      <c r="X79" s="27" t="str">
        <f t="shared" si="5"/>
        <v>Vikas Mehta</v>
      </c>
      <c r="Y79" s="29" t="str">
        <f t="shared" si="6"/>
        <v>Vik00IDBe</v>
      </c>
      <c r="Z79" s="30" t="str">
        <f t="shared" si="7"/>
        <v>vikas.mehta@company.com</v>
      </c>
    </row>
    <row r="80" spans="1:26">
      <c r="A80" s="15" t="s">
        <v>501</v>
      </c>
      <c r="B80" s="15" t="s">
        <v>71</v>
      </c>
      <c r="C80" s="15" t="s">
        <v>72</v>
      </c>
      <c r="D80" s="15" t="s">
        <v>502</v>
      </c>
      <c r="E80" s="15" t="s">
        <v>503</v>
      </c>
      <c r="F80" s="15" t="s">
        <v>217</v>
      </c>
      <c r="G80" s="15" t="s">
        <v>76</v>
      </c>
      <c r="H80" s="15" t="s">
        <v>504</v>
      </c>
      <c r="I80" s="15" t="s">
        <v>105</v>
      </c>
      <c r="J80" s="15" t="s">
        <v>106</v>
      </c>
      <c r="K80" s="15" t="s">
        <v>46</v>
      </c>
      <c r="L80" s="15" t="s">
        <v>78</v>
      </c>
      <c r="M80" s="15">
        <v>8</v>
      </c>
      <c r="N80" s="15">
        <v>1200</v>
      </c>
      <c r="O80" s="15">
        <v>0</v>
      </c>
      <c r="P80" s="15">
        <v>9600</v>
      </c>
      <c r="Q80" s="15">
        <v>4</v>
      </c>
      <c r="R80" s="15" t="s">
        <v>79</v>
      </c>
      <c r="S80" s="15" t="s">
        <v>49</v>
      </c>
      <c r="T80" s="15" t="s">
        <v>80</v>
      </c>
      <c r="U80" s="17" t="s">
        <v>505</v>
      </c>
      <c r="V80" s="15" t="s">
        <v>64</v>
      </c>
      <c r="W80" t="str">
        <f t="shared" si="4"/>
        <v>Blacklisted</v>
      </c>
      <c r="X80" s="27" t="str">
        <f t="shared" si="5"/>
        <v>Mohit Verma</v>
      </c>
      <c r="Y80" s="29" t="str">
        <f t="shared" si="6"/>
        <v>Moh00IDMu</v>
      </c>
      <c r="Z80" s="30" t="str">
        <f t="shared" si="7"/>
        <v>mohit.verma@company.com</v>
      </c>
    </row>
    <row r="81" spans="1:26">
      <c r="A81" s="18" t="s">
        <v>506</v>
      </c>
      <c r="B81" s="18" t="s">
        <v>127</v>
      </c>
      <c r="C81" s="18" t="s">
        <v>118</v>
      </c>
      <c r="D81" s="18" t="s">
        <v>507</v>
      </c>
      <c r="E81" s="18" t="s">
        <v>508</v>
      </c>
      <c r="F81" s="18" t="s">
        <v>200</v>
      </c>
      <c r="G81" s="18" t="s">
        <v>76</v>
      </c>
      <c r="H81" s="18" t="s">
        <v>509</v>
      </c>
      <c r="I81" s="18" t="s">
        <v>114</v>
      </c>
      <c r="J81" s="18" t="s">
        <v>106</v>
      </c>
      <c r="K81" s="18" t="s">
        <v>122</v>
      </c>
      <c r="L81" s="18" t="s">
        <v>123</v>
      </c>
      <c r="M81" s="18">
        <v>2</v>
      </c>
      <c r="N81" s="18">
        <v>60</v>
      </c>
      <c r="O81" s="18">
        <v>0</v>
      </c>
      <c r="P81" s="18">
        <v>120</v>
      </c>
      <c r="Q81" s="18">
        <v>2</v>
      </c>
      <c r="R81" s="18" t="s">
        <v>88</v>
      </c>
      <c r="S81" s="18" t="s">
        <v>49</v>
      </c>
      <c r="T81" s="18" t="s">
        <v>132</v>
      </c>
      <c r="U81" s="19" t="s">
        <v>510</v>
      </c>
      <c r="V81" s="18" t="s">
        <v>38</v>
      </c>
      <c r="W81" t="str">
        <f t="shared" si="4"/>
        <v>Blacklisted</v>
      </c>
      <c r="X81" s="27" t="str">
        <f t="shared" si="5"/>
        <v>Rohit Singh</v>
      </c>
      <c r="Y81" s="29" t="str">
        <f t="shared" si="6"/>
        <v>Roh00IDPu</v>
      </c>
      <c r="Z81" s="30" t="str">
        <f t="shared" si="7"/>
        <v>rohit.singh@company.com</v>
      </c>
    </row>
    <row r="82" spans="1:26">
      <c r="A82" s="15" t="s">
        <v>511</v>
      </c>
      <c r="B82" s="15" t="s">
        <v>327</v>
      </c>
      <c r="C82" s="15" t="s">
        <v>259</v>
      </c>
      <c r="D82" s="15" t="s">
        <v>512</v>
      </c>
      <c r="E82" s="15" t="s">
        <v>513</v>
      </c>
      <c r="F82" s="15" t="s">
        <v>394</v>
      </c>
      <c r="G82" s="15" t="s">
        <v>76</v>
      </c>
      <c r="H82" s="15" t="s">
        <v>514</v>
      </c>
      <c r="I82" s="15" t="s">
        <v>114</v>
      </c>
      <c r="J82" s="15" t="s">
        <v>106</v>
      </c>
      <c r="K82" s="15" t="s">
        <v>122</v>
      </c>
      <c r="L82" s="15" t="s">
        <v>263</v>
      </c>
      <c r="M82" s="15">
        <v>10</v>
      </c>
      <c r="N82" s="15">
        <v>45</v>
      </c>
      <c r="O82" s="15">
        <v>15</v>
      </c>
      <c r="P82" s="15">
        <v>382.5</v>
      </c>
      <c r="Q82" s="15">
        <v>3</v>
      </c>
      <c r="R82" s="15" t="s">
        <v>48</v>
      </c>
      <c r="S82" s="15" t="s">
        <v>35</v>
      </c>
      <c r="T82" s="15" t="s">
        <v>332</v>
      </c>
      <c r="U82" s="17" t="s">
        <v>515</v>
      </c>
      <c r="V82" s="15" t="s">
        <v>69</v>
      </c>
      <c r="W82" t="str">
        <f t="shared" si="4"/>
        <v>Blacklisted</v>
      </c>
      <c r="X82" s="27" t="str">
        <f t="shared" si="5"/>
        <v>Amit Sharma</v>
      </c>
      <c r="Y82" s="29" t="str">
        <f t="shared" si="6"/>
        <v>Ami00IDPu</v>
      </c>
      <c r="Z82" s="30" t="str">
        <f t="shared" si="7"/>
        <v>amit.sharma@company.com</v>
      </c>
    </row>
    <row r="83" spans="1:26">
      <c r="A83" s="18" t="s">
        <v>516</v>
      </c>
      <c r="B83" s="18" t="s">
        <v>221</v>
      </c>
      <c r="C83" s="18" t="s">
        <v>92</v>
      </c>
      <c r="D83" s="18" t="s">
        <v>517</v>
      </c>
      <c r="E83" s="18" t="s">
        <v>518</v>
      </c>
      <c r="F83" s="18" t="s">
        <v>225</v>
      </c>
      <c r="G83" s="18" t="s">
        <v>76</v>
      </c>
      <c r="H83" s="18" t="s">
        <v>519</v>
      </c>
      <c r="I83" s="18" t="s">
        <v>294</v>
      </c>
      <c r="J83" s="18" t="s">
        <v>295</v>
      </c>
      <c r="K83" s="18" t="s">
        <v>32</v>
      </c>
      <c r="L83" s="18" t="s">
        <v>97</v>
      </c>
      <c r="M83" s="18">
        <v>12</v>
      </c>
      <c r="N83" s="18">
        <v>3500</v>
      </c>
      <c r="O83" s="18">
        <v>5</v>
      </c>
      <c r="P83" s="18">
        <v>39900</v>
      </c>
      <c r="Q83" s="18">
        <v>3</v>
      </c>
      <c r="R83" s="18" t="s">
        <v>48</v>
      </c>
      <c r="S83" s="18" t="s">
        <v>61</v>
      </c>
      <c r="T83" s="18" t="s">
        <v>228</v>
      </c>
      <c r="U83" s="19" t="s">
        <v>520</v>
      </c>
      <c r="V83" s="18" t="s">
        <v>64</v>
      </c>
      <c r="W83" t="str">
        <f t="shared" si="4"/>
        <v>Blacklisted</v>
      </c>
      <c r="X83" s="27" t="str">
        <f t="shared" si="5"/>
        <v>Vikas Mehta</v>
      </c>
      <c r="Y83" s="29" t="str">
        <f t="shared" si="6"/>
        <v>Vik00IDKo</v>
      </c>
      <c r="Z83" s="30" t="str">
        <f t="shared" si="7"/>
        <v>vikas.mehta@company.com</v>
      </c>
    </row>
    <row r="84" spans="1:26">
      <c r="A84" s="15" t="s">
        <v>521</v>
      </c>
      <c r="B84" s="15" t="s">
        <v>127</v>
      </c>
      <c r="C84" s="15" t="s">
        <v>118</v>
      </c>
      <c r="D84" s="15" t="s">
        <v>128</v>
      </c>
      <c r="E84" s="15" t="s">
        <v>73</v>
      </c>
      <c r="F84" s="15" t="s">
        <v>200</v>
      </c>
      <c r="G84" s="15" t="s">
        <v>76</v>
      </c>
      <c r="H84" s="15" t="s">
        <v>522</v>
      </c>
      <c r="I84" s="15" t="s">
        <v>105</v>
      </c>
      <c r="J84" s="15" t="s">
        <v>106</v>
      </c>
      <c r="K84" s="15" t="s">
        <v>122</v>
      </c>
      <c r="L84" s="15" t="s">
        <v>123</v>
      </c>
      <c r="M84" s="15">
        <v>2</v>
      </c>
      <c r="N84" s="15">
        <v>60</v>
      </c>
      <c r="O84" s="15">
        <v>15</v>
      </c>
      <c r="P84" s="15">
        <v>102</v>
      </c>
      <c r="Q84" s="15">
        <v>1</v>
      </c>
      <c r="R84" s="15" t="s">
        <v>88</v>
      </c>
      <c r="S84" s="15" t="s">
        <v>115</v>
      </c>
      <c r="T84" s="15" t="s">
        <v>132</v>
      </c>
      <c r="U84" s="17" t="s">
        <v>523</v>
      </c>
      <c r="V84" s="15" t="s">
        <v>38</v>
      </c>
      <c r="W84" t="str">
        <f t="shared" si="4"/>
        <v>Blacklisted</v>
      </c>
      <c r="X84" s="27" t="str">
        <f t="shared" si="5"/>
        <v>Rohit Singh</v>
      </c>
      <c r="Y84" s="29" t="str">
        <f t="shared" si="6"/>
        <v>Roh00IDMu</v>
      </c>
      <c r="Z84" s="30" t="str">
        <f t="shared" si="7"/>
        <v>rohit.singh@company.com</v>
      </c>
    </row>
    <row r="85" spans="1:26">
      <c r="A85" s="18" t="s">
        <v>524</v>
      </c>
      <c r="B85" s="18" t="s">
        <v>127</v>
      </c>
      <c r="C85" s="18" t="s">
        <v>72</v>
      </c>
      <c r="D85" s="18" t="s">
        <v>525</v>
      </c>
      <c r="E85" s="18" t="s">
        <v>526</v>
      </c>
      <c r="F85" s="18" t="s">
        <v>200</v>
      </c>
      <c r="G85" s="18" t="s">
        <v>76</v>
      </c>
      <c r="H85" s="18" t="s">
        <v>527</v>
      </c>
      <c r="I85" s="18" t="s">
        <v>30</v>
      </c>
      <c r="J85" s="18" t="s">
        <v>31</v>
      </c>
      <c r="K85" s="18" t="s">
        <v>46</v>
      </c>
      <c r="L85" s="18" t="s">
        <v>78</v>
      </c>
      <c r="M85" s="18">
        <v>18</v>
      </c>
      <c r="N85" s="18">
        <v>1200</v>
      </c>
      <c r="O85" s="18">
        <v>15</v>
      </c>
      <c r="P85" s="18">
        <v>18360</v>
      </c>
      <c r="Q85" s="18">
        <v>3</v>
      </c>
      <c r="R85" s="18" t="s">
        <v>79</v>
      </c>
      <c r="S85" s="18" t="s">
        <v>115</v>
      </c>
      <c r="T85" s="18" t="s">
        <v>132</v>
      </c>
      <c r="U85" s="19" t="s">
        <v>528</v>
      </c>
      <c r="V85" s="18" t="s">
        <v>64</v>
      </c>
      <c r="W85" t="str">
        <f t="shared" si="4"/>
        <v>Blacklisted</v>
      </c>
      <c r="X85" s="27" t="str">
        <f t="shared" si="5"/>
        <v>Rohit Singh</v>
      </c>
      <c r="Y85" s="29" t="str">
        <f t="shared" si="6"/>
        <v>Roh00IDHy</v>
      </c>
      <c r="Z85" s="30" t="str">
        <f t="shared" si="7"/>
        <v>rohit.singh@company.com</v>
      </c>
    </row>
    <row r="86" spans="1:26">
      <c r="A86" s="15" t="s">
        <v>529</v>
      </c>
      <c r="B86" s="15" t="s">
        <v>23</v>
      </c>
      <c r="C86" s="15" t="s">
        <v>40</v>
      </c>
      <c r="D86" s="15" t="s">
        <v>530</v>
      </c>
      <c r="E86" s="15" t="s">
        <v>531</v>
      </c>
      <c r="F86" s="15" t="s">
        <v>27</v>
      </c>
      <c r="G86" s="15" t="s">
        <v>28</v>
      </c>
      <c r="H86" s="15" t="s">
        <v>532</v>
      </c>
      <c r="I86" s="15" t="s">
        <v>105</v>
      </c>
      <c r="J86" s="15" t="s">
        <v>106</v>
      </c>
      <c r="K86" s="15" t="s">
        <v>46</v>
      </c>
      <c r="L86" s="15" t="s">
        <v>47</v>
      </c>
      <c r="M86" s="15">
        <v>18</v>
      </c>
      <c r="N86" s="15">
        <v>12000</v>
      </c>
      <c r="O86" s="15">
        <v>15</v>
      </c>
      <c r="P86" s="15">
        <v>183600</v>
      </c>
      <c r="Q86" s="15">
        <v>2</v>
      </c>
      <c r="R86" s="15" t="s">
        <v>34</v>
      </c>
      <c r="S86" s="15" t="s">
        <v>49</v>
      </c>
      <c r="T86" s="15" t="s">
        <v>50</v>
      </c>
      <c r="U86" s="17" t="s">
        <v>533</v>
      </c>
      <c r="V86" s="15" t="s">
        <v>38</v>
      </c>
      <c r="W86" t="str">
        <f t="shared" si="4"/>
        <v>Blacklisted</v>
      </c>
      <c r="X86" s="27" t="str">
        <f t="shared" si="5"/>
        <v>Kavya Nair</v>
      </c>
      <c r="Y86" s="29" t="str">
        <f t="shared" si="6"/>
        <v>Kav00IDMu</v>
      </c>
      <c r="Z86" s="30" t="str">
        <f t="shared" si="7"/>
        <v>kavya.nair@company.com</v>
      </c>
    </row>
    <row r="87" spans="1:26">
      <c r="A87" s="18" t="s">
        <v>534</v>
      </c>
      <c r="B87" s="18" t="s">
        <v>83</v>
      </c>
      <c r="C87" s="18" t="s">
        <v>222</v>
      </c>
      <c r="D87" s="18" t="s">
        <v>531</v>
      </c>
      <c r="E87" s="18" t="s">
        <v>535</v>
      </c>
      <c r="F87" s="18" t="s">
        <v>180</v>
      </c>
      <c r="G87" s="18" t="s">
        <v>76</v>
      </c>
      <c r="H87" s="18" t="s">
        <v>536</v>
      </c>
      <c r="I87" s="18" t="s">
        <v>138</v>
      </c>
      <c r="J87" s="18" t="s">
        <v>106</v>
      </c>
      <c r="K87" s="18" t="s">
        <v>122</v>
      </c>
      <c r="L87" s="18" t="s">
        <v>227</v>
      </c>
      <c r="M87" s="18">
        <v>7</v>
      </c>
      <c r="N87" s="18">
        <v>20</v>
      </c>
      <c r="O87" s="18">
        <v>0</v>
      </c>
      <c r="P87" s="18">
        <v>140</v>
      </c>
      <c r="Q87" s="18">
        <v>2</v>
      </c>
      <c r="R87" s="18" t="s">
        <v>79</v>
      </c>
      <c r="S87" s="18" t="s">
        <v>35</v>
      </c>
      <c r="T87" s="18" t="s">
        <v>89</v>
      </c>
      <c r="U87" s="19" t="s">
        <v>537</v>
      </c>
      <c r="V87" s="18" t="s">
        <v>69</v>
      </c>
      <c r="W87" t="str">
        <f t="shared" si="4"/>
        <v>Blacklisted</v>
      </c>
      <c r="X87" s="27" t="str">
        <f t="shared" si="5"/>
        <v>Arjun Rao</v>
      </c>
      <c r="Y87" s="29" t="str">
        <f t="shared" si="6"/>
        <v>Arj00IDAh</v>
      </c>
      <c r="Z87" s="30" t="str">
        <f t="shared" si="7"/>
        <v>arjun.rao@company.com</v>
      </c>
    </row>
    <row r="88" spans="1:26">
      <c r="A88" s="15" t="s">
        <v>538</v>
      </c>
      <c r="B88" s="15" t="s">
        <v>251</v>
      </c>
      <c r="C88" s="15" t="s">
        <v>92</v>
      </c>
      <c r="D88" s="15" t="s">
        <v>459</v>
      </c>
      <c r="E88" s="15" t="s">
        <v>539</v>
      </c>
      <c r="F88" s="15" t="s">
        <v>254</v>
      </c>
      <c r="G88" s="15" t="s">
        <v>28</v>
      </c>
      <c r="H88" s="15" t="s">
        <v>540</v>
      </c>
      <c r="I88" s="15" t="s">
        <v>114</v>
      </c>
      <c r="J88" s="15" t="s">
        <v>106</v>
      </c>
      <c r="K88" s="15" t="s">
        <v>32</v>
      </c>
      <c r="L88" s="15" t="s">
        <v>97</v>
      </c>
      <c r="M88" s="15">
        <v>20</v>
      </c>
      <c r="N88" s="15">
        <v>3500</v>
      </c>
      <c r="O88" s="15">
        <v>20</v>
      </c>
      <c r="P88" s="15">
        <v>56000</v>
      </c>
      <c r="Q88" s="15">
        <v>4</v>
      </c>
      <c r="R88" s="15" t="s">
        <v>79</v>
      </c>
      <c r="S88" s="15" t="s">
        <v>115</v>
      </c>
      <c r="T88" s="15" t="s">
        <v>256</v>
      </c>
      <c r="U88" s="17" t="s">
        <v>541</v>
      </c>
      <c r="V88" s="15" t="s">
        <v>64</v>
      </c>
      <c r="W88" t="str">
        <f t="shared" si="4"/>
        <v>Blacklisted</v>
      </c>
      <c r="X88" s="27" t="str">
        <f t="shared" si="5"/>
        <v>Sneha Joshi</v>
      </c>
      <c r="Y88" s="29" t="str">
        <f t="shared" si="6"/>
        <v>Sne00IDPu</v>
      </c>
      <c r="Z88" s="30" t="str">
        <f t="shared" si="7"/>
        <v>sneha.joshi@company.com</v>
      </c>
    </row>
    <row r="89" spans="1:26">
      <c r="A89" s="18" t="s">
        <v>542</v>
      </c>
      <c r="B89" s="18" t="s">
        <v>100</v>
      </c>
      <c r="C89" s="18" t="s">
        <v>169</v>
      </c>
      <c r="D89" s="18" t="s">
        <v>543</v>
      </c>
      <c r="E89" s="18" t="s">
        <v>544</v>
      </c>
      <c r="F89" s="18" t="s">
        <v>103</v>
      </c>
      <c r="G89" s="18" t="s">
        <v>28</v>
      </c>
      <c r="H89" s="18" t="s">
        <v>545</v>
      </c>
      <c r="I89" s="18" t="s">
        <v>138</v>
      </c>
      <c r="J89" s="18" t="s">
        <v>106</v>
      </c>
      <c r="K89" s="18" t="s">
        <v>32</v>
      </c>
      <c r="L89" s="18" t="s">
        <v>174</v>
      </c>
      <c r="M89" s="18">
        <v>8</v>
      </c>
      <c r="N89" s="18">
        <v>8500</v>
      </c>
      <c r="O89" s="18">
        <v>20</v>
      </c>
      <c r="P89" s="18">
        <v>54400</v>
      </c>
      <c r="Q89" s="18">
        <v>3</v>
      </c>
      <c r="R89" s="18" t="s">
        <v>79</v>
      </c>
      <c r="S89" s="18" t="s">
        <v>115</v>
      </c>
      <c r="T89" s="18" t="s">
        <v>144</v>
      </c>
      <c r="U89" s="19" t="s">
        <v>546</v>
      </c>
      <c r="V89" s="18" t="s">
        <v>64</v>
      </c>
      <c r="W89" t="str">
        <f t="shared" si="4"/>
        <v>Blacklisted</v>
      </c>
      <c r="X89" s="27" t="str">
        <f t="shared" si="5"/>
        <v>Priya Patel</v>
      </c>
      <c r="Y89" s="29" t="str">
        <f t="shared" si="6"/>
        <v>Pri00IDAh</v>
      </c>
      <c r="Z89" s="30" t="str">
        <f t="shared" si="7"/>
        <v>priya.patel@company.com</v>
      </c>
    </row>
    <row r="90" spans="1:26">
      <c r="A90" s="15" t="s">
        <v>547</v>
      </c>
      <c r="B90" s="15" t="s">
        <v>327</v>
      </c>
      <c r="C90" s="15" t="s">
        <v>40</v>
      </c>
      <c r="D90" s="15" t="s">
        <v>548</v>
      </c>
      <c r="E90" s="15" t="s">
        <v>549</v>
      </c>
      <c r="F90" s="15" t="s">
        <v>394</v>
      </c>
      <c r="G90" s="15" t="s">
        <v>76</v>
      </c>
      <c r="H90" s="15" t="s">
        <v>550</v>
      </c>
      <c r="I90" s="15" t="s">
        <v>138</v>
      </c>
      <c r="J90" s="15" t="s">
        <v>551</v>
      </c>
      <c r="K90" s="15" t="s">
        <v>46</v>
      </c>
      <c r="L90" s="15" t="s">
        <v>47</v>
      </c>
      <c r="M90" s="15">
        <v>6</v>
      </c>
      <c r="N90" s="15">
        <v>12000</v>
      </c>
      <c r="O90" s="15">
        <v>5</v>
      </c>
      <c r="P90" s="15">
        <v>68400</v>
      </c>
      <c r="Q90" s="15">
        <v>4</v>
      </c>
      <c r="R90" s="15" t="s">
        <v>48</v>
      </c>
      <c r="S90" s="15" t="s">
        <v>35</v>
      </c>
      <c r="T90" s="15" t="s">
        <v>332</v>
      </c>
      <c r="U90" s="17" t="s">
        <v>552</v>
      </c>
      <c r="V90" s="15" t="s">
        <v>38</v>
      </c>
      <c r="W90" t="str">
        <f t="shared" si="4"/>
        <v>Gold</v>
      </c>
      <c r="X90" s="27" t="str">
        <f t="shared" si="5"/>
        <v>Amit Sharma</v>
      </c>
      <c r="Y90" s="29" t="str">
        <f t="shared" si="6"/>
        <v>Ami00IDAh</v>
      </c>
      <c r="Z90" s="30" t="str">
        <f t="shared" si="7"/>
        <v>amit.sharma@company.com</v>
      </c>
    </row>
    <row r="91" spans="1:26">
      <c r="A91" s="18" t="s">
        <v>553</v>
      </c>
      <c r="B91" s="18" t="s">
        <v>23</v>
      </c>
      <c r="C91" s="18" t="s">
        <v>169</v>
      </c>
      <c r="D91" s="18" t="s">
        <v>554</v>
      </c>
      <c r="E91" s="18" t="s">
        <v>404</v>
      </c>
      <c r="F91" s="18" t="s">
        <v>27</v>
      </c>
      <c r="G91" s="18" t="s">
        <v>28</v>
      </c>
      <c r="H91" s="18" t="s">
        <v>555</v>
      </c>
      <c r="I91" s="18" t="s">
        <v>114</v>
      </c>
      <c r="J91" s="18" t="s">
        <v>106</v>
      </c>
      <c r="K91" s="18" t="s">
        <v>32</v>
      </c>
      <c r="L91" s="18" t="s">
        <v>174</v>
      </c>
      <c r="M91" s="18">
        <v>15</v>
      </c>
      <c r="N91" s="18">
        <v>8500</v>
      </c>
      <c r="O91" s="18">
        <v>0</v>
      </c>
      <c r="P91" s="18">
        <v>127500</v>
      </c>
      <c r="Q91" s="18">
        <v>4</v>
      </c>
      <c r="R91" s="18" t="s">
        <v>48</v>
      </c>
      <c r="S91" s="18" t="s">
        <v>35</v>
      </c>
      <c r="T91" s="18" t="s">
        <v>50</v>
      </c>
      <c r="U91" s="19" t="s">
        <v>556</v>
      </c>
      <c r="V91" s="18" t="s">
        <v>69</v>
      </c>
      <c r="W91" t="str">
        <f t="shared" si="4"/>
        <v>Blacklisted</v>
      </c>
      <c r="X91" s="27" t="str">
        <f t="shared" si="5"/>
        <v>Kavya Nair</v>
      </c>
      <c r="Y91" s="29" t="str">
        <f t="shared" si="6"/>
        <v>Kav00IDPu</v>
      </c>
      <c r="Z91" s="30" t="str">
        <f t="shared" si="7"/>
        <v>kavya.nair@company.com</v>
      </c>
    </row>
    <row r="92" spans="1:26">
      <c r="A92" s="15" t="s">
        <v>557</v>
      </c>
      <c r="B92" s="15" t="s">
        <v>53</v>
      </c>
      <c r="C92" s="15" t="s">
        <v>72</v>
      </c>
      <c r="D92" s="15" t="s">
        <v>558</v>
      </c>
      <c r="E92" s="15" t="s">
        <v>377</v>
      </c>
      <c r="F92" s="15" t="s">
        <v>163</v>
      </c>
      <c r="G92" s="15" t="s">
        <v>28</v>
      </c>
      <c r="H92" s="15" t="s">
        <v>559</v>
      </c>
      <c r="I92" s="15" t="s">
        <v>212</v>
      </c>
      <c r="J92" s="15" t="s">
        <v>45</v>
      </c>
      <c r="K92" s="15" t="s">
        <v>46</v>
      </c>
      <c r="L92" s="15" t="s">
        <v>78</v>
      </c>
      <c r="M92" s="15">
        <v>5</v>
      </c>
      <c r="N92" s="15">
        <v>1200</v>
      </c>
      <c r="O92" s="15">
        <v>15</v>
      </c>
      <c r="P92" s="15">
        <v>5100</v>
      </c>
      <c r="Q92" s="15">
        <v>1</v>
      </c>
      <c r="R92" s="15" t="s">
        <v>48</v>
      </c>
      <c r="S92" s="15" t="s">
        <v>35</v>
      </c>
      <c r="T92" s="15" t="s">
        <v>62</v>
      </c>
      <c r="U92" s="17" t="s">
        <v>560</v>
      </c>
      <c r="V92" s="15" t="s">
        <v>69</v>
      </c>
      <c r="W92" t="str">
        <f t="shared" si="4"/>
        <v>Blacklisted</v>
      </c>
      <c r="X92" s="27" t="str">
        <f t="shared" si="5"/>
        <v>Pooja Shah</v>
      </c>
      <c r="Y92" s="29" t="str">
        <f t="shared" si="6"/>
        <v>Poo01IDJa</v>
      </c>
      <c r="Z92" s="30" t="str">
        <f t="shared" si="7"/>
        <v>pooja.shah@company.com</v>
      </c>
    </row>
    <row r="93" spans="1:26">
      <c r="A93" s="18" t="s">
        <v>561</v>
      </c>
      <c r="B93" s="18" t="s">
        <v>53</v>
      </c>
      <c r="C93" s="18" t="s">
        <v>222</v>
      </c>
      <c r="D93" s="18" t="s">
        <v>562</v>
      </c>
      <c r="E93" s="18" t="s">
        <v>563</v>
      </c>
      <c r="F93" s="18" t="s">
        <v>163</v>
      </c>
      <c r="G93" s="18" t="s">
        <v>28</v>
      </c>
      <c r="H93" s="18" t="s">
        <v>564</v>
      </c>
      <c r="I93" s="18" t="s">
        <v>30</v>
      </c>
      <c r="J93" s="18" t="s">
        <v>31</v>
      </c>
      <c r="K93" s="18" t="s">
        <v>122</v>
      </c>
      <c r="L93" s="18" t="s">
        <v>227</v>
      </c>
      <c r="M93" s="18">
        <v>4</v>
      </c>
      <c r="N93" s="18">
        <v>20</v>
      </c>
      <c r="O93" s="18">
        <v>0</v>
      </c>
      <c r="P93" s="18">
        <v>80</v>
      </c>
      <c r="Q93" s="18">
        <v>4</v>
      </c>
      <c r="R93" s="18" t="s">
        <v>48</v>
      </c>
      <c r="S93" s="18" t="s">
        <v>49</v>
      </c>
      <c r="T93" s="18" t="s">
        <v>62</v>
      </c>
      <c r="U93" s="19" t="s">
        <v>565</v>
      </c>
      <c r="V93" s="18" t="s">
        <v>38</v>
      </c>
      <c r="W93" t="str">
        <f t="shared" si="4"/>
        <v>Silver</v>
      </c>
      <c r="X93" s="27" t="str">
        <f t="shared" si="5"/>
        <v>Pooja Shah</v>
      </c>
      <c r="Y93" s="29" t="str">
        <f t="shared" si="6"/>
        <v>Poo01IDHy</v>
      </c>
      <c r="Z93" s="30" t="str">
        <f t="shared" si="7"/>
        <v>pooja.shah@company.com</v>
      </c>
    </row>
    <row r="94" spans="1:26">
      <c r="A94" s="15" t="s">
        <v>566</v>
      </c>
      <c r="B94" s="15" t="s">
        <v>23</v>
      </c>
      <c r="C94" s="15" t="s">
        <v>222</v>
      </c>
      <c r="D94" s="15" t="s">
        <v>567</v>
      </c>
      <c r="E94" s="15" t="s">
        <v>568</v>
      </c>
      <c r="F94" s="15" t="s">
        <v>27</v>
      </c>
      <c r="G94" s="15" t="s">
        <v>28</v>
      </c>
      <c r="H94" s="15" t="s">
        <v>569</v>
      </c>
      <c r="I94" s="15" t="s">
        <v>59</v>
      </c>
      <c r="J94" s="15" t="s">
        <v>31</v>
      </c>
      <c r="K94" s="15" t="s">
        <v>122</v>
      </c>
      <c r="L94" s="15" t="s">
        <v>227</v>
      </c>
      <c r="M94" s="15">
        <v>10</v>
      </c>
      <c r="N94" s="15">
        <v>20</v>
      </c>
      <c r="O94" s="15">
        <v>0</v>
      </c>
      <c r="P94" s="15">
        <v>200</v>
      </c>
      <c r="Q94" s="15">
        <v>3</v>
      </c>
      <c r="R94" s="15" t="s">
        <v>34</v>
      </c>
      <c r="S94" s="15" t="s">
        <v>151</v>
      </c>
      <c r="T94" s="15" t="s">
        <v>50</v>
      </c>
      <c r="U94" s="17" t="s">
        <v>570</v>
      </c>
      <c r="V94" s="15" t="s">
        <v>64</v>
      </c>
      <c r="W94" t="str">
        <f t="shared" si="4"/>
        <v>Blacklisted</v>
      </c>
      <c r="X94" s="27" t="str">
        <f t="shared" si="5"/>
        <v>Kavya Nair</v>
      </c>
      <c r="Y94" s="29" t="str">
        <f t="shared" si="6"/>
        <v>Kav00IDBe</v>
      </c>
      <c r="Z94" s="30" t="str">
        <f t="shared" si="7"/>
        <v>kavya.nair@company.com</v>
      </c>
    </row>
    <row r="95" spans="1:26">
      <c r="A95" s="18" t="s">
        <v>571</v>
      </c>
      <c r="B95" s="18" t="s">
        <v>168</v>
      </c>
      <c r="C95" s="18" t="s">
        <v>24</v>
      </c>
      <c r="D95" s="18" t="s">
        <v>572</v>
      </c>
      <c r="E95" s="18" t="s">
        <v>573</v>
      </c>
      <c r="F95" s="18" t="s">
        <v>361</v>
      </c>
      <c r="G95" s="18" t="s">
        <v>28</v>
      </c>
      <c r="H95" s="18" t="s">
        <v>574</v>
      </c>
      <c r="I95" s="18" t="s">
        <v>44</v>
      </c>
      <c r="J95" s="18" t="s">
        <v>45</v>
      </c>
      <c r="K95" s="18" t="s">
        <v>32</v>
      </c>
      <c r="L95" s="18" t="s">
        <v>33</v>
      </c>
      <c r="M95" s="18">
        <v>18</v>
      </c>
      <c r="N95" s="18">
        <v>2200</v>
      </c>
      <c r="O95" s="18">
        <v>10</v>
      </c>
      <c r="P95" s="18">
        <v>35640</v>
      </c>
      <c r="Q95" s="18">
        <v>3</v>
      </c>
      <c r="R95" s="18" t="s">
        <v>34</v>
      </c>
      <c r="S95" s="18" t="s">
        <v>35</v>
      </c>
      <c r="T95" s="18" t="s">
        <v>175</v>
      </c>
      <c r="U95" s="19" t="s">
        <v>575</v>
      </c>
      <c r="V95" s="18" t="s">
        <v>69</v>
      </c>
      <c r="W95" t="str">
        <f t="shared" si="4"/>
        <v>Blacklisted</v>
      </c>
      <c r="X95" s="27" t="str">
        <f t="shared" si="5"/>
        <v>Anita Gupta</v>
      </c>
      <c r="Y95" s="29" t="str">
        <f t="shared" si="6"/>
        <v>Ani00IDDe</v>
      </c>
      <c r="Z95" s="30" t="str">
        <f t="shared" si="7"/>
        <v>anita.gupta@company.com</v>
      </c>
    </row>
    <row r="96" spans="1:26">
      <c r="A96" s="15" t="s">
        <v>576</v>
      </c>
      <c r="B96" s="15" t="s">
        <v>327</v>
      </c>
      <c r="C96" s="15" t="s">
        <v>92</v>
      </c>
      <c r="D96" s="15" t="s">
        <v>577</v>
      </c>
      <c r="E96" s="15" t="s">
        <v>578</v>
      </c>
      <c r="F96" s="15" t="s">
        <v>394</v>
      </c>
      <c r="G96" s="15" t="s">
        <v>76</v>
      </c>
      <c r="H96" s="15" t="s">
        <v>579</v>
      </c>
      <c r="I96" s="15" t="s">
        <v>44</v>
      </c>
      <c r="J96" s="15" t="s">
        <v>45</v>
      </c>
      <c r="K96" s="15" t="s">
        <v>32</v>
      </c>
      <c r="L96" s="15" t="s">
        <v>97</v>
      </c>
      <c r="M96" s="15">
        <v>7</v>
      </c>
      <c r="N96" s="15">
        <v>3500</v>
      </c>
      <c r="O96" s="15">
        <v>15</v>
      </c>
      <c r="P96" s="15">
        <v>20825</v>
      </c>
      <c r="Q96" s="15">
        <v>3</v>
      </c>
      <c r="R96" s="15" t="s">
        <v>48</v>
      </c>
      <c r="S96" s="15" t="s">
        <v>49</v>
      </c>
      <c r="T96" s="15" t="s">
        <v>332</v>
      </c>
      <c r="U96" s="17" t="s">
        <v>580</v>
      </c>
      <c r="V96" s="15" t="s">
        <v>38</v>
      </c>
      <c r="W96" t="str">
        <f t="shared" si="4"/>
        <v>Silver</v>
      </c>
      <c r="X96" s="27" t="str">
        <f t="shared" si="5"/>
        <v>Amit Sharma</v>
      </c>
      <c r="Y96" s="29" t="str">
        <f t="shared" si="6"/>
        <v>Ami00IDDe</v>
      </c>
      <c r="Z96" s="30" t="str">
        <f t="shared" si="7"/>
        <v>amit.sharma@company.com</v>
      </c>
    </row>
    <row r="97" spans="1:26">
      <c r="A97" s="18" t="s">
        <v>581</v>
      </c>
      <c r="B97" s="18" t="s">
        <v>100</v>
      </c>
      <c r="C97" s="18" t="s">
        <v>169</v>
      </c>
      <c r="D97" s="18" t="s">
        <v>582</v>
      </c>
      <c r="E97" s="18" t="s">
        <v>583</v>
      </c>
      <c r="F97" s="18" t="s">
        <v>103</v>
      </c>
      <c r="G97" s="18" t="s">
        <v>28</v>
      </c>
      <c r="H97" s="18" t="s">
        <v>584</v>
      </c>
      <c r="I97" s="18" t="s">
        <v>294</v>
      </c>
      <c r="J97" s="18" t="s">
        <v>295</v>
      </c>
      <c r="K97" s="18" t="s">
        <v>32</v>
      </c>
      <c r="L97" s="18" t="s">
        <v>174</v>
      </c>
      <c r="M97" s="18">
        <v>19</v>
      </c>
      <c r="N97" s="18">
        <v>8500</v>
      </c>
      <c r="O97" s="18">
        <v>15</v>
      </c>
      <c r="P97" s="18">
        <v>137275</v>
      </c>
      <c r="Q97" s="18">
        <v>4</v>
      </c>
      <c r="R97" s="18" t="s">
        <v>79</v>
      </c>
      <c r="S97" s="18" t="s">
        <v>151</v>
      </c>
      <c r="T97" s="18" t="s">
        <v>144</v>
      </c>
      <c r="U97" s="19" t="s">
        <v>585</v>
      </c>
      <c r="V97" s="18" t="s">
        <v>64</v>
      </c>
      <c r="W97" t="str">
        <f t="shared" si="4"/>
        <v>Blacklisted</v>
      </c>
      <c r="X97" s="27" t="str">
        <f t="shared" si="5"/>
        <v>Priya Patel</v>
      </c>
      <c r="Y97" s="29" t="str">
        <f t="shared" si="6"/>
        <v>Pri00IDKo</v>
      </c>
      <c r="Z97" s="30" t="str">
        <f t="shared" si="7"/>
        <v>priya.patel@company.com</v>
      </c>
    </row>
    <row r="98" spans="1:26">
      <c r="A98" s="15" t="s">
        <v>586</v>
      </c>
      <c r="B98" s="15" t="s">
        <v>251</v>
      </c>
      <c r="C98" s="15" t="s">
        <v>40</v>
      </c>
      <c r="D98" s="15" t="s">
        <v>587</v>
      </c>
      <c r="E98" s="15" t="s">
        <v>588</v>
      </c>
      <c r="F98" s="15" t="s">
        <v>254</v>
      </c>
      <c r="G98" s="15" t="s">
        <v>28</v>
      </c>
      <c r="H98" s="15" t="s">
        <v>589</v>
      </c>
      <c r="I98" s="15" t="s">
        <v>138</v>
      </c>
      <c r="J98" s="15" t="s">
        <v>106</v>
      </c>
      <c r="K98" s="15" t="s">
        <v>46</v>
      </c>
      <c r="L98" s="15" t="s">
        <v>47</v>
      </c>
      <c r="M98" s="15">
        <v>13</v>
      </c>
      <c r="N98" s="15">
        <v>12000</v>
      </c>
      <c r="O98" s="15">
        <v>15</v>
      </c>
      <c r="P98" s="15">
        <v>132600</v>
      </c>
      <c r="Q98" s="15">
        <v>4</v>
      </c>
      <c r="R98" s="15" t="s">
        <v>34</v>
      </c>
      <c r="S98" s="15" t="s">
        <v>49</v>
      </c>
      <c r="T98" s="15" t="s">
        <v>256</v>
      </c>
      <c r="U98" s="17" t="s">
        <v>590</v>
      </c>
      <c r="V98" s="15" t="s">
        <v>38</v>
      </c>
      <c r="W98" t="str">
        <f t="shared" si="4"/>
        <v>Blacklisted</v>
      </c>
      <c r="X98" s="27" t="str">
        <f t="shared" si="5"/>
        <v>Sneha Joshi</v>
      </c>
      <c r="Y98" s="29" t="str">
        <f t="shared" si="6"/>
        <v>Sne00IDAh</v>
      </c>
      <c r="Z98" s="30" t="str">
        <f t="shared" si="7"/>
        <v>sneha.joshi@company.com</v>
      </c>
    </row>
    <row r="99" spans="1:26">
      <c r="A99" s="18" t="s">
        <v>591</v>
      </c>
      <c r="B99" s="18" t="s">
        <v>327</v>
      </c>
      <c r="C99" s="18" t="s">
        <v>222</v>
      </c>
      <c r="D99" s="18" t="s">
        <v>592</v>
      </c>
      <c r="E99" s="18" t="s">
        <v>398</v>
      </c>
      <c r="F99" s="18" t="s">
        <v>394</v>
      </c>
      <c r="G99" s="18" t="s">
        <v>76</v>
      </c>
      <c r="H99" s="18" t="s">
        <v>593</v>
      </c>
      <c r="I99" s="18" t="s">
        <v>114</v>
      </c>
      <c r="J99" s="18" t="s">
        <v>106</v>
      </c>
      <c r="K99" s="18" t="s">
        <v>122</v>
      </c>
      <c r="L99" s="18" t="s">
        <v>227</v>
      </c>
      <c r="M99" s="18">
        <v>7</v>
      </c>
      <c r="N99" s="18">
        <v>20</v>
      </c>
      <c r="O99" s="18">
        <v>0</v>
      </c>
      <c r="P99" s="18">
        <v>140</v>
      </c>
      <c r="Q99" s="18">
        <v>1</v>
      </c>
      <c r="R99" s="18" t="s">
        <v>79</v>
      </c>
      <c r="S99" s="18" t="s">
        <v>151</v>
      </c>
      <c r="T99" s="18" t="s">
        <v>332</v>
      </c>
      <c r="U99" s="19" t="s">
        <v>594</v>
      </c>
      <c r="V99" s="18" t="s">
        <v>69</v>
      </c>
      <c r="W99" t="str">
        <f t="shared" si="4"/>
        <v>Blacklisted</v>
      </c>
      <c r="X99" s="27" t="str">
        <f t="shared" si="5"/>
        <v>Amit Sharma</v>
      </c>
      <c r="Y99" s="29" t="str">
        <f t="shared" si="6"/>
        <v>Ami00IDPu</v>
      </c>
      <c r="Z99" s="30" t="str">
        <f t="shared" si="7"/>
        <v>amit.sharma@company.com</v>
      </c>
    </row>
    <row r="100" spans="1:26">
      <c r="A100" s="15" t="s">
        <v>595</v>
      </c>
      <c r="B100" s="15" t="s">
        <v>168</v>
      </c>
      <c r="C100" s="15" t="s">
        <v>184</v>
      </c>
      <c r="D100" s="15" t="s">
        <v>596</v>
      </c>
      <c r="E100" s="15" t="s">
        <v>597</v>
      </c>
      <c r="F100" s="15" t="s">
        <v>361</v>
      </c>
      <c r="G100" s="15" t="s">
        <v>28</v>
      </c>
      <c r="H100" s="15" t="s">
        <v>598</v>
      </c>
      <c r="I100" s="15" t="s">
        <v>44</v>
      </c>
      <c r="J100" s="15" t="s">
        <v>45</v>
      </c>
      <c r="K100" s="15" t="s">
        <v>46</v>
      </c>
      <c r="L100" s="15" t="s">
        <v>189</v>
      </c>
      <c r="M100" s="15">
        <v>5</v>
      </c>
      <c r="N100" s="15">
        <v>700</v>
      </c>
      <c r="O100" s="15">
        <v>15</v>
      </c>
      <c r="P100" s="15">
        <v>999999</v>
      </c>
      <c r="Q100" s="15">
        <v>4</v>
      </c>
      <c r="R100" s="15" t="s">
        <v>79</v>
      </c>
      <c r="S100" s="15" t="s">
        <v>35</v>
      </c>
      <c r="T100" s="15" t="s">
        <v>175</v>
      </c>
      <c r="U100" s="17" t="s">
        <v>599</v>
      </c>
      <c r="V100" s="15" t="s">
        <v>64</v>
      </c>
      <c r="W100" t="str">
        <f t="shared" si="4"/>
        <v>Blacklisted</v>
      </c>
      <c r="X100" s="27" t="str">
        <f t="shared" si="5"/>
        <v>Anita Gupta</v>
      </c>
      <c r="Y100" s="29" t="str">
        <f t="shared" si="6"/>
        <v>Ani00IDDe</v>
      </c>
      <c r="Z100" s="30" t="str">
        <f t="shared" si="7"/>
        <v>anita.gupta@company.com</v>
      </c>
    </row>
    <row r="101" spans="1:26">
      <c r="A101" s="18" t="s">
        <v>600</v>
      </c>
      <c r="B101" s="18" t="s">
        <v>83</v>
      </c>
      <c r="C101" s="18" t="s">
        <v>259</v>
      </c>
      <c r="D101" s="18" t="s">
        <v>583</v>
      </c>
      <c r="E101" s="18" t="s">
        <v>601</v>
      </c>
      <c r="F101" s="18" t="s">
        <v>180</v>
      </c>
      <c r="G101" s="18" t="s">
        <v>76</v>
      </c>
      <c r="H101" s="18" t="s">
        <v>602</v>
      </c>
      <c r="I101" s="18" t="s">
        <v>59</v>
      </c>
      <c r="J101" s="18" t="s">
        <v>31</v>
      </c>
      <c r="K101" s="18" t="s">
        <v>122</v>
      </c>
      <c r="L101" s="18" t="s">
        <v>263</v>
      </c>
      <c r="M101" s="18">
        <v>9</v>
      </c>
      <c r="N101" s="18">
        <v>45</v>
      </c>
      <c r="O101" s="18">
        <v>5</v>
      </c>
      <c r="P101" s="18">
        <v>384.75</v>
      </c>
      <c r="Q101" s="18">
        <v>3</v>
      </c>
      <c r="R101" s="18" t="s">
        <v>34</v>
      </c>
      <c r="S101" s="18" t="s">
        <v>35</v>
      </c>
      <c r="T101" s="18" t="s">
        <v>89</v>
      </c>
      <c r="U101" s="19" t="s">
        <v>603</v>
      </c>
      <c r="V101" s="18" t="s">
        <v>38</v>
      </c>
      <c r="W101" t="str">
        <f t="shared" si="4"/>
        <v>Silver</v>
      </c>
      <c r="X101" s="27" t="str">
        <f t="shared" si="5"/>
        <v>Arjun Rao</v>
      </c>
      <c r="Y101" s="29" t="str">
        <f t="shared" si="6"/>
        <v>Arj00IDBe</v>
      </c>
      <c r="Z101" s="30" t="str">
        <f t="shared" si="7"/>
        <v>arjun.rao@company.com</v>
      </c>
    </row>
    <row r="102" spans="1:26">
      <c r="A102" s="15" t="s">
        <v>604</v>
      </c>
      <c r="B102" s="15" t="s">
        <v>127</v>
      </c>
      <c r="C102" s="15" t="s">
        <v>118</v>
      </c>
      <c r="D102" s="15" t="s">
        <v>605</v>
      </c>
      <c r="E102" s="15" t="s">
        <v>606</v>
      </c>
      <c r="F102" s="15" t="s">
        <v>200</v>
      </c>
      <c r="G102" s="15" t="s">
        <v>76</v>
      </c>
      <c r="H102" s="15" t="s">
        <v>607</v>
      </c>
      <c r="I102" s="15" t="s">
        <v>294</v>
      </c>
      <c r="J102" s="15" t="s">
        <v>295</v>
      </c>
      <c r="K102" s="15" t="s">
        <v>122</v>
      </c>
      <c r="L102" s="15" t="s">
        <v>123</v>
      </c>
      <c r="M102" s="15">
        <v>19</v>
      </c>
      <c r="N102" s="15">
        <v>60</v>
      </c>
      <c r="O102" s="15">
        <v>10</v>
      </c>
      <c r="P102" s="15">
        <v>1026</v>
      </c>
      <c r="Q102" s="15">
        <v>5</v>
      </c>
      <c r="R102" s="15" t="s">
        <v>48</v>
      </c>
      <c r="S102" s="15" t="s">
        <v>115</v>
      </c>
      <c r="T102" s="15" t="s">
        <v>132</v>
      </c>
      <c r="U102" s="17" t="s">
        <v>608</v>
      </c>
      <c r="V102" s="15" t="s">
        <v>38</v>
      </c>
      <c r="W102" t="str">
        <f t="shared" si="4"/>
        <v>Silver</v>
      </c>
      <c r="X102" s="27" t="str">
        <f t="shared" si="5"/>
        <v>Rohit Singh</v>
      </c>
      <c r="Y102" s="29" t="str">
        <f t="shared" si="6"/>
        <v>Roh00IDKo</v>
      </c>
      <c r="Z102" s="30" t="str">
        <f t="shared" si="7"/>
        <v>rohit.singh@company.com</v>
      </c>
    </row>
    <row r="103" spans="1:26">
      <c r="A103" s="18" t="s">
        <v>609</v>
      </c>
      <c r="B103" s="18" t="s">
        <v>327</v>
      </c>
      <c r="C103" s="18" t="s">
        <v>184</v>
      </c>
      <c r="D103" s="18" t="s">
        <v>610</v>
      </c>
      <c r="E103" s="18" t="s">
        <v>611</v>
      </c>
      <c r="F103" s="18" t="s">
        <v>394</v>
      </c>
      <c r="G103" s="18" t="s">
        <v>76</v>
      </c>
      <c r="H103" s="18" t="s">
        <v>612</v>
      </c>
      <c r="I103" s="18" t="s">
        <v>138</v>
      </c>
      <c r="J103" s="18" t="s">
        <v>106</v>
      </c>
      <c r="K103" s="18" t="s">
        <v>46</v>
      </c>
      <c r="L103" s="18" t="s">
        <v>189</v>
      </c>
      <c r="M103" s="18">
        <v>4</v>
      </c>
      <c r="N103" s="18">
        <v>700</v>
      </c>
      <c r="O103" s="18">
        <v>5</v>
      </c>
      <c r="P103" s="18">
        <v>2660</v>
      </c>
      <c r="Q103" s="18">
        <v>3</v>
      </c>
      <c r="R103" s="18" t="s">
        <v>48</v>
      </c>
      <c r="S103" s="18" t="s">
        <v>61</v>
      </c>
      <c r="T103" s="18" t="s">
        <v>332</v>
      </c>
      <c r="U103" s="19" t="s">
        <v>613</v>
      </c>
      <c r="V103" s="18" t="s">
        <v>38</v>
      </c>
      <c r="W103" t="str">
        <f t="shared" si="4"/>
        <v>Silver</v>
      </c>
      <c r="X103" s="27" t="str">
        <f t="shared" si="5"/>
        <v>Amit Sharma</v>
      </c>
      <c r="Y103" s="29" t="str">
        <f t="shared" si="6"/>
        <v>Ami00IDAh</v>
      </c>
      <c r="Z103" s="30" t="str">
        <f t="shared" si="7"/>
        <v>amit.sharma@company.com</v>
      </c>
    </row>
    <row r="104" spans="1:26">
      <c r="A104" s="15" t="s">
        <v>614</v>
      </c>
      <c r="B104" s="15" t="s">
        <v>327</v>
      </c>
      <c r="C104" s="15" t="s">
        <v>92</v>
      </c>
      <c r="D104" s="15" t="s">
        <v>583</v>
      </c>
      <c r="E104" s="15" t="s">
        <v>615</v>
      </c>
      <c r="F104" s="15" t="s">
        <v>394</v>
      </c>
      <c r="G104" s="15" t="s">
        <v>76</v>
      </c>
      <c r="H104" s="15" t="s">
        <v>616</v>
      </c>
      <c r="I104" s="15" t="s">
        <v>114</v>
      </c>
      <c r="J104" s="15" t="s">
        <v>106</v>
      </c>
      <c r="K104" s="15" t="s">
        <v>32</v>
      </c>
      <c r="L104" s="15" t="s">
        <v>97</v>
      </c>
      <c r="M104" s="15">
        <v>16</v>
      </c>
      <c r="N104" s="15">
        <v>3500</v>
      </c>
      <c r="O104" s="15">
        <v>0</v>
      </c>
      <c r="P104" s="15">
        <v>56000</v>
      </c>
      <c r="Q104" s="15">
        <v>2</v>
      </c>
      <c r="R104" s="15" t="s">
        <v>79</v>
      </c>
      <c r="S104" s="15" t="s">
        <v>49</v>
      </c>
      <c r="T104" s="15" t="s">
        <v>332</v>
      </c>
      <c r="U104" s="17" t="s">
        <v>617</v>
      </c>
      <c r="V104" s="15" t="s">
        <v>38</v>
      </c>
      <c r="W104" t="str">
        <f t="shared" si="4"/>
        <v>Blacklisted</v>
      </c>
      <c r="X104" s="27" t="str">
        <f t="shared" si="5"/>
        <v>Amit Sharma</v>
      </c>
      <c r="Y104" s="29" t="str">
        <f t="shared" si="6"/>
        <v>Ami00IDPu</v>
      </c>
      <c r="Z104" s="30" t="str">
        <f t="shared" si="7"/>
        <v>amit.sharma@company.com</v>
      </c>
    </row>
    <row r="105" spans="1:26">
      <c r="A105" s="18" t="s">
        <v>618</v>
      </c>
      <c r="B105" s="18" t="s">
        <v>251</v>
      </c>
      <c r="C105" s="18" t="s">
        <v>259</v>
      </c>
      <c r="D105" s="18" t="s">
        <v>619</v>
      </c>
      <c r="E105" s="18" t="s">
        <v>620</v>
      </c>
      <c r="F105" s="18" t="s">
        <v>254</v>
      </c>
      <c r="G105" s="18" t="s">
        <v>28</v>
      </c>
      <c r="H105" s="18" t="s">
        <v>621</v>
      </c>
      <c r="I105" s="18" t="s">
        <v>59</v>
      </c>
      <c r="J105" s="18" t="s">
        <v>31</v>
      </c>
      <c r="K105" s="18" t="s">
        <v>122</v>
      </c>
      <c r="L105" s="18" t="s">
        <v>263</v>
      </c>
      <c r="M105" s="18">
        <v>5</v>
      </c>
      <c r="N105" s="18">
        <v>45</v>
      </c>
      <c r="O105" s="18">
        <v>20</v>
      </c>
      <c r="P105" s="18">
        <v>180</v>
      </c>
      <c r="Q105" s="18">
        <v>3</v>
      </c>
      <c r="R105" s="18" t="s">
        <v>79</v>
      </c>
      <c r="S105" s="18" t="s">
        <v>35</v>
      </c>
      <c r="T105" s="18" t="s">
        <v>256</v>
      </c>
      <c r="U105" s="19" t="s">
        <v>622</v>
      </c>
      <c r="V105" s="18" t="s">
        <v>38</v>
      </c>
      <c r="W105" t="str">
        <f t="shared" si="4"/>
        <v>Silver</v>
      </c>
      <c r="X105" s="27" t="str">
        <f t="shared" si="5"/>
        <v>Sneha Joshi</v>
      </c>
      <c r="Y105" s="29" t="str">
        <f t="shared" si="6"/>
        <v>Sne00IDBe</v>
      </c>
      <c r="Z105" s="30" t="str">
        <f t="shared" si="7"/>
        <v>sneha.joshi@company.com</v>
      </c>
    </row>
    <row r="106" spans="1:26">
      <c r="A106" s="15" t="s">
        <v>623</v>
      </c>
      <c r="B106" s="15" t="s">
        <v>83</v>
      </c>
      <c r="C106" s="15" t="s">
        <v>222</v>
      </c>
      <c r="D106" s="15" t="s">
        <v>624</v>
      </c>
      <c r="E106" s="15" t="s">
        <v>525</v>
      </c>
      <c r="F106" s="15" t="s">
        <v>180</v>
      </c>
      <c r="G106" s="15" t="s">
        <v>76</v>
      </c>
      <c r="H106" s="15" t="s">
        <v>625</v>
      </c>
      <c r="I106" s="15" t="s">
        <v>105</v>
      </c>
      <c r="J106" s="15" t="s">
        <v>106</v>
      </c>
      <c r="K106" s="15" t="s">
        <v>122</v>
      </c>
      <c r="L106" s="15" t="s">
        <v>227</v>
      </c>
      <c r="M106" s="15">
        <v>9</v>
      </c>
      <c r="N106" s="15">
        <v>20</v>
      </c>
      <c r="O106" s="15">
        <v>10</v>
      </c>
      <c r="P106" s="15">
        <v>162</v>
      </c>
      <c r="Q106" s="15">
        <v>4</v>
      </c>
      <c r="R106" s="15" t="s">
        <v>79</v>
      </c>
      <c r="S106" s="15" t="s">
        <v>35</v>
      </c>
      <c r="T106" s="15" t="s">
        <v>89</v>
      </c>
      <c r="U106" s="17" t="s">
        <v>626</v>
      </c>
      <c r="V106" s="15" t="s">
        <v>64</v>
      </c>
      <c r="W106" t="str">
        <f t="shared" si="4"/>
        <v>Blacklisted</v>
      </c>
      <c r="X106" s="27" t="str">
        <f t="shared" si="5"/>
        <v>Arjun Rao</v>
      </c>
      <c r="Y106" s="29" t="str">
        <f t="shared" si="6"/>
        <v>Arj00IDMu</v>
      </c>
      <c r="Z106" s="30" t="str">
        <f t="shared" si="7"/>
        <v>arjun.rao@company.com</v>
      </c>
    </row>
    <row r="107" spans="1:26">
      <c r="A107" s="18" t="s">
        <v>627</v>
      </c>
      <c r="B107" s="18" t="s">
        <v>53</v>
      </c>
      <c r="C107" s="18" t="s">
        <v>72</v>
      </c>
      <c r="D107" s="18" t="s">
        <v>628</v>
      </c>
      <c r="E107" s="18" t="s">
        <v>431</v>
      </c>
      <c r="F107" s="18" t="s">
        <v>163</v>
      </c>
      <c r="G107" s="18" t="s">
        <v>28</v>
      </c>
      <c r="H107" s="18" t="s">
        <v>629</v>
      </c>
      <c r="I107" s="18" t="s">
        <v>44</v>
      </c>
      <c r="J107" s="18" t="s">
        <v>45</v>
      </c>
      <c r="K107" s="18" t="s">
        <v>46</v>
      </c>
      <c r="L107" s="18" t="s">
        <v>78</v>
      </c>
      <c r="M107" s="18">
        <v>9</v>
      </c>
      <c r="N107" s="18">
        <v>1200</v>
      </c>
      <c r="O107" s="18">
        <v>5</v>
      </c>
      <c r="P107" s="18">
        <v>10260</v>
      </c>
      <c r="Q107" s="18">
        <v>3</v>
      </c>
      <c r="R107" s="18" t="s">
        <v>88</v>
      </c>
      <c r="S107" s="18" t="s">
        <v>35</v>
      </c>
      <c r="T107" s="18" t="s">
        <v>62</v>
      </c>
      <c r="U107" s="19" t="s">
        <v>630</v>
      </c>
      <c r="V107" s="18" t="s">
        <v>64</v>
      </c>
      <c r="W107" t="str">
        <f t="shared" si="4"/>
        <v>Blacklisted</v>
      </c>
      <c r="X107" s="27" t="str">
        <f t="shared" si="5"/>
        <v>Pooja Shah</v>
      </c>
      <c r="Y107" s="29" t="str">
        <f t="shared" si="6"/>
        <v>Poo01IDDe</v>
      </c>
      <c r="Z107" s="30" t="str">
        <f t="shared" si="7"/>
        <v>pooja.shah@company.com</v>
      </c>
    </row>
    <row r="108" spans="1:26">
      <c r="A108" s="15" t="s">
        <v>631</v>
      </c>
      <c r="B108" s="15" t="s">
        <v>100</v>
      </c>
      <c r="C108" s="15" t="s">
        <v>92</v>
      </c>
      <c r="D108" s="15" t="s">
        <v>387</v>
      </c>
      <c r="E108" s="15" t="s">
        <v>632</v>
      </c>
      <c r="F108" s="15" t="s">
        <v>103</v>
      </c>
      <c r="G108" s="15" t="s">
        <v>28</v>
      </c>
      <c r="H108" s="15" t="s">
        <v>633</v>
      </c>
      <c r="I108" s="15" t="s">
        <v>44</v>
      </c>
      <c r="J108" s="15" t="s">
        <v>45</v>
      </c>
      <c r="K108" s="15" t="s">
        <v>32</v>
      </c>
      <c r="L108" s="15" t="s">
        <v>97</v>
      </c>
      <c r="M108" s="15">
        <v>3</v>
      </c>
      <c r="N108" s="15">
        <v>3500</v>
      </c>
      <c r="O108" s="15">
        <v>10</v>
      </c>
      <c r="P108" s="15">
        <v>9450</v>
      </c>
      <c r="Q108" s="15">
        <v>2</v>
      </c>
      <c r="R108" s="15" t="s">
        <v>79</v>
      </c>
      <c r="S108" s="15" t="s">
        <v>151</v>
      </c>
      <c r="T108" s="15" t="s">
        <v>144</v>
      </c>
      <c r="U108" s="17" t="s">
        <v>634</v>
      </c>
      <c r="V108" s="15" t="s">
        <v>69</v>
      </c>
      <c r="W108" t="str">
        <f t="shared" si="4"/>
        <v>Blacklisted</v>
      </c>
      <c r="X108" s="27" t="str">
        <f t="shared" si="5"/>
        <v>Priya Patel</v>
      </c>
      <c r="Y108" s="29" t="str">
        <f t="shared" si="6"/>
        <v>Pri00IDDe</v>
      </c>
      <c r="Z108" s="30" t="str">
        <f t="shared" si="7"/>
        <v>priya.patel@company.com</v>
      </c>
    </row>
    <row r="109" spans="1:26">
      <c r="A109" s="18" t="s">
        <v>635</v>
      </c>
      <c r="B109" s="18" t="s">
        <v>221</v>
      </c>
      <c r="C109" s="18" t="s">
        <v>72</v>
      </c>
      <c r="D109" s="18" t="s">
        <v>241</v>
      </c>
      <c r="E109" s="18" t="s">
        <v>636</v>
      </c>
      <c r="F109" s="18" t="s">
        <v>225</v>
      </c>
      <c r="G109" s="18" t="s">
        <v>76</v>
      </c>
      <c r="H109" s="18" t="s">
        <v>637</v>
      </c>
      <c r="I109" s="18" t="s">
        <v>105</v>
      </c>
      <c r="J109" s="18" t="s">
        <v>106</v>
      </c>
      <c r="K109" s="18" t="s">
        <v>46</v>
      </c>
      <c r="L109" s="18" t="s">
        <v>78</v>
      </c>
      <c r="M109" s="18">
        <v>6</v>
      </c>
      <c r="N109" s="18">
        <v>1200</v>
      </c>
      <c r="O109" s="18">
        <v>15</v>
      </c>
      <c r="P109" s="18">
        <v>6120</v>
      </c>
      <c r="Q109" s="18">
        <v>4</v>
      </c>
      <c r="R109" s="18" t="s">
        <v>88</v>
      </c>
      <c r="S109" s="18" t="s">
        <v>35</v>
      </c>
      <c r="T109" s="18" t="s">
        <v>228</v>
      </c>
      <c r="U109" s="19" t="s">
        <v>638</v>
      </c>
      <c r="V109" s="18" t="s">
        <v>69</v>
      </c>
      <c r="W109" t="str">
        <f t="shared" si="4"/>
        <v>Blacklisted</v>
      </c>
      <c r="X109" s="27" t="str">
        <f t="shared" si="5"/>
        <v>Vikas Mehta</v>
      </c>
      <c r="Y109" s="29" t="str">
        <f t="shared" si="6"/>
        <v>Vik00IDMu</v>
      </c>
      <c r="Z109" s="30" t="str">
        <f t="shared" si="7"/>
        <v>vikas.mehta@company.com</v>
      </c>
    </row>
    <row r="110" spans="1:26">
      <c r="A110" s="15" t="s">
        <v>639</v>
      </c>
      <c r="B110" s="15" t="s">
        <v>83</v>
      </c>
      <c r="C110" s="15" t="s">
        <v>72</v>
      </c>
      <c r="D110" s="15" t="s">
        <v>640</v>
      </c>
      <c r="E110" s="15" t="s">
        <v>641</v>
      </c>
      <c r="F110" s="15" t="s">
        <v>180</v>
      </c>
      <c r="G110" s="15" t="s">
        <v>76</v>
      </c>
      <c r="H110" s="15" t="s">
        <v>642</v>
      </c>
      <c r="I110" s="15" t="s">
        <v>212</v>
      </c>
      <c r="J110" s="15" t="s">
        <v>45</v>
      </c>
      <c r="K110" s="15" t="s">
        <v>46</v>
      </c>
      <c r="L110" s="15" t="s">
        <v>78</v>
      </c>
      <c r="M110" s="15">
        <v>17</v>
      </c>
      <c r="N110" s="15">
        <v>1200</v>
      </c>
      <c r="O110" s="15">
        <v>15</v>
      </c>
      <c r="P110" s="15">
        <v>17340</v>
      </c>
      <c r="Q110" s="15">
        <v>1</v>
      </c>
      <c r="R110" s="15" t="s">
        <v>34</v>
      </c>
      <c r="S110" s="15" t="s">
        <v>61</v>
      </c>
      <c r="T110" s="15" t="s">
        <v>89</v>
      </c>
      <c r="U110" s="17" t="s">
        <v>643</v>
      </c>
      <c r="V110" s="15" t="s">
        <v>38</v>
      </c>
      <c r="W110" t="str">
        <f t="shared" si="4"/>
        <v>Blacklisted</v>
      </c>
      <c r="X110" s="27" t="str">
        <f t="shared" si="5"/>
        <v>Arjun Rao</v>
      </c>
      <c r="Y110" s="29" t="str">
        <f t="shared" si="6"/>
        <v>Arj00IDJa</v>
      </c>
      <c r="Z110" s="30" t="str">
        <f t="shared" si="7"/>
        <v>arjun.rao@company.com</v>
      </c>
    </row>
    <row r="111" spans="1:26">
      <c r="A111" s="18" t="s">
        <v>644</v>
      </c>
      <c r="B111" s="18" t="s">
        <v>221</v>
      </c>
      <c r="C111" s="18" t="s">
        <v>169</v>
      </c>
      <c r="D111" s="18" t="s">
        <v>645</v>
      </c>
      <c r="E111" s="18" t="s">
        <v>287</v>
      </c>
      <c r="F111" s="18" t="s">
        <v>225</v>
      </c>
      <c r="G111" s="18" t="s">
        <v>76</v>
      </c>
      <c r="H111" s="18" t="s">
        <v>646</v>
      </c>
      <c r="I111" s="18" t="s">
        <v>59</v>
      </c>
      <c r="J111" s="18" t="s">
        <v>31</v>
      </c>
      <c r="K111" s="18" t="s">
        <v>32</v>
      </c>
      <c r="L111" s="18" t="s">
        <v>174</v>
      </c>
      <c r="M111" s="18">
        <v>15</v>
      </c>
      <c r="N111" s="18">
        <v>8500</v>
      </c>
      <c r="O111" s="18">
        <v>0</v>
      </c>
      <c r="P111" s="18">
        <v>127500</v>
      </c>
      <c r="Q111" s="18">
        <v>3</v>
      </c>
      <c r="R111" s="18" t="s">
        <v>34</v>
      </c>
      <c r="S111" s="18" t="s">
        <v>115</v>
      </c>
      <c r="T111" s="18" t="s">
        <v>228</v>
      </c>
      <c r="U111" s="19" t="s">
        <v>647</v>
      </c>
      <c r="V111" s="18" t="s">
        <v>64</v>
      </c>
      <c r="W111" t="str">
        <f t="shared" si="4"/>
        <v>Blacklisted</v>
      </c>
      <c r="X111" s="27" t="str">
        <f t="shared" si="5"/>
        <v>Vikas Mehta</v>
      </c>
      <c r="Y111" s="29" t="str">
        <f t="shared" si="6"/>
        <v>Vik00IDBe</v>
      </c>
      <c r="Z111" s="30" t="str">
        <f t="shared" si="7"/>
        <v>vikas.mehta@company.com</v>
      </c>
    </row>
    <row r="112" spans="1:26">
      <c r="A112" s="15" t="s">
        <v>648</v>
      </c>
      <c r="B112" s="15" t="s">
        <v>127</v>
      </c>
      <c r="C112" s="15" t="s">
        <v>72</v>
      </c>
      <c r="D112" s="15" t="s">
        <v>101</v>
      </c>
      <c r="E112" s="15" t="s">
        <v>102</v>
      </c>
      <c r="F112" s="15" t="s">
        <v>200</v>
      </c>
      <c r="G112" s="15" t="s">
        <v>76</v>
      </c>
      <c r="H112" s="15" t="s">
        <v>649</v>
      </c>
      <c r="I112" s="15" t="s">
        <v>30</v>
      </c>
      <c r="J112" s="15" t="s">
        <v>31</v>
      </c>
      <c r="K112" s="15" t="s">
        <v>46</v>
      </c>
      <c r="L112" s="15" t="s">
        <v>78</v>
      </c>
      <c r="M112" s="15">
        <v>1</v>
      </c>
      <c r="N112" s="15">
        <v>1200</v>
      </c>
      <c r="O112" s="15">
        <v>20</v>
      </c>
      <c r="P112" s="15">
        <v>960</v>
      </c>
      <c r="Q112" s="15">
        <v>1</v>
      </c>
      <c r="R112" s="15" t="s">
        <v>88</v>
      </c>
      <c r="S112" s="15" t="s">
        <v>115</v>
      </c>
      <c r="T112" s="15" t="s">
        <v>132</v>
      </c>
      <c r="U112" s="17" t="s">
        <v>650</v>
      </c>
      <c r="V112" s="15" t="s">
        <v>64</v>
      </c>
      <c r="W112" t="str">
        <f t="shared" si="4"/>
        <v>Blacklisted</v>
      </c>
      <c r="X112" s="27" t="str">
        <f t="shared" si="5"/>
        <v>Rohit Singh</v>
      </c>
      <c r="Y112" s="29" t="str">
        <f t="shared" si="6"/>
        <v>Roh00IDHy</v>
      </c>
      <c r="Z112" s="30" t="str">
        <f t="shared" si="7"/>
        <v>rohit.singh@company.com</v>
      </c>
    </row>
    <row r="113" spans="1:26">
      <c r="A113" s="18" t="s">
        <v>651</v>
      </c>
      <c r="B113" s="18" t="s">
        <v>127</v>
      </c>
      <c r="C113" s="18" t="s">
        <v>169</v>
      </c>
      <c r="D113" s="18" t="s">
        <v>652</v>
      </c>
      <c r="E113" s="18" t="s">
        <v>539</v>
      </c>
      <c r="F113" s="18" t="s">
        <v>200</v>
      </c>
      <c r="G113" s="18" t="s">
        <v>76</v>
      </c>
      <c r="H113" s="18" t="s">
        <v>653</v>
      </c>
      <c r="I113" s="18" t="s">
        <v>294</v>
      </c>
      <c r="J113" s="18" t="s">
        <v>295</v>
      </c>
      <c r="K113" s="18" t="s">
        <v>32</v>
      </c>
      <c r="L113" s="18" t="s">
        <v>174</v>
      </c>
      <c r="M113" s="18">
        <v>5</v>
      </c>
      <c r="N113" s="18">
        <v>8500</v>
      </c>
      <c r="O113" s="18">
        <v>10</v>
      </c>
      <c r="P113" s="18">
        <v>38250</v>
      </c>
      <c r="Q113" s="18">
        <v>1</v>
      </c>
      <c r="R113" s="18" t="s">
        <v>79</v>
      </c>
      <c r="S113" s="18" t="s">
        <v>61</v>
      </c>
      <c r="T113" s="18" t="s">
        <v>132</v>
      </c>
      <c r="U113" s="19" t="s">
        <v>654</v>
      </c>
      <c r="V113" s="18" t="s">
        <v>38</v>
      </c>
      <c r="W113" t="str">
        <f t="shared" si="4"/>
        <v>Blacklisted</v>
      </c>
      <c r="X113" s="27" t="str">
        <f t="shared" si="5"/>
        <v>Rohit Singh</v>
      </c>
      <c r="Y113" s="29" t="str">
        <f t="shared" si="6"/>
        <v>Roh00IDKo</v>
      </c>
      <c r="Z113" s="30" t="str">
        <f t="shared" si="7"/>
        <v>rohit.singh@company.com</v>
      </c>
    </row>
    <row r="114" spans="1:26">
      <c r="A114" s="15" t="s">
        <v>655</v>
      </c>
      <c r="B114" s="15" t="s">
        <v>53</v>
      </c>
      <c r="C114" s="15" t="s">
        <v>259</v>
      </c>
      <c r="D114" s="15" t="s">
        <v>656</v>
      </c>
      <c r="E114" s="15" t="s">
        <v>657</v>
      </c>
      <c r="F114" s="15" t="s">
        <v>163</v>
      </c>
      <c r="G114" s="15" t="s">
        <v>28</v>
      </c>
      <c r="H114" s="15" t="s">
        <v>658</v>
      </c>
      <c r="I114" s="15" t="s">
        <v>30</v>
      </c>
      <c r="J114" s="15" t="s">
        <v>31</v>
      </c>
      <c r="K114" s="15" t="s">
        <v>122</v>
      </c>
      <c r="L114" s="15" t="s">
        <v>263</v>
      </c>
      <c r="M114" s="15">
        <v>12</v>
      </c>
      <c r="N114" s="15">
        <v>45</v>
      </c>
      <c r="O114" s="15">
        <v>5</v>
      </c>
      <c r="P114" s="15">
        <v>513</v>
      </c>
      <c r="Q114" s="15">
        <v>2</v>
      </c>
      <c r="R114" s="15" t="s">
        <v>48</v>
      </c>
      <c r="S114" s="15" t="s">
        <v>35</v>
      </c>
      <c r="T114" s="15" t="s">
        <v>62</v>
      </c>
      <c r="U114" s="17" t="s">
        <v>659</v>
      </c>
      <c r="V114" s="15" t="s">
        <v>69</v>
      </c>
      <c r="W114" t="str">
        <f t="shared" si="4"/>
        <v>Blacklisted</v>
      </c>
      <c r="X114" s="27" t="str">
        <f t="shared" si="5"/>
        <v>Pooja Shah</v>
      </c>
      <c r="Y114" s="29" t="str">
        <f t="shared" si="6"/>
        <v>Poo01IDHy</v>
      </c>
      <c r="Z114" s="30" t="str">
        <f t="shared" si="7"/>
        <v>pooja.shah@company.com</v>
      </c>
    </row>
    <row r="115" spans="1:26">
      <c r="A115" s="18" t="s">
        <v>660</v>
      </c>
      <c r="B115" s="18" t="s">
        <v>221</v>
      </c>
      <c r="C115" s="18" t="s">
        <v>118</v>
      </c>
      <c r="D115" s="18" t="s">
        <v>341</v>
      </c>
      <c r="E115" s="18" t="s">
        <v>661</v>
      </c>
      <c r="F115" s="18" t="s">
        <v>225</v>
      </c>
      <c r="G115" s="18" t="s">
        <v>76</v>
      </c>
      <c r="H115" s="18" t="s">
        <v>662</v>
      </c>
      <c r="I115" s="18" t="s">
        <v>114</v>
      </c>
      <c r="J115" s="18" t="s">
        <v>106</v>
      </c>
      <c r="K115" s="18" t="s">
        <v>122</v>
      </c>
      <c r="L115" s="18" t="s">
        <v>123</v>
      </c>
      <c r="M115" s="18">
        <v>5</v>
      </c>
      <c r="N115" s="18">
        <v>60</v>
      </c>
      <c r="O115" s="18">
        <v>5</v>
      </c>
      <c r="P115" s="18">
        <v>285</v>
      </c>
      <c r="Q115" s="18">
        <v>2</v>
      </c>
      <c r="R115" s="18" t="s">
        <v>34</v>
      </c>
      <c r="S115" s="18" t="s">
        <v>61</v>
      </c>
      <c r="T115" s="18" t="s">
        <v>228</v>
      </c>
      <c r="U115" s="19" t="s">
        <v>663</v>
      </c>
      <c r="V115" s="18" t="s">
        <v>38</v>
      </c>
      <c r="W115" t="str">
        <f t="shared" si="4"/>
        <v>Blacklisted</v>
      </c>
      <c r="X115" s="27" t="str">
        <f t="shared" si="5"/>
        <v>Vikas Mehta</v>
      </c>
      <c r="Y115" s="29" t="str">
        <f t="shared" si="6"/>
        <v>Vik00IDPu</v>
      </c>
      <c r="Z115" s="30" t="str">
        <f t="shared" si="7"/>
        <v>vikas.mehta@company.com</v>
      </c>
    </row>
    <row r="116" spans="1:26">
      <c r="A116" s="15" t="s">
        <v>664</v>
      </c>
      <c r="B116" s="15" t="s">
        <v>53</v>
      </c>
      <c r="C116" s="15" t="s">
        <v>184</v>
      </c>
      <c r="D116" s="15" t="s">
        <v>665</v>
      </c>
      <c r="E116" s="15" t="s">
        <v>666</v>
      </c>
      <c r="F116" s="15" t="s">
        <v>163</v>
      </c>
      <c r="G116" s="15" t="s">
        <v>28</v>
      </c>
      <c r="H116" s="15" t="s">
        <v>667</v>
      </c>
      <c r="I116" s="15" t="s">
        <v>294</v>
      </c>
      <c r="J116" s="15" t="s">
        <v>295</v>
      </c>
      <c r="K116" s="15" t="s">
        <v>46</v>
      </c>
      <c r="L116" s="15" t="s">
        <v>189</v>
      </c>
      <c r="M116" s="15">
        <v>3</v>
      </c>
      <c r="N116" s="15">
        <v>700</v>
      </c>
      <c r="O116" s="15">
        <v>0</v>
      </c>
      <c r="P116" s="15">
        <v>2100</v>
      </c>
      <c r="Q116" s="15">
        <v>4</v>
      </c>
      <c r="R116" s="15" t="s">
        <v>79</v>
      </c>
      <c r="S116" s="15" t="s">
        <v>61</v>
      </c>
      <c r="T116" s="15" t="s">
        <v>62</v>
      </c>
      <c r="U116" s="17" t="s">
        <v>668</v>
      </c>
      <c r="V116" s="15" t="s">
        <v>38</v>
      </c>
      <c r="W116" t="str">
        <f t="shared" si="4"/>
        <v>Silver</v>
      </c>
      <c r="X116" s="27" t="str">
        <f t="shared" si="5"/>
        <v>Pooja Shah</v>
      </c>
      <c r="Y116" s="29" t="str">
        <f t="shared" si="6"/>
        <v>Poo01IDKo</v>
      </c>
      <c r="Z116" s="30" t="str">
        <f t="shared" si="7"/>
        <v>pooja.shah@company.com</v>
      </c>
    </row>
    <row r="117" spans="1:26">
      <c r="A117" s="18" t="s">
        <v>669</v>
      </c>
      <c r="B117" s="18" t="s">
        <v>168</v>
      </c>
      <c r="C117" s="18" t="s">
        <v>222</v>
      </c>
      <c r="D117" s="18" t="s">
        <v>335</v>
      </c>
      <c r="E117" s="18" t="s">
        <v>606</v>
      </c>
      <c r="F117" s="18" t="s">
        <v>361</v>
      </c>
      <c r="G117" s="18" t="s">
        <v>28</v>
      </c>
      <c r="H117" s="18" t="s">
        <v>670</v>
      </c>
      <c r="I117" s="18" t="s">
        <v>44</v>
      </c>
      <c r="J117" s="18" t="s">
        <v>45</v>
      </c>
      <c r="K117" s="18" t="s">
        <v>122</v>
      </c>
      <c r="L117" s="18" t="s">
        <v>227</v>
      </c>
      <c r="M117" s="18">
        <v>6</v>
      </c>
      <c r="N117" s="18">
        <v>20</v>
      </c>
      <c r="O117" s="18">
        <v>15</v>
      </c>
      <c r="P117" s="18">
        <v>102</v>
      </c>
      <c r="Q117" s="18">
        <v>5</v>
      </c>
      <c r="R117" s="18" t="s">
        <v>79</v>
      </c>
      <c r="S117" s="18" t="s">
        <v>151</v>
      </c>
      <c r="T117" s="18" t="s">
        <v>175</v>
      </c>
      <c r="U117" s="19" t="s">
        <v>671</v>
      </c>
      <c r="V117" s="18" t="s">
        <v>38</v>
      </c>
      <c r="W117" t="str">
        <f t="shared" si="4"/>
        <v>Silver</v>
      </c>
      <c r="X117" s="27" t="str">
        <f t="shared" si="5"/>
        <v>Anita Gupta</v>
      </c>
      <c r="Y117" s="29" t="str">
        <f t="shared" si="6"/>
        <v>Ani00IDDe</v>
      </c>
      <c r="Z117" s="30" t="str">
        <f t="shared" si="7"/>
        <v>anita.gupta@company.com</v>
      </c>
    </row>
    <row r="118" spans="1:26">
      <c r="A118" s="15" t="s">
        <v>672</v>
      </c>
      <c r="B118" s="15" t="s">
        <v>100</v>
      </c>
      <c r="C118" s="15" t="s">
        <v>184</v>
      </c>
      <c r="D118" s="15" t="s">
        <v>673</v>
      </c>
      <c r="E118" s="15" t="s">
        <v>674</v>
      </c>
      <c r="F118" s="15" t="s">
        <v>103</v>
      </c>
      <c r="G118" s="15" t="s">
        <v>28</v>
      </c>
      <c r="H118" s="15" t="s">
        <v>675</v>
      </c>
      <c r="I118" s="15" t="s">
        <v>59</v>
      </c>
      <c r="J118" s="15" t="s">
        <v>31</v>
      </c>
      <c r="K118" s="15" t="s">
        <v>46</v>
      </c>
      <c r="L118" s="15" t="s">
        <v>189</v>
      </c>
      <c r="M118" s="15">
        <v>2</v>
      </c>
      <c r="N118" s="15">
        <v>700</v>
      </c>
      <c r="O118" s="15">
        <v>15</v>
      </c>
      <c r="P118" s="15">
        <v>1190</v>
      </c>
      <c r="Q118" s="15">
        <v>4</v>
      </c>
      <c r="R118" s="15" t="s">
        <v>34</v>
      </c>
      <c r="S118" s="15" t="s">
        <v>151</v>
      </c>
      <c r="T118" s="15" t="s">
        <v>144</v>
      </c>
      <c r="U118" s="17" t="s">
        <v>676</v>
      </c>
      <c r="V118" s="15" t="s">
        <v>64</v>
      </c>
      <c r="W118" t="str">
        <f t="shared" si="4"/>
        <v>Blacklisted</v>
      </c>
      <c r="X118" s="27" t="str">
        <f t="shared" si="5"/>
        <v>Priya Patel</v>
      </c>
      <c r="Y118" s="29" t="str">
        <f t="shared" si="6"/>
        <v>Pri00IDBe</v>
      </c>
      <c r="Z118" s="30" t="str">
        <f t="shared" si="7"/>
        <v>priya.patel@company.com</v>
      </c>
    </row>
    <row r="119" spans="1:26">
      <c r="A119" s="18" t="s">
        <v>677</v>
      </c>
      <c r="B119" s="18" t="s">
        <v>327</v>
      </c>
      <c r="C119" s="18" t="s">
        <v>259</v>
      </c>
      <c r="D119" s="18" t="s">
        <v>678</v>
      </c>
      <c r="E119" s="18" t="s">
        <v>679</v>
      </c>
      <c r="F119" s="18" t="s">
        <v>394</v>
      </c>
      <c r="G119" s="18" t="s">
        <v>76</v>
      </c>
      <c r="H119" s="18" t="s">
        <v>680</v>
      </c>
      <c r="I119" s="18" t="s">
        <v>114</v>
      </c>
      <c r="J119" s="18" t="s">
        <v>106</v>
      </c>
      <c r="K119" s="18" t="s">
        <v>122</v>
      </c>
      <c r="L119" s="18" t="s">
        <v>263</v>
      </c>
      <c r="M119" s="18">
        <v>16</v>
      </c>
      <c r="N119" s="18">
        <v>45</v>
      </c>
      <c r="O119" s="18">
        <v>0</v>
      </c>
      <c r="P119" s="18">
        <v>720</v>
      </c>
      <c r="Q119" s="18">
        <v>1</v>
      </c>
      <c r="R119" s="18" t="s">
        <v>48</v>
      </c>
      <c r="S119" s="18" t="s">
        <v>61</v>
      </c>
      <c r="T119" s="18" t="s">
        <v>332</v>
      </c>
      <c r="U119" s="19" t="s">
        <v>681</v>
      </c>
      <c r="V119" s="18" t="s">
        <v>38</v>
      </c>
      <c r="W119" t="str">
        <f t="shared" si="4"/>
        <v>Blacklisted</v>
      </c>
      <c r="X119" s="27" t="str">
        <f t="shared" si="5"/>
        <v>Amit Sharma</v>
      </c>
      <c r="Y119" s="29" t="str">
        <f t="shared" si="6"/>
        <v>Ami00IDPu</v>
      </c>
      <c r="Z119" s="30" t="str">
        <f t="shared" si="7"/>
        <v>amit.sharma@company.com</v>
      </c>
    </row>
    <row r="120" spans="1:26">
      <c r="A120" s="15" t="s">
        <v>682</v>
      </c>
      <c r="B120" s="15" t="s">
        <v>71</v>
      </c>
      <c r="C120" s="15" t="s">
        <v>72</v>
      </c>
      <c r="D120" s="15" t="s">
        <v>683</v>
      </c>
      <c r="E120" s="15" t="s">
        <v>684</v>
      </c>
      <c r="F120" s="15" t="s">
        <v>217</v>
      </c>
      <c r="G120" s="15" t="s">
        <v>76</v>
      </c>
      <c r="H120" s="15" t="s">
        <v>685</v>
      </c>
      <c r="I120" s="15" t="s">
        <v>138</v>
      </c>
      <c r="J120" s="15" t="s">
        <v>106</v>
      </c>
      <c r="K120" s="15" t="s">
        <v>46</v>
      </c>
      <c r="L120" s="15" t="s">
        <v>78</v>
      </c>
      <c r="M120" s="15" t="s">
        <v>686</v>
      </c>
      <c r="N120" s="15">
        <v>1200</v>
      </c>
      <c r="O120" s="15">
        <v>15</v>
      </c>
      <c r="P120" s="15">
        <v>7140</v>
      </c>
      <c r="Q120" s="15">
        <v>4</v>
      </c>
      <c r="R120" s="15" t="s">
        <v>88</v>
      </c>
      <c r="S120" s="15" t="s">
        <v>151</v>
      </c>
      <c r="T120" s="15" t="s">
        <v>80</v>
      </c>
      <c r="U120" s="17" t="s">
        <v>687</v>
      </c>
      <c r="V120" s="15" t="s">
        <v>64</v>
      </c>
      <c r="W120" t="str">
        <f t="shared" si="4"/>
        <v>Blacklisted</v>
      </c>
      <c r="X120" s="27" t="str">
        <f t="shared" si="5"/>
        <v>Mohit Verma</v>
      </c>
      <c r="Y120" s="29" t="str">
        <f t="shared" si="6"/>
        <v>Moh00IDAh</v>
      </c>
      <c r="Z120" s="30" t="str">
        <f t="shared" si="7"/>
        <v>mohit.verma@company.com</v>
      </c>
    </row>
    <row r="121" spans="1:26">
      <c r="A121" s="18" t="s">
        <v>688</v>
      </c>
      <c r="B121" s="18" t="s">
        <v>100</v>
      </c>
      <c r="C121" s="18" t="s">
        <v>40</v>
      </c>
      <c r="D121" s="18" t="s">
        <v>376</v>
      </c>
      <c r="E121" s="18" t="s">
        <v>469</v>
      </c>
      <c r="F121" s="18" t="s">
        <v>103</v>
      </c>
      <c r="G121" s="18" t="s">
        <v>28</v>
      </c>
      <c r="H121" s="18" t="s">
        <v>689</v>
      </c>
      <c r="I121" s="18" t="s">
        <v>212</v>
      </c>
      <c r="J121" s="18" t="s">
        <v>45</v>
      </c>
      <c r="K121" s="18" t="s">
        <v>46</v>
      </c>
      <c r="L121" s="18" t="s">
        <v>47</v>
      </c>
      <c r="M121" s="18">
        <v>14</v>
      </c>
      <c r="N121" s="18">
        <v>12000</v>
      </c>
      <c r="O121" s="18">
        <v>15</v>
      </c>
      <c r="P121" s="18">
        <v>142800</v>
      </c>
      <c r="Q121" s="18">
        <v>2</v>
      </c>
      <c r="R121" s="18" t="s">
        <v>48</v>
      </c>
      <c r="S121" s="18" t="s">
        <v>61</v>
      </c>
      <c r="T121" s="18" t="s">
        <v>144</v>
      </c>
      <c r="U121" s="19" t="s">
        <v>690</v>
      </c>
      <c r="V121" s="18" t="s">
        <v>64</v>
      </c>
      <c r="W121" t="str">
        <f t="shared" si="4"/>
        <v>Blacklisted</v>
      </c>
      <c r="X121" s="27" t="str">
        <f t="shared" si="5"/>
        <v>Priya Patel</v>
      </c>
      <c r="Y121" s="29" t="str">
        <f t="shared" si="6"/>
        <v>Pri00IDJa</v>
      </c>
      <c r="Z121" s="30" t="str">
        <f t="shared" si="7"/>
        <v>priya.patel@company.com</v>
      </c>
    </row>
    <row r="122" spans="1:26">
      <c r="A122" s="15" t="s">
        <v>691</v>
      </c>
      <c r="B122" s="15" t="s">
        <v>127</v>
      </c>
      <c r="C122" s="15" t="s">
        <v>169</v>
      </c>
      <c r="D122" s="15" t="s">
        <v>454</v>
      </c>
      <c r="E122" s="15" t="s">
        <v>692</v>
      </c>
      <c r="F122" s="15" t="s">
        <v>200</v>
      </c>
      <c r="G122" s="15" t="s">
        <v>76</v>
      </c>
      <c r="H122" s="15" t="s">
        <v>693</v>
      </c>
      <c r="I122" s="15" t="s">
        <v>114</v>
      </c>
      <c r="J122" s="15" t="s">
        <v>106</v>
      </c>
      <c r="K122" s="15" t="s">
        <v>32</v>
      </c>
      <c r="L122" s="15" t="s">
        <v>174</v>
      </c>
      <c r="M122" s="15">
        <v>8</v>
      </c>
      <c r="N122" s="15">
        <v>8500</v>
      </c>
      <c r="O122" s="15">
        <v>20</v>
      </c>
      <c r="P122" s="15">
        <v>54400</v>
      </c>
      <c r="Q122" s="15">
        <v>3</v>
      </c>
      <c r="R122" s="15" t="s">
        <v>79</v>
      </c>
      <c r="S122" s="15" t="s">
        <v>49</v>
      </c>
      <c r="T122" s="15" t="s">
        <v>132</v>
      </c>
      <c r="U122" s="17" t="s">
        <v>694</v>
      </c>
      <c r="V122" s="15" t="s">
        <v>38</v>
      </c>
      <c r="W122" t="str">
        <f t="shared" si="4"/>
        <v>Gold</v>
      </c>
      <c r="X122" s="27" t="str">
        <f t="shared" si="5"/>
        <v>Rohit Singh</v>
      </c>
      <c r="Y122" s="29" t="str">
        <f t="shared" si="6"/>
        <v>Roh00IDPu</v>
      </c>
      <c r="Z122" s="30" t="str">
        <f t="shared" si="7"/>
        <v>rohit.singh@company.com</v>
      </c>
    </row>
    <row r="123" spans="1:26">
      <c r="A123" s="18" t="s">
        <v>695</v>
      </c>
      <c r="B123" s="18" t="s">
        <v>83</v>
      </c>
      <c r="C123" s="18" t="s">
        <v>259</v>
      </c>
      <c r="D123" s="18" t="s">
        <v>110</v>
      </c>
      <c r="E123" s="18" t="s">
        <v>313</v>
      </c>
      <c r="F123" s="18" t="s">
        <v>180</v>
      </c>
      <c r="G123" s="18" t="s">
        <v>76</v>
      </c>
      <c r="H123" s="18" t="s">
        <v>696</v>
      </c>
      <c r="I123" s="18" t="s">
        <v>59</v>
      </c>
      <c r="J123" s="18" t="s">
        <v>31</v>
      </c>
      <c r="K123" s="18" t="s">
        <v>122</v>
      </c>
      <c r="L123" s="18" t="s">
        <v>263</v>
      </c>
      <c r="M123" s="18">
        <v>3</v>
      </c>
      <c r="N123" s="18">
        <v>45</v>
      </c>
      <c r="O123" s="18">
        <v>0</v>
      </c>
      <c r="P123" s="18">
        <v>135</v>
      </c>
      <c r="Q123" s="18">
        <v>4</v>
      </c>
      <c r="R123" s="18" t="s">
        <v>88</v>
      </c>
      <c r="S123" s="18" t="s">
        <v>61</v>
      </c>
      <c r="T123" s="18" t="s">
        <v>89</v>
      </c>
      <c r="U123" s="19" t="s">
        <v>697</v>
      </c>
      <c r="V123" s="18" t="s">
        <v>69</v>
      </c>
      <c r="W123" t="str">
        <f t="shared" si="4"/>
        <v>Blacklisted</v>
      </c>
      <c r="X123" s="27" t="str">
        <f t="shared" si="5"/>
        <v>Arjun Rao</v>
      </c>
      <c r="Y123" s="29" t="str">
        <f t="shared" si="6"/>
        <v>Arj00IDBe</v>
      </c>
      <c r="Z123" s="30" t="str">
        <f t="shared" si="7"/>
        <v>arjun.rao@company.com</v>
      </c>
    </row>
    <row r="124" spans="1:26">
      <c r="A124" s="15" t="s">
        <v>698</v>
      </c>
      <c r="B124" s="15" t="s">
        <v>327</v>
      </c>
      <c r="C124" s="15" t="s">
        <v>184</v>
      </c>
      <c r="D124" s="15" t="s">
        <v>464</v>
      </c>
      <c r="E124" s="15" t="s">
        <v>84</v>
      </c>
      <c r="F124" s="15" t="s">
        <v>394</v>
      </c>
      <c r="G124" s="15" t="s">
        <v>76</v>
      </c>
      <c r="H124" s="15" t="s">
        <v>699</v>
      </c>
      <c r="I124" s="15" t="s">
        <v>212</v>
      </c>
      <c r="J124" s="15" t="s">
        <v>45</v>
      </c>
      <c r="K124" s="15" t="s">
        <v>46</v>
      </c>
      <c r="L124" s="15" t="s">
        <v>189</v>
      </c>
      <c r="M124" s="15">
        <v>13</v>
      </c>
      <c r="N124" s="15">
        <v>700</v>
      </c>
      <c r="O124" s="15">
        <v>5</v>
      </c>
      <c r="P124" s="15">
        <v>8645</v>
      </c>
      <c r="Q124" s="15">
        <v>3</v>
      </c>
      <c r="R124" s="15" t="s">
        <v>79</v>
      </c>
      <c r="S124" s="15" t="s">
        <v>115</v>
      </c>
      <c r="T124" s="15" t="s">
        <v>332</v>
      </c>
      <c r="U124" s="17" t="s">
        <v>700</v>
      </c>
      <c r="V124" s="15" t="s">
        <v>64</v>
      </c>
      <c r="W124" t="str">
        <f t="shared" si="4"/>
        <v>Blacklisted</v>
      </c>
      <c r="X124" s="27" t="str">
        <f t="shared" si="5"/>
        <v>Amit Sharma</v>
      </c>
      <c r="Y124" s="29" t="str">
        <f t="shared" si="6"/>
        <v>Ami00IDJa</v>
      </c>
      <c r="Z124" s="30" t="str">
        <f t="shared" si="7"/>
        <v>amit.sharma@company.com</v>
      </c>
    </row>
    <row r="125" spans="1:26">
      <c r="A125" s="18" t="s">
        <v>701</v>
      </c>
      <c r="B125" s="18" t="s">
        <v>168</v>
      </c>
      <c r="C125" s="18" t="s">
        <v>72</v>
      </c>
      <c r="D125" s="18" t="s">
        <v>702</v>
      </c>
      <c r="E125" s="18" t="s">
        <v>703</v>
      </c>
      <c r="F125" s="18" t="s">
        <v>361</v>
      </c>
      <c r="G125" s="18" t="s">
        <v>28</v>
      </c>
      <c r="H125" s="18" t="s">
        <v>704</v>
      </c>
      <c r="I125" s="18" t="s">
        <v>105</v>
      </c>
      <c r="J125" s="18" t="s">
        <v>106</v>
      </c>
      <c r="K125" s="18" t="s">
        <v>46</v>
      </c>
      <c r="L125" s="18" t="s">
        <v>78</v>
      </c>
      <c r="M125" s="18">
        <v>14</v>
      </c>
      <c r="N125" s="18">
        <v>1200</v>
      </c>
      <c r="O125" s="18">
        <v>20</v>
      </c>
      <c r="P125" s="18">
        <v>13440</v>
      </c>
      <c r="Q125" s="18">
        <v>5</v>
      </c>
      <c r="R125" s="18" t="s">
        <v>48</v>
      </c>
      <c r="S125" s="18" t="s">
        <v>61</v>
      </c>
      <c r="T125" s="18" t="s">
        <v>175</v>
      </c>
      <c r="U125" s="19" t="s">
        <v>705</v>
      </c>
      <c r="V125" s="18" t="s">
        <v>38</v>
      </c>
      <c r="W125" t="str">
        <f t="shared" si="4"/>
        <v>Silver</v>
      </c>
      <c r="X125" s="27" t="str">
        <f t="shared" si="5"/>
        <v>Anita Gupta</v>
      </c>
      <c r="Y125" s="29" t="str">
        <f t="shared" si="6"/>
        <v>Ani00IDMu</v>
      </c>
      <c r="Z125" s="30" t="str">
        <f t="shared" si="7"/>
        <v>anita.gupta@company.com</v>
      </c>
    </row>
    <row r="126" spans="1:26">
      <c r="A126" s="15" t="s">
        <v>706</v>
      </c>
      <c r="B126" s="15" t="s">
        <v>100</v>
      </c>
      <c r="C126" s="15" t="s">
        <v>259</v>
      </c>
      <c r="D126" s="15" t="s">
        <v>597</v>
      </c>
      <c r="E126" s="15" t="s">
        <v>707</v>
      </c>
      <c r="F126" s="15" t="s">
        <v>103</v>
      </c>
      <c r="G126" s="15" t="s">
        <v>28</v>
      </c>
      <c r="H126" s="15" t="s">
        <v>708</v>
      </c>
      <c r="I126" s="15" t="s">
        <v>44</v>
      </c>
      <c r="J126" s="15" t="s">
        <v>45</v>
      </c>
      <c r="K126" s="15" t="s">
        <v>122</v>
      </c>
      <c r="L126" s="15" t="s">
        <v>263</v>
      </c>
      <c r="M126" s="15">
        <v>2</v>
      </c>
      <c r="N126" s="15">
        <v>45</v>
      </c>
      <c r="O126" s="15">
        <v>5</v>
      </c>
      <c r="P126" s="15">
        <v>85.5</v>
      </c>
      <c r="Q126" s="15">
        <v>3</v>
      </c>
      <c r="R126" s="15" t="s">
        <v>88</v>
      </c>
      <c r="S126" s="15" t="s">
        <v>35</v>
      </c>
      <c r="T126" s="15" t="s">
        <v>144</v>
      </c>
      <c r="U126" s="17" t="s">
        <v>709</v>
      </c>
      <c r="V126" s="15" t="s">
        <v>69</v>
      </c>
      <c r="W126" t="str">
        <f t="shared" si="4"/>
        <v>Blacklisted</v>
      </c>
      <c r="X126" s="27" t="str">
        <f t="shared" si="5"/>
        <v>Priya Patel</v>
      </c>
      <c r="Y126" s="29" t="str">
        <f t="shared" si="6"/>
        <v>Pri00IDDe</v>
      </c>
      <c r="Z126" s="30" t="str">
        <f t="shared" si="7"/>
        <v>priya.patel@company.com</v>
      </c>
    </row>
    <row r="127" spans="1:26">
      <c r="A127" s="18" t="s">
        <v>710</v>
      </c>
      <c r="B127" s="18" t="s">
        <v>168</v>
      </c>
      <c r="C127" s="18" t="s">
        <v>72</v>
      </c>
      <c r="D127" s="18" t="s">
        <v>711</v>
      </c>
      <c r="E127" s="18" t="s">
        <v>712</v>
      </c>
      <c r="F127" s="18" t="s">
        <v>361</v>
      </c>
      <c r="G127" s="18" t="s">
        <v>28</v>
      </c>
      <c r="H127" s="18" t="s">
        <v>713</v>
      </c>
      <c r="I127" s="18" t="s">
        <v>59</v>
      </c>
      <c r="J127" s="18" t="s">
        <v>31</v>
      </c>
      <c r="K127" s="18" t="s">
        <v>46</v>
      </c>
      <c r="L127" s="18" t="s">
        <v>78</v>
      </c>
      <c r="M127" s="18">
        <v>2</v>
      </c>
      <c r="N127" s="18">
        <v>1200</v>
      </c>
      <c r="O127" s="18">
        <v>20</v>
      </c>
      <c r="P127" s="18">
        <v>1920</v>
      </c>
      <c r="Q127" s="18">
        <v>3</v>
      </c>
      <c r="R127" s="18" t="s">
        <v>79</v>
      </c>
      <c r="S127" s="18" t="s">
        <v>115</v>
      </c>
      <c r="T127" s="18" t="s">
        <v>175</v>
      </c>
      <c r="U127" s="19" t="s">
        <v>714</v>
      </c>
      <c r="V127" s="18" t="s">
        <v>38</v>
      </c>
      <c r="W127" t="str">
        <f t="shared" si="4"/>
        <v>Silver</v>
      </c>
      <c r="X127" s="27" t="str">
        <f t="shared" si="5"/>
        <v>Anita Gupta</v>
      </c>
      <c r="Y127" s="29" t="str">
        <f t="shared" si="6"/>
        <v>Ani00IDBe</v>
      </c>
      <c r="Z127" s="30" t="str">
        <f t="shared" si="7"/>
        <v>anita.gupta@company.com</v>
      </c>
    </row>
    <row r="128" spans="1:26">
      <c r="A128" s="15" t="s">
        <v>715</v>
      </c>
      <c r="B128" s="15" t="s">
        <v>127</v>
      </c>
      <c r="C128" s="15" t="s">
        <v>54</v>
      </c>
      <c r="D128" s="15" t="s">
        <v>224</v>
      </c>
      <c r="E128" s="15" t="s">
        <v>716</v>
      </c>
      <c r="F128" s="15" t="s">
        <v>200</v>
      </c>
      <c r="G128" s="15" t="s">
        <v>76</v>
      </c>
      <c r="H128" s="15" t="s">
        <v>717</v>
      </c>
      <c r="I128" s="15" t="s">
        <v>59</v>
      </c>
      <c r="J128" s="15" t="s">
        <v>31</v>
      </c>
      <c r="K128" s="15" t="s">
        <v>46</v>
      </c>
      <c r="L128" s="15" t="s">
        <v>60</v>
      </c>
      <c r="M128" s="15">
        <v>10</v>
      </c>
      <c r="N128" s="15">
        <v>55000</v>
      </c>
      <c r="O128" s="15">
        <v>5</v>
      </c>
      <c r="P128" s="15">
        <v>522500</v>
      </c>
      <c r="Q128" s="15">
        <v>5</v>
      </c>
      <c r="R128" s="15" t="s">
        <v>88</v>
      </c>
      <c r="S128" s="15" t="s">
        <v>61</v>
      </c>
      <c r="T128" s="15" t="s">
        <v>132</v>
      </c>
      <c r="U128" s="17" t="s">
        <v>718</v>
      </c>
      <c r="V128" s="15" t="s">
        <v>64</v>
      </c>
      <c r="W128" t="str">
        <f t="shared" si="4"/>
        <v>Blacklisted</v>
      </c>
      <c r="X128" s="27" t="str">
        <f t="shared" si="5"/>
        <v>Rohit Singh</v>
      </c>
      <c r="Y128" s="29" t="str">
        <f t="shared" si="6"/>
        <v>Roh00IDBe</v>
      </c>
      <c r="Z128" s="30" t="str">
        <f t="shared" si="7"/>
        <v>rohit.singh@company.com</v>
      </c>
    </row>
    <row r="129" spans="1:26">
      <c r="A129" s="18" t="s">
        <v>719</v>
      </c>
      <c r="B129" s="18" t="s">
        <v>251</v>
      </c>
      <c r="C129" s="18" t="s">
        <v>92</v>
      </c>
      <c r="D129" s="18" t="s">
        <v>720</v>
      </c>
      <c r="E129" s="18" t="s">
        <v>382</v>
      </c>
      <c r="F129" s="18" t="s">
        <v>254</v>
      </c>
      <c r="G129" s="18" t="s">
        <v>28</v>
      </c>
      <c r="H129" s="18" t="s">
        <v>721</v>
      </c>
      <c r="I129" s="18" t="s">
        <v>212</v>
      </c>
      <c r="J129" s="18" t="s">
        <v>45</v>
      </c>
      <c r="K129" s="18" t="s">
        <v>32</v>
      </c>
      <c r="L129" s="18" t="s">
        <v>97</v>
      </c>
      <c r="M129" s="18">
        <v>15</v>
      </c>
      <c r="N129" s="18">
        <v>3500</v>
      </c>
      <c r="O129" s="18">
        <v>10</v>
      </c>
      <c r="P129" s="18">
        <v>47250</v>
      </c>
      <c r="Q129" s="18">
        <v>3</v>
      </c>
      <c r="R129" s="18" t="s">
        <v>48</v>
      </c>
      <c r="S129" s="18" t="s">
        <v>115</v>
      </c>
      <c r="T129" s="18" t="s">
        <v>256</v>
      </c>
      <c r="U129" s="19" t="s">
        <v>722</v>
      </c>
      <c r="V129" s="18" t="s">
        <v>38</v>
      </c>
      <c r="W129" t="str">
        <f t="shared" si="4"/>
        <v>Silver</v>
      </c>
      <c r="X129" s="27" t="str">
        <f t="shared" si="5"/>
        <v>Sneha Joshi</v>
      </c>
      <c r="Y129" s="29" t="str">
        <f t="shared" si="6"/>
        <v>Sne00IDJa</v>
      </c>
      <c r="Z129" s="30" t="str">
        <f t="shared" si="7"/>
        <v>sneha.joshi@company.com</v>
      </c>
    </row>
    <row r="130" spans="1:26">
      <c r="A130" s="15" t="s">
        <v>723</v>
      </c>
      <c r="B130" s="15" t="s">
        <v>100</v>
      </c>
      <c r="C130" s="15" t="s">
        <v>24</v>
      </c>
      <c r="D130" s="15" t="s">
        <v>562</v>
      </c>
      <c r="E130" s="15" t="s">
        <v>724</v>
      </c>
      <c r="F130" s="15" t="s">
        <v>103</v>
      </c>
      <c r="G130" s="15" t="s">
        <v>28</v>
      </c>
      <c r="H130" s="15" t="s">
        <v>725</v>
      </c>
      <c r="I130" s="15" t="s">
        <v>59</v>
      </c>
      <c r="J130" s="15" t="s">
        <v>31</v>
      </c>
      <c r="K130" s="15" t="s">
        <v>32</v>
      </c>
      <c r="L130" s="15" t="s">
        <v>33</v>
      </c>
      <c r="M130" s="15">
        <v>10</v>
      </c>
      <c r="N130" s="15">
        <v>2200</v>
      </c>
      <c r="O130" s="15">
        <v>15</v>
      </c>
      <c r="P130" s="15">
        <v>18700</v>
      </c>
      <c r="Q130" s="15">
        <v>4</v>
      </c>
      <c r="R130" s="15" t="s">
        <v>79</v>
      </c>
      <c r="S130" s="15" t="s">
        <v>49</v>
      </c>
      <c r="T130" s="15" t="s">
        <v>144</v>
      </c>
      <c r="U130" s="17" t="s">
        <v>726</v>
      </c>
      <c r="V130" s="15" t="s">
        <v>64</v>
      </c>
      <c r="W130" t="str">
        <f t="shared" si="4"/>
        <v>Blacklisted</v>
      </c>
      <c r="X130" s="27" t="str">
        <f t="shared" si="5"/>
        <v>Priya Patel</v>
      </c>
      <c r="Y130" s="29" t="str">
        <f t="shared" si="6"/>
        <v>Pri00IDBe</v>
      </c>
      <c r="Z130" s="30" t="str">
        <f t="shared" si="7"/>
        <v>priya.patel@company.com</v>
      </c>
    </row>
    <row r="131" spans="1:26">
      <c r="A131" s="18" t="s">
        <v>727</v>
      </c>
      <c r="B131" s="18" t="s">
        <v>251</v>
      </c>
      <c r="C131" s="18" t="s">
        <v>92</v>
      </c>
      <c r="D131" s="18" t="s">
        <v>260</v>
      </c>
      <c r="E131" s="18" t="s">
        <v>231</v>
      </c>
      <c r="F131" s="18" t="s">
        <v>254</v>
      </c>
      <c r="G131" s="18" t="s">
        <v>28</v>
      </c>
      <c r="H131" s="18" t="s">
        <v>728</v>
      </c>
      <c r="I131" s="18" t="s">
        <v>114</v>
      </c>
      <c r="J131" s="18" t="s">
        <v>106</v>
      </c>
      <c r="K131" s="18" t="s">
        <v>32</v>
      </c>
      <c r="L131" s="18" t="s">
        <v>97</v>
      </c>
      <c r="M131" s="18">
        <v>11</v>
      </c>
      <c r="N131" s="18">
        <v>3500</v>
      </c>
      <c r="O131" s="18">
        <v>5</v>
      </c>
      <c r="P131" s="18">
        <v>36575</v>
      </c>
      <c r="Q131" s="18">
        <v>5</v>
      </c>
      <c r="R131" s="18" t="s">
        <v>34</v>
      </c>
      <c r="S131" s="18" t="s">
        <v>35</v>
      </c>
      <c r="T131" s="18" t="s">
        <v>256</v>
      </c>
      <c r="U131" s="19" t="s">
        <v>729</v>
      </c>
      <c r="V131" s="18" t="s">
        <v>69</v>
      </c>
      <c r="W131" t="str">
        <f t="shared" ref="W131:W194" si="8">IF(OR(Q131&lt;=2,V131="Cancelled"),"Blacklisted",IF(AND(P131&gt;=100000,Q131&gt;=4,O131&lt;10,V131="Completed"),"Platinum",IF(AND(P131&gt;=50000,P131&lt;=99999,Q131&gt;=3,V131="Completed"),"Gold",IF(AND(P131&lt;50000,V131="Completed"),"Silver","Blacklisted"))))</f>
        <v>Blacklisted</v>
      </c>
      <c r="X131" s="27" t="str">
        <f t="shared" ref="X131:X194" si="9">PROPER(TRIM(F131))</f>
        <v>Sneha Joshi</v>
      </c>
      <c r="Y131" s="29" t="str">
        <f t="shared" ref="Y131:Y194" si="10">LEFT(X131,3)&amp;MID(B131,2,2)&amp;"ID"&amp;LEFT(I131,2)</f>
        <v>Sne00IDPu</v>
      </c>
      <c r="Z131" s="30" t="str">
        <f t="shared" ref="Z131:Z194" si="11">IF(ISNUMBER(SEARCH("@",T131)),LOWER(TRIM(T131)),"Invalid Email")</f>
        <v>sneha.joshi@company.com</v>
      </c>
    </row>
    <row r="132" spans="1:26">
      <c r="A132" s="15" t="s">
        <v>730</v>
      </c>
      <c r="B132" s="15" t="s">
        <v>168</v>
      </c>
      <c r="C132" s="15" t="s">
        <v>72</v>
      </c>
      <c r="D132" s="15" t="s">
        <v>731</v>
      </c>
      <c r="E132" s="15" t="s">
        <v>732</v>
      </c>
      <c r="F132" s="15" t="s">
        <v>361</v>
      </c>
      <c r="G132" s="15" t="s">
        <v>28</v>
      </c>
      <c r="H132" s="15" t="s">
        <v>733</v>
      </c>
      <c r="I132" s="15" t="s">
        <v>59</v>
      </c>
      <c r="J132" s="15" t="s">
        <v>31</v>
      </c>
      <c r="K132" s="15" t="s">
        <v>46</v>
      </c>
      <c r="L132" s="15" t="s">
        <v>78</v>
      </c>
      <c r="M132" s="15">
        <v>14</v>
      </c>
      <c r="N132" s="15">
        <v>1200</v>
      </c>
      <c r="O132" s="15">
        <v>0</v>
      </c>
      <c r="P132" s="15">
        <v>16800</v>
      </c>
      <c r="Q132" s="15">
        <v>5</v>
      </c>
      <c r="R132" s="15" t="s">
        <v>34</v>
      </c>
      <c r="S132" s="15" t="s">
        <v>49</v>
      </c>
      <c r="T132" s="15" t="s">
        <v>175</v>
      </c>
      <c r="U132" s="17" t="s">
        <v>734</v>
      </c>
      <c r="V132" s="15" t="s">
        <v>69</v>
      </c>
      <c r="W132" t="str">
        <f t="shared" si="8"/>
        <v>Blacklisted</v>
      </c>
      <c r="X132" s="27" t="str">
        <f t="shared" si="9"/>
        <v>Anita Gupta</v>
      </c>
      <c r="Y132" s="29" t="str">
        <f t="shared" si="10"/>
        <v>Ani00IDBe</v>
      </c>
      <c r="Z132" s="30" t="str">
        <f t="shared" si="11"/>
        <v>anita.gupta@company.com</v>
      </c>
    </row>
    <row r="133" spans="1:26">
      <c r="A133" s="18" t="s">
        <v>735</v>
      </c>
      <c r="B133" s="18" t="s">
        <v>100</v>
      </c>
      <c r="C133" s="18" t="s">
        <v>222</v>
      </c>
      <c r="D133" s="18" t="s">
        <v>736</v>
      </c>
      <c r="E133" s="18" t="s">
        <v>170</v>
      </c>
      <c r="F133" s="18" t="s">
        <v>103</v>
      </c>
      <c r="G133" s="18" t="s">
        <v>28</v>
      </c>
      <c r="H133" s="18" t="s">
        <v>737</v>
      </c>
      <c r="I133" s="18" t="s">
        <v>44</v>
      </c>
      <c r="J133" s="18" t="s">
        <v>45</v>
      </c>
      <c r="K133" s="18" t="s">
        <v>122</v>
      </c>
      <c r="L133" s="18" t="s">
        <v>227</v>
      </c>
      <c r="M133" s="18">
        <v>11</v>
      </c>
      <c r="N133" s="18">
        <v>20</v>
      </c>
      <c r="O133" s="18">
        <v>20</v>
      </c>
      <c r="P133" s="18">
        <v>176</v>
      </c>
      <c r="Q133" s="18">
        <v>4</v>
      </c>
      <c r="R133" s="18" t="s">
        <v>48</v>
      </c>
      <c r="S133" s="18" t="s">
        <v>35</v>
      </c>
      <c r="T133" s="18" t="s">
        <v>144</v>
      </c>
      <c r="U133" s="19" t="s">
        <v>738</v>
      </c>
      <c r="V133" s="18" t="s">
        <v>38</v>
      </c>
      <c r="W133" t="str">
        <f t="shared" si="8"/>
        <v>Silver</v>
      </c>
      <c r="X133" s="27" t="str">
        <f t="shared" si="9"/>
        <v>Priya Patel</v>
      </c>
      <c r="Y133" s="29" t="str">
        <f t="shared" si="10"/>
        <v>Pri00IDDe</v>
      </c>
      <c r="Z133" s="30" t="str">
        <f t="shared" si="11"/>
        <v>priya.patel@company.com</v>
      </c>
    </row>
    <row r="134" spans="1:26">
      <c r="A134" s="15" t="s">
        <v>739</v>
      </c>
      <c r="B134" s="15" t="s">
        <v>71</v>
      </c>
      <c r="C134" s="15" t="s">
        <v>40</v>
      </c>
      <c r="D134" s="15" t="s">
        <v>740</v>
      </c>
      <c r="E134" s="15" t="s">
        <v>657</v>
      </c>
      <c r="F134" s="15" t="s">
        <v>217</v>
      </c>
      <c r="G134" s="15" t="s">
        <v>76</v>
      </c>
      <c r="H134" s="15" t="s">
        <v>741</v>
      </c>
      <c r="I134" s="15" t="s">
        <v>114</v>
      </c>
      <c r="J134" s="15" t="s">
        <v>106</v>
      </c>
      <c r="K134" s="15" t="s">
        <v>46</v>
      </c>
      <c r="L134" s="15" t="s">
        <v>47</v>
      </c>
      <c r="M134" s="15">
        <v>6</v>
      </c>
      <c r="N134" s="15">
        <v>12000</v>
      </c>
      <c r="O134" s="15">
        <v>10</v>
      </c>
      <c r="P134" s="15">
        <v>64800</v>
      </c>
      <c r="Q134" s="15">
        <v>5</v>
      </c>
      <c r="R134" s="15" t="s">
        <v>88</v>
      </c>
      <c r="S134" s="15" t="s">
        <v>151</v>
      </c>
      <c r="T134" s="15" t="s">
        <v>80</v>
      </c>
      <c r="U134" s="17" t="s">
        <v>742</v>
      </c>
      <c r="V134" s="15" t="s">
        <v>38</v>
      </c>
      <c r="W134" t="str">
        <f t="shared" si="8"/>
        <v>Gold</v>
      </c>
      <c r="X134" s="27" t="str">
        <f t="shared" si="9"/>
        <v>Mohit Verma</v>
      </c>
      <c r="Y134" s="29" t="str">
        <f t="shared" si="10"/>
        <v>Moh00IDPu</v>
      </c>
      <c r="Z134" s="30" t="str">
        <f t="shared" si="11"/>
        <v>mohit.verma@company.com</v>
      </c>
    </row>
    <row r="135" spans="1:26">
      <c r="A135" s="18" t="s">
        <v>743</v>
      </c>
      <c r="B135" s="18" t="s">
        <v>71</v>
      </c>
      <c r="C135" s="18" t="s">
        <v>24</v>
      </c>
      <c r="D135" s="18" t="s">
        <v>652</v>
      </c>
      <c r="E135" s="18" t="s">
        <v>539</v>
      </c>
      <c r="F135" s="18" t="s">
        <v>217</v>
      </c>
      <c r="G135" s="18" t="s">
        <v>76</v>
      </c>
      <c r="H135" s="18" t="s">
        <v>744</v>
      </c>
      <c r="I135" s="18" t="s">
        <v>30</v>
      </c>
      <c r="J135" s="18" t="s">
        <v>31</v>
      </c>
      <c r="K135" s="18" t="s">
        <v>32</v>
      </c>
      <c r="L135" s="18" t="s">
        <v>33</v>
      </c>
      <c r="M135" s="18">
        <v>6</v>
      </c>
      <c r="N135" s="18">
        <v>2200</v>
      </c>
      <c r="O135" s="18">
        <v>5</v>
      </c>
      <c r="P135" s="18">
        <v>12540</v>
      </c>
      <c r="Q135" s="18">
        <v>4</v>
      </c>
      <c r="R135" s="18" t="s">
        <v>34</v>
      </c>
      <c r="S135" s="18" t="s">
        <v>49</v>
      </c>
      <c r="T135" s="18" t="s">
        <v>80</v>
      </c>
      <c r="U135" s="19" t="s">
        <v>745</v>
      </c>
      <c r="V135" s="18" t="s">
        <v>38</v>
      </c>
      <c r="W135" t="str">
        <f t="shared" si="8"/>
        <v>Silver</v>
      </c>
      <c r="X135" s="27" t="str">
        <f t="shared" si="9"/>
        <v>Mohit Verma</v>
      </c>
      <c r="Y135" s="29" t="str">
        <f t="shared" si="10"/>
        <v>Moh00IDHy</v>
      </c>
      <c r="Z135" s="30" t="str">
        <f t="shared" si="11"/>
        <v>mohit.verma@company.com</v>
      </c>
    </row>
    <row r="136" spans="1:26">
      <c r="A136" s="15" t="s">
        <v>746</v>
      </c>
      <c r="B136" s="15" t="s">
        <v>53</v>
      </c>
      <c r="C136" s="15" t="s">
        <v>92</v>
      </c>
      <c r="D136" s="15" t="s">
        <v>408</v>
      </c>
      <c r="E136" s="15" t="s">
        <v>488</v>
      </c>
      <c r="F136" s="15" t="s">
        <v>163</v>
      </c>
      <c r="G136" s="15" t="s">
        <v>28</v>
      </c>
      <c r="H136" s="15" t="s">
        <v>747</v>
      </c>
      <c r="I136" s="15" t="s">
        <v>44</v>
      </c>
      <c r="J136" s="15" t="s">
        <v>45</v>
      </c>
      <c r="K136" s="15" t="s">
        <v>32</v>
      </c>
      <c r="L136" s="15" t="s">
        <v>97</v>
      </c>
      <c r="M136" s="15">
        <v>3</v>
      </c>
      <c r="N136" s="15">
        <v>3500</v>
      </c>
      <c r="O136" s="15">
        <v>5</v>
      </c>
      <c r="P136" s="15">
        <v>9975</v>
      </c>
      <c r="Q136" s="15">
        <v>4</v>
      </c>
      <c r="R136" s="15" t="s">
        <v>48</v>
      </c>
      <c r="S136" s="15" t="s">
        <v>49</v>
      </c>
      <c r="T136" s="15" t="s">
        <v>62</v>
      </c>
      <c r="U136" s="17" t="s">
        <v>748</v>
      </c>
      <c r="V136" s="15" t="s">
        <v>64</v>
      </c>
      <c r="W136" t="str">
        <f t="shared" si="8"/>
        <v>Blacklisted</v>
      </c>
      <c r="X136" s="27" t="str">
        <f t="shared" si="9"/>
        <v>Pooja Shah</v>
      </c>
      <c r="Y136" s="29" t="str">
        <f t="shared" si="10"/>
        <v>Poo01IDDe</v>
      </c>
      <c r="Z136" s="30" t="str">
        <f t="shared" si="11"/>
        <v>pooja.shah@company.com</v>
      </c>
    </row>
    <row r="137" spans="1:26">
      <c r="A137" s="18" t="s">
        <v>749</v>
      </c>
      <c r="B137" s="18" t="s">
        <v>71</v>
      </c>
      <c r="C137" s="18" t="s">
        <v>169</v>
      </c>
      <c r="D137" s="18" t="s">
        <v>750</v>
      </c>
      <c r="E137" s="18" t="s">
        <v>751</v>
      </c>
      <c r="F137" s="18" t="s">
        <v>217</v>
      </c>
      <c r="G137" s="18" t="s">
        <v>76</v>
      </c>
      <c r="H137" s="18" t="s">
        <v>752</v>
      </c>
      <c r="I137" s="18" t="s">
        <v>30</v>
      </c>
      <c r="J137" s="18" t="s">
        <v>31</v>
      </c>
      <c r="K137" s="18" t="s">
        <v>32</v>
      </c>
      <c r="L137" s="18" t="s">
        <v>174</v>
      </c>
      <c r="M137" s="18">
        <v>5</v>
      </c>
      <c r="N137" s="18">
        <v>8500</v>
      </c>
      <c r="O137" s="18">
        <v>20</v>
      </c>
      <c r="P137" s="18">
        <v>34000</v>
      </c>
      <c r="Q137" s="18">
        <v>5</v>
      </c>
      <c r="R137" s="18" t="s">
        <v>34</v>
      </c>
      <c r="S137" s="18" t="s">
        <v>61</v>
      </c>
      <c r="T137" s="18" t="s">
        <v>80</v>
      </c>
      <c r="U137" s="19" t="s">
        <v>753</v>
      </c>
      <c r="V137" s="18" t="s">
        <v>64</v>
      </c>
      <c r="W137" t="str">
        <f t="shared" si="8"/>
        <v>Blacklisted</v>
      </c>
      <c r="X137" s="27" t="str">
        <f t="shared" si="9"/>
        <v>Mohit Verma</v>
      </c>
      <c r="Y137" s="29" t="str">
        <f t="shared" si="10"/>
        <v>Moh00IDHy</v>
      </c>
      <c r="Z137" s="30" t="str">
        <f t="shared" si="11"/>
        <v>mohit.verma@company.com</v>
      </c>
    </row>
    <row r="138" spans="1:26">
      <c r="A138" s="15" t="s">
        <v>754</v>
      </c>
      <c r="B138" s="15" t="s">
        <v>23</v>
      </c>
      <c r="C138" s="15" t="s">
        <v>92</v>
      </c>
      <c r="D138" s="15" t="s">
        <v>755</v>
      </c>
      <c r="E138" s="15" t="s">
        <v>756</v>
      </c>
      <c r="F138" s="15" t="s">
        <v>27</v>
      </c>
      <c r="G138" s="15" t="s">
        <v>28</v>
      </c>
      <c r="H138" s="15" t="s">
        <v>757</v>
      </c>
      <c r="I138" s="15" t="s">
        <v>59</v>
      </c>
      <c r="J138" s="15" t="s">
        <v>31</v>
      </c>
      <c r="K138" s="15" t="s">
        <v>32</v>
      </c>
      <c r="L138" s="15" t="s">
        <v>97</v>
      </c>
      <c r="M138" s="15">
        <v>14</v>
      </c>
      <c r="N138" s="15">
        <v>3500</v>
      </c>
      <c r="O138" s="15">
        <v>10</v>
      </c>
      <c r="P138" s="15">
        <v>44100</v>
      </c>
      <c r="Q138" s="15">
        <v>4</v>
      </c>
      <c r="R138" s="15" t="s">
        <v>88</v>
      </c>
      <c r="S138" s="15" t="s">
        <v>35</v>
      </c>
      <c r="T138" s="15" t="s">
        <v>50</v>
      </c>
      <c r="U138" s="17" t="s">
        <v>758</v>
      </c>
      <c r="V138" s="15" t="s">
        <v>69</v>
      </c>
      <c r="W138" t="str">
        <f t="shared" si="8"/>
        <v>Blacklisted</v>
      </c>
      <c r="X138" s="27" t="str">
        <f t="shared" si="9"/>
        <v>Kavya Nair</v>
      </c>
      <c r="Y138" s="29" t="str">
        <f t="shared" si="10"/>
        <v>Kav00IDBe</v>
      </c>
      <c r="Z138" s="30" t="str">
        <f t="shared" si="11"/>
        <v>kavya.nair@company.com</v>
      </c>
    </row>
    <row r="139" spans="1:26">
      <c r="A139" s="18" t="s">
        <v>759</v>
      </c>
      <c r="B139" s="18" t="s">
        <v>327</v>
      </c>
      <c r="C139" s="18" t="s">
        <v>259</v>
      </c>
      <c r="D139" s="18" t="s">
        <v>760</v>
      </c>
      <c r="E139" s="18" t="s">
        <v>761</v>
      </c>
      <c r="F139" s="18" t="s">
        <v>394</v>
      </c>
      <c r="G139" s="18" t="s">
        <v>76</v>
      </c>
      <c r="H139" s="18" t="s">
        <v>762</v>
      </c>
      <c r="I139" s="18" t="s">
        <v>138</v>
      </c>
      <c r="J139" s="18" t="s">
        <v>106</v>
      </c>
      <c r="K139" s="18" t="s">
        <v>122</v>
      </c>
      <c r="L139" s="18" t="s">
        <v>263</v>
      </c>
      <c r="M139" s="18">
        <v>8</v>
      </c>
      <c r="N139" s="18">
        <v>45</v>
      </c>
      <c r="O139" s="18">
        <v>0</v>
      </c>
      <c r="P139" s="18">
        <v>360</v>
      </c>
      <c r="Q139" s="18">
        <v>1</v>
      </c>
      <c r="R139" s="18" t="s">
        <v>79</v>
      </c>
      <c r="S139" s="18" t="s">
        <v>151</v>
      </c>
      <c r="T139" s="18" t="s">
        <v>332</v>
      </c>
      <c r="U139" s="19" t="s">
        <v>763</v>
      </c>
      <c r="V139" s="18" t="s">
        <v>69</v>
      </c>
      <c r="W139" t="str">
        <f t="shared" si="8"/>
        <v>Blacklisted</v>
      </c>
      <c r="X139" s="27" t="str">
        <f t="shared" si="9"/>
        <v>Amit Sharma</v>
      </c>
      <c r="Y139" s="29" t="str">
        <f t="shared" si="10"/>
        <v>Ami00IDAh</v>
      </c>
      <c r="Z139" s="30" t="str">
        <f t="shared" si="11"/>
        <v>amit.sharma@company.com</v>
      </c>
    </row>
    <row r="140" spans="1:26">
      <c r="A140" s="15" t="s">
        <v>764</v>
      </c>
      <c r="B140" s="15" t="s">
        <v>221</v>
      </c>
      <c r="C140" s="15" t="s">
        <v>259</v>
      </c>
      <c r="D140" s="15" t="s">
        <v>765</v>
      </c>
      <c r="E140" s="15" t="s">
        <v>766</v>
      </c>
      <c r="F140" s="15" t="s">
        <v>225</v>
      </c>
      <c r="G140" s="15" t="s">
        <v>76</v>
      </c>
      <c r="H140" s="15" t="s">
        <v>767</v>
      </c>
      <c r="I140" s="15" t="s">
        <v>44</v>
      </c>
      <c r="J140" s="15" t="s">
        <v>45</v>
      </c>
      <c r="K140" s="15" t="s">
        <v>122</v>
      </c>
      <c r="L140" s="15" t="s">
        <v>263</v>
      </c>
      <c r="M140" s="15">
        <v>11</v>
      </c>
      <c r="N140" s="15">
        <v>45</v>
      </c>
      <c r="O140" s="15">
        <v>5</v>
      </c>
      <c r="P140" s="15">
        <v>470.25</v>
      </c>
      <c r="Q140" s="15">
        <v>3</v>
      </c>
      <c r="R140" s="15" t="s">
        <v>79</v>
      </c>
      <c r="S140" s="15" t="s">
        <v>49</v>
      </c>
      <c r="T140" s="15" t="s">
        <v>228</v>
      </c>
      <c r="U140" s="17" t="s">
        <v>768</v>
      </c>
      <c r="V140" s="15" t="s">
        <v>38</v>
      </c>
      <c r="W140" t="str">
        <f t="shared" si="8"/>
        <v>Silver</v>
      </c>
      <c r="X140" s="27" t="str">
        <f t="shared" si="9"/>
        <v>Vikas Mehta</v>
      </c>
      <c r="Y140" s="29" t="str">
        <f t="shared" si="10"/>
        <v>Vik00IDDe</v>
      </c>
      <c r="Z140" s="30" t="str">
        <f t="shared" si="11"/>
        <v>vikas.mehta@company.com</v>
      </c>
    </row>
    <row r="141" spans="1:26">
      <c r="A141" s="18" t="s">
        <v>769</v>
      </c>
      <c r="B141" s="18" t="s">
        <v>83</v>
      </c>
      <c r="C141" s="18" t="s">
        <v>54</v>
      </c>
      <c r="D141" s="18" t="s">
        <v>770</v>
      </c>
      <c r="E141" s="18" t="s">
        <v>771</v>
      </c>
      <c r="F141" s="18" t="s">
        <v>180</v>
      </c>
      <c r="G141" s="18" t="s">
        <v>76</v>
      </c>
      <c r="H141" s="18" t="s">
        <v>772</v>
      </c>
      <c r="I141" s="18" t="s">
        <v>138</v>
      </c>
      <c r="J141" s="18" t="s">
        <v>106</v>
      </c>
      <c r="K141" s="18" t="s">
        <v>46</v>
      </c>
      <c r="L141" s="18" t="s">
        <v>60</v>
      </c>
      <c r="M141" s="18">
        <v>19</v>
      </c>
      <c r="N141" s="18">
        <v>55000</v>
      </c>
      <c r="O141" s="18">
        <v>0</v>
      </c>
      <c r="P141" s="18">
        <v>1045000</v>
      </c>
      <c r="Q141" s="18">
        <v>2</v>
      </c>
      <c r="R141" s="18" t="s">
        <v>79</v>
      </c>
      <c r="S141" s="18" t="s">
        <v>35</v>
      </c>
      <c r="T141" s="18" t="s">
        <v>89</v>
      </c>
      <c r="U141" s="19" t="s">
        <v>773</v>
      </c>
      <c r="V141" s="18" t="s">
        <v>69</v>
      </c>
      <c r="W141" t="str">
        <f t="shared" si="8"/>
        <v>Blacklisted</v>
      </c>
      <c r="X141" s="27" t="str">
        <f t="shared" si="9"/>
        <v>Arjun Rao</v>
      </c>
      <c r="Y141" s="29" t="str">
        <f t="shared" si="10"/>
        <v>Arj00IDAh</v>
      </c>
      <c r="Z141" s="30" t="str">
        <f t="shared" si="11"/>
        <v>arjun.rao@company.com</v>
      </c>
    </row>
    <row r="142" spans="1:26">
      <c r="A142" s="15" t="s">
        <v>774</v>
      </c>
      <c r="B142" s="15" t="s">
        <v>53</v>
      </c>
      <c r="C142" s="15" t="s">
        <v>92</v>
      </c>
      <c r="D142" s="15" t="s">
        <v>775</v>
      </c>
      <c r="E142" s="15" t="s">
        <v>539</v>
      </c>
      <c r="F142" s="15" t="s">
        <v>163</v>
      </c>
      <c r="G142" s="15" t="s">
        <v>28</v>
      </c>
      <c r="H142" s="15" t="s">
        <v>776</v>
      </c>
      <c r="I142" s="15" t="s">
        <v>114</v>
      </c>
      <c r="J142" s="15" t="s">
        <v>106</v>
      </c>
      <c r="K142" s="15" t="s">
        <v>32</v>
      </c>
      <c r="L142" s="15" t="s">
        <v>97</v>
      </c>
      <c r="M142" s="15">
        <v>20</v>
      </c>
      <c r="N142" s="15">
        <v>3500</v>
      </c>
      <c r="O142" s="15">
        <v>20</v>
      </c>
      <c r="P142" s="15">
        <v>56000</v>
      </c>
      <c r="Q142" s="15">
        <v>4</v>
      </c>
      <c r="R142" s="15" t="s">
        <v>48</v>
      </c>
      <c r="S142" s="15" t="s">
        <v>49</v>
      </c>
      <c r="T142" s="15" t="s">
        <v>62</v>
      </c>
      <c r="U142" s="17" t="s">
        <v>777</v>
      </c>
      <c r="V142" s="15" t="s">
        <v>38</v>
      </c>
      <c r="W142" t="str">
        <f t="shared" si="8"/>
        <v>Gold</v>
      </c>
      <c r="X142" s="27" t="str">
        <f t="shared" si="9"/>
        <v>Pooja Shah</v>
      </c>
      <c r="Y142" s="29" t="str">
        <f t="shared" si="10"/>
        <v>Poo01IDPu</v>
      </c>
      <c r="Z142" s="30" t="str">
        <f t="shared" si="11"/>
        <v>pooja.shah@company.com</v>
      </c>
    </row>
    <row r="143" spans="1:26">
      <c r="A143" s="18" t="s">
        <v>778</v>
      </c>
      <c r="B143" s="18" t="s">
        <v>83</v>
      </c>
      <c r="C143" s="18" t="s">
        <v>24</v>
      </c>
      <c r="D143" s="18" t="s">
        <v>276</v>
      </c>
      <c r="E143" s="18" t="s">
        <v>779</v>
      </c>
      <c r="F143" s="18" t="s">
        <v>180</v>
      </c>
      <c r="G143" s="18" t="s">
        <v>76</v>
      </c>
      <c r="H143" s="18" t="s">
        <v>780</v>
      </c>
      <c r="I143" s="18" t="s">
        <v>114</v>
      </c>
      <c r="J143" s="18" t="s">
        <v>106</v>
      </c>
      <c r="K143" s="18" t="s">
        <v>32</v>
      </c>
      <c r="L143" s="18" t="s">
        <v>33</v>
      </c>
      <c r="M143" s="18">
        <v>17</v>
      </c>
      <c r="N143" s="18">
        <v>2200</v>
      </c>
      <c r="O143" s="18">
        <v>0</v>
      </c>
      <c r="P143" s="18">
        <v>37400</v>
      </c>
      <c r="Q143" s="18">
        <v>5</v>
      </c>
      <c r="R143" s="18" t="s">
        <v>48</v>
      </c>
      <c r="S143" s="18" t="s">
        <v>35</v>
      </c>
      <c r="T143" s="18" t="s">
        <v>89</v>
      </c>
      <c r="U143" s="19" t="s">
        <v>781</v>
      </c>
      <c r="V143" s="18" t="s">
        <v>64</v>
      </c>
      <c r="W143" t="str">
        <f t="shared" si="8"/>
        <v>Blacklisted</v>
      </c>
      <c r="X143" s="27" t="str">
        <f t="shared" si="9"/>
        <v>Arjun Rao</v>
      </c>
      <c r="Y143" s="29" t="str">
        <f t="shared" si="10"/>
        <v>Arj00IDPu</v>
      </c>
      <c r="Z143" s="30" t="str">
        <f t="shared" si="11"/>
        <v>arjun.rao@company.com</v>
      </c>
    </row>
    <row r="144" spans="1:26">
      <c r="A144" s="15" t="s">
        <v>782</v>
      </c>
      <c r="B144" s="15" t="s">
        <v>83</v>
      </c>
      <c r="C144" s="15" t="s">
        <v>72</v>
      </c>
      <c r="D144" s="15" t="s">
        <v>770</v>
      </c>
      <c r="E144" s="15" t="s">
        <v>783</v>
      </c>
      <c r="F144" s="15" t="s">
        <v>180</v>
      </c>
      <c r="G144" s="15" t="s">
        <v>76</v>
      </c>
      <c r="H144" s="15" t="s">
        <v>784</v>
      </c>
      <c r="I144" s="15" t="s">
        <v>114</v>
      </c>
      <c r="J144" s="15" t="s">
        <v>106</v>
      </c>
      <c r="K144" s="15" t="s">
        <v>46</v>
      </c>
      <c r="L144" s="15" t="s">
        <v>78</v>
      </c>
      <c r="M144" s="15">
        <v>10</v>
      </c>
      <c r="N144" s="15">
        <v>1200</v>
      </c>
      <c r="O144" s="15">
        <v>5</v>
      </c>
      <c r="P144" s="15">
        <v>11400</v>
      </c>
      <c r="Q144" s="15">
        <v>2</v>
      </c>
      <c r="R144" s="15" t="s">
        <v>34</v>
      </c>
      <c r="S144" s="15" t="s">
        <v>49</v>
      </c>
      <c r="T144" s="15" t="s">
        <v>89</v>
      </c>
      <c r="U144" s="17" t="s">
        <v>785</v>
      </c>
      <c r="V144" s="15" t="s">
        <v>69</v>
      </c>
      <c r="W144" t="str">
        <f t="shared" si="8"/>
        <v>Blacklisted</v>
      </c>
      <c r="X144" s="27" t="str">
        <f t="shared" si="9"/>
        <v>Arjun Rao</v>
      </c>
      <c r="Y144" s="29" t="str">
        <f t="shared" si="10"/>
        <v>Arj00IDPu</v>
      </c>
      <c r="Z144" s="30" t="str">
        <f t="shared" si="11"/>
        <v>arjun.rao@company.com</v>
      </c>
    </row>
    <row r="145" spans="1:26">
      <c r="A145" s="18" t="s">
        <v>786</v>
      </c>
      <c r="B145" s="18" t="s">
        <v>221</v>
      </c>
      <c r="C145" s="18" t="s">
        <v>118</v>
      </c>
      <c r="D145" s="18" t="s">
        <v>787</v>
      </c>
      <c r="E145" s="18" t="s">
        <v>788</v>
      </c>
      <c r="F145" s="18" t="s">
        <v>225</v>
      </c>
      <c r="G145" s="18" t="s">
        <v>76</v>
      </c>
      <c r="H145" s="18" t="s">
        <v>789</v>
      </c>
      <c r="I145" s="18" t="s">
        <v>30</v>
      </c>
      <c r="J145" s="18" t="s">
        <v>31</v>
      </c>
      <c r="K145" s="18" t="s">
        <v>122</v>
      </c>
      <c r="L145" s="18" t="s">
        <v>123</v>
      </c>
      <c r="M145" s="18">
        <v>3</v>
      </c>
      <c r="N145" s="18">
        <v>60</v>
      </c>
      <c r="O145" s="18">
        <v>0</v>
      </c>
      <c r="P145" s="18">
        <v>180</v>
      </c>
      <c r="Q145" s="18">
        <v>4</v>
      </c>
      <c r="R145" s="18" t="s">
        <v>48</v>
      </c>
      <c r="S145" s="18" t="s">
        <v>151</v>
      </c>
      <c r="T145" s="18" t="s">
        <v>228</v>
      </c>
      <c r="U145" s="19" t="s">
        <v>790</v>
      </c>
      <c r="V145" s="18" t="s">
        <v>38</v>
      </c>
      <c r="W145" t="str">
        <f t="shared" si="8"/>
        <v>Silver</v>
      </c>
      <c r="X145" s="27" t="str">
        <f t="shared" si="9"/>
        <v>Vikas Mehta</v>
      </c>
      <c r="Y145" s="29" t="str">
        <f t="shared" si="10"/>
        <v>Vik00IDHy</v>
      </c>
      <c r="Z145" s="30" t="str">
        <f t="shared" si="11"/>
        <v>vikas.mehta@company.com</v>
      </c>
    </row>
    <row r="146" spans="1:26">
      <c r="A146" s="15" t="s">
        <v>791</v>
      </c>
      <c r="B146" s="15" t="s">
        <v>53</v>
      </c>
      <c r="C146" s="15" t="s">
        <v>24</v>
      </c>
      <c r="D146" s="15" t="s">
        <v>792</v>
      </c>
      <c r="E146" s="15" t="s">
        <v>793</v>
      </c>
      <c r="F146" s="15" t="s">
        <v>163</v>
      </c>
      <c r="G146" s="15" t="s">
        <v>28</v>
      </c>
      <c r="H146" s="15" t="s">
        <v>794</v>
      </c>
      <c r="I146" s="15" t="s">
        <v>105</v>
      </c>
      <c r="J146" s="15" t="s">
        <v>106</v>
      </c>
      <c r="K146" s="15" t="s">
        <v>32</v>
      </c>
      <c r="L146" s="15" t="s">
        <v>33</v>
      </c>
      <c r="M146" s="15">
        <v>18</v>
      </c>
      <c r="N146" s="15">
        <v>2200</v>
      </c>
      <c r="O146" s="15">
        <v>10</v>
      </c>
      <c r="P146" s="15">
        <v>35640</v>
      </c>
      <c r="Q146" s="15">
        <v>1</v>
      </c>
      <c r="R146" s="15" t="s">
        <v>79</v>
      </c>
      <c r="S146" s="15" t="s">
        <v>151</v>
      </c>
      <c r="T146" s="15" t="s">
        <v>62</v>
      </c>
      <c r="U146" s="17" t="s">
        <v>795</v>
      </c>
      <c r="V146" s="15" t="s">
        <v>69</v>
      </c>
      <c r="W146" t="str">
        <f t="shared" si="8"/>
        <v>Blacklisted</v>
      </c>
      <c r="X146" s="27" t="str">
        <f t="shared" si="9"/>
        <v>Pooja Shah</v>
      </c>
      <c r="Y146" s="29" t="str">
        <f t="shared" si="10"/>
        <v>Poo01IDMu</v>
      </c>
      <c r="Z146" s="30" t="str">
        <f t="shared" si="11"/>
        <v>pooja.shah@company.com</v>
      </c>
    </row>
    <row r="147" spans="1:26">
      <c r="A147" s="18" t="s">
        <v>796</v>
      </c>
      <c r="B147" s="18" t="s">
        <v>71</v>
      </c>
      <c r="C147" s="18" t="s">
        <v>118</v>
      </c>
      <c r="D147" s="18" t="s">
        <v>797</v>
      </c>
      <c r="E147" s="18" t="s">
        <v>798</v>
      </c>
      <c r="F147" s="18" t="s">
        <v>217</v>
      </c>
      <c r="G147" s="18" t="s">
        <v>76</v>
      </c>
      <c r="H147" s="18" t="s">
        <v>799</v>
      </c>
      <c r="I147" s="18" t="s">
        <v>44</v>
      </c>
      <c r="J147" s="18" t="s">
        <v>45</v>
      </c>
      <c r="K147" s="18" t="s">
        <v>122</v>
      </c>
      <c r="L147" s="18" t="s">
        <v>123</v>
      </c>
      <c r="M147" s="18">
        <v>18</v>
      </c>
      <c r="N147" s="18">
        <v>60</v>
      </c>
      <c r="O147" s="18">
        <v>5</v>
      </c>
      <c r="P147" s="18">
        <v>1026</v>
      </c>
      <c r="Q147" s="18">
        <v>3</v>
      </c>
      <c r="R147" s="18" t="s">
        <v>79</v>
      </c>
      <c r="S147" s="18" t="s">
        <v>49</v>
      </c>
      <c r="T147" s="18" t="s">
        <v>80</v>
      </c>
      <c r="U147" s="19" t="s">
        <v>800</v>
      </c>
      <c r="V147" s="18" t="s">
        <v>64</v>
      </c>
      <c r="W147" t="str">
        <f t="shared" si="8"/>
        <v>Blacklisted</v>
      </c>
      <c r="X147" s="27" t="str">
        <f t="shared" si="9"/>
        <v>Mohit Verma</v>
      </c>
      <c r="Y147" s="29" t="str">
        <f t="shared" si="10"/>
        <v>Moh00IDDe</v>
      </c>
      <c r="Z147" s="30" t="str">
        <f t="shared" si="11"/>
        <v>mohit.verma@company.com</v>
      </c>
    </row>
    <row r="148" spans="1:26">
      <c r="A148" s="15" t="s">
        <v>801</v>
      </c>
      <c r="B148" s="15" t="s">
        <v>127</v>
      </c>
      <c r="C148" s="15" t="s">
        <v>54</v>
      </c>
      <c r="D148" s="15" t="s">
        <v>422</v>
      </c>
      <c r="E148" s="15" t="s">
        <v>377</v>
      </c>
      <c r="F148" s="15" t="s">
        <v>200</v>
      </c>
      <c r="G148" s="15" t="s">
        <v>76</v>
      </c>
      <c r="H148" s="15" t="s">
        <v>802</v>
      </c>
      <c r="I148" s="15" t="s">
        <v>114</v>
      </c>
      <c r="J148" s="15" t="s">
        <v>106</v>
      </c>
      <c r="K148" s="15" t="s">
        <v>46</v>
      </c>
      <c r="L148" s="15" t="s">
        <v>60</v>
      </c>
      <c r="M148" s="15">
        <v>11</v>
      </c>
      <c r="N148" s="15">
        <v>55000</v>
      </c>
      <c r="O148" s="15">
        <v>15</v>
      </c>
      <c r="P148" s="15">
        <v>514250</v>
      </c>
      <c r="Q148" s="15">
        <v>4</v>
      </c>
      <c r="R148" s="15" t="s">
        <v>88</v>
      </c>
      <c r="S148" s="15" t="s">
        <v>115</v>
      </c>
      <c r="T148" s="15" t="s">
        <v>132</v>
      </c>
      <c r="U148" s="17" t="s">
        <v>803</v>
      </c>
      <c r="V148" s="15" t="s">
        <v>69</v>
      </c>
      <c r="W148" t="str">
        <f t="shared" si="8"/>
        <v>Blacklisted</v>
      </c>
      <c r="X148" s="27" t="str">
        <f t="shared" si="9"/>
        <v>Rohit Singh</v>
      </c>
      <c r="Y148" s="29" t="str">
        <f t="shared" si="10"/>
        <v>Roh00IDPu</v>
      </c>
      <c r="Z148" s="30" t="str">
        <f t="shared" si="11"/>
        <v>rohit.singh@company.com</v>
      </c>
    </row>
    <row r="149" spans="1:26">
      <c r="A149" s="18" t="s">
        <v>804</v>
      </c>
      <c r="B149" s="18" t="s">
        <v>251</v>
      </c>
      <c r="C149" s="18" t="s">
        <v>169</v>
      </c>
      <c r="D149" s="18" t="s">
        <v>474</v>
      </c>
      <c r="E149" s="18" t="s">
        <v>464</v>
      </c>
      <c r="F149" s="18" t="s">
        <v>254</v>
      </c>
      <c r="G149" s="18" t="s">
        <v>28</v>
      </c>
      <c r="H149" s="18" t="s">
        <v>805</v>
      </c>
      <c r="I149" s="18" t="s">
        <v>294</v>
      </c>
      <c r="J149" s="18" t="s">
        <v>295</v>
      </c>
      <c r="K149" s="18" t="s">
        <v>32</v>
      </c>
      <c r="L149" s="18" t="s">
        <v>174</v>
      </c>
      <c r="M149" s="18">
        <v>5</v>
      </c>
      <c r="N149" s="18">
        <v>8500</v>
      </c>
      <c r="O149" s="18">
        <v>5</v>
      </c>
      <c r="P149" s="18">
        <v>40375</v>
      </c>
      <c r="Q149" s="18">
        <v>4</v>
      </c>
      <c r="R149" s="18" t="s">
        <v>34</v>
      </c>
      <c r="S149" s="18" t="s">
        <v>151</v>
      </c>
      <c r="T149" s="18" t="s">
        <v>256</v>
      </c>
      <c r="U149" s="19" t="s">
        <v>806</v>
      </c>
      <c r="V149" s="18" t="s">
        <v>38</v>
      </c>
      <c r="W149" t="str">
        <f t="shared" si="8"/>
        <v>Silver</v>
      </c>
      <c r="X149" s="27" t="str">
        <f t="shared" si="9"/>
        <v>Sneha Joshi</v>
      </c>
      <c r="Y149" s="29" t="str">
        <f t="shared" si="10"/>
        <v>Sne00IDKo</v>
      </c>
      <c r="Z149" s="30" t="str">
        <f t="shared" si="11"/>
        <v>sneha.joshi@company.com</v>
      </c>
    </row>
    <row r="150" spans="1:26">
      <c r="A150" s="15" t="s">
        <v>192</v>
      </c>
      <c r="B150" s="15" t="s">
        <v>100</v>
      </c>
      <c r="C150" s="15" t="s">
        <v>184</v>
      </c>
      <c r="D150" s="15" t="s">
        <v>246</v>
      </c>
      <c r="E150" s="15" t="s">
        <v>128</v>
      </c>
      <c r="F150" s="15" t="s">
        <v>103</v>
      </c>
      <c r="G150" s="15" t="s">
        <v>28</v>
      </c>
      <c r="H150" s="15" t="s">
        <v>807</v>
      </c>
      <c r="I150" s="15" t="s">
        <v>212</v>
      </c>
      <c r="J150" s="15" t="s">
        <v>45</v>
      </c>
      <c r="K150" s="15" t="s">
        <v>46</v>
      </c>
      <c r="L150" s="15" t="s">
        <v>189</v>
      </c>
      <c r="M150" s="15">
        <v>16</v>
      </c>
      <c r="N150" s="15">
        <v>700</v>
      </c>
      <c r="O150" s="15">
        <v>15</v>
      </c>
      <c r="P150" s="15">
        <v>9520</v>
      </c>
      <c r="Q150" s="15">
        <v>4</v>
      </c>
      <c r="R150" s="15" t="s">
        <v>79</v>
      </c>
      <c r="S150" s="15" t="s">
        <v>61</v>
      </c>
      <c r="T150" s="15" t="s">
        <v>144</v>
      </c>
      <c r="U150" s="17" t="s">
        <v>808</v>
      </c>
      <c r="V150" s="15" t="s">
        <v>38</v>
      </c>
      <c r="W150" t="str">
        <f t="shared" si="8"/>
        <v>Silver</v>
      </c>
      <c r="X150" s="27" t="str">
        <f t="shared" si="9"/>
        <v>Priya Patel</v>
      </c>
      <c r="Y150" s="29" t="str">
        <f t="shared" si="10"/>
        <v>Pri00IDJa</v>
      </c>
      <c r="Z150" s="30" t="str">
        <f t="shared" si="11"/>
        <v>priya.patel@company.com</v>
      </c>
    </row>
    <row r="151" spans="1:26">
      <c r="A151" s="18" t="s">
        <v>809</v>
      </c>
      <c r="B151" s="18" t="s">
        <v>127</v>
      </c>
      <c r="C151" s="18" t="s">
        <v>184</v>
      </c>
      <c r="D151" s="18" t="s">
        <v>489</v>
      </c>
      <c r="E151" s="18" t="s">
        <v>267</v>
      </c>
      <c r="F151" s="18" t="s">
        <v>200</v>
      </c>
      <c r="G151" s="18" t="s">
        <v>76</v>
      </c>
      <c r="H151" s="18" t="s">
        <v>810</v>
      </c>
      <c r="I151" s="18" t="s">
        <v>114</v>
      </c>
      <c r="J151" s="18" t="s">
        <v>106</v>
      </c>
      <c r="K151" s="18" t="s">
        <v>46</v>
      </c>
      <c r="L151" s="18" t="s">
        <v>189</v>
      </c>
      <c r="M151" s="18">
        <v>6</v>
      </c>
      <c r="N151" s="18">
        <v>700</v>
      </c>
      <c r="O151" s="18">
        <v>10</v>
      </c>
      <c r="P151" s="18">
        <v>3780</v>
      </c>
      <c r="Q151" s="18">
        <v>4</v>
      </c>
      <c r="R151" s="18" t="s">
        <v>34</v>
      </c>
      <c r="S151" s="18" t="s">
        <v>49</v>
      </c>
      <c r="T151" s="18" t="s">
        <v>132</v>
      </c>
      <c r="U151" s="19" t="s">
        <v>811</v>
      </c>
      <c r="V151" s="18" t="s">
        <v>69</v>
      </c>
      <c r="W151" t="str">
        <f t="shared" si="8"/>
        <v>Blacklisted</v>
      </c>
      <c r="X151" s="27" t="str">
        <f t="shared" si="9"/>
        <v>Rohit Singh</v>
      </c>
      <c r="Y151" s="29" t="str">
        <f t="shared" si="10"/>
        <v>Roh00IDPu</v>
      </c>
      <c r="Z151" s="30" t="str">
        <f t="shared" si="11"/>
        <v>rohit.singh@company.com</v>
      </c>
    </row>
    <row r="152" spans="1:26">
      <c r="A152" s="15" t="s">
        <v>812</v>
      </c>
      <c r="B152" s="15" t="s">
        <v>53</v>
      </c>
      <c r="C152" s="15" t="s">
        <v>92</v>
      </c>
      <c r="D152" s="15" t="s">
        <v>518</v>
      </c>
      <c r="E152" s="15" t="s">
        <v>615</v>
      </c>
      <c r="F152" s="15" t="s">
        <v>163</v>
      </c>
      <c r="G152" s="15" t="s">
        <v>28</v>
      </c>
      <c r="H152" s="15" t="s">
        <v>813</v>
      </c>
      <c r="I152" s="15" t="s">
        <v>44</v>
      </c>
      <c r="J152" s="15" t="s">
        <v>45</v>
      </c>
      <c r="K152" s="15" t="s">
        <v>32</v>
      </c>
      <c r="L152" s="15" t="s">
        <v>97</v>
      </c>
      <c r="M152" s="15">
        <v>20</v>
      </c>
      <c r="N152" s="15">
        <v>3500</v>
      </c>
      <c r="O152" s="15">
        <v>10</v>
      </c>
      <c r="P152" s="15">
        <v>63000</v>
      </c>
      <c r="Q152" s="15">
        <v>4</v>
      </c>
      <c r="R152" s="15" t="s">
        <v>88</v>
      </c>
      <c r="S152" s="15" t="s">
        <v>49</v>
      </c>
      <c r="T152" s="15" t="s">
        <v>62</v>
      </c>
      <c r="U152" s="17" t="s">
        <v>814</v>
      </c>
      <c r="V152" s="15" t="s">
        <v>64</v>
      </c>
      <c r="W152" t="str">
        <f t="shared" si="8"/>
        <v>Blacklisted</v>
      </c>
      <c r="X152" s="27" t="str">
        <f t="shared" si="9"/>
        <v>Pooja Shah</v>
      </c>
      <c r="Y152" s="29" t="str">
        <f t="shared" si="10"/>
        <v>Poo01IDDe</v>
      </c>
      <c r="Z152" s="30" t="str">
        <f t="shared" si="11"/>
        <v>pooja.shah@company.com</v>
      </c>
    </row>
    <row r="153" spans="1:26">
      <c r="A153" s="18" t="s">
        <v>815</v>
      </c>
      <c r="B153" s="18" t="s">
        <v>23</v>
      </c>
      <c r="C153" s="18" t="s">
        <v>222</v>
      </c>
      <c r="D153" s="18" t="s">
        <v>816</v>
      </c>
      <c r="E153" s="18" t="s">
        <v>817</v>
      </c>
      <c r="F153" s="18" t="s">
        <v>27</v>
      </c>
      <c r="G153" s="18" t="s">
        <v>28</v>
      </c>
      <c r="H153" s="18" t="s">
        <v>818</v>
      </c>
      <c r="I153" s="18" t="s">
        <v>59</v>
      </c>
      <c r="J153" s="18" t="s">
        <v>31</v>
      </c>
      <c r="K153" s="18" t="s">
        <v>122</v>
      </c>
      <c r="L153" s="18" t="s">
        <v>227</v>
      </c>
      <c r="M153" s="18">
        <v>2</v>
      </c>
      <c r="N153" s="18">
        <v>20</v>
      </c>
      <c r="O153" s="18">
        <v>10</v>
      </c>
      <c r="P153" s="18">
        <v>36</v>
      </c>
      <c r="Q153" s="18">
        <v>1</v>
      </c>
      <c r="R153" s="18" t="s">
        <v>48</v>
      </c>
      <c r="S153" s="18" t="s">
        <v>115</v>
      </c>
      <c r="T153" s="18" t="s">
        <v>50</v>
      </c>
      <c r="U153" s="19" t="s">
        <v>819</v>
      </c>
      <c r="V153" s="18" t="s">
        <v>64</v>
      </c>
      <c r="W153" t="str">
        <f t="shared" si="8"/>
        <v>Blacklisted</v>
      </c>
      <c r="X153" s="27" t="str">
        <f t="shared" si="9"/>
        <v>Kavya Nair</v>
      </c>
      <c r="Y153" s="29" t="str">
        <f t="shared" si="10"/>
        <v>Kav00IDBe</v>
      </c>
      <c r="Z153" s="30" t="str">
        <f t="shared" si="11"/>
        <v>kavya.nair@company.com</v>
      </c>
    </row>
    <row r="154" spans="1:26">
      <c r="A154" s="15" t="s">
        <v>820</v>
      </c>
      <c r="B154" s="15" t="s">
        <v>100</v>
      </c>
      <c r="C154" s="15" t="s">
        <v>24</v>
      </c>
      <c r="D154" s="15" t="s">
        <v>779</v>
      </c>
      <c r="E154" s="15" t="s">
        <v>821</v>
      </c>
      <c r="F154" s="15" t="s">
        <v>103</v>
      </c>
      <c r="G154" s="15" t="s">
        <v>28</v>
      </c>
      <c r="H154" s="15" t="s">
        <v>822</v>
      </c>
      <c r="I154" s="15" t="s">
        <v>114</v>
      </c>
      <c r="J154" s="15" t="s">
        <v>106</v>
      </c>
      <c r="K154" s="15" t="s">
        <v>32</v>
      </c>
      <c r="L154" s="15" t="s">
        <v>33</v>
      </c>
      <c r="M154" s="15">
        <v>16</v>
      </c>
      <c r="N154" s="15">
        <v>2200</v>
      </c>
      <c r="O154" s="15">
        <v>20</v>
      </c>
      <c r="P154" s="15">
        <v>28160</v>
      </c>
      <c r="Q154" s="15">
        <v>2</v>
      </c>
      <c r="R154" s="15" t="s">
        <v>88</v>
      </c>
      <c r="S154" s="15" t="s">
        <v>151</v>
      </c>
      <c r="T154" s="15" t="s">
        <v>144</v>
      </c>
      <c r="U154" s="17" t="s">
        <v>823</v>
      </c>
      <c r="V154" s="15" t="s">
        <v>64</v>
      </c>
      <c r="W154" t="str">
        <f t="shared" si="8"/>
        <v>Blacklisted</v>
      </c>
      <c r="X154" s="27" t="str">
        <f t="shared" si="9"/>
        <v>Priya Patel</v>
      </c>
      <c r="Y154" s="29" t="str">
        <f t="shared" si="10"/>
        <v>Pri00IDPu</v>
      </c>
      <c r="Z154" s="30" t="str">
        <f t="shared" si="11"/>
        <v>priya.patel@company.com</v>
      </c>
    </row>
    <row r="155" spans="1:26">
      <c r="A155" s="18" t="s">
        <v>824</v>
      </c>
      <c r="B155" s="18" t="s">
        <v>221</v>
      </c>
      <c r="C155" s="18" t="s">
        <v>40</v>
      </c>
      <c r="D155" s="18" t="s">
        <v>148</v>
      </c>
      <c r="E155" s="18" t="s">
        <v>825</v>
      </c>
      <c r="F155" s="18" t="s">
        <v>225</v>
      </c>
      <c r="G155" s="18" t="s">
        <v>76</v>
      </c>
      <c r="H155" s="18" t="s">
        <v>826</v>
      </c>
      <c r="I155" s="18" t="s">
        <v>114</v>
      </c>
      <c r="J155" s="18" t="s">
        <v>106</v>
      </c>
      <c r="K155" s="18" t="s">
        <v>46</v>
      </c>
      <c r="L155" s="18" t="s">
        <v>47</v>
      </c>
      <c r="M155" s="18">
        <v>15</v>
      </c>
      <c r="N155" s="18">
        <v>12000</v>
      </c>
      <c r="O155" s="18">
        <v>0</v>
      </c>
      <c r="P155" s="18">
        <v>180000</v>
      </c>
      <c r="Q155" s="18">
        <v>1</v>
      </c>
      <c r="R155" s="18" t="s">
        <v>79</v>
      </c>
      <c r="S155" s="18" t="s">
        <v>61</v>
      </c>
      <c r="T155" s="18" t="s">
        <v>228</v>
      </c>
      <c r="U155" s="19" t="s">
        <v>827</v>
      </c>
      <c r="V155" s="18" t="s">
        <v>64</v>
      </c>
      <c r="W155" t="str">
        <f t="shared" si="8"/>
        <v>Blacklisted</v>
      </c>
      <c r="X155" s="27" t="str">
        <f t="shared" si="9"/>
        <v>Vikas Mehta</v>
      </c>
      <c r="Y155" s="29" t="str">
        <f t="shared" si="10"/>
        <v>Vik00IDPu</v>
      </c>
      <c r="Z155" s="30" t="str">
        <f t="shared" si="11"/>
        <v>vikas.mehta@company.com</v>
      </c>
    </row>
    <row r="156" spans="1:26">
      <c r="A156" s="15" t="s">
        <v>828</v>
      </c>
      <c r="B156" s="15" t="s">
        <v>23</v>
      </c>
      <c r="C156" s="15" t="s">
        <v>118</v>
      </c>
      <c r="D156" s="15" t="s">
        <v>829</v>
      </c>
      <c r="E156" s="15" t="s">
        <v>830</v>
      </c>
      <c r="F156" s="15" t="s">
        <v>27</v>
      </c>
      <c r="G156" s="15" t="s">
        <v>28</v>
      </c>
      <c r="H156" s="15" t="s">
        <v>831</v>
      </c>
      <c r="I156" s="15" t="s">
        <v>44</v>
      </c>
      <c r="J156" s="15" t="s">
        <v>45</v>
      </c>
      <c r="K156" s="15" t="s">
        <v>122</v>
      </c>
      <c r="L156" s="15" t="s">
        <v>123</v>
      </c>
      <c r="M156" s="15">
        <v>14</v>
      </c>
      <c r="N156" s="15">
        <v>60</v>
      </c>
      <c r="O156" s="15">
        <v>15</v>
      </c>
      <c r="P156" s="15">
        <v>714</v>
      </c>
      <c r="Q156" s="15">
        <v>4</v>
      </c>
      <c r="R156" s="15" t="s">
        <v>88</v>
      </c>
      <c r="S156" s="15" t="s">
        <v>49</v>
      </c>
      <c r="T156" s="15" t="s">
        <v>50</v>
      </c>
      <c r="U156" s="17" t="s">
        <v>832</v>
      </c>
      <c r="V156" s="15" t="s">
        <v>38</v>
      </c>
      <c r="W156" t="str">
        <f t="shared" si="8"/>
        <v>Silver</v>
      </c>
      <c r="X156" s="27" t="str">
        <f t="shared" si="9"/>
        <v>Kavya Nair</v>
      </c>
      <c r="Y156" s="29" t="str">
        <f t="shared" si="10"/>
        <v>Kav00IDDe</v>
      </c>
      <c r="Z156" s="30" t="str">
        <f t="shared" si="11"/>
        <v>kavya.nair@company.com</v>
      </c>
    </row>
    <row r="157" spans="1:26">
      <c r="A157" s="18" t="s">
        <v>833</v>
      </c>
      <c r="B157" s="18" t="s">
        <v>53</v>
      </c>
      <c r="C157" s="18" t="s">
        <v>72</v>
      </c>
      <c r="D157" s="18" t="s">
        <v>834</v>
      </c>
      <c r="E157" s="18" t="s">
        <v>835</v>
      </c>
      <c r="F157" s="18" t="s">
        <v>163</v>
      </c>
      <c r="G157" s="18" t="s">
        <v>28</v>
      </c>
      <c r="H157" s="18" t="s">
        <v>836</v>
      </c>
      <c r="I157" s="18" t="s">
        <v>30</v>
      </c>
      <c r="J157" s="18" t="s">
        <v>31</v>
      </c>
      <c r="K157" s="18" t="s">
        <v>46</v>
      </c>
      <c r="L157" s="18" t="s">
        <v>78</v>
      </c>
      <c r="M157" s="18">
        <v>9</v>
      </c>
      <c r="N157" s="18">
        <v>1200</v>
      </c>
      <c r="O157" s="18">
        <v>5</v>
      </c>
      <c r="P157" s="18">
        <v>10260</v>
      </c>
      <c r="Q157" s="18">
        <v>5</v>
      </c>
      <c r="R157" s="18" t="s">
        <v>48</v>
      </c>
      <c r="S157" s="18" t="s">
        <v>61</v>
      </c>
      <c r="T157" s="18" t="s">
        <v>62</v>
      </c>
      <c r="U157" s="19" t="s">
        <v>837</v>
      </c>
      <c r="V157" s="18" t="s">
        <v>64</v>
      </c>
      <c r="W157" t="str">
        <f t="shared" si="8"/>
        <v>Blacklisted</v>
      </c>
      <c r="X157" s="27" t="str">
        <f t="shared" si="9"/>
        <v>Pooja Shah</v>
      </c>
      <c r="Y157" s="29" t="str">
        <f t="shared" si="10"/>
        <v>Poo01IDHy</v>
      </c>
      <c r="Z157" s="30" t="str">
        <f t="shared" si="11"/>
        <v>pooja.shah@company.com</v>
      </c>
    </row>
    <row r="158" spans="1:26">
      <c r="A158" s="15" t="s">
        <v>838</v>
      </c>
      <c r="B158" s="15" t="s">
        <v>221</v>
      </c>
      <c r="C158" s="15" t="s">
        <v>72</v>
      </c>
      <c r="D158" s="15" t="s">
        <v>821</v>
      </c>
      <c r="E158" s="15" t="s">
        <v>839</v>
      </c>
      <c r="F158" s="15" t="s">
        <v>225</v>
      </c>
      <c r="G158" s="15" t="s">
        <v>76</v>
      </c>
      <c r="H158" s="15" t="s">
        <v>840</v>
      </c>
      <c r="I158" s="15" t="s">
        <v>294</v>
      </c>
      <c r="J158" s="15" t="s">
        <v>295</v>
      </c>
      <c r="K158" s="15" t="s">
        <v>46</v>
      </c>
      <c r="L158" s="15" t="s">
        <v>78</v>
      </c>
      <c r="M158" s="15">
        <v>3</v>
      </c>
      <c r="N158" s="15">
        <v>1200</v>
      </c>
      <c r="O158" s="15">
        <v>10</v>
      </c>
      <c r="P158" s="15">
        <v>3240</v>
      </c>
      <c r="Q158" s="15">
        <v>2</v>
      </c>
      <c r="R158" s="15" t="s">
        <v>79</v>
      </c>
      <c r="S158" s="15" t="s">
        <v>151</v>
      </c>
      <c r="T158" s="15" t="s">
        <v>228</v>
      </c>
      <c r="U158" s="17" t="s">
        <v>841</v>
      </c>
      <c r="V158" s="15" t="s">
        <v>69</v>
      </c>
      <c r="W158" t="str">
        <f t="shared" si="8"/>
        <v>Blacklisted</v>
      </c>
      <c r="X158" s="27" t="str">
        <f t="shared" si="9"/>
        <v>Vikas Mehta</v>
      </c>
      <c r="Y158" s="29" t="str">
        <f t="shared" si="10"/>
        <v>Vik00IDKo</v>
      </c>
      <c r="Z158" s="30" t="str">
        <f t="shared" si="11"/>
        <v>vikas.mehta@company.com</v>
      </c>
    </row>
    <row r="159" spans="1:26">
      <c r="A159" s="18" t="s">
        <v>842</v>
      </c>
      <c r="B159" s="18" t="s">
        <v>327</v>
      </c>
      <c r="C159" s="18" t="s">
        <v>118</v>
      </c>
      <c r="D159" s="18" t="s">
        <v>459</v>
      </c>
      <c r="E159" s="18" t="s">
        <v>577</v>
      </c>
      <c r="F159" s="18" t="s">
        <v>394</v>
      </c>
      <c r="G159" s="18" t="s">
        <v>76</v>
      </c>
      <c r="H159" s="18" t="s">
        <v>843</v>
      </c>
      <c r="I159" s="18" t="s">
        <v>30</v>
      </c>
      <c r="J159" s="18" t="s">
        <v>31</v>
      </c>
      <c r="K159" s="18" t="s">
        <v>122</v>
      </c>
      <c r="L159" s="18" t="s">
        <v>123</v>
      </c>
      <c r="M159" s="18">
        <v>2</v>
      </c>
      <c r="N159" s="18">
        <v>60</v>
      </c>
      <c r="O159" s="18">
        <v>10</v>
      </c>
      <c r="P159" s="18">
        <v>108</v>
      </c>
      <c r="Q159" s="18">
        <v>2</v>
      </c>
      <c r="R159" s="18" t="s">
        <v>88</v>
      </c>
      <c r="S159" s="18" t="s">
        <v>61</v>
      </c>
      <c r="T159" s="18" t="s">
        <v>332</v>
      </c>
      <c r="U159" s="19" t="s">
        <v>844</v>
      </c>
      <c r="V159" s="18" t="s">
        <v>38</v>
      </c>
      <c r="W159" t="str">
        <f t="shared" si="8"/>
        <v>Blacklisted</v>
      </c>
      <c r="X159" s="27" t="str">
        <f t="shared" si="9"/>
        <v>Amit Sharma</v>
      </c>
      <c r="Y159" s="29" t="str">
        <f t="shared" si="10"/>
        <v>Ami00IDHy</v>
      </c>
      <c r="Z159" s="30" t="str">
        <f t="shared" si="11"/>
        <v>amit.sharma@company.com</v>
      </c>
    </row>
    <row r="160" spans="1:26">
      <c r="A160" s="15" t="s">
        <v>845</v>
      </c>
      <c r="B160" s="15" t="s">
        <v>71</v>
      </c>
      <c r="C160" s="15" t="s">
        <v>92</v>
      </c>
      <c r="D160" s="15" t="s">
        <v>426</v>
      </c>
      <c r="E160" s="15" t="s">
        <v>846</v>
      </c>
      <c r="F160" s="15" t="s">
        <v>217</v>
      </c>
      <c r="G160" s="15" t="s">
        <v>76</v>
      </c>
      <c r="H160" s="15" t="s">
        <v>847</v>
      </c>
      <c r="I160" s="15" t="s">
        <v>44</v>
      </c>
      <c r="J160" s="15" t="s">
        <v>45</v>
      </c>
      <c r="K160" s="15" t="s">
        <v>32</v>
      </c>
      <c r="L160" s="15" t="s">
        <v>97</v>
      </c>
      <c r="M160" s="15">
        <v>9</v>
      </c>
      <c r="N160" s="15">
        <v>3500</v>
      </c>
      <c r="O160" s="15">
        <v>20</v>
      </c>
      <c r="P160" s="15">
        <v>25200</v>
      </c>
      <c r="Q160" s="15">
        <v>1</v>
      </c>
      <c r="R160" s="15" t="s">
        <v>48</v>
      </c>
      <c r="S160" s="15" t="s">
        <v>35</v>
      </c>
      <c r="T160" s="15" t="s">
        <v>80</v>
      </c>
      <c r="U160" s="17" t="s">
        <v>848</v>
      </c>
      <c r="V160" s="15" t="s">
        <v>38</v>
      </c>
      <c r="W160" t="str">
        <f t="shared" si="8"/>
        <v>Blacklisted</v>
      </c>
      <c r="X160" s="27" t="str">
        <f t="shared" si="9"/>
        <v>Mohit Verma</v>
      </c>
      <c r="Y160" s="29" t="str">
        <f t="shared" si="10"/>
        <v>Moh00IDDe</v>
      </c>
      <c r="Z160" s="30" t="str">
        <f t="shared" si="11"/>
        <v>mohit.verma@company.com</v>
      </c>
    </row>
    <row r="161" spans="1:26">
      <c r="A161" s="18" t="s">
        <v>849</v>
      </c>
      <c r="B161" s="18" t="s">
        <v>221</v>
      </c>
      <c r="C161" s="18" t="s">
        <v>54</v>
      </c>
      <c r="D161" s="18" t="s">
        <v>241</v>
      </c>
      <c r="E161" s="18" t="s">
        <v>543</v>
      </c>
      <c r="F161" s="18" t="s">
        <v>225</v>
      </c>
      <c r="G161" s="18" t="s">
        <v>76</v>
      </c>
      <c r="H161" s="18" t="s">
        <v>850</v>
      </c>
      <c r="I161" s="18" t="s">
        <v>212</v>
      </c>
      <c r="J161" s="18" t="s">
        <v>45</v>
      </c>
      <c r="K161" s="18" t="s">
        <v>46</v>
      </c>
      <c r="L161" s="18" t="s">
        <v>60</v>
      </c>
      <c r="M161" s="18">
        <v>4</v>
      </c>
      <c r="N161" s="18">
        <v>55000</v>
      </c>
      <c r="O161" s="18">
        <v>5</v>
      </c>
      <c r="P161" s="18">
        <v>209000</v>
      </c>
      <c r="Q161" s="18">
        <v>2</v>
      </c>
      <c r="R161" s="18" t="s">
        <v>34</v>
      </c>
      <c r="S161" s="18" t="s">
        <v>151</v>
      </c>
      <c r="T161" s="18" t="s">
        <v>228</v>
      </c>
      <c r="U161" s="19" t="s">
        <v>851</v>
      </c>
      <c r="V161" s="18" t="s">
        <v>64</v>
      </c>
      <c r="W161" t="str">
        <f t="shared" si="8"/>
        <v>Blacklisted</v>
      </c>
      <c r="X161" s="27" t="str">
        <f t="shared" si="9"/>
        <v>Vikas Mehta</v>
      </c>
      <c r="Y161" s="29" t="str">
        <f t="shared" si="10"/>
        <v>Vik00IDJa</v>
      </c>
      <c r="Z161" s="30" t="str">
        <f t="shared" si="11"/>
        <v>vikas.mehta@company.com</v>
      </c>
    </row>
    <row r="162" spans="1:26">
      <c r="A162" s="15" t="s">
        <v>852</v>
      </c>
      <c r="B162" s="15" t="s">
        <v>327</v>
      </c>
      <c r="C162" s="15" t="s">
        <v>184</v>
      </c>
      <c r="D162" s="15" t="s">
        <v>488</v>
      </c>
      <c r="E162" s="15" t="s">
        <v>266</v>
      </c>
      <c r="F162" s="15" t="s">
        <v>853</v>
      </c>
      <c r="G162" s="15" t="s">
        <v>76</v>
      </c>
      <c r="H162" s="15" t="s">
        <v>854</v>
      </c>
      <c r="I162" s="15" t="s">
        <v>44</v>
      </c>
      <c r="J162" s="15" t="s">
        <v>45</v>
      </c>
      <c r="K162" s="15" t="s">
        <v>46</v>
      </c>
      <c r="L162" s="15" t="s">
        <v>189</v>
      </c>
      <c r="M162" s="15">
        <v>11</v>
      </c>
      <c r="N162" s="15">
        <v>700</v>
      </c>
      <c r="O162" s="15">
        <v>20</v>
      </c>
      <c r="P162" s="15">
        <v>6160</v>
      </c>
      <c r="Q162" s="15">
        <v>4</v>
      </c>
      <c r="R162" s="15" t="s">
        <v>34</v>
      </c>
      <c r="S162" s="15" t="s">
        <v>151</v>
      </c>
      <c r="T162" s="15" t="s">
        <v>332</v>
      </c>
      <c r="U162" s="17" t="s">
        <v>855</v>
      </c>
      <c r="V162" s="15" t="s">
        <v>69</v>
      </c>
      <c r="W162" t="str">
        <f t="shared" si="8"/>
        <v>Blacklisted</v>
      </c>
      <c r="X162" s="27" t="str">
        <f t="shared" si="9"/>
        <v>Amit Sharma</v>
      </c>
      <c r="Y162" s="29" t="str">
        <f t="shared" si="10"/>
        <v>Ami00IDDe</v>
      </c>
      <c r="Z162" s="30" t="str">
        <f t="shared" si="11"/>
        <v>amit.sharma@company.com</v>
      </c>
    </row>
    <row r="163" spans="1:26">
      <c r="A163" s="18" t="s">
        <v>856</v>
      </c>
      <c r="B163" s="18" t="s">
        <v>168</v>
      </c>
      <c r="C163" s="18" t="s">
        <v>72</v>
      </c>
      <c r="D163" s="18" t="s">
        <v>286</v>
      </c>
      <c r="E163" s="18" t="s">
        <v>816</v>
      </c>
      <c r="F163" s="18" t="s">
        <v>361</v>
      </c>
      <c r="G163" s="18" t="s">
        <v>28</v>
      </c>
      <c r="H163" s="18" t="s">
        <v>857</v>
      </c>
      <c r="I163" s="18" t="s">
        <v>294</v>
      </c>
      <c r="J163" s="18" t="s">
        <v>295</v>
      </c>
      <c r="K163" s="18" t="s">
        <v>46</v>
      </c>
      <c r="L163" s="18" t="s">
        <v>78</v>
      </c>
      <c r="M163" s="18">
        <v>16</v>
      </c>
      <c r="N163" s="18">
        <v>1200</v>
      </c>
      <c r="O163" s="18">
        <v>5</v>
      </c>
      <c r="P163" s="18">
        <v>18240</v>
      </c>
      <c r="Q163" s="18">
        <v>1</v>
      </c>
      <c r="R163" s="18" t="s">
        <v>79</v>
      </c>
      <c r="S163" s="18" t="s">
        <v>35</v>
      </c>
      <c r="T163" s="18" t="s">
        <v>175</v>
      </c>
      <c r="U163" s="19" t="s">
        <v>858</v>
      </c>
      <c r="V163" s="18" t="s">
        <v>64</v>
      </c>
      <c r="W163" t="str">
        <f t="shared" si="8"/>
        <v>Blacklisted</v>
      </c>
      <c r="X163" s="27" t="str">
        <f t="shared" si="9"/>
        <v>Anita Gupta</v>
      </c>
      <c r="Y163" s="29" t="str">
        <f t="shared" si="10"/>
        <v>Ani00IDKo</v>
      </c>
      <c r="Z163" s="30" t="str">
        <f t="shared" si="11"/>
        <v>anita.gupta@company.com</v>
      </c>
    </row>
    <row r="164" spans="1:26">
      <c r="A164" s="15" t="s">
        <v>859</v>
      </c>
      <c r="B164" s="15" t="s">
        <v>168</v>
      </c>
      <c r="C164" s="15" t="s">
        <v>72</v>
      </c>
      <c r="D164" s="15" t="s">
        <v>548</v>
      </c>
      <c r="E164" s="15" t="s">
        <v>860</v>
      </c>
      <c r="F164" s="15" t="s">
        <v>361</v>
      </c>
      <c r="G164" s="15" t="s">
        <v>28</v>
      </c>
      <c r="H164" s="15" t="s">
        <v>861</v>
      </c>
      <c r="I164" s="15" t="s">
        <v>114</v>
      </c>
      <c r="J164" s="15" t="s">
        <v>106</v>
      </c>
      <c r="K164" s="15" t="s">
        <v>46</v>
      </c>
      <c r="L164" s="15" t="s">
        <v>78</v>
      </c>
      <c r="M164" s="15">
        <v>1</v>
      </c>
      <c r="N164" s="15">
        <v>1200</v>
      </c>
      <c r="O164" s="15">
        <v>5</v>
      </c>
      <c r="P164" s="15">
        <v>1140</v>
      </c>
      <c r="Q164" s="15">
        <v>4</v>
      </c>
      <c r="R164" s="15" t="s">
        <v>79</v>
      </c>
      <c r="S164" s="15" t="s">
        <v>35</v>
      </c>
      <c r="T164" s="15" t="s">
        <v>175</v>
      </c>
      <c r="U164" s="17" t="s">
        <v>862</v>
      </c>
      <c r="V164" s="15" t="s">
        <v>38</v>
      </c>
      <c r="W164" t="str">
        <f t="shared" si="8"/>
        <v>Silver</v>
      </c>
      <c r="X164" s="27" t="str">
        <f t="shared" si="9"/>
        <v>Anita Gupta</v>
      </c>
      <c r="Y164" s="29" t="str">
        <f t="shared" si="10"/>
        <v>Ani00IDPu</v>
      </c>
      <c r="Z164" s="30" t="str">
        <f t="shared" si="11"/>
        <v>anita.gupta@company.com</v>
      </c>
    </row>
    <row r="165" spans="1:26">
      <c r="A165" s="18" t="s">
        <v>863</v>
      </c>
      <c r="B165" s="18" t="s">
        <v>327</v>
      </c>
      <c r="C165" s="18" t="s">
        <v>118</v>
      </c>
      <c r="D165" s="18" t="s">
        <v>864</v>
      </c>
      <c r="E165" s="18" t="s">
        <v>865</v>
      </c>
      <c r="F165" s="18" t="s">
        <v>853</v>
      </c>
      <c r="G165" s="18" t="s">
        <v>76</v>
      </c>
      <c r="H165" s="18" t="s">
        <v>866</v>
      </c>
      <c r="I165" s="18" t="s">
        <v>212</v>
      </c>
      <c r="J165" s="18" t="s">
        <v>45</v>
      </c>
      <c r="K165" s="18" t="s">
        <v>122</v>
      </c>
      <c r="L165" s="18" t="s">
        <v>123</v>
      </c>
      <c r="M165" s="18">
        <v>7</v>
      </c>
      <c r="N165" s="18">
        <v>60</v>
      </c>
      <c r="O165" s="18">
        <v>0</v>
      </c>
      <c r="P165" s="18">
        <v>420</v>
      </c>
      <c r="Q165" s="18">
        <v>2</v>
      </c>
      <c r="R165" s="18" t="s">
        <v>88</v>
      </c>
      <c r="S165" s="18" t="s">
        <v>151</v>
      </c>
      <c r="T165" s="18" t="s">
        <v>332</v>
      </c>
      <c r="U165" s="19" t="s">
        <v>867</v>
      </c>
      <c r="V165" s="18" t="s">
        <v>38</v>
      </c>
      <c r="W165" t="str">
        <f t="shared" si="8"/>
        <v>Blacklisted</v>
      </c>
      <c r="X165" s="27" t="str">
        <f t="shared" si="9"/>
        <v>Amit Sharma</v>
      </c>
      <c r="Y165" s="29" t="str">
        <f t="shared" si="10"/>
        <v>Ami00IDJa</v>
      </c>
      <c r="Z165" s="30" t="str">
        <f t="shared" si="11"/>
        <v>amit.sharma@company.com</v>
      </c>
    </row>
    <row r="166" spans="1:26">
      <c r="A166" s="15" t="s">
        <v>868</v>
      </c>
      <c r="B166" s="15" t="s">
        <v>168</v>
      </c>
      <c r="C166" s="15" t="s">
        <v>24</v>
      </c>
      <c r="D166" s="15" t="s">
        <v>205</v>
      </c>
      <c r="E166" s="15" t="s">
        <v>513</v>
      </c>
      <c r="F166" s="15" t="s">
        <v>361</v>
      </c>
      <c r="G166" s="15" t="s">
        <v>28</v>
      </c>
      <c r="H166" s="15" t="s">
        <v>869</v>
      </c>
      <c r="I166" s="15" t="s">
        <v>114</v>
      </c>
      <c r="J166" s="15" t="s">
        <v>106</v>
      </c>
      <c r="K166" s="15" t="s">
        <v>32</v>
      </c>
      <c r="L166" s="15" t="s">
        <v>33</v>
      </c>
      <c r="M166" s="15">
        <v>14</v>
      </c>
      <c r="N166" s="15">
        <v>2200</v>
      </c>
      <c r="O166" s="15">
        <v>0</v>
      </c>
      <c r="P166" s="15">
        <v>30800</v>
      </c>
      <c r="Q166" s="15">
        <v>2</v>
      </c>
      <c r="R166" s="15" t="s">
        <v>88</v>
      </c>
      <c r="S166" s="15" t="s">
        <v>35</v>
      </c>
      <c r="T166" s="15" t="s">
        <v>175</v>
      </c>
      <c r="U166" s="17" t="s">
        <v>870</v>
      </c>
      <c r="V166" s="15" t="s">
        <v>69</v>
      </c>
      <c r="W166" t="str">
        <f t="shared" si="8"/>
        <v>Blacklisted</v>
      </c>
      <c r="X166" s="27" t="str">
        <f t="shared" si="9"/>
        <v>Anita Gupta</v>
      </c>
      <c r="Y166" s="29" t="str">
        <f t="shared" si="10"/>
        <v>Ani00IDPu</v>
      </c>
      <c r="Z166" s="30" t="str">
        <f t="shared" si="11"/>
        <v>anita.gupta@company.com</v>
      </c>
    </row>
    <row r="167" spans="1:26">
      <c r="A167" s="18" t="s">
        <v>871</v>
      </c>
      <c r="B167" s="18" t="s">
        <v>168</v>
      </c>
      <c r="C167" s="18" t="s">
        <v>92</v>
      </c>
      <c r="D167" s="18" t="s">
        <v>872</v>
      </c>
      <c r="E167" s="18" t="s">
        <v>488</v>
      </c>
      <c r="F167" s="18" t="s">
        <v>361</v>
      </c>
      <c r="G167" s="18" t="s">
        <v>28</v>
      </c>
      <c r="H167" s="18" t="s">
        <v>873</v>
      </c>
      <c r="I167" s="18" t="s">
        <v>138</v>
      </c>
      <c r="J167" s="18" t="s">
        <v>106</v>
      </c>
      <c r="K167" s="18" t="s">
        <v>32</v>
      </c>
      <c r="L167" s="18" t="s">
        <v>97</v>
      </c>
      <c r="M167" s="18">
        <v>15</v>
      </c>
      <c r="N167" s="18">
        <v>3500</v>
      </c>
      <c r="O167" s="18">
        <v>15</v>
      </c>
      <c r="P167" s="18">
        <v>44625</v>
      </c>
      <c r="Q167" s="18">
        <v>2</v>
      </c>
      <c r="R167" s="18" t="s">
        <v>88</v>
      </c>
      <c r="S167" s="18" t="s">
        <v>61</v>
      </c>
      <c r="T167" s="18" t="s">
        <v>175</v>
      </c>
      <c r="U167" s="19" t="s">
        <v>874</v>
      </c>
      <c r="V167" s="18" t="s">
        <v>64</v>
      </c>
      <c r="W167" t="str">
        <f t="shared" si="8"/>
        <v>Blacklisted</v>
      </c>
      <c r="X167" s="27" t="str">
        <f t="shared" si="9"/>
        <v>Anita Gupta</v>
      </c>
      <c r="Y167" s="29" t="str">
        <f t="shared" si="10"/>
        <v>Ani00IDAh</v>
      </c>
      <c r="Z167" s="30" t="str">
        <f t="shared" si="11"/>
        <v>anita.gupta@company.com</v>
      </c>
    </row>
    <row r="168" spans="1:26">
      <c r="A168" s="15" t="s">
        <v>875</v>
      </c>
      <c r="B168" s="15" t="s">
        <v>127</v>
      </c>
      <c r="C168" s="15" t="s">
        <v>92</v>
      </c>
      <c r="D168" s="15" t="s">
        <v>876</v>
      </c>
      <c r="E168" s="15" t="s">
        <v>877</v>
      </c>
      <c r="F168" s="15" t="s">
        <v>200</v>
      </c>
      <c r="G168" s="15" t="s">
        <v>76</v>
      </c>
      <c r="H168" s="15" t="s">
        <v>878</v>
      </c>
      <c r="I168" s="15" t="s">
        <v>294</v>
      </c>
      <c r="J168" s="15" t="s">
        <v>295</v>
      </c>
      <c r="K168" s="15" t="s">
        <v>32</v>
      </c>
      <c r="L168" s="15" t="s">
        <v>97</v>
      </c>
      <c r="M168" s="15">
        <v>19</v>
      </c>
      <c r="N168" s="15">
        <v>3500</v>
      </c>
      <c r="O168" s="15">
        <v>5</v>
      </c>
      <c r="P168" s="15">
        <v>63175</v>
      </c>
      <c r="Q168" s="15">
        <v>2</v>
      </c>
      <c r="R168" s="15" t="s">
        <v>34</v>
      </c>
      <c r="S168" s="15" t="s">
        <v>115</v>
      </c>
      <c r="T168" s="15" t="s">
        <v>132</v>
      </c>
      <c r="U168" s="17" t="s">
        <v>879</v>
      </c>
      <c r="V168" s="15" t="s">
        <v>69</v>
      </c>
      <c r="W168" t="str">
        <f t="shared" si="8"/>
        <v>Blacklisted</v>
      </c>
      <c r="X168" s="27" t="str">
        <f t="shared" si="9"/>
        <v>Rohit Singh</v>
      </c>
      <c r="Y168" s="29" t="str">
        <f t="shared" si="10"/>
        <v>Roh00IDKo</v>
      </c>
      <c r="Z168" s="30" t="str">
        <f t="shared" si="11"/>
        <v>rohit.singh@company.com</v>
      </c>
    </row>
    <row r="169" spans="1:26">
      <c r="A169" s="18" t="s">
        <v>880</v>
      </c>
      <c r="B169" s="18" t="s">
        <v>327</v>
      </c>
      <c r="C169" s="18" t="s">
        <v>54</v>
      </c>
      <c r="D169" s="18" t="s">
        <v>881</v>
      </c>
      <c r="E169" s="18" t="s">
        <v>640</v>
      </c>
      <c r="F169" s="18" t="s">
        <v>394</v>
      </c>
      <c r="G169" s="18" t="s">
        <v>76</v>
      </c>
      <c r="H169" s="18" t="s">
        <v>882</v>
      </c>
      <c r="I169" s="18" t="s">
        <v>59</v>
      </c>
      <c r="J169" s="18" t="s">
        <v>31</v>
      </c>
      <c r="K169" s="18" t="s">
        <v>46</v>
      </c>
      <c r="L169" s="18" t="s">
        <v>60</v>
      </c>
      <c r="M169" s="18">
        <v>12</v>
      </c>
      <c r="N169" s="18">
        <v>55000</v>
      </c>
      <c r="O169" s="18">
        <v>5</v>
      </c>
      <c r="P169" s="18">
        <v>627000</v>
      </c>
      <c r="Q169" s="18">
        <v>4</v>
      </c>
      <c r="R169" s="18" t="s">
        <v>79</v>
      </c>
      <c r="S169" s="18" t="s">
        <v>61</v>
      </c>
      <c r="T169" s="18" t="s">
        <v>332</v>
      </c>
      <c r="U169" s="19" t="s">
        <v>883</v>
      </c>
      <c r="V169" s="18" t="s">
        <v>69</v>
      </c>
      <c r="W169" t="str">
        <f t="shared" si="8"/>
        <v>Blacklisted</v>
      </c>
      <c r="X169" s="27" t="str">
        <f t="shared" si="9"/>
        <v>Amit Sharma</v>
      </c>
      <c r="Y169" s="29" t="str">
        <f t="shared" si="10"/>
        <v>Ami00IDBe</v>
      </c>
      <c r="Z169" s="30" t="str">
        <f t="shared" si="11"/>
        <v>amit.sharma@company.com</v>
      </c>
    </row>
    <row r="170" spans="1:26">
      <c r="A170" s="15" t="s">
        <v>884</v>
      </c>
      <c r="B170" s="15" t="s">
        <v>53</v>
      </c>
      <c r="C170" s="15" t="s">
        <v>72</v>
      </c>
      <c r="D170" s="15" t="s">
        <v>587</v>
      </c>
      <c r="E170" s="15" t="s">
        <v>483</v>
      </c>
      <c r="F170" s="15" t="s">
        <v>163</v>
      </c>
      <c r="G170" s="15" t="s">
        <v>28</v>
      </c>
      <c r="H170" s="15" t="s">
        <v>885</v>
      </c>
      <c r="I170" s="15" t="s">
        <v>105</v>
      </c>
      <c r="J170" s="15" t="s">
        <v>106</v>
      </c>
      <c r="K170" s="15" t="s">
        <v>46</v>
      </c>
      <c r="L170" s="15" t="s">
        <v>78</v>
      </c>
      <c r="M170" s="15">
        <v>6</v>
      </c>
      <c r="N170" s="15">
        <v>1200</v>
      </c>
      <c r="O170" s="15">
        <v>10</v>
      </c>
      <c r="P170" s="15">
        <v>6480</v>
      </c>
      <c r="Q170" s="15">
        <v>5</v>
      </c>
      <c r="R170" s="15" t="s">
        <v>48</v>
      </c>
      <c r="S170" s="15" t="s">
        <v>115</v>
      </c>
      <c r="T170" s="15" t="s">
        <v>62</v>
      </c>
      <c r="U170" s="17" t="s">
        <v>886</v>
      </c>
      <c r="V170" s="15" t="s">
        <v>69</v>
      </c>
      <c r="W170" t="str">
        <f t="shared" si="8"/>
        <v>Blacklisted</v>
      </c>
      <c r="X170" s="27" t="str">
        <f t="shared" si="9"/>
        <v>Pooja Shah</v>
      </c>
      <c r="Y170" s="29" t="str">
        <f t="shared" si="10"/>
        <v>Poo01IDMu</v>
      </c>
      <c r="Z170" s="30" t="str">
        <f t="shared" si="11"/>
        <v>pooja.shah@company.com</v>
      </c>
    </row>
    <row r="171" spans="1:26">
      <c r="A171" s="18" t="s">
        <v>887</v>
      </c>
      <c r="B171" s="18" t="s">
        <v>251</v>
      </c>
      <c r="C171" s="18" t="s">
        <v>169</v>
      </c>
      <c r="D171" s="18" t="s">
        <v>128</v>
      </c>
      <c r="E171" s="18" t="s">
        <v>247</v>
      </c>
      <c r="F171" s="18" t="s">
        <v>254</v>
      </c>
      <c r="G171" s="18" t="s">
        <v>28</v>
      </c>
      <c r="H171" s="18" t="s">
        <v>888</v>
      </c>
      <c r="I171" s="18" t="s">
        <v>30</v>
      </c>
      <c r="J171" s="18" t="s">
        <v>31</v>
      </c>
      <c r="K171" s="18" t="s">
        <v>32</v>
      </c>
      <c r="L171" s="18" t="s">
        <v>174</v>
      </c>
      <c r="M171" s="18">
        <v>1</v>
      </c>
      <c r="N171" s="18">
        <v>8500</v>
      </c>
      <c r="O171" s="18">
        <v>0</v>
      </c>
      <c r="P171" s="18">
        <v>8500</v>
      </c>
      <c r="Q171" s="18">
        <v>1</v>
      </c>
      <c r="R171" s="18" t="s">
        <v>88</v>
      </c>
      <c r="S171" s="18" t="s">
        <v>151</v>
      </c>
      <c r="T171" s="18" t="s">
        <v>256</v>
      </c>
      <c r="U171" s="19" t="s">
        <v>889</v>
      </c>
      <c r="V171" s="18" t="s">
        <v>69</v>
      </c>
      <c r="W171" t="str">
        <f t="shared" si="8"/>
        <v>Blacklisted</v>
      </c>
      <c r="X171" s="27" t="str">
        <f t="shared" si="9"/>
        <v>Sneha Joshi</v>
      </c>
      <c r="Y171" s="29" t="str">
        <f t="shared" si="10"/>
        <v>Sne00IDHy</v>
      </c>
      <c r="Z171" s="30" t="str">
        <f t="shared" si="11"/>
        <v>sneha.joshi@company.com</v>
      </c>
    </row>
    <row r="172" spans="1:26">
      <c r="A172" s="15" t="s">
        <v>890</v>
      </c>
      <c r="B172" s="15" t="s">
        <v>127</v>
      </c>
      <c r="C172" s="15" t="s">
        <v>54</v>
      </c>
      <c r="D172" s="15" t="s">
        <v>891</v>
      </c>
      <c r="E172" s="15" t="s">
        <v>892</v>
      </c>
      <c r="F172" s="15" t="s">
        <v>200</v>
      </c>
      <c r="G172" s="15" t="s">
        <v>76</v>
      </c>
      <c r="H172" s="15" t="s">
        <v>893</v>
      </c>
      <c r="I172" s="15" t="s">
        <v>138</v>
      </c>
      <c r="J172" s="15" t="s">
        <v>106</v>
      </c>
      <c r="K172" s="15" t="s">
        <v>46</v>
      </c>
      <c r="L172" s="15" t="s">
        <v>60</v>
      </c>
      <c r="M172" s="15">
        <v>20</v>
      </c>
      <c r="N172" s="15">
        <v>55000</v>
      </c>
      <c r="O172" s="15">
        <v>10</v>
      </c>
      <c r="P172" s="15">
        <v>990000</v>
      </c>
      <c r="Q172" s="15">
        <v>5</v>
      </c>
      <c r="R172" s="15" t="s">
        <v>48</v>
      </c>
      <c r="S172" s="15" t="s">
        <v>151</v>
      </c>
      <c r="T172" s="15" t="s">
        <v>132</v>
      </c>
      <c r="U172" s="17" t="s">
        <v>894</v>
      </c>
      <c r="V172" s="15" t="s">
        <v>38</v>
      </c>
      <c r="W172" t="str">
        <f t="shared" si="8"/>
        <v>Blacklisted</v>
      </c>
      <c r="X172" s="27" t="str">
        <f t="shared" si="9"/>
        <v>Rohit Singh</v>
      </c>
      <c r="Y172" s="29" t="str">
        <f t="shared" si="10"/>
        <v>Roh00IDAh</v>
      </c>
      <c r="Z172" s="30" t="str">
        <f t="shared" si="11"/>
        <v>rohit.singh@company.com</v>
      </c>
    </row>
    <row r="173" spans="1:26">
      <c r="A173" s="18" t="s">
        <v>895</v>
      </c>
      <c r="B173" s="18" t="s">
        <v>221</v>
      </c>
      <c r="C173" s="18" t="s">
        <v>72</v>
      </c>
      <c r="D173" s="18" t="s">
        <v>661</v>
      </c>
      <c r="E173" s="18" t="s">
        <v>896</v>
      </c>
      <c r="F173" s="18" t="s">
        <v>225</v>
      </c>
      <c r="G173" s="18" t="s">
        <v>76</v>
      </c>
      <c r="H173" s="18" t="s">
        <v>897</v>
      </c>
      <c r="I173" s="18" t="s">
        <v>138</v>
      </c>
      <c r="J173" s="18" t="s">
        <v>106</v>
      </c>
      <c r="K173" s="18" t="s">
        <v>46</v>
      </c>
      <c r="L173" s="18" t="s">
        <v>78</v>
      </c>
      <c r="M173" s="18">
        <v>8</v>
      </c>
      <c r="N173" s="18">
        <v>1200</v>
      </c>
      <c r="O173" s="18">
        <v>15</v>
      </c>
      <c r="P173" s="18">
        <v>8160</v>
      </c>
      <c r="Q173" s="18">
        <v>2</v>
      </c>
      <c r="R173" s="18" t="s">
        <v>88</v>
      </c>
      <c r="S173" s="18" t="s">
        <v>115</v>
      </c>
      <c r="T173" s="18" t="s">
        <v>228</v>
      </c>
      <c r="U173" s="19" t="s">
        <v>898</v>
      </c>
      <c r="V173" s="18" t="s">
        <v>69</v>
      </c>
      <c r="W173" t="str">
        <f t="shared" si="8"/>
        <v>Blacklisted</v>
      </c>
      <c r="X173" s="27" t="str">
        <f t="shared" si="9"/>
        <v>Vikas Mehta</v>
      </c>
      <c r="Y173" s="29" t="str">
        <f t="shared" si="10"/>
        <v>Vik00IDAh</v>
      </c>
      <c r="Z173" s="30" t="str">
        <f t="shared" si="11"/>
        <v>vikas.mehta@company.com</v>
      </c>
    </row>
    <row r="174" spans="1:26">
      <c r="A174" s="15" t="s">
        <v>899</v>
      </c>
      <c r="B174" s="15" t="s">
        <v>23</v>
      </c>
      <c r="C174" s="15" t="s">
        <v>92</v>
      </c>
      <c r="D174" s="15" t="s">
        <v>900</v>
      </c>
      <c r="E174" s="15" t="s">
        <v>901</v>
      </c>
      <c r="F174" s="15" t="s">
        <v>27</v>
      </c>
      <c r="G174" s="15" t="s">
        <v>28</v>
      </c>
      <c r="H174" s="15" t="s">
        <v>902</v>
      </c>
      <c r="I174" s="15" t="s">
        <v>212</v>
      </c>
      <c r="J174" s="15" t="s">
        <v>45</v>
      </c>
      <c r="K174" s="15" t="s">
        <v>32</v>
      </c>
      <c r="L174" s="15" t="s">
        <v>97</v>
      </c>
      <c r="M174" s="15">
        <v>19</v>
      </c>
      <c r="N174" s="15">
        <v>3500</v>
      </c>
      <c r="O174" s="15">
        <v>5</v>
      </c>
      <c r="P174" s="15">
        <v>63175</v>
      </c>
      <c r="Q174" s="15">
        <v>4</v>
      </c>
      <c r="R174" s="15" t="s">
        <v>88</v>
      </c>
      <c r="S174" s="15" t="s">
        <v>49</v>
      </c>
      <c r="T174" s="15" t="s">
        <v>50</v>
      </c>
      <c r="U174" s="17" t="s">
        <v>903</v>
      </c>
      <c r="V174" s="15" t="s">
        <v>64</v>
      </c>
      <c r="W174" t="str">
        <f t="shared" si="8"/>
        <v>Blacklisted</v>
      </c>
      <c r="X174" s="27" t="str">
        <f t="shared" si="9"/>
        <v>Kavya Nair</v>
      </c>
      <c r="Y174" s="29" t="str">
        <f t="shared" si="10"/>
        <v>Kav00IDJa</v>
      </c>
      <c r="Z174" s="30" t="str">
        <f t="shared" si="11"/>
        <v>kavya.nair@company.com</v>
      </c>
    </row>
    <row r="175" spans="1:26">
      <c r="A175" s="18" t="s">
        <v>904</v>
      </c>
      <c r="B175" s="18" t="s">
        <v>221</v>
      </c>
      <c r="C175" s="18" t="s">
        <v>259</v>
      </c>
      <c r="D175" s="18" t="s">
        <v>41</v>
      </c>
      <c r="E175" s="18" t="s">
        <v>606</v>
      </c>
      <c r="F175" s="18" t="s">
        <v>905</v>
      </c>
      <c r="G175" s="18" t="s">
        <v>76</v>
      </c>
      <c r="H175" s="18" t="s">
        <v>906</v>
      </c>
      <c r="I175" s="18" t="s">
        <v>212</v>
      </c>
      <c r="J175" s="18" t="s">
        <v>45</v>
      </c>
      <c r="K175" s="18" t="s">
        <v>122</v>
      </c>
      <c r="L175" s="18" t="s">
        <v>263</v>
      </c>
      <c r="M175" s="18">
        <v>6</v>
      </c>
      <c r="N175" s="18">
        <v>45</v>
      </c>
      <c r="O175" s="18">
        <v>20</v>
      </c>
      <c r="P175" s="18">
        <v>216</v>
      </c>
      <c r="Q175" s="18">
        <v>1</v>
      </c>
      <c r="R175" s="18" t="s">
        <v>79</v>
      </c>
      <c r="S175" s="18" t="s">
        <v>49</v>
      </c>
      <c r="T175" s="18" t="s">
        <v>907</v>
      </c>
      <c r="U175" s="19" t="s">
        <v>908</v>
      </c>
      <c r="V175" s="18" t="s">
        <v>64</v>
      </c>
      <c r="W175" t="str">
        <f t="shared" si="8"/>
        <v>Blacklisted</v>
      </c>
      <c r="X175" s="27" t="str">
        <f t="shared" si="9"/>
        <v>Vikas Mehta</v>
      </c>
      <c r="Y175" s="29" t="str">
        <f t="shared" si="10"/>
        <v>Vik00IDJa</v>
      </c>
      <c r="Z175" s="30" t="str">
        <f t="shared" si="11"/>
        <v>Invalid Email</v>
      </c>
    </row>
    <row r="176" spans="1:26">
      <c r="A176" s="15" t="s">
        <v>909</v>
      </c>
      <c r="B176" s="15" t="s">
        <v>251</v>
      </c>
      <c r="C176" s="15" t="s">
        <v>259</v>
      </c>
      <c r="D176" s="15" t="s">
        <v>910</v>
      </c>
      <c r="E176" s="15" t="s">
        <v>119</v>
      </c>
      <c r="F176" s="15" t="s">
        <v>254</v>
      </c>
      <c r="G176" s="15" t="s">
        <v>28</v>
      </c>
      <c r="H176" s="15" t="s">
        <v>911</v>
      </c>
      <c r="I176" s="15" t="s">
        <v>114</v>
      </c>
      <c r="J176" s="15" t="s">
        <v>106</v>
      </c>
      <c r="K176" s="15" t="s">
        <v>122</v>
      </c>
      <c r="L176" s="15" t="s">
        <v>263</v>
      </c>
      <c r="M176" s="15">
        <v>17</v>
      </c>
      <c r="N176" s="15">
        <v>45</v>
      </c>
      <c r="O176" s="15">
        <v>15</v>
      </c>
      <c r="P176" s="15">
        <v>650.25</v>
      </c>
      <c r="Q176" s="15">
        <v>5</v>
      </c>
      <c r="R176" s="15" t="s">
        <v>34</v>
      </c>
      <c r="S176" s="15" t="s">
        <v>115</v>
      </c>
      <c r="T176" s="15" t="s">
        <v>256</v>
      </c>
      <c r="U176" s="17" t="s">
        <v>912</v>
      </c>
      <c r="V176" s="15" t="s">
        <v>64</v>
      </c>
      <c r="W176" t="str">
        <f t="shared" si="8"/>
        <v>Blacklisted</v>
      </c>
      <c r="X176" s="27" t="str">
        <f t="shared" si="9"/>
        <v>Sneha Joshi</v>
      </c>
      <c r="Y176" s="29" t="str">
        <f t="shared" si="10"/>
        <v>Sne00IDPu</v>
      </c>
      <c r="Z176" s="30" t="str">
        <f t="shared" si="11"/>
        <v>sneha.joshi@company.com</v>
      </c>
    </row>
    <row r="177" spans="1:26">
      <c r="A177" s="18" t="s">
        <v>913</v>
      </c>
      <c r="B177" s="18" t="s">
        <v>23</v>
      </c>
      <c r="C177" s="18" t="s">
        <v>222</v>
      </c>
      <c r="D177" s="18" t="s">
        <v>276</v>
      </c>
      <c r="E177" s="18" t="s">
        <v>914</v>
      </c>
      <c r="F177" s="18" t="s">
        <v>27</v>
      </c>
      <c r="G177" s="18" t="s">
        <v>28</v>
      </c>
      <c r="H177" s="18" t="s">
        <v>915</v>
      </c>
      <c r="I177" s="18" t="s">
        <v>114</v>
      </c>
      <c r="J177" s="18" t="s">
        <v>106</v>
      </c>
      <c r="K177" s="18" t="s">
        <v>122</v>
      </c>
      <c r="L177" s="18" t="s">
        <v>227</v>
      </c>
      <c r="M177" s="18">
        <v>19</v>
      </c>
      <c r="N177" s="18">
        <v>20</v>
      </c>
      <c r="O177" s="18">
        <v>5</v>
      </c>
      <c r="P177" s="18">
        <v>361</v>
      </c>
      <c r="Q177" s="18">
        <v>4</v>
      </c>
      <c r="R177" s="18" t="s">
        <v>34</v>
      </c>
      <c r="S177" s="18" t="s">
        <v>35</v>
      </c>
      <c r="T177" s="18" t="s">
        <v>50</v>
      </c>
      <c r="U177" s="19" t="s">
        <v>916</v>
      </c>
      <c r="V177" s="18" t="s">
        <v>64</v>
      </c>
      <c r="W177" t="str">
        <f t="shared" si="8"/>
        <v>Blacklisted</v>
      </c>
      <c r="X177" s="27" t="str">
        <f t="shared" si="9"/>
        <v>Kavya Nair</v>
      </c>
      <c r="Y177" s="29" t="str">
        <f t="shared" si="10"/>
        <v>Kav00IDPu</v>
      </c>
      <c r="Z177" s="30" t="str">
        <f t="shared" si="11"/>
        <v>kavya.nair@company.com</v>
      </c>
    </row>
    <row r="178" spans="1:26">
      <c r="A178" s="15" t="s">
        <v>917</v>
      </c>
      <c r="B178" s="15" t="s">
        <v>251</v>
      </c>
      <c r="C178" s="15" t="s">
        <v>222</v>
      </c>
      <c r="D178" s="15" t="s">
        <v>918</v>
      </c>
      <c r="E178" s="15" t="s">
        <v>352</v>
      </c>
      <c r="F178" s="15" t="s">
        <v>919</v>
      </c>
      <c r="G178" s="15" t="s">
        <v>28</v>
      </c>
      <c r="H178" s="15" t="s">
        <v>920</v>
      </c>
      <c r="I178" s="15" t="s">
        <v>138</v>
      </c>
      <c r="J178" s="15" t="s">
        <v>106</v>
      </c>
      <c r="K178" s="15" t="s">
        <v>122</v>
      </c>
      <c r="L178" s="15" t="s">
        <v>227</v>
      </c>
      <c r="M178" s="15">
        <v>11</v>
      </c>
      <c r="N178" s="15">
        <v>20</v>
      </c>
      <c r="O178" s="15">
        <v>0</v>
      </c>
      <c r="P178" s="15">
        <v>220</v>
      </c>
      <c r="Q178" s="15">
        <v>3</v>
      </c>
      <c r="R178" s="15" t="s">
        <v>48</v>
      </c>
      <c r="S178" s="15" t="s">
        <v>49</v>
      </c>
      <c r="T178" s="15" t="s">
        <v>256</v>
      </c>
      <c r="U178" s="17" t="s">
        <v>921</v>
      </c>
      <c r="V178" s="15" t="s">
        <v>38</v>
      </c>
      <c r="W178" t="str">
        <f t="shared" si="8"/>
        <v>Silver</v>
      </c>
      <c r="X178" s="27" t="str">
        <f t="shared" si="9"/>
        <v>Sneha Joshi</v>
      </c>
      <c r="Y178" s="29" t="str">
        <f t="shared" si="10"/>
        <v>Sne00IDAh</v>
      </c>
      <c r="Z178" s="30" t="str">
        <f t="shared" si="11"/>
        <v>sneha.joshi@company.com</v>
      </c>
    </row>
    <row r="179" spans="1:26">
      <c r="A179" s="18" t="s">
        <v>922</v>
      </c>
      <c r="B179" s="18" t="s">
        <v>168</v>
      </c>
      <c r="C179" s="18" t="s">
        <v>118</v>
      </c>
      <c r="D179" s="18" t="s">
        <v>323</v>
      </c>
      <c r="E179" s="18" t="s">
        <v>923</v>
      </c>
      <c r="F179" s="18" t="s">
        <v>361</v>
      </c>
      <c r="G179" s="18" t="s">
        <v>28</v>
      </c>
      <c r="H179" s="18" t="s">
        <v>924</v>
      </c>
      <c r="I179" s="18" t="s">
        <v>44</v>
      </c>
      <c r="J179" s="18" t="s">
        <v>45</v>
      </c>
      <c r="K179" s="18" t="s">
        <v>122</v>
      </c>
      <c r="L179" s="18" t="s">
        <v>123</v>
      </c>
      <c r="M179" s="18">
        <v>12</v>
      </c>
      <c r="N179" s="18">
        <v>60</v>
      </c>
      <c r="O179" s="18">
        <v>0</v>
      </c>
      <c r="P179" s="18">
        <v>720</v>
      </c>
      <c r="Q179" s="18">
        <v>2</v>
      </c>
      <c r="R179" s="18" t="s">
        <v>48</v>
      </c>
      <c r="S179" s="18" t="s">
        <v>49</v>
      </c>
      <c r="T179" s="18" t="s">
        <v>175</v>
      </c>
      <c r="U179" s="19" t="s">
        <v>925</v>
      </c>
      <c r="V179" s="18" t="s">
        <v>38</v>
      </c>
      <c r="W179" t="str">
        <f t="shared" si="8"/>
        <v>Blacklisted</v>
      </c>
      <c r="X179" s="27" t="str">
        <f t="shared" si="9"/>
        <v>Anita Gupta</v>
      </c>
      <c r="Y179" s="29" t="str">
        <f t="shared" si="10"/>
        <v>Ani00IDDe</v>
      </c>
      <c r="Z179" s="30" t="str">
        <f t="shared" si="11"/>
        <v>anita.gupta@company.com</v>
      </c>
    </row>
    <row r="180" spans="1:26">
      <c r="A180" s="15" t="s">
        <v>926</v>
      </c>
      <c r="B180" s="15" t="s">
        <v>221</v>
      </c>
      <c r="C180" s="15" t="s">
        <v>259</v>
      </c>
      <c r="D180" s="15" t="s">
        <v>927</v>
      </c>
      <c r="E180" s="15" t="s">
        <v>865</v>
      </c>
      <c r="F180" s="15" t="s">
        <v>928</v>
      </c>
      <c r="G180" s="15" t="s">
        <v>76</v>
      </c>
      <c r="H180" s="15" t="s">
        <v>929</v>
      </c>
      <c r="I180" s="15" t="s">
        <v>294</v>
      </c>
      <c r="J180" s="15" t="s">
        <v>295</v>
      </c>
      <c r="K180" s="15" t="s">
        <v>122</v>
      </c>
      <c r="L180" s="15" t="s">
        <v>263</v>
      </c>
      <c r="M180" s="15">
        <v>14</v>
      </c>
      <c r="N180" s="15">
        <v>45</v>
      </c>
      <c r="O180" s="15">
        <v>15</v>
      </c>
      <c r="P180" s="15">
        <v>535.5</v>
      </c>
      <c r="Q180" s="15">
        <v>5</v>
      </c>
      <c r="R180" s="15" t="s">
        <v>88</v>
      </c>
      <c r="S180" s="15" t="s">
        <v>115</v>
      </c>
      <c r="T180" s="15" t="s">
        <v>228</v>
      </c>
      <c r="U180" s="17" t="s">
        <v>930</v>
      </c>
      <c r="V180" s="15" t="s">
        <v>64</v>
      </c>
      <c r="W180" t="str">
        <f t="shared" si="8"/>
        <v>Blacklisted</v>
      </c>
      <c r="X180" s="27" t="str">
        <f t="shared" si="9"/>
        <v>Priya Patel</v>
      </c>
      <c r="Y180" s="29" t="str">
        <f t="shared" si="10"/>
        <v>Pri00IDKo</v>
      </c>
      <c r="Z180" s="30" t="str">
        <f t="shared" si="11"/>
        <v>vikas.mehta@company.com</v>
      </c>
    </row>
    <row r="181" spans="1:26">
      <c r="A181" s="18" t="s">
        <v>931</v>
      </c>
      <c r="B181" s="18" t="s">
        <v>23</v>
      </c>
      <c r="C181" s="18" t="s">
        <v>184</v>
      </c>
      <c r="D181" s="18" t="s">
        <v>932</v>
      </c>
      <c r="E181" s="18" t="s">
        <v>303</v>
      </c>
      <c r="F181" s="18" t="s">
        <v>27</v>
      </c>
      <c r="G181" s="18" t="s">
        <v>28</v>
      </c>
      <c r="H181" s="18" t="s">
        <v>933</v>
      </c>
      <c r="I181" s="18" t="s">
        <v>30</v>
      </c>
      <c r="J181" s="18" t="s">
        <v>31</v>
      </c>
      <c r="K181" s="18" t="s">
        <v>46</v>
      </c>
      <c r="L181" s="18" t="s">
        <v>189</v>
      </c>
      <c r="M181" s="18">
        <v>15</v>
      </c>
      <c r="N181" s="18">
        <v>700</v>
      </c>
      <c r="O181" s="18">
        <v>10</v>
      </c>
      <c r="P181" s="18">
        <v>9450</v>
      </c>
      <c r="Q181" s="18">
        <v>3</v>
      </c>
      <c r="R181" s="18" t="s">
        <v>48</v>
      </c>
      <c r="S181" s="18" t="s">
        <v>49</v>
      </c>
      <c r="T181" s="18" t="s">
        <v>50</v>
      </c>
      <c r="U181" s="19" t="s">
        <v>934</v>
      </c>
      <c r="V181" s="18" t="s">
        <v>64</v>
      </c>
      <c r="W181" t="str">
        <f t="shared" si="8"/>
        <v>Blacklisted</v>
      </c>
      <c r="X181" s="27" t="str">
        <f t="shared" si="9"/>
        <v>Kavya Nair</v>
      </c>
      <c r="Y181" s="29" t="str">
        <f t="shared" si="10"/>
        <v>Kav00IDHy</v>
      </c>
      <c r="Z181" s="30" t="str">
        <f t="shared" si="11"/>
        <v>kavya.nair@company.com</v>
      </c>
    </row>
    <row r="182" spans="1:26">
      <c r="A182" s="15" t="s">
        <v>935</v>
      </c>
      <c r="B182" s="15" t="s">
        <v>100</v>
      </c>
      <c r="C182" s="15" t="s">
        <v>169</v>
      </c>
      <c r="D182" s="15" t="s">
        <v>936</v>
      </c>
      <c r="E182" s="15" t="s">
        <v>683</v>
      </c>
      <c r="F182" s="15" t="s">
        <v>103</v>
      </c>
      <c r="G182" s="15" t="s">
        <v>28</v>
      </c>
      <c r="H182" s="15" t="s">
        <v>937</v>
      </c>
      <c r="I182" s="15" t="s">
        <v>138</v>
      </c>
      <c r="J182" s="15" t="s">
        <v>106</v>
      </c>
      <c r="K182" s="15" t="s">
        <v>32</v>
      </c>
      <c r="L182" s="15" t="s">
        <v>174</v>
      </c>
      <c r="M182" s="15">
        <v>19</v>
      </c>
      <c r="N182" s="15">
        <v>8500</v>
      </c>
      <c r="O182" s="15">
        <v>15</v>
      </c>
      <c r="P182" s="15">
        <v>137275</v>
      </c>
      <c r="Q182" s="15">
        <v>2</v>
      </c>
      <c r="R182" s="15" t="s">
        <v>34</v>
      </c>
      <c r="S182" s="15" t="s">
        <v>35</v>
      </c>
      <c r="T182" s="15" t="s">
        <v>144</v>
      </c>
      <c r="U182" s="17" t="s">
        <v>938</v>
      </c>
      <c r="V182" s="15" t="s">
        <v>69</v>
      </c>
      <c r="W182" t="str">
        <f t="shared" si="8"/>
        <v>Blacklisted</v>
      </c>
      <c r="X182" s="27" t="str">
        <f t="shared" si="9"/>
        <v>Priya Patel</v>
      </c>
      <c r="Y182" s="29" t="str">
        <f t="shared" si="10"/>
        <v>Pri00IDAh</v>
      </c>
      <c r="Z182" s="30" t="str">
        <f t="shared" si="11"/>
        <v>priya.patel@company.com</v>
      </c>
    </row>
    <row r="183" spans="1:26">
      <c r="A183" s="18" t="s">
        <v>939</v>
      </c>
      <c r="B183" s="18" t="s">
        <v>251</v>
      </c>
      <c r="C183" s="18" t="s">
        <v>118</v>
      </c>
      <c r="D183" s="18" t="s">
        <v>940</v>
      </c>
      <c r="E183" s="18" t="s">
        <v>941</v>
      </c>
      <c r="F183" s="18" t="s">
        <v>254</v>
      </c>
      <c r="G183" s="18" t="s">
        <v>28</v>
      </c>
      <c r="H183" s="18" t="s">
        <v>911</v>
      </c>
      <c r="I183" s="18" t="s">
        <v>212</v>
      </c>
      <c r="J183" s="18" t="s">
        <v>45</v>
      </c>
      <c r="K183" s="18" t="s">
        <v>122</v>
      </c>
      <c r="L183" s="18" t="s">
        <v>123</v>
      </c>
      <c r="M183" s="18">
        <v>19</v>
      </c>
      <c r="N183" s="18">
        <v>60</v>
      </c>
      <c r="O183" s="18">
        <v>20</v>
      </c>
      <c r="P183" s="18">
        <v>912</v>
      </c>
      <c r="Q183" s="18">
        <v>4</v>
      </c>
      <c r="R183" s="18" t="s">
        <v>79</v>
      </c>
      <c r="S183" s="18" t="s">
        <v>49</v>
      </c>
      <c r="T183" s="18" t="s">
        <v>256</v>
      </c>
      <c r="U183" s="19" t="s">
        <v>942</v>
      </c>
      <c r="V183" s="18" t="s">
        <v>64</v>
      </c>
      <c r="W183" t="str">
        <f t="shared" si="8"/>
        <v>Blacklisted</v>
      </c>
      <c r="X183" s="27" t="str">
        <f t="shared" si="9"/>
        <v>Sneha Joshi</v>
      </c>
      <c r="Y183" s="29" t="str">
        <f t="shared" si="10"/>
        <v>Sne00IDJa</v>
      </c>
      <c r="Z183" s="30" t="str">
        <f t="shared" si="11"/>
        <v>sneha.joshi@company.com</v>
      </c>
    </row>
    <row r="184" spans="1:26">
      <c r="A184" s="15" t="s">
        <v>943</v>
      </c>
      <c r="B184" s="15" t="s">
        <v>100</v>
      </c>
      <c r="C184" s="15" t="s">
        <v>259</v>
      </c>
      <c r="D184" s="15" t="s">
        <v>944</v>
      </c>
      <c r="E184" s="15" t="s">
        <v>936</v>
      </c>
      <c r="F184" s="15" t="s">
        <v>103</v>
      </c>
      <c r="G184" s="15" t="s">
        <v>28</v>
      </c>
      <c r="H184" s="15" t="s">
        <v>945</v>
      </c>
      <c r="I184" s="15" t="s">
        <v>59</v>
      </c>
      <c r="J184" s="15" t="s">
        <v>31</v>
      </c>
      <c r="K184" s="15" t="s">
        <v>122</v>
      </c>
      <c r="L184" s="15" t="s">
        <v>263</v>
      </c>
      <c r="M184" s="15">
        <v>10</v>
      </c>
      <c r="N184" s="15">
        <v>45</v>
      </c>
      <c r="O184" s="15">
        <v>15</v>
      </c>
      <c r="P184" s="15">
        <v>382.5</v>
      </c>
      <c r="Q184" s="15">
        <v>4</v>
      </c>
      <c r="R184" s="15" t="s">
        <v>34</v>
      </c>
      <c r="S184" s="15" t="s">
        <v>151</v>
      </c>
      <c r="T184" s="15" t="s">
        <v>144</v>
      </c>
      <c r="U184" s="17" t="s">
        <v>946</v>
      </c>
      <c r="V184" s="15" t="s">
        <v>38</v>
      </c>
      <c r="W184" t="str">
        <f t="shared" si="8"/>
        <v>Silver</v>
      </c>
      <c r="X184" s="27" t="str">
        <f t="shared" si="9"/>
        <v>Priya Patel</v>
      </c>
      <c r="Y184" s="29" t="str">
        <f t="shared" si="10"/>
        <v>Pri00IDBe</v>
      </c>
      <c r="Z184" s="30" t="str">
        <f t="shared" si="11"/>
        <v>priya.patel@company.com</v>
      </c>
    </row>
    <row r="185" spans="1:26">
      <c r="A185" s="18" t="s">
        <v>947</v>
      </c>
      <c r="B185" s="18" t="s">
        <v>71</v>
      </c>
      <c r="C185" s="18" t="s">
        <v>24</v>
      </c>
      <c r="D185" s="18" t="s">
        <v>948</v>
      </c>
      <c r="E185" s="18" t="s">
        <v>949</v>
      </c>
      <c r="F185" s="18" t="s">
        <v>217</v>
      </c>
      <c r="G185" s="18" t="s">
        <v>76</v>
      </c>
      <c r="H185" s="18" t="s">
        <v>950</v>
      </c>
      <c r="I185" s="18" t="s">
        <v>44</v>
      </c>
      <c r="J185" s="18" t="s">
        <v>45</v>
      </c>
      <c r="K185" s="18" t="s">
        <v>32</v>
      </c>
      <c r="L185" s="18" t="s">
        <v>33</v>
      </c>
      <c r="M185" s="18">
        <v>7</v>
      </c>
      <c r="N185" s="18">
        <v>2200</v>
      </c>
      <c r="O185" s="18">
        <v>20</v>
      </c>
      <c r="P185" s="18">
        <v>12320</v>
      </c>
      <c r="Q185" s="18">
        <v>5</v>
      </c>
      <c r="R185" s="18" t="s">
        <v>88</v>
      </c>
      <c r="S185" s="18" t="s">
        <v>49</v>
      </c>
      <c r="T185" s="18" t="s">
        <v>80</v>
      </c>
      <c r="U185" s="19" t="s">
        <v>951</v>
      </c>
      <c r="V185" s="18" t="s">
        <v>64</v>
      </c>
      <c r="W185" t="str">
        <f t="shared" si="8"/>
        <v>Blacklisted</v>
      </c>
      <c r="X185" s="27" t="str">
        <f t="shared" si="9"/>
        <v>Mohit Verma</v>
      </c>
      <c r="Y185" s="29" t="str">
        <f t="shared" si="10"/>
        <v>Moh00IDDe</v>
      </c>
      <c r="Z185" s="30" t="str">
        <f t="shared" si="11"/>
        <v>mohit.verma@company.com</v>
      </c>
    </row>
    <row r="186" spans="1:26">
      <c r="A186" s="15" t="s">
        <v>952</v>
      </c>
      <c r="B186" s="15" t="s">
        <v>100</v>
      </c>
      <c r="C186" s="15" t="s">
        <v>169</v>
      </c>
      <c r="D186" s="15" t="s">
        <v>953</v>
      </c>
      <c r="E186" s="15" t="s">
        <v>42</v>
      </c>
      <c r="F186" s="15" t="s">
        <v>103</v>
      </c>
      <c r="G186" s="15" t="s">
        <v>28</v>
      </c>
      <c r="H186" s="15" t="s">
        <v>954</v>
      </c>
      <c r="I186" s="15" t="s">
        <v>294</v>
      </c>
      <c r="J186" s="15" t="s">
        <v>295</v>
      </c>
      <c r="K186" s="15" t="s">
        <v>32</v>
      </c>
      <c r="L186" s="15" t="s">
        <v>174</v>
      </c>
      <c r="M186" s="15">
        <v>20</v>
      </c>
      <c r="N186" s="15">
        <v>8500</v>
      </c>
      <c r="O186" s="15">
        <v>20</v>
      </c>
      <c r="P186" s="15">
        <v>136000</v>
      </c>
      <c r="Q186" s="15">
        <v>4</v>
      </c>
      <c r="R186" s="15" t="s">
        <v>48</v>
      </c>
      <c r="S186" s="15" t="s">
        <v>35</v>
      </c>
      <c r="T186" s="15" t="s">
        <v>144</v>
      </c>
      <c r="U186" s="17" t="s">
        <v>955</v>
      </c>
      <c r="V186" s="15" t="s">
        <v>38</v>
      </c>
      <c r="W186" t="str">
        <f t="shared" si="8"/>
        <v>Blacklisted</v>
      </c>
      <c r="X186" s="27" t="str">
        <f t="shared" si="9"/>
        <v>Priya Patel</v>
      </c>
      <c r="Y186" s="29" t="str">
        <f t="shared" si="10"/>
        <v>Pri00IDKo</v>
      </c>
      <c r="Z186" s="30" t="str">
        <f t="shared" si="11"/>
        <v>priya.patel@company.com</v>
      </c>
    </row>
    <row r="187" spans="1:26">
      <c r="A187" s="18" t="s">
        <v>956</v>
      </c>
      <c r="B187" s="18" t="s">
        <v>251</v>
      </c>
      <c r="C187" s="18" t="s">
        <v>24</v>
      </c>
      <c r="D187" s="18" t="s">
        <v>770</v>
      </c>
      <c r="E187" s="18" t="s">
        <v>957</v>
      </c>
      <c r="F187" s="18" t="s">
        <v>254</v>
      </c>
      <c r="G187" s="18" t="s">
        <v>28</v>
      </c>
      <c r="H187" s="18" t="s">
        <v>958</v>
      </c>
      <c r="I187" s="18" t="s">
        <v>30</v>
      </c>
      <c r="J187" s="18" t="s">
        <v>31</v>
      </c>
      <c r="K187" s="18" t="s">
        <v>32</v>
      </c>
      <c r="L187" s="18" t="s">
        <v>33</v>
      </c>
      <c r="M187" s="18">
        <v>10</v>
      </c>
      <c r="N187" s="18">
        <v>2200</v>
      </c>
      <c r="O187" s="18">
        <v>5</v>
      </c>
      <c r="P187" s="18">
        <v>20900</v>
      </c>
      <c r="Q187" s="18">
        <v>2</v>
      </c>
      <c r="R187" s="18" t="s">
        <v>48</v>
      </c>
      <c r="S187" s="18" t="s">
        <v>49</v>
      </c>
      <c r="T187" s="18" t="s">
        <v>256</v>
      </c>
      <c r="U187" s="19" t="s">
        <v>959</v>
      </c>
      <c r="V187" s="18" t="s">
        <v>38</v>
      </c>
      <c r="W187" t="str">
        <f t="shared" si="8"/>
        <v>Blacklisted</v>
      </c>
      <c r="X187" s="27" t="str">
        <f t="shared" si="9"/>
        <v>Sneha Joshi</v>
      </c>
      <c r="Y187" s="29" t="str">
        <f t="shared" si="10"/>
        <v>Sne00IDHy</v>
      </c>
      <c r="Z187" s="30" t="str">
        <f t="shared" si="11"/>
        <v>sneha.joshi@company.com</v>
      </c>
    </row>
    <row r="188" spans="1:26">
      <c r="A188" s="15" t="s">
        <v>960</v>
      </c>
      <c r="B188" s="15" t="s">
        <v>127</v>
      </c>
      <c r="C188" s="15" t="s">
        <v>118</v>
      </c>
      <c r="D188" s="15" t="s">
        <v>692</v>
      </c>
      <c r="E188" s="15" t="s">
        <v>961</v>
      </c>
      <c r="F188" s="15" t="s">
        <v>200</v>
      </c>
      <c r="G188" s="15" t="s">
        <v>76</v>
      </c>
      <c r="H188" s="15" t="s">
        <v>962</v>
      </c>
      <c r="I188" s="15" t="s">
        <v>114</v>
      </c>
      <c r="J188" s="15" t="s">
        <v>106</v>
      </c>
      <c r="K188" s="15" t="s">
        <v>122</v>
      </c>
      <c r="L188" s="15" t="s">
        <v>123</v>
      </c>
      <c r="M188" s="15">
        <v>15</v>
      </c>
      <c r="N188" s="15">
        <v>60</v>
      </c>
      <c r="O188" s="15">
        <v>20</v>
      </c>
      <c r="P188" s="15">
        <v>720</v>
      </c>
      <c r="Q188" s="15">
        <v>1</v>
      </c>
      <c r="R188" s="15" t="s">
        <v>79</v>
      </c>
      <c r="S188" s="15" t="s">
        <v>35</v>
      </c>
      <c r="T188" s="15" t="s">
        <v>132</v>
      </c>
      <c r="U188" s="17" t="s">
        <v>963</v>
      </c>
      <c r="V188" s="15" t="s">
        <v>38</v>
      </c>
      <c r="W188" t="str">
        <f t="shared" si="8"/>
        <v>Blacklisted</v>
      </c>
      <c r="X188" s="27" t="str">
        <f t="shared" si="9"/>
        <v>Rohit Singh</v>
      </c>
      <c r="Y188" s="29" t="str">
        <f t="shared" si="10"/>
        <v>Roh00IDPu</v>
      </c>
      <c r="Z188" s="30" t="str">
        <f t="shared" si="11"/>
        <v>rohit.singh@company.com</v>
      </c>
    </row>
    <row r="189" spans="1:26">
      <c r="A189" s="18" t="s">
        <v>964</v>
      </c>
      <c r="B189" s="18" t="s">
        <v>221</v>
      </c>
      <c r="C189" s="18" t="s">
        <v>92</v>
      </c>
      <c r="D189" s="18" t="s">
        <v>231</v>
      </c>
      <c r="E189" s="18" t="s">
        <v>965</v>
      </c>
      <c r="F189" s="18" t="s">
        <v>225</v>
      </c>
      <c r="G189" s="18" t="s">
        <v>76</v>
      </c>
      <c r="H189" s="18" t="s">
        <v>966</v>
      </c>
      <c r="I189" s="18" t="s">
        <v>30</v>
      </c>
      <c r="J189" s="18" t="s">
        <v>31</v>
      </c>
      <c r="K189" s="18" t="s">
        <v>32</v>
      </c>
      <c r="L189" s="18" t="s">
        <v>97</v>
      </c>
      <c r="M189" s="18">
        <v>18</v>
      </c>
      <c r="N189" s="18">
        <v>3500</v>
      </c>
      <c r="O189" s="18">
        <v>5</v>
      </c>
      <c r="P189" s="18">
        <v>59850</v>
      </c>
      <c r="Q189" s="18">
        <v>1</v>
      </c>
      <c r="R189" s="18" t="s">
        <v>79</v>
      </c>
      <c r="S189" s="18" t="s">
        <v>49</v>
      </c>
      <c r="T189" s="18" t="s">
        <v>228</v>
      </c>
      <c r="U189" s="19" t="s">
        <v>967</v>
      </c>
      <c r="V189" s="18" t="s">
        <v>69</v>
      </c>
      <c r="W189" t="str">
        <f t="shared" si="8"/>
        <v>Blacklisted</v>
      </c>
      <c r="X189" s="27" t="str">
        <f t="shared" si="9"/>
        <v>Vikas Mehta</v>
      </c>
      <c r="Y189" s="29" t="str">
        <f t="shared" si="10"/>
        <v>Vik00IDHy</v>
      </c>
      <c r="Z189" s="30" t="str">
        <f t="shared" si="11"/>
        <v>vikas.mehta@company.com</v>
      </c>
    </row>
    <row r="190" spans="1:26">
      <c r="A190" s="15" t="s">
        <v>968</v>
      </c>
      <c r="B190" s="15" t="s">
        <v>327</v>
      </c>
      <c r="C190" s="15" t="s">
        <v>40</v>
      </c>
      <c r="D190" s="15" t="s">
        <v>969</v>
      </c>
      <c r="E190" s="15" t="s">
        <v>970</v>
      </c>
      <c r="F190" s="15" t="s">
        <v>394</v>
      </c>
      <c r="G190" s="15" t="s">
        <v>76</v>
      </c>
      <c r="H190" s="15" t="s">
        <v>971</v>
      </c>
      <c r="I190" s="15" t="s">
        <v>114</v>
      </c>
      <c r="J190" s="15" t="s">
        <v>106</v>
      </c>
      <c r="K190" s="15" t="s">
        <v>46</v>
      </c>
      <c r="L190" s="15" t="s">
        <v>47</v>
      </c>
      <c r="M190" s="15">
        <v>6</v>
      </c>
      <c r="N190" s="15">
        <v>12000</v>
      </c>
      <c r="O190" s="15">
        <v>5</v>
      </c>
      <c r="P190" s="15">
        <v>68400</v>
      </c>
      <c r="Q190" s="15">
        <v>1</v>
      </c>
      <c r="R190" s="15" t="s">
        <v>48</v>
      </c>
      <c r="S190" s="15" t="s">
        <v>49</v>
      </c>
      <c r="T190" s="15" t="s">
        <v>332</v>
      </c>
      <c r="U190" s="17" t="s">
        <v>972</v>
      </c>
      <c r="V190" s="15" t="s">
        <v>69</v>
      </c>
      <c r="W190" t="str">
        <f t="shared" si="8"/>
        <v>Blacklisted</v>
      </c>
      <c r="X190" s="27" t="str">
        <f t="shared" si="9"/>
        <v>Amit Sharma</v>
      </c>
      <c r="Y190" s="29" t="str">
        <f t="shared" si="10"/>
        <v>Ami00IDPu</v>
      </c>
      <c r="Z190" s="30" t="str">
        <f t="shared" si="11"/>
        <v>amit.sharma@company.com</v>
      </c>
    </row>
    <row r="191" spans="1:26">
      <c r="A191" s="18" t="s">
        <v>973</v>
      </c>
      <c r="B191" s="18" t="s">
        <v>327</v>
      </c>
      <c r="C191" s="18" t="s">
        <v>222</v>
      </c>
      <c r="D191" s="18" t="s">
        <v>323</v>
      </c>
      <c r="E191" s="18" t="s">
        <v>479</v>
      </c>
      <c r="F191" s="18" t="s">
        <v>394</v>
      </c>
      <c r="G191" s="18" t="s">
        <v>76</v>
      </c>
      <c r="H191" s="18" t="s">
        <v>974</v>
      </c>
      <c r="I191" s="18" t="s">
        <v>59</v>
      </c>
      <c r="J191" s="18" t="s">
        <v>31</v>
      </c>
      <c r="K191" s="18" t="s">
        <v>122</v>
      </c>
      <c r="L191" s="18" t="s">
        <v>227</v>
      </c>
      <c r="M191" s="18">
        <v>19</v>
      </c>
      <c r="N191" s="18">
        <v>20</v>
      </c>
      <c r="O191" s="18">
        <v>10</v>
      </c>
      <c r="P191" s="18">
        <v>342</v>
      </c>
      <c r="Q191" s="18">
        <v>2</v>
      </c>
      <c r="R191" s="18" t="s">
        <v>48</v>
      </c>
      <c r="S191" s="18" t="s">
        <v>35</v>
      </c>
      <c r="T191" s="18" t="s">
        <v>332</v>
      </c>
      <c r="U191" s="19" t="s">
        <v>975</v>
      </c>
      <c r="V191" s="18" t="s">
        <v>64</v>
      </c>
      <c r="W191" t="str">
        <f t="shared" si="8"/>
        <v>Blacklisted</v>
      </c>
      <c r="X191" s="27" t="str">
        <f t="shared" si="9"/>
        <v>Amit Sharma</v>
      </c>
      <c r="Y191" s="29" t="str">
        <f t="shared" si="10"/>
        <v>Ami00IDBe</v>
      </c>
      <c r="Z191" s="30" t="str">
        <f t="shared" si="11"/>
        <v>amit.sharma@company.com</v>
      </c>
    </row>
    <row r="192" spans="1:26">
      <c r="A192" s="15" t="s">
        <v>976</v>
      </c>
      <c r="B192" s="15" t="s">
        <v>221</v>
      </c>
      <c r="C192" s="15" t="s">
        <v>24</v>
      </c>
      <c r="D192" s="15" t="s">
        <v>426</v>
      </c>
      <c r="E192" s="15" t="s">
        <v>427</v>
      </c>
      <c r="F192" s="15" t="s">
        <v>225</v>
      </c>
      <c r="G192" s="15" t="s">
        <v>76</v>
      </c>
      <c r="H192" s="15" t="s">
        <v>977</v>
      </c>
      <c r="I192" s="15" t="s">
        <v>114</v>
      </c>
      <c r="J192" s="15" t="s">
        <v>106</v>
      </c>
      <c r="K192" s="15" t="s">
        <v>32</v>
      </c>
      <c r="L192" s="15" t="s">
        <v>33</v>
      </c>
      <c r="M192" s="15">
        <v>7</v>
      </c>
      <c r="N192" s="15">
        <v>2200</v>
      </c>
      <c r="O192" s="15">
        <v>0</v>
      </c>
      <c r="P192" s="15">
        <v>15400</v>
      </c>
      <c r="Q192" s="15">
        <v>1</v>
      </c>
      <c r="R192" s="15" t="s">
        <v>79</v>
      </c>
      <c r="S192" s="15" t="s">
        <v>115</v>
      </c>
      <c r="T192" s="15" t="s">
        <v>228</v>
      </c>
      <c r="U192" s="17" t="s">
        <v>978</v>
      </c>
      <c r="V192" s="15" t="s">
        <v>69</v>
      </c>
      <c r="W192" t="str">
        <f t="shared" si="8"/>
        <v>Blacklisted</v>
      </c>
      <c r="X192" s="27" t="str">
        <f t="shared" si="9"/>
        <v>Vikas Mehta</v>
      </c>
      <c r="Y192" s="29" t="str">
        <f t="shared" si="10"/>
        <v>Vik00IDPu</v>
      </c>
      <c r="Z192" s="30" t="str">
        <f t="shared" si="11"/>
        <v>vikas.mehta@company.com</v>
      </c>
    </row>
    <row r="193" spans="1:26">
      <c r="A193" s="18" t="s">
        <v>979</v>
      </c>
      <c r="B193" s="18" t="s">
        <v>327</v>
      </c>
      <c r="C193" s="18" t="s">
        <v>40</v>
      </c>
      <c r="D193" s="18" t="s">
        <v>503</v>
      </c>
      <c r="E193" s="18" t="s">
        <v>980</v>
      </c>
      <c r="F193" s="18" t="s">
        <v>394</v>
      </c>
      <c r="G193" s="18" t="s">
        <v>76</v>
      </c>
      <c r="H193" s="18" t="s">
        <v>981</v>
      </c>
      <c r="I193" s="18" t="s">
        <v>212</v>
      </c>
      <c r="J193" s="18" t="s">
        <v>45</v>
      </c>
      <c r="K193" s="18" t="s">
        <v>46</v>
      </c>
      <c r="L193" s="18" t="s">
        <v>47</v>
      </c>
      <c r="M193" s="18">
        <v>3</v>
      </c>
      <c r="N193" s="18">
        <v>12000</v>
      </c>
      <c r="O193" s="18">
        <v>5</v>
      </c>
      <c r="P193" s="18">
        <v>34200</v>
      </c>
      <c r="Q193" s="18">
        <v>3</v>
      </c>
      <c r="R193" s="18" t="s">
        <v>79</v>
      </c>
      <c r="S193" s="18" t="s">
        <v>61</v>
      </c>
      <c r="T193" s="18" t="s">
        <v>332</v>
      </c>
      <c r="U193" s="19" t="s">
        <v>982</v>
      </c>
      <c r="V193" s="18" t="s">
        <v>69</v>
      </c>
      <c r="W193" t="str">
        <f t="shared" si="8"/>
        <v>Blacklisted</v>
      </c>
      <c r="X193" s="27" t="str">
        <f t="shared" si="9"/>
        <v>Amit Sharma</v>
      </c>
      <c r="Y193" s="29" t="str">
        <f t="shared" si="10"/>
        <v>Ami00IDJa</v>
      </c>
      <c r="Z193" s="30" t="str">
        <f t="shared" si="11"/>
        <v>amit.sharma@company.com</v>
      </c>
    </row>
    <row r="194" spans="1:26">
      <c r="A194" s="15" t="s">
        <v>983</v>
      </c>
      <c r="B194" s="15" t="s">
        <v>168</v>
      </c>
      <c r="C194" s="15" t="s">
        <v>24</v>
      </c>
      <c r="D194" s="15" t="s">
        <v>341</v>
      </c>
      <c r="E194" s="15" t="s">
        <v>864</v>
      </c>
      <c r="F194" s="15" t="s">
        <v>361</v>
      </c>
      <c r="G194" s="15" t="s">
        <v>28</v>
      </c>
      <c r="H194" s="15" t="s">
        <v>984</v>
      </c>
      <c r="I194" s="15" t="s">
        <v>212</v>
      </c>
      <c r="J194" s="15" t="s">
        <v>45</v>
      </c>
      <c r="K194" s="15" t="s">
        <v>32</v>
      </c>
      <c r="L194" s="15" t="s">
        <v>33</v>
      </c>
      <c r="M194" s="15">
        <v>16</v>
      </c>
      <c r="N194" s="15">
        <v>2200</v>
      </c>
      <c r="O194" s="15">
        <v>0</v>
      </c>
      <c r="P194" s="15">
        <v>35200</v>
      </c>
      <c r="Q194" s="15">
        <v>5</v>
      </c>
      <c r="R194" s="15" t="s">
        <v>79</v>
      </c>
      <c r="S194" s="15" t="s">
        <v>35</v>
      </c>
      <c r="T194" s="15" t="s">
        <v>175</v>
      </c>
      <c r="U194" s="17" t="s">
        <v>985</v>
      </c>
      <c r="V194" s="15" t="s">
        <v>64</v>
      </c>
      <c r="W194" t="str">
        <f t="shared" si="8"/>
        <v>Blacklisted</v>
      </c>
      <c r="X194" s="27" t="str">
        <f t="shared" si="9"/>
        <v>Anita Gupta</v>
      </c>
      <c r="Y194" s="29" t="str">
        <f t="shared" si="10"/>
        <v>Ani00IDJa</v>
      </c>
      <c r="Z194" s="30" t="str">
        <f t="shared" si="11"/>
        <v>anita.gupta@company.com</v>
      </c>
    </row>
    <row r="195" spans="1:26">
      <c r="A195" s="18" t="s">
        <v>986</v>
      </c>
      <c r="B195" s="18" t="s">
        <v>251</v>
      </c>
      <c r="C195" s="18" t="s">
        <v>24</v>
      </c>
      <c r="D195" s="18" t="s">
        <v>987</v>
      </c>
      <c r="E195" s="18" t="s">
        <v>988</v>
      </c>
      <c r="F195" s="18" t="s">
        <v>254</v>
      </c>
      <c r="G195" s="18" t="s">
        <v>28</v>
      </c>
      <c r="H195" s="18" t="s">
        <v>989</v>
      </c>
      <c r="I195" s="18" t="s">
        <v>44</v>
      </c>
      <c r="J195" s="18" t="s">
        <v>45</v>
      </c>
      <c r="K195" s="18" t="s">
        <v>32</v>
      </c>
      <c r="L195" s="18" t="s">
        <v>33</v>
      </c>
      <c r="M195" s="18">
        <v>8</v>
      </c>
      <c r="N195" s="18">
        <v>2200</v>
      </c>
      <c r="O195" s="18">
        <v>5</v>
      </c>
      <c r="P195" s="18">
        <v>16720</v>
      </c>
      <c r="Q195" s="18">
        <v>2</v>
      </c>
      <c r="R195" s="18" t="s">
        <v>88</v>
      </c>
      <c r="S195" s="18" t="s">
        <v>151</v>
      </c>
      <c r="T195" s="18" t="s">
        <v>256</v>
      </c>
      <c r="U195" s="19" t="s">
        <v>990</v>
      </c>
      <c r="V195" s="18" t="s">
        <v>38</v>
      </c>
      <c r="W195" t="str">
        <f t="shared" ref="W195:W258" si="12">IF(OR(Q195&lt;=2,V195="Cancelled"),"Blacklisted",IF(AND(P195&gt;=100000,Q195&gt;=4,O195&lt;10,V195="Completed"),"Platinum",IF(AND(P195&gt;=50000,P195&lt;=99999,Q195&gt;=3,V195="Completed"),"Gold",IF(AND(P195&lt;50000,V195="Completed"),"Silver","Blacklisted"))))</f>
        <v>Blacklisted</v>
      </c>
      <c r="X195" s="27" t="str">
        <f t="shared" ref="X195:X258" si="13">PROPER(TRIM(F195))</f>
        <v>Sneha Joshi</v>
      </c>
      <c r="Y195" s="29" t="str">
        <f t="shared" ref="Y195:Y258" si="14">LEFT(X195,3)&amp;MID(B195,2,2)&amp;"ID"&amp;LEFT(I195,2)</f>
        <v>Sne00IDDe</v>
      </c>
      <c r="Z195" s="30" t="str">
        <f t="shared" ref="Z195:Z258" si="15">IF(ISNUMBER(SEARCH("@",T195)),LOWER(TRIM(T195)),"Invalid Email")</f>
        <v>sneha.joshi@company.com</v>
      </c>
    </row>
    <row r="196" spans="1:26">
      <c r="A196" s="15" t="s">
        <v>991</v>
      </c>
      <c r="B196" s="15" t="s">
        <v>251</v>
      </c>
      <c r="C196" s="15" t="s">
        <v>24</v>
      </c>
      <c r="D196" s="15" t="s">
        <v>610</v>
      </c>
      <c r="E196" s="15" t="s">
        <v>454</v>
      </c>
      <c r="F196" s="15" t="s">
        <v>254</v>
      </c>
      <c r="G196" s="15" t="s">
        <v>28</v>
      </c>
      <c r="H196" s="15" t="s">
        <v>992</v>
      </c>
      <c r="I196" s="15" t="s">
        <v>138</v>
      </c>
      <c r="J196" s="15" t="s">
        <v>106</v>
      </c>
      <c r="K196" s="15" t="s">
        <v>32</v>
      </c>
      <c r="L196" s="15" t="s">
        <v>33</v>
      </c>
      <c r="M196" s="15">
        <v>10</v>
      </c>
      <c r="N196" s="15">
        <v>2200</v>
      </c>
      <c r="O196" s="15">
        <v>10</v>
      </c>
      <c r="P196" s="15">
        <v>19800</v>
      </c>
      <c r="Q196" s="15">
        <v>5</v>
      </c>
      <c r="R196" s="15" t="s">
        <v>48</v>
      </c>
      <c r="S196" s="15" t="s">
        <v>115</v>
      </c>
      <c r="T196" s="15" t="s">
        <v>256</v>
      </c>
      <c r="U196" s="17" t="s">
        <v>993</v>
      </c>
      <c r="V196" s="15" t="s">
        <v>64</v>
      </c>
      <c r="W196" t="str">
        <f t="shared" si="12"/>
        <v>Blacklisted</v>
      </c>
      <c r="X196" s="27" t="str">
        <f t="shared" si="13"/>
        <v>Sneha Joshi</v>
      </c>
      <c r="Y196" s="29" t="str">
        <f t="shared" si="14"/>
        <v>Sne00IDAh</v>
      </c>
      <c r="Z196" s="30" t="str">
        <f t="shared" si="15"/>
        <v>sneha.joshi@company.com</v>
      </c>
    </row>
    <row r="197" spans="1:26">
      <c r="A197" s="18" t="s">
        <v>994</v>
      </c>
      <c r="B197" s="18" t="s">
        <v>83</v>
      </c>
      <c r="C197" s="18" t="s">
        <v>222</v>
      </c>
      <c r="D197" s="18" t="s">
        <v>336</v>
      </c>
      <c r="E197" s="18" t="s">
        <v>596</v>
      </c>
      <c r="F197" s="18" t="s">
        <v>180</v>
      </c>
      <c r="G197" s="18" t="s">
        <v>76</v>
      </c>
      <c r="H197" s="18" t="s">
        <v>995</v>
      </c>
      <c r="I197" s="18" t="s">
        <v>44</v>
      </c>
      <c r="J197" s="18" t="s">
        <v>45</v>
      </c>
      <c r="K197" s="18" t="s">
        <v>122</v>
      </c>
      <c r="L197" s="18" t="s">
        <v>227</v>
      </c>
      <c r="M197" s="18">
        <v>7</v>
      </c>
      <c r="N197" s="18">
        <v>20</v>
      </c>
      <c r="O197" s="18">
        <v>10</v>
      </c>
      <c r="P197" s="18">
        <v>126</v>
      </c>
      <c r="Q197" s="18">
        <v>4</v>
      </c>
      <c r="R197" s="18" t="s">
        <v>79</v>
      </c>
      <c r="S197" s="18" t="s">
        <v>61</v>
      </c>
      <c r="T197" s="18" t="s">
        <v>89</v>
      </c>
      <c r="U197" s="19" t="s">
        <v>996</v>
      </c>
      <c r="V197" s="18" t="s">
        <v>38</v>
      </c>
      <c r="W197" t="str">
        <f t="shared" si="12"/>
        <v>Silver</v>
      </c>
      <c r="X197" s="27" t="str">
        <f t="shared" si="13"/>
        <v>Arjun Rao</v>
      </c>
      <c r="Y197" s="29" t="str">
        <f t="shared" si="14"/>
        <v>Arj00IDDe</v>
      </c>
      <c r="Z197" s="30" t="str">
        <f t="shared" si="15"/>
        <v>arjun.rao@company.com</v>
      </c>
    </row>
    <row r="198" spans="1:26">
      <c r="A198" s="15" t="s">
        <v>997</v>
      </c>
      <c r="B198" s="15" t="s">
        <v>221</v>
      </c>
      <c r="C198" s="15" t="s">
        <v>169</v>
      </c>
      <c r="D198" s="15" t="s">
        <v>252</v>
      </c>
      <c r="E198" s="15" t="s">
        <v>998</v>
      </c>
      <c r="F198" s="15" t="s">
        <v>225</v>
      </c>
      <c r="G198" s="15" t="s">
        <v>76</v>
      </c>
      <c r="H198" s="15" t="s">
        <v>999</v>
      </c>
      <c r="I198" s="15" t="s">
        <v>30</v>
      </c>
      <c r="J198" s="15" t="s">
        <v>31</v>
      </c>
      <c r="K198" s="15" t="s">
        <v>32</v>
      </c>
      <c r="L198" s="15" t="s">
        <v>174</v>
      </c>
      <c r="M198" s="15">
        <v>19</v>
      </c>
      <c r="N198" s="15">
        <v>8500</v>
      </c>
      <c r="O198" s="15">
        <v>20</v>
      </c>
      <c r="P198" s="15">
        <v>129200</v>
      </c>
      <c r="Q198" s="15">
        <v>3</v>
      </c>
      <c r="R198" s="15" t="s">
        <v>48</v>
      </c>
      <c r="S198" s="15" t="s">
        <v>61</v>
      </c>
      <c r="T198" s="15" t="s">
        <v>228</v>
      </c>
      <c r="U198" s="17" t="s">
        <v>1000</v>
      </c>
      <c r="V198" s="15" t="s">
        <v>64</v>
      </c>
      <c r="W198" t="str">
        <f t="shared" si="12"/>
        <v>Blacklisted</v>
      </c>
      <c r="X198" s="27" t="str">
        <f t="shared" si="13"/>
        <v>Vikas Mehta</v>
      </c>
      <c r="Y198" s="29" t="str">
        <f t="shared" si="14"/>
        <v>Vik00IDHy</v>
      </c>
      <c r="Z198" s="30" t="str">
        <f t="shared" si="15"/>
        <v>vikas.mehta@company.com</v>
      </c>
    </row>
    <row r="199" spans="1:26">
      <c r="A199" s="18" t="s">
        <v>1001</v>
      </c>
      <c r="B199" s="18" t="s">
        <v>100</v>
      </c>
      <c r="C199" s="18" t="s">
        <v>118</v>
      </c>
      <c r="D199" s="18" t="s">
        <v>431</v>
      </c>
      <c r="E199" s="18" t="s">
        <v>414</v>
      </c>
      <c r="F199" s="18" t="s">
        <v>103</v>
      </c>
      <c r="G199" s="18" t="s">
        <v>28</v>
      </c>
      <c r="H199" s="18" t="s">
        <v>1002</v>
      </c>
      <c r="I199" s="18" t="s">
        <v>114</v>
      </c>
      <c r="J199" s="18" t="s">
        <v>106</v>
      </c>
      <c r="K199" s="18" t="s">
        <v>122</v>
      </c>
      <c r="L199" s="18" t="s">
        <v>123</v>
      </c>
      <c r="M199" s="18">
        <v>16</v>
      </c>
      <c r="N199" s="18">
        <v>60</v>
      </c>
      <c r="O199" s="18">
        <v>0</v>
      </c>
      <c r="P199" s="18">
        <v>960</v>
      </c>
      <c r="Q199" s="18">
        <v>2</v>
      </c>
      <c r="R199" s="18" t="s">
        <v>48</v>
      </c>
      <c r="S199" s="18" t="s">
        <v>115</v>
      </c>
      <c r="T199" s="18" t="s">
        <v>144</v>
      </c>
      <c r="U199" s="19" t="s">
        <v>1003</v>
      </c>
      <c r="V199" s="18" t="s">
        <v>38</v>
      </c>
      <c r="W199" t="str">
        <f t="shared" si="12"/>
        <v>Blacklisted</v>
      </c>
      <c r="X199" s="27" t="str">
        <f t="shared" si="13"/>
        <v>Priya Patel</v>
      </c>
      <c r="Y199" s="29" t="str">
        <f t="shared" si="14"/>
        <v>Pri00IDPu</v>
      </c>
      <c r="Z199" s="30" t="str">
        <f t="shared" si="15"/>
        <v>priya.patel@company.com</v>
      </c>
    </row>
    <row r="200" spans="1:26">
      <c r="A200" s="15" t="s">
        <v>1004</v>
      </c>
      <c r="B200" s="15" t="s">
        <v>221</v>
      </c>
      <c r="C200" s="15" t="s">
        <v>92</v>
      </c>
      <c r="D200" s="15" t="s">
        <v>1005</v>
      </c>
      <c r="E200" s="15" t="s">
        <v>731</v>
      </c>
      <c r="F200" s="15" t="s">
        <v>225</v>
      </c>
      <c r="G200" s="15" t="s">
        <v>76</v>
      </c>
      <c r="H200" s="15" t="s">
        <v>1006</v>
      </c>
      <c r="I200" s="15" t="s">
        <v>59</v>
      </c>
      <c r="J200" s="15" t="s">
        <v>31</v>
      </c>
      <c r="K200" s="15" t="s">
        <v>1007</v>
      </c>
      <c r="L200" s="15" t="s">
        <v>97</v>
      </c>
      <c r="M200" s="15">
        <v>18</v>
      </c>
      <c r="N200" s="15">
        <v>3500</v>
      </c>
      <c r="O200" s="15">
        <v>5</v>
      </c>
      <c r="P200" s="15">
        <v>59850</v>
      </c>
      <c r="Q200" s="15">
        <v>1</v>
      </c>
      <c r="R200" s="15" t="s">
        <v>88</v>
      </c>
      <c r="S200" s="15" t="s">
        <v>115</v>
      </c>
      <c r="T200" s="15" t="s">
        <v>228</v>
      </c>
      <c r="U200" s="17" t="s">
        <v>1008</v>
      </c>
      <c r="V200" s="15" t="s">
        <v>64</v>
      </c>
      <c r="W200" t="str">
        <f t="shared" si="12"/>
        <v>Blacklisted</v>
      </c>
      <c r="X200" s="27" t="str">
        <f t="shared" si="13"/>
        <v>Vikas Mehta</v>
      </c>
      <c r="Y200" s="29" t="str">
        <f t="shared" si="14"/>
        <v>Vik00IDBe</v>
      </c>
      <c r="Z200" s="30" t="str">
        <f t="shared" si="15"/>
        <v>vikas.mehta@company.com</v>
      </c>
    </row>
    <row r="201" spans="1:26">
      <c r="A201" s="18" t="s">
        <v>1009</v>
      </c>
      <c r="B201" s="18" t="s">
        <v>100</v>
      </c>
      <c r="C201" s="18" t="s">
        <v>54</v>
      </c>
      <c r="D201" s="18" t="s">
        <v>1010</v>
      </c>
      <c r="E201" s="18" t="s">
        <v>431</v>
      </c>
      <c r="F201" s="18" t="s">
        <v>103</v>
      </c>
      <c r="G201" s="18" t="s">
        <v>28</v>
      </c>
      <c r="H201" s="18" t="s">
        <v>1011</v>
      </c>
      <c r="I201" s="18" t="s">
        <v>212</v>
      </c>
      <c r="J201" s="18" t="s">
        <v>45</v>
      </c>
      <c r="K201" s="18" t="s">
        <v>46</v>
      </c>
      <c r="L201" s="18" t="s">
        <v>60</v>
      </c>
      <c r="M201" s="18">
        <v>16</v>
      </c>
      <c r="N201" s="18">
        <v>55000</v>
      </c>
      <c r="O201" s="18">
        <v>0</v>
      </c>
      <c r="P201" s="18">
        <v>880000</v>
      </c>
      <c r="Q201" s="18">
        <v>1</v>
      </c>
      <c r="R201" s="18" t="s">
        <v>79</v>
      </c>
      <c r="S201" s="18" t="s">
        <v>61</v>
      </c>
      <c r="T201" s="18" t="s">
        <v>144</v>
      </c>
      <c r="U201" s="19" t="s">
        <v>1012</v>
      </c>
      <c r="V201" s="18" t="s">
        <v>69</v>
      </c>
      <c r="W201" t="str">
        <f t="shared" si="12"/>
        <v>Blacklisted</v>
      </c>
      <c r="X201" s="27" t="str">
        <f t="shared" si="13"/>
        <v>Priya Patel</v>
      </c>
      <c r="Y201" s="29" t="str">
        <f t="shared" si="14"/>
        <v>Pri00IDJa</v>
      </c>
      <c r="Z201" s="30" t="str">
        <f t="shared" si="15"/>
        <v>priya.patel@company.com</v>
      </c>
    </row>
    <row r="202" spans="1:26">
      <c r="A202" s="15" t="s">
        <v>1013</v>
      </c>
      <c r="B202" s="15" t="s">
        <v>221</v>
      </c>
      <c r="C202" s="15" t="s">
        <v>72</v>
      </c>
      <c r="D202" s="15" t="s">
        <v>900</v>
      </c>
      <c r="E202" s="15" t="s">
        <v>435</v>
      </c>
      <c r="F202" s="15" t="s">
        <v>225</v>
      </c>
      <c r="G202" s="15" t="s">
        <v>76</v>
      </c>
      <c r="H202" s="15" t="s">
        <v>1014</v>
      </c>
      <c r="I202" s="15" t="s">
        <v>138</v>
      </c>
      <c r="J202" s="15" t="s">
        <v>106</v>
      </c>
      <c r="K202" s="15" t="s">
        <v>46</v>
      </c>
      <c r="L202" s="15" t="s">
        <v>78</v>
      </c>
      <c r="M202" s="15">
        <v>18</v>
      </c>
      <c r="N202" s="15">
        <v>1200</v>
      </c>
      <c r="O202" s="15">
        <v>15</v>
      </c>
      <c r="P202" s="15">
        <v>18360</v>
      </c>
      <c r="Q202" s="15">
        <v>2</v>
      </c>
      <c r="R202" s="15" t="s">
        <v>48</v>
      </c>
      <c r="S202" s="15" t="s">
        <v>35</v>
      </c>
      <c r="T202" s="15" t="s">
        <v>228</v>
      </c>
      <c r="U202" s="17" t="s">
        <v>1015</v>
      </c>
      <c r="V202" s="15" t="s">
        <v>69</v>
      </c>
      <c r="W202" t="str">
        <f t="shared" si="12"/>
        <v>Blacklisted</v>
      </c>
      <c r="X202" s="27" t="str">
        <f t="shared" si="13"/>
        <v>Vikas Mehta</v>
      </c>
      <c r="Y202" s="29" t="str">
        <f t="shared" si="14"/>
        <v>Vik00IDAh</v>
      </c>
      <c r="Z202" s="30" t="str">
        <f t="shared" si="15"/>
        <v>vikas.mehta@company.com</v>
      </c>
    </row>
    <row r="203" spans="1:26">
      <c r="A203" s="18" t="s">
        <v>1016</v>
      </c>
      <c r="B203" s="18" t="s">
        <v>71</v>
      </c>
      <c r="C203" s="18" t="s">
        <v>259</v>
      </c>
      <c r="D203" s="18" t="s">
        <v>1017</v>
      </c>
      <c r="E203" s="18" t="s">
        <v>1018</v>
      </c>
      <c r="F203" s="18" t="s">
        <v>217</v>
      </c>
      <c r="G203" s="18" t="s">
        <v>76</v>
      </c>
      <c r="H203" s="18" t="s">
        <v>1019</v>
      </c>
      <c r="I203" s="18" t="s">
        <v>30</v>
      </c>
      <c r="J203" s="18" t="s">
        <v>31</v>
      </c>
      <c r="K203" s="18" t="s">
        <v>122</v>
      </c>
      <c r="L203" s="18" t="s">
        <v>263</v>
      </c>
      <c r="M203" s="18">
        <v>2</v>
      </c>
      <c r="N203" s="18">
        <v>45</v>
      </c>
      <c r="O203" s="18">
        <v>15</v>
      </c>
      <c r="P203" s="18">
        <v>76.5</v>
      </c>
      <c r="Q203" s="18">
        <v>5</v>
      </c>
      <c r="R203" s="18" t="s">
        <v>34</v>
      </c>
      <c r="S203" s="18" t="s">
        <v>61</v>
      </c>
      <c r="T203" s="18" t="s">
        <v>80</v>
      </c>
      <c r="U203" s="19" t="s">
        <v>1020</v>
      </c>
      <c r="V203" s="18" t="s">
        <v>69</v>
      </c>
      <c r="W203" t="str">
        <f t="shared" si="12"/>
        <v>Blacklisted</v>
      </c>
      <c r="X203" s="27" t="str">
        <f t="shared" si="13"/>
        <v>Mohit Verma</v>
      </c>
      <c r="Y203" s="29" t="str">
        <f t="shared" si="14"/>
        <v>Moh00IDHy</v>
      </c>
      <c r="Z203" s="30" t="str">
        <f t="shared" si="15"/>
        <v>mohit.verma@company.com</v>
      </c>
    </row>
    <row r="204" spans="1:26">
      <c r="A204" s="15" t="s">
        <v>1021</v>
      </c>
      <c r="B204" s="15" t="s">
        <v>53</v>
      </c>
      <c r="C204" s="15" t="s">
        <v>169</v>
      </c>
      <c r="D204" s="15" t="s">
        <v>712</v>
      </c>
      <c r="E204" s="15" t="s">
        <v>85</v>
      </c>
      <c r="F204" s="15" t="s">
        <v>163</v>
      </c>
      <c r="G204" s="15" t="s">
        <v>28</v>
      </c>
      <c r="H204" s="15" t="s">
        <v>1022</v>
      </c>
      <c r="I204" s="15" t="s">
        <v>59</v>
      </c>
      <c r="J204" s="15" t="s">
        <v>31</v>
      </c>
      <c r="K204" s="15" t="s">
        <v>32</v>
      </c>
      <c r="L204" s="15" t="s">
        <v>174</v>
      </c>
      <c r="M204" s="15">
        <v>20</v>
      </c>
      <c r="N204" s="15">
        <v>8500</v>
      </c>
      <c r="O204" s="15">
        <v>0</v>
      </c>
      <c r="P204" s="15">
        <v>170000</v>
      </c>
      <c r="Q204" s="15">
        <v>4</v>
      </c>
      <c r="R204" s="15" t="s">
        <v>48</v>
      </c>
      <c r="S204" s="15" t="s">
        <v>61</v>
      </c>
      <c r="T204" s="15" t="s">
        <v>62</v>
      </c>
      <c r="U204" s="17" t="s">
        <v>1023</v>
      </c>
      <c r="V204" s="15" t="s">
        <v>69</v>
      </c>
      <c r="W204" t="str">
        <f t="shared" si="12"/>
        <v>Blacklisted</v>
      </c>
      <c r="X204" s="27" t="str">
        <f t="shared" si="13"/>
        <v>Pooja Shah</v>
      </c>
      <c r="Y204" s="29" t="str">
        <f t="shared" si="14"/>
        <v>Poo01IDBe</v>
      </c>
      <c r="Z204" s="30" t="str">
        <f t="shared" si="15"/>
        <v>pooja.shah@company.com</v>
      </c>
    </row>
    <row r="205" spans="1:26">
      <c r="A205" s="18" t="s">
        <v>1024</v>
      </c>
      <c r="B205" s="18" t="s">
        <v>127</v>
      </c>
      <c r="C205" s="18" t="s">
        <v>92</v>
      </c>
      <c r="D205" s="18" t="s">
        <v>298</v>
      </c>
      <c r="E205" s="18" t="s">
        <v>1025</v>
      </c>
      <c r="F205" s="18" t="s">
        <v>200</v>
      </c>
      <c r="G205" s="18" t="s">
        <v>76</v>
      </c>
      <c r="H205" s="18" t="s">
        <v>494</v>
      </c>
      <c r="I205" s="18" t="s">
        <v>212</v>
      </c>
      <c r="J205" s="18" t="s">
        <v>45</v>
      </c>
      <c r="K205" s="18" t="s">
        <v>32</v>
      </c>
      <c r="L205" s="18" t="s">
        <v>97</v>
      </c>
      <c r="M205" s="18">
        <v>6</v>
      </c>
      <c r="N205" s="18">
        <v>3500</v>
      </c>
      <c r="O205" s="18">
        <v>5</v>
      </c>
      <c r="P205" s="18">
        <v>19950</v>
      </c>
      <c r="Q205" s="18">
        <v>1</v>
      </c>
      <c r="R205" s="18" t="s">
        <v>34</v>
      </c>
      <c r="S205" s="18" t="s">
        <v>151</v>
      </c>
      <c r="T205" s="18" t="s">
        <v>132</v>
      </c>
      <c r="U205" s="19" t="s">
        <v>1026</v>
      </c>
      <c r="V205" s="18" t="s">
        <v>38</v>
      </c>
      <c r="W205" t="str">
        <f t="shared" si="12"/>
        <v>Blacklisted</v>
      </c>
      <c r="X205" s="27" t="str">
        <f t="shared" si="13"/>
        <v>Rohit Singh</v>
      </c>
      <c r="Y205" s="29" t="str">
        <f t="shared" si="14"/>
        <v>Roh00IDJa</v>
      </c>
      <c r="Z205" s="30" t="str">
        <f t="shared" si="15"/>
        <v>rohit.singh@company.com</v>
      </c>
    </row>
    <row r="206" spans="1:26">
      <c r="A206" s="15" t="s">
        <v>1027</v>
      </c>
      <c r="B206" s="15" t="s">
        <v>168</v>
      </c>
      <c r="C206" s="15" t="s">
        <v>259</v>
      </c>
      <c r="D206" s="15" t="s">
        <v>308</v>
      </c>
      <c r="E206" s="15" t="s">
        <v>281</v>
      </c>
      <c r="F206" s="15" t="s">
        <v>361</v>
      </c>
      <c r="G206" s="15" t="s">
        <v>28</v>
      </c>
      <c r="H206" s="15" t="s">
        <v>1028</v>
      </c>
      <c r="I206" s="15" t="s">
        <v>114</v>
      </c>
      <c r="J206" s="15" t="s">
        <v>106</v>
      </c>
      <c r="K206" s="15" t="s">
        <v>122</v>
      </c>
      <c r="L206" s="15" t="s">
        <v>263</v>
      </c>
      <c r="M206" s="15">
        <v>8</v>
      </c>
      <c r="N206" s="15">
        <v>45</v>
      </c>
      <c r="O206" s="15">
        <v>5</v>
      </c>
      <c r="P206" s="15">
        <v>342</v>
      </c>
      <c r="Q206" s="15">
        <v>2</v>
      </c>
      <c r="R206" s="15" t="s">
        <v>34</v>
      </c>
      <c r="S206" s="15" t="s">
        <v>49</v>
      </c>
      <c r="T206" s="15" t="s">
        <v>175</v>
      </c>
      <c r="U206" s="17" t="s">
        <v>1029</v>
      </c>
      <c r="V206" s="15" t="s">
        <v>64</v>
      </c>
      <c r="W206" t="str">
        <f t="shared" si="12"/>
        <v>Blacklisted</v>
      </c>
      <c r="X206" s="27" t="str">
        <f t="shared" si="13"/>
        <v>Anita Gupta</v>
      </c>
      <c r="Y206" s="29" t="str">
        <f t="shared" si="14"/>
        <v>Ani00IDPu</v>
      </c>
      <c r="Z206" s="30" t="str">
        <f t="shared" si="15"/>
        <v>anita.gupta@company.com</v>
      </c>
    </row>
    <row r="207" spans="1:26">
      <c r="A207" s="18" t="s">
        <v>1030</v>
      </c>
      <c r="B207" s="18" t="s">
        <v>327</v>
      </c>
      <c r="C207" s="18" t="s">
        <v>24</v>
      </c>
      <c r="D207" s="18" t="s">
        <v>414</v>
      </c>
      <c r="E207" s="18" t="s">
        <v>1031</v>
      </c>
      <c r="F207" s="18" t="s">
        <v>394</v>
      </c>
      <c r="G207" s="18" t="s">
        <v>76</v>
      </c>
      <c r="H207" s="18" t="s">
        <v>1032</v>
      </c>
      <c r="I207" s="18" t="s">
        <v>105</v>
      </c>
      <c r="J207" s="18" t="s">
        <v>106</v>
      </c>
      <c r="K207" s="18" t="s">
        <v>32</v>
      </c>
      <c r="L207" s="18" t="s">
        <v>33</v>
      </c>
      <c r="M207" s="18">
        <v>18</v>
      </c>
      <c r="N207" s="18">
        <v>2200</v>
      </c>
      <c r="O207" s="18">
        <v>15</v>
      </c>
      <c r="P207" s="18">
        <v>33660</v>
      </c>
      <c r="Q207" s="18">
        <v>4</v>
      </c>
      <c r="R207" s="18" t="s">
        <v>79</v>
      </c>
      <c r="S207" s="18" t="s">
        <v>61</v>
      </c>
      <c r="T207" s="18" t="s">
        <v>332</v>
      </c>
      <c r="U207" s="19" t="s">
        <v>1033</v>
      </c>
      <c r="V207" s="18" t="s">
        <v>64</v>
      </c>
      <c r="W207" t="str">
        <f t="shared" si="12"/>
        <v>Blacklisted</v>
      </c>
      <c r="X207" s="27" t="str">
        <f t="shared" si="13"/>
        <v>Amit Sharma</v>
      </c>
      <c r="Y207" s="29" t="str">
        <f t="shared" si="14"/>
        <v>Ami00IDMu</v>
      </c>
      <c r="Z207" s="30" t="str">
        <f t="shared" si="15"/>
        <v>amit.sharma@company.com</v>
      </c>
    </row>
    <row r="208" spans="1:26">
      <c r="A208" s="15" t="s">
        <v>1034</v>
      </c>
      <c r="B208" s="15" t="s">
        <v>221</v>
      </c>
      <c r="C208" s="15" t="s">
        <v>184</v>
      </c>
      <c r="D208" s="15" t="s">
        <v>1035</v>
      </c>
      <c r="E208" s="15" t="s">
        <v>1005</v>
      </c>
      <c r="F208" s="15" t="s">
        <v>225</v>
      </c>
      <c r="G208" s="15" t="s">
        <v>76</v>
      </c>
      <c r="H208" s="15" t="s">
        <v>1036</v>
      </c>
      <c r="I208" s="15" t="s">
        <v>30</v>
      </c>
      <c r="J208" s="15" t="s">
        <v>31</v>
      </c>
      <c r="K208" s="15" t="s">
        <v>46</v>
      </c>
      <c r="L208" s="15" t="s">
        <v>189</v>
      </c>
      <c r="M208" s="15">
        <v>18</v>
      </c>
      <c r="N208" s="15">
        <v>700</v>
      </c>
      <c r="O208" s="15">
        <v>15</v>
      </c>
      <c r="P208" s="15">
        <v>10710</v>
      </c>
      <c r="Q208" s="15">
        <v>3</v>
      </c>
      <c r="R208" s="15" t="s">
        <v>79</v>
      </c>
      <c r="S208" s="15" t="s">
        <v>151</v>
      </c>
      <c r="T208" s="15" t="s">
        <v>228</v>
      </c>
      <c r="U208" s="17" t="s">
        <v>1037</v>
      </c>
      <c r="V208" s="15" t="s">
        <v>69</v>
      </c>
      <c r="W208" t="str">
        <f t="shared" si="12"/>
        <v>Blacklisted</v>
      </c>
      <c r="X208" s="27" t="str">
        <f t="shared" si="13"/>
        <v>Vikas Mehta</v>
      </c>
      <c r="Y208" s="29" t="str">
        <f t="shared" si="14"/>
        <v>Vik00IDHy</v>
      </c>
      <c r="Z208" s="30" t="str">
        <f t="shared" si="15"/>
        <v>vikas.mehta@company.com</v>
      </c>
    </row>
    <row r="209" spans="1:26">
      <c r="A209" s="18" t="s">
        <v>1038</v>
      </c>
      <c r="B209" s="18" t="s">
        <v>327</v>
      </c>
      <c r="C209" s="18" t="s">
        <v>54</v>
      </c>
      <c r="D209" s="18" t="s">
        <v>1039</v>
      </c>
      <c r="E209" s="18" t="s">
        <v>1040</v>
      </c>
      <c r="F209" s="18" t="s">
        <v>394</v>
      </c>
      <c r="G209" s="18" t="s">
        <v>76</v>
      </c>
      <c r="H209" s="18" t="s">
        <v>1041</v>
      </c>
      <c r="I209" s="18" t="s">
        <v>114</v>
      </c>
      <c r="J209" s="18" t="s">
        <v>106</v>
      </c>
      <c r="K209" s="18" t="s">
        <v>46</v>
      </c>
      <c r="L209" s="18" t="s">
        <v>60</v>
      </c>
      <c r="M209" s="18">
        <v>12</v>
      </c>
      <c r="N209" s="18">
        <v>55000</v>
      </c>
      <c r="O209" s="18">
        <v>0</v>
      </c>
      <c r="P209" s="18">
        <v>660000</v>
      </c>
      <c r="Q209" s="18">
        <v>2</v>
      </c>
      <c r="R209" s="18" t="s">
        <v>88</v>
      </c>
      <c r="S209" s="18" t="s">
        <v>49</v>
      </c>
      <c r="T209" s="18" t="s">
        <v>332</v>
      </c>
      <c r="U209" s="19" t="s">
        <v>1042</v>
      </c>
      <c r="V209" s="18" t="s">
        <v>69</v>
      </c>
      <c r="W209" t="str">
        <f t="shared" si="12"/>
        <v>Blacklisted</v>
      </c>
      <c r="X209" s="27" t="str">
        <f t="shared" si="13"/>
        <v>Amit Sharma</v>
      </c>
      <c r="Y209" s="29" t="str">
        <f t="shared" si="14"/>
        <v>Ami00IDPu</v>
      </c>
      <c r="Z209" s="30" t="str">
        <f t="shared" si="15"/>
        <v>amit.sharma@company.com</v>
      </c>
    </row>
    <row r="210" spans="1:26">
      <c r="A210" s="15" t="s">
        <v>1043</v>
      </c>
      <c r="B210" s="15" t="s">
        <v>23</v>
      </c>
      <c r="C210" s="15" t="s">
        <v>40</v>
      </c>
      <c r="D210" s="15" t="s">
        <v>502</v>
      </c>
      <c r="E210" s="15" t="s">
        <v>1044</v>
      </c>
      <c r="F210" s="15" t="s">
        <v>27</v>
      </c>
      <c r="G210" s="15" t="s">
        <v>28</v>
      </c>
      <c r="H210" s="15" t="s">
        <v>1045</v>
      </c>
      <c r="I210" s="15" t="s">
        <v>105</v>
      </c>
      <c r="J210" s="15" t="s">
        <v>106</v>
      </c>
      <c r="K210" s="15" t="s">
        <v>46</v>
      </c>
      <c r="L210" s="15" t="s">
        <v>47</v>
      </c>
      <c r="M210" s="15">
        <v>7</v>
      </c>
      <c r="N210" s="15">
        <v>12000</v>
      </c>
      <c r="O210" s="15">
        <v>5</v>
      </c>
      <c r="P210" s="15">
        <v>79800</v>
      </c>
      <c r="Q210" s="15">
        <v>3</v>
      </c>
      <c r="R210" s="15" t="s">
        <v>79</v>
      </c>
      <c r="S210" s="15" t="s">
        <v>151</v>
      </c>
      <c r="T210" s="15" t="s">
        <v>50</v>
      </c>
      <c r="U210" s="17" t="s">
        <v>1046</v>
      </c>
      <c r="V210" s="15" t="s">
        <v>64</v>
      </c>
      <c r="W210" t="str">
        <f t="shared" si="12"/>
        <v>Blacklisted</v>
      </c>
      <c r="X210" s="27" t="str">
        <f t="shared" si="13"/>
        <v>Kavya Nair</v>
      </c>
      <c r="Y210" s="29" t="str">
        <f t="shared" si="14"/>
        <v>Kav00IDMu</v>
      </c>
      <c r="Z210" s="30" t="str">
        <f t="shared" si="15"/>
        <v>kavya.nair@company.com</v>
      </c>
    </row>
    <row r="211" spans="1:26">
      <c r="A211" s="18" t="s">
        <v>1047</v>
      </c>
      <c r="B211" s="18" t="s">
        <v>251</v>
      </c>
      <c r="C211" s="18" t="s">
        <v>40</v>
      </c>
      <c r="D211" s="18" t="s">
        <v>1048</v>
      </c>
      <c r="E211" s="18" t="s">
        <v>129</v>
      </c>
      <c r="F211" s="18" t="s">
        <v>254</v>
      </c>
      <c r="G211" s="18" t="s">
        <v>28</v>
      </c>
      <c r="H211" s="18" t="s">
        <v>1049</v>
      </c>
      <c r="I211" s="18" t="s">
        <v>105</v>
      </c>
      <c r="J211" s="18" t="s">
        <v>106</v>
      </c>
      <c r="K211" s="18" t="s">
        <v>46</v>
      </c>
      <c r="L211" s="18" t="s">
        <v>47</v>
      </c>
      <c r="M211" s="18">
        <v>8</v>
      </c>
      <c r="N211" s="18">
        <v>12000</v>
      </c>
      <c r="O211" s="18">
        <v>15</v>
      </c>
      <c r="P211" s="18">
        <v>81600</v>
      </c>
      <c r="Q211" s="18">
        <v>4</v>
      </c>
      <c r="R211" s="18" t="s">
        <v>79</v>
      </c>
      <c r="S211" s="18" t="s">
        <v>49</v>
      </c>
      <c r="T211" s="18" t="s">
        <v>256</v>
      </c>
      <c r="U211" s="19" t="s">
        <v>1050</v>
      </c>
      <c r="V211" s="18" t="s">
        <v>38</v>
      </c>
      <c r="W211" t="str">
        <f t="shared" si="12"/>
        <v>Gold</v>
      </c>
      <c r="X211" s="27" t="str">
        <f t="shared" si="13"/>
        <v>Sneha Joshi</v>
      </c>
      <c r="Y211" s="29" t="str">
        <f t="shared" si="14"/>
        <v>Sne00IDMu</v>
      </c>
      <c r="Z211" s="30" t="str">
        <f t="shared" si="15"/>
        <v>sneha.joshi@company.com</v>
      </c>
    </row>
    <row r="212" spans="1:26">
      <c r="A212" s="15" t="s">
        <v>1051</v>
      </c>
      <c r="B212" s="15" t="s">
        <v>327</v>
      </c>
      <c r="C212" s="15" t="s">
        <v>92</v>
      </c>
      <c r="D212" s="15" t="s">
        <v>788</v>
      </c>
      <c r="E212" s="15" t="s">
        <v>1052</v>
      </c>
      <c r="F212" s="15" t="s">
        <v>394</v>
      </c>
      <c r="G212" s="15" t="s">
        <v>76</v>
      </c>
      <c r="H212" s="15" t="s">
        <v>1053</v>
      </c>
      <c r="I212" s="15" t="s">
        <v>105</v>
      </c>
      <c r="J212" s="15" t="s">
        <v>106</v>
      </c>
      <c r="K212" s="15" t="s">
        <v>32</v>
      </c>
      <c r="L212" s="15" t="s">
        <v>97</v>
      </c>
      <c r="M212" s="15">
        <v>19</v>
      </c>
      <c r="N212" s="15">
        <v>3500</v>
      </c>
      <c r="O212" s="15">
        <v>5</v>
      </c>
      <c r="P212" s="15">
        <v>63175</v>
      </c>
      <c r="Q212" s="15">
        <v>3</v>
      </c>
      <c r="R212" s="15" t="s">
        <v>79</v>
      </c>
      <c r="S212" s="15" t="s">
        <v>61</v>
      </c>
      <c r="T212" s="15" t="s">
        <v>332</v>
      </c>
      <c r="U212" s="17" t="s">
        <v>1054</v>
      </c>
      <c r="V212" s="15" t="s">
        <v>64</v>
      </c>
      <c r="W212" t="str">
        <f t="shared" si="12"/>
        <v>Blacklisted</v>
      </c>
      <c r="X212" s="27" t="str">
        <f t="shared" si="13"/>
        <v>Amit Sharma</v>
      </c>
      <c r="Y212" s="29" t="str">
        <f t="shared" si="14"/>
        <v>Ami00IDMu</v>
      </c>
      <c r="Z212" s="30" t="str">
        <f t="shared" si="15"/>
        <v>amit.sharma@company.com</v>
      </c>
    </row>
    <row r="213" spans="1:26">
      <c r="A213" s="18" t="s">
        <v>1055</v>
      </c>
      <c r="B213" s="18" t="s">
        <v>251</v>
      </c>
      <c r="C213" s="18" t="s">
        <v>259</v>
      </c>
      <c r="D213" s="18" t="s">
        <v>900</v>
      </c>
      <c r="E213" s="18" t="s">
        <v>987</v>
      </c>
      <c r="F213" s="18" t="s">
        <v>254</v>
      </c>
      <c r="G213" s="18" t="s">
        <v>28</v>
      </c>
      <c r="H213" s="18" t="s">
        <v>1056</v>
      </c>
      <c r="I213" s="18" t="s">
        <v>138</v>
      </c>
      <c r="J213" s="18" t="s">
        <v>106</v>
      </c>
      <c r="K213" s="18" t="s">
        <v>122</v>
      </c>
      <c r="L213" s="18" t="s">
        <v>263</v>
      </c>
      <c r="M213" s="18">
        <v>7</v>
      </c>
      <c r="N213" s="18">
        <v>45</v>
      </c>
      <c r="O213" s="18">
        <v>5</v>
      </c>
      <c r="P213" s="18">
        <v>299.25</v>
      </c>
      <c r="Q213" s="18">
        <v>3</v>
      </c>
      <c r="R213" s="18" t="s">
        <v>79</v>
      </c>
      <c r="S213" s="18" t="s">
        <v>35</v>
      </c>
      <c r="T213" s="18" t="s">
        <v>256</v>
      </c>
      <c r="U213" s="19" t="s">
        <v>1057</v>
      </c>
      <c r="V213" s="18" t="s">
        <v>69</v>
      </c>
      <c r="W213" t="str">
        <f t="shared" si="12"/>
        <v>Blacklisted</v>
      </c>
      <c r="X213" s="27" t="str">
        <f t="shared" si="13"/>
        <v>Sneha Joshi</v>
      </c>
      <c r="Y213" s="29" t="str">
        <f t="shared" si="14"/>
        <v>Sne00IDAh</v>
      </c>
      <c r="Z213" s="30" t="str">
        <f t="shared" si="15"/>
        <v>sneha.joshi@company.com</v>
      </c>
    </row>
    <row r="214" spans="1:26">
      <c r="A214" s="15" t="s">
        <v>1058</v>
      </c>
      <c r="B214" s="15" t="s">
        <v>23</v>
      </c>
      <c r="C214" s="15" t="s">
        <v>118</v>
      </c>
      <c r="D214" s="15" t="s">
        <v>684</v>
      </c>
      <c r="E214" s="15" t="s">
        <v>750</v>
      </c>
      <c r="F214" s="15" t="s">
        <v>27</v>
      </c>
      <c r="G214" s="15" t="s">
        <v>28</v>
      </c>
      <c r="H214" s="15" t="s">
        <v>331</v>
      </c>
      <c r="I214" s="15" t="s">
        <v>30</v>
      </c>
      <c r="J214" s="15" t="s">
        <v>31</v>
      </c>
      <c r="K214" s="15" t="s">
        <v>122</v>
      </c>
      <c r="L214" s="15" t="s">
        <v>123</v>
      </c>
      <c r="M214" s="15">
        <v>3</v>
      </c>
      <c r="N214" s="15">
        <v>60</v>
      </c>
      <c r="O214" s="15">
        <v>15</v>
      </c>
      <c r="P214" s="15">
        <v>153</v>
      </c>
      <c r="Q214" s="15">
        <v>3</v>
      </c>
      <c r="R214" s="15" t="s">
        <v>48</v>
      </c>
      <c r="S214" s="15" t="s">
        <v>49</v>
      </c>
      <c r="T214" s="15" t="s">
        <v>50</v>
      </c>
      <c r="U214" s="17" t="s">
        <v>1059</v>
      </c>
      <c r="V214" s="15" t="s">
        <v>69</v>
      </c>
      <c r="W214" t="str">
        <f t="shared" si="12"/>
        <v>Blacklisted</v>
      </c>
      <c r="X214" s="27" t="str">
        <f t="shared" si="13"/>
        <v>Kavya Nair</v>
      </c>
      <c r="Y214" s="29" t="str">
        <f t="shared" si="14"/>
        <v>Kav00IDHy</v>
      </c>
      <c r="Z214" s="30" t="str">
        <f t="shared" si="15"/>
        <v>kavya.nair@company.com</v>
      </c>
    </row>
    <row r="215" spans="1:26">
      <c r="A215" s="18" t="s">
        <v>1060</v>
      </c>
      <c r="B215" s="18" t="s">
        <v>53</v>
      </c>
      <c r="C215" s="18" t="s">
        <v>259</v>
      </c>
      <c r="D215" s="18" t="s">
        <v>1061</v>
      </c>
      <c r="E215" s="18" t="s">
        <v>582</v>
      </c>
      <c r="F215" s="18" t="s">
        <v>163</v>
      </c>
      <c r="G215" s="18" t="s">
        <v>28</v>
      </c>
      <c r="H215" s="18" t="s">
        <v>1062</v>
      </c>
      <c r="I215" s="18" t="s">
        <v>114</v>
      </c>
      <c r="J215" s="18" t="s">
        <v>106</v>
      </c>
      <c r="K215" s="18" t="s">
        <v>122</v>
      </c>
      <c r="L215" s="18" t="s">
        <v>263</v>
      </c>
      <c r="M215" s="18">
        <v>19</v>
      </c>
      <c r="N215" s="18">
        <v>45</v>
      </c>
      <c r="O215" s="18">
        <v>0</v>
      </c>
      <c r="P215" s="18">
        <v>855</v>
      </c>
      <c r="Q215" s="18">
        <v>2</v>
      </c>
      <c r="R215" s="18" t="s">
        <v>34</v>
      </c>
      <c r="S215" s="18" t="s">
        <v>61</v>
      </c>
      <c r="T215" s="18" t="s">
        <v>62</v>
      </c>
      <c r="U215" s="19" t="s">
        <v>1063</v>
      </c>
      <c r="V215" s="18" t="s">
        <v>38</v>
      </c>
      <c r="W215" t="str">
        <f t="shared" si="12"/>
        <v>Blacklisted</v>
      </c>
      <c r="X215" s="27" t="str">
        <f t="shared" si="13"/>
        <v>Pooja Shah</v>
      </c>
      <c r="Y215" s="29" t="str">
        <f t="shared" si="14"/>
        <v>Poo01IDPu</v>
      </c>
      <c r="Z215" s="30" t="str">
        <f t="shared" si="15"/>
        <v>pooja.shah@company.com</v>
      </c>
    </row>
    <row r="216" spans="1:26">
      <c r="A216" s="15" t="s">
        <v>1064</v>
      </c>
      <c r="B216" s="15" t="s">
        <v>100</v>
      </c>
      <c r="C216" s="15" t="s">
        <v>40</v>
      </c>
      <c r="D216" s="15" t="s">
        <v>1065</v>
      </c>
      <c r="E216" s="15" t="s">
        <v>543</v>
      </c>
      <c r="F216" s="15" t="s">
        <v>103</v>
      </c>
      <c r="G216" s="15" t="s">
        <v>28</v>
      </c>
      <c r="H216" s="15" t="s">
        <v>1066</v>
      </c>
      <c r="I216" s="15" t="s">
        <v>59</v>
      </c>
      <c r="J216" s="15" t="s">
        <v>31</v>
      </c>
      <c r="K216" s="15" t="s">
        <v>46</v>
      </c>
      <c r="L216" s="15" t="s">
        <v>47</v>
      </c>
      <c r="M216" s="15">
        <v>10</v>
      </c>
      <c r="N216" s="15">
        <v>12000</v>
      </c>
      <c r="O216" s="15">
        <v>5</v>
      </c>
      <c r="P216" s="15">
        <v>114000</v>
      </c>
      <c r="Q216" s="15">
        <v>1</v>
      </c>
      <c r="R216" s="15" t="s">
        <v>79</v>
      </c>
      <c r="S216" s="15" t="s">
        <v>115</v>
      </c>
      <c r="T216" s="15" t="s">
        <v>144</v>
      </c>
      <c r="U216" s="17" t="s">
        <v>1067</v>
      </c>
      <c r="V216" s="15" t="s">
        <v>69</v>
      </c>
      <c r="W216" t="str">
        <f t="shared" si="12"/>
        <v>Blacklisted</v>
      </c>
      <c r="X216" s="27" t="str">
        <f t="shared" si="13"/>
        <v>Priya Patel</v>
      </c>
      <c r="Y216" s="29" t="str">
        <f t="shared" si="14"/>
        <v>Pri00IDBe</v>
      </c>
      <c r="Z216" s="30" t="str">
        <f t="shared" si="15"/>
        <v>priya.patel@company.com</v>
      </c>
    </row>
    <row r="217" spans="1:26">
      <c r="A217" s="18" t="s">
        <v>1068</v>
      </c>
      <c r="B217" s="18" t="s">
        <v>23</v>
      </c>
      <c r="C217" s="18" t="s">
        <v>72</v>
      </c>
      <c r="D217" s="18" t="s">
        <v>1069</v>
      </c>
      <c r="E217" s="18" t="s">
        <v>1031</v>
      </c>
      <c r="F217" s="18" t="s">
        <v>27</v>
      </c>
      <c r="G217" s="18" t="s">
        <v>28</v>
      </c>
      <c r="H217" s="18" t="s">
        <v>1070</v>
      </c>
      <c r="I217" s="18" t="s">
        <v>294</v>
      </c>
      <c r="J217" s="18" t="s">
        <v>295</v>
      </c>
      <c r="K217" s="18" t="s">
        <v>46</v>
      </c>
      <c r="L217" s="18" t="s">
        <v>78</v>
      </c>
      <c r="M217" s="18">
        <v>4</v>
      </c>
      <c r="N217" s="18">
        <v>1200</v>
      </c>
      <c r="O217" s="18">
        <v>0</v>
      </c>
      <c r="P217" s="18">
        <v>4800</v>
      </c>
      <c r="Q217" s="18">
        <v>4</v>
      </c>
      <c r="R217" s="18" t="s">
        <v>34</v>
      </c>
      <c r="S217" s="18" t="s">
        <v>61</v>
      </c>
      <c r="T217" s="18" t="s">
        <v>50</v>
      </c>
      <c r="U217" s="19" t="s">
        <v>1071</v>
      </c>
      <c r="V217" s="18" t="s">
        <v>38</v>
      </c>
      <c r="W217" t="str">
        <f t="shared" si="12"/>
        <v>Silver</v>
      </c>
      <c r="X217" s="27" t="str">
        <f t="shared" si="13"/>
        <v>Kavya Nair</v>
      </c>
      <c r="Y217" s="29" t="str">
        <f t="shared" si="14"/>
        <v>Kav00IDKo</v>
      </c>
      <c r="Z217" s="30" t="str">
        <f t="shared" si="15"/>
        <v>kavya.nair@company.com</v>
      </c>
    </row>
    <row r="218" spans="1:26">
      <c r="A218" s="15" t="s">
        <v>1072</v>
      </c>
      <c r="B218" s="15" t="s">
        <v>221</v>
      </c>
      <c r="C218" s="15" t="s">
        <v>169</v>
      </c>
      <c r="D218" s="15" t="s">
        <v>531</v>
      </c>
      <c r="E218" s="15" t="s">
        <v>1073</v>
      </c>
      <c r="F218" s="15" t="s">
        <v>225</v>
      </c>
      <c r="G218" s="15" t="s">
        <v>76</v>
      </c>
      <c r="H218" s="15" t="s">
        <v>1074</v>
      </c>
      <c r="I218" s="15" t="s">
        <v>59</v>
      </c>
      <c r="J218" s="15" t="s">
        <v>31</v>
      </c>
      <c r="K218" s="15" t="s">
        <v>32</v>
      </c>
      <c r="L218" s="15" t="s">
        <v>174</v>
      </c>
      <c r="M218" s="15">
        <v>2</v>
      </c>
      <c r="N218" s="15">
        <v>8500</v>
      </c>
      <c r="O218" s="15">
        <v>20</v>
      </c>
      <c r="P218" s="15">
        <v>13600</v>
      </c>
      <c r="Q218" s="15">
        <v>3</v>
      </c>
      <c r="R218" s="15" t="s">
        <v>79</v>
      </c>
      <c r="S218" s="15" t="s">
        <v>151</v>
      </c>
      <c r="T218" s="15" t="s">
        <v>228</v>
      </c>
      <c r="U218" s="17" t="s">
        <v>1075</v>
      </c>
      <c r="V218" s="15" t="s">
        <v>38</v>
      </c>
      <c r="W218" t="str">
        <f t="shared" si="12"/>
        <v>Silver</v>
      </c>
      <c r="X218" s="27" t="str">
        <f t="shared" si="13"/>
        <v>Vikas Mehta</v>
      </c>
      <c r="Y218" s="29" t="str">
        <f t="shared" si="14"/>
        <v>Vik00IDBe</v>
      </c>
      <c r="Z218" s="30" t="str">
        <f t="shared" si="15"/>
        <v>vikas.mehta@company.com</v>
      </c>
    </row>
    <row r="219" spans="1:26">
      <c r="A219" s="18" t="s">
        <v>1076</v>
      </c>
      <c r="B219" s="18" t="s">
        <v>83</v>
      </c>
      <c r="C219" s="18" t="s">
        <v>184</v>
      </c>
      <c r="D219" s="18" t="s">
        <v>1077</v>
      </c>
      <c r="E219" s="18" t="s">
        <v>322</v>
      </c>
      <c r="F219" s="18" t="s">
        <v>180</v>
      </c>
      <c r="G219" s="18" t="s">
        <v>76</v>
      </c>
      <c r="H219" s="18" t="s">
        <v>1078</v>
      </c>
      <c r="I219" s="18" t="s">
        <v>294</v>
      </c>
      <c r="J219" s="18" t="s">
        <v>295</v>
      </c>
      <c r="K219" s="18" t="s">
        <v>46</v>
      </c>
      <c r="L219" s="18" t="s">
        <v>189</v>
      </c>
      <c r="M219" s="18">
        <v>7</v>
      </c>
      <c r="N219" s="18">
        <v>700</v>
      </c>
      <c r="O219" s="18">
        <v>20</v>
      </c>
      <c r="P219" s="18">
        <v>3920</v>
      </c>
      <c r="Q219" s="18">
        <v>2</v>
      </c>
      <c r="R219" s="18" t="s">
        <v>79</v>
      </c>
      <c r="S219" s="18" t="s">
        <v>151</v>
      </c>
      <c r="T219" s="18" t="s">
        <v>89</v>
      </c>
      <c r="U219" s="19" t="s">
        <v>1079</v>
      </c>
      <c r="V219" s="18" t="s">
        <v>64</v>
      </c>
      <c r="W219" t="str">
        <f t="shared" si="12"/>
        <v>Blacklisted</v>
      </c>
      <c r="X219" s="27" t="str">
        <f t="shared" si="13"/>
        <v>Arjun Rao</v>
      </c>
      <c r="Y219" s="29" t="str">
        <f t="shared" si="14"/>
        <v>Arj00IDKo</v>
      </c>
      <c r="Z219" s="30" t="str">
        <f t="shared" si="15"/>
        <v>arjun.rao@company.com</v>
      </c>
    </row>
    <row r="220" spans="1:26">
      <c r="A220" s="15" t="s">
        <v>1080</v>
      </c>
      <c r="B220" s="15" t="s">
        <v>53</v>
      </c>
      <c r="C220" s="15" t="s">
        <v>222</v>
      </c>
      <c r="D220" s="15" t="s">
        <v>1081</v>
      </c>
      <c r="E220" s="15" t="s">
        <v>518</v>
      </c>
      <c r="F220" s="15" t="s">
        <v>163</v>
      </c>
      <c r="G220" s="15" t="s">
        <v>28</v>
      </c>
      <c r="H220" s="15" t="s">
        <v>1082</v>
      </c>
      <c r="I220" s="15" t="s">
        <v>114</v>
      </c>
      <c r="J220" s="15" t="s">
        <v>106</v>
      </c>
      <c r="K220" s="15" t="s">
        <v>122</v>
      </c>
      <c r="L220" s="15" t="s">
        <v>227</v>
      </c>
      <c r="M220" s="15">
        <v>9</v>
      </c>
      <c r="N220" s="15">
        <v>20</v>
      </c>
      <c r="O220" s="15">
        <v>15</v>
      </c>
      <c r="P220" s="15">
        <v>153</v>
      </c>
      <c r="Q220" s="15">
        <v>3</v>
      </c>
      <c r="R220" s="15" t="s">
        <v>48</v>
      </c>
      <c r="S220" s="15" t="s">
        <v>115</v>
      </c>
      <c r="T220" s="15" t="s">
        <v>62</v>
      </c>
      <c r="U220" s="17" t="s">
        <v>1083</v>
      </c>
      <c r="V220" s="15" t="s">
        <v>38</v>
      </c>
      <c r="W220" t="str">
        <f t="shared" si="12"/>
        <v>Silver</v>
      </c>
      <c r="X220" s="27" t="str">
        <f t="shared" si="13"/>
        <v>Pooja Shah</v>
      </c>
      <c r="Y220" s="29" t="str">
        <f t="shared" si="14"/>
        <v>Poo01IDPu</v>
      </c>
      <c r="Z220" s="30" t="str">
        <f t="shared" si="15"/>
        <v>pooja.shah@company.com</v>
      </c>
    </row>
    <row r="221" spans="1:26">
      <c r="A221" s="18" t="s">
        <v>1084</v>
      </c>
      <c r="B221" s="18" t="s">
        <v>100</v>
      </c>
      <c r="C221" s="18" t="s">
        <v>169</v>
      </c>
      <c r="D221" s="18" t="s">
        <v>1085</v>
      </c>
      <c r="E221" s="18" t="s">
        <v>1086</v>
      </c>
      <c r="F221" s="18" t="s">
        <v>103</v>
      </c>
      <c r="G221" s="18" t="s">
        <v>28</v>
      </c>
      <c r="H221" s="18" t="s">
        <v>1087</v>
      </c>
      <c r="I221" s="18" t="s">
        <v>294</v>
      </c>
      <c r="J221" s="18" t="s">
        <v>295</v>
      </c>
      <c r="K221" s="18" t="s">
        <v>32</v>
      </c>
      <c r="L221" s="18" t="s">
        <v>174</v>
      </c>
      <c r="M221" s="18">
        <v>16</v>
      </c>
      <c r="N221" s="18">
        <v>8500</v>
      </c>
      <c r="O221" s="18">
        <v>0</v>
      </c>
      <c r="P221" s="18">
        <v>136000</v>
      </c>
      <c r="Q221" s="18">
        <v>4</v>
      </c>
      <c r="R221" s="18" t="s">
        <v>48</v>
      </c>
      <c r="S221" s="18" t="s">
        <v>35</v>
      </c>
      <c r="T221" s="18" t="s">
        <v>144</v>
      </c>
      <c r="U221" s="19" t="s">
        <v>1088</v>
      </c>
      <c r="V221" s="18" t="s">
        <v>38</v>
      </c>
      <c r="W221" t="str">
        <f t="shared" si="12"/>
        <v>Platinum</v>
      </c>
      <c r="X221" s="27" t="str">
        <f t="shared" si="13"/>
        <v>Priya Patel</v>
      </c>
      <c r="Y221" s="29" t="str">
        <f t="shared" si="14"/>
        <v>Pri00IDKo</v>
      </c>
      <c r="Z221" s="30" t="str">
        <f t="shared" si="15"/>
        <v>priya.patel@company.com</v>
      </c>
    </row>
    <row r="222" spans="1:26">
      <c r="A222" s="15" t="s">
        <v>1089</v>
      </c>
      <c r="B222" s="15" t="s">
        <v>251</v>
      </c>
      <c r="C222" s="15" t="s">
        <v>92</v>
      </c>
      <c r="D222" s="15" t="s">
        <v>544</v>
      </c>
      <c r="E222" s="15" t="s">
        <v>1090</v>
      </c>
      <c r="F222" s="15" t="s">
        <v>254</v>
      </c>
      <c r="G222" s="15" t="s">
        <v>28</v>
      </c>
      <c r="H222" s="15" t="s">
        <v>1091</v>
      </c>
      <c r="I222" s="15" t="s">
        <v>44</v>
      </c>
      <c r="J222" s="15" t="s">
        <v>45</v>
      </c>
      <c r="K222" s="15" t="s">
        <v>32</v>
      </c>
      <c r="L222" s="15" t="s">
        <v>97</v>
      </c>
      <c r="M222" s="15">
        <v>10</v>
      </c>
      <c r="N222" s="15">
        <v>3500</v>
      </c>
      <c r="O222" s="15">
        <v>5</v>
      </c>
      <c r="P222" s="15">
        <v>33250</v>
      </c>
      <c r="Q222" s="15">
        <v>3</v>
      </c>
      <c r="R222" s="15" t="s">
        <v>48</v>
      </c>
      <c r="S222" s="15" t="s">
        <v>115</v>
      </c>
      <c r="T222" s="15" t="s">
        <v>256</v>
      </c>
      <c r="U222" s="17" t="s">
        <v>1092</v>
      </c>
      <c r="V222" s="15" t="s">
        <v>38</v>
      </c>
      <c r="W222" t="str">
        <f t="shared" si="12"/>
        <v>Silver</v>
      </c>
      <c r="X222" s="27" t="str">
        <f t="shared" si="13"/>
        <v>Sneha Joshi</v>
      </c>
      <c r="Y222" s="29" t="str">
        <f t="shared" si="14"/>
        <v>Sne00IDDe</v>
      </c>
      <c r="Z222" s="30" t="str">
        <f t="shared" si="15"/>
        <v>sneha.joshi@company.com</v>
      </c>
    </row>
    <row r="223" spans="1:26">
      <c r="A223" s="18" t="s">
        <v>1093</v>
      </c>
      <c r="B223" s="18" t="s">
        <v>53</v>
      </c>
      <c r="C223" s="18" t="s">
        <v>40</v>
      </c>
      <c r="D223" s="18" t="s">
        <v>1094</v>
      </c>
      <c r="E223" s="18" t="s">
        <v>588</v>
      </c>
      <c r="F223" s="18" t="s">
        <v>163</v>
      </c>
      <c r="G223" s="18" t="s">
        <v>28</v>
      </c>
      <c r="H223" s="18" t="s">
        <v>1095</v>
      </c>
      <c r="I223" s="18" t="s">
        <v>294</v>
      </c>
      <c r="J223" s="18" t="s">
        <v>295</v>
      </c>
      <c r="K223" s="18" t="s">
        <v>46</v>
      </c>
      <c r="L223" s="18" t="s">
        <v>47</v>
      </c>
      <c r="M223" s="18">
        <v>1</v>
      </c>
      <c r="N223" s="18">
        <v>12000</v>
      </c>
      <c r="O223" s="18">
        <v>0</v>
      </c>
      <c r="P223" s="18">
        <v>12000</v>
      </c>
      <c r="Q223" s="18">
        <v>5</v>
      </c>
      <c r="R223" s="18" t="s">
        <v>88</v>
      </c>
      <c r="S223" s="18" t="s">
        <v>115</v>
      </c>
      <c r="T223" s="18" t="s">
        <v>62</v>
      </c>
      <c r="U223" s="19" t="s">
        <v>1096</v>
      </c>
      <c r="V223" s="18" t="s">
        <v>64</v>
      </c>
      <c r="W223" t="str">
        <f t="shared" si="12"/>
        <v>Blacklisted</v>
      </c>
      <c r="X223" s="27" t="str">
        <f t="shared" si="13"/>
        <v>Pooja Shah</v>
      </c>
      <c r="Y223" s="29" t="str">
        <f t="shared" si="14"/>
        <v>Poo01IDKo</v>
      </c>
      <c r="Z223" s="30" t="str">
        <f t="shared" si="15"/>
        <v>pooja.shah@company.com</v>
      </c>
    </row>
    <row r="224" spans="1:26">
      <c r="A224" s="15" t="s">
        <v>1097</v>
      </c>
      <c r="B224" s="15" t="s">
        <v>327</v>
      </c>
      <c r="C224" s="15" t="s">
        <v>259</v>
      </c>
      <c r="D224" s="15" t="s">
        <v>1098</v>
      </c>
      <c r="E224" s="15" t="s">
        <v>601</v>
      </c>
      <c r="F224" s="15" t="s">
        <v>394</v>
      </c>
      <c r="G224" s="15" t="s">
        <v>76</v>
      </c>
      <c r="H224" s="15" t="s">
        <v>1099</v>
      </c>
      <c r="I224" s="15" t="s">
        <v>294</v>
      </c>
      <c r="J224" s="15" t="s">
        <v>295</v>
      </c>
      <c r="K224" s="15" t="s">
        <v>122</v>
      </c>
      <c r="L224" s="15" t="s">
        <v>263</v>
      </c>
      <c r="M224" s="15">
        <v>19</v>
      </c>
      <c r="N224" s="15">
        <v>45</v>
      </c>
      <c r="O224" s="15">
        <v>15</v>
      </c>
      <c r="P224" s="15">
        <v>726.75</v>
      </c>
      <c r="Q224" s="15">
        <v>2</v>
      </c>
      <c r="R224" s="15" t="s">
        <v>88</v>
      </c>
      <c r="S224" s="15" t="s">
        <v>151</v>
      </c>
      <c r="T224" s="15" t="s">
        <v>332</v>
      </c>
      <c r="U224" s="17" t="s">
        <v>1100</v>
      </c>
      <c r="V224" s="15" t="s">
        <v>64</v>
      </c>
      <c r="W224" t="str">
        <f t="shared" si="12"/>
        <v>Blacklisted</v>
      </c>
      <c r="X224" s="27" t="str">
        <f t="shared" si="13"/>
        <v>Amit Sharma</v>
      </c>
      <c r="Y224" s="29" t="str">
        <f t="shared" si="14"/>
        <v>Ami00IDKo</v>
      </c>
      <c r="Z224" s="30" t="str">
        <f t="shared" si="15"/>
        <v>amit.sharma@company.com</v>
      </c>
    </row>
    <row r="225" spans="1:26">
      <c r="A225" s="18" t="s">
        <v>1101</v>
      </c>
      <c r="B225" s="18" t="s">
        <v>23</v>
      </c>
      <c r="C225" s="18" t="s">
        <v>54</v>
      </c>
      <c r="D225" s="18" t="s">
        <v>531</v>
      </c>
      <c r="E225" s="18" t="s">
        <v>1102</v>
      </c>
      <c r="F225" s="18" t="s">
        <v>27</v>
      </c>
      <c r="G225" s="18" t="s">
        <v>28</v>
      </c>
      <c r="H225" s="18" t="s">
        <v>1103</v>
      </c>
      <c r="I225" s="18" t="s">
        <v>44</v>
      </c>
      <c r="J225" s="18" t="s">
        <v>45</v>
      </c>
      <c r="K225" s="18" t="s">
        <v>46</v>
      </c>
      <c r="L225" s="18" t="s">
        <v>60</v>
      </c>
      <c r="M225" s="18">
        <v>13</v>
      </c>
      <c r="N225" s="18">
        <v>55000</v>
      </c>
      <c r="O225" s="18">
        <v>5</v>
      </c>
      <c r="P225" s="18">
        <v>679250</v>
      </c>
      <c r="Q225" s="18">
        <v>4</v>
      </c>
      <c r="R225" s="18" t="s">
        <v>79</v>
      </c>
      <c r="S225" s="18" t="s">
        <v>49</v>
      </c>
      <c r="T225" s="18" t="s">
        <v>50</v>
      </c>
      <c r="U225" s="19" t="s">
        <v>1104</v>
      </c>
      <c r="V225" s="18" t="s">
        <v>69</v>
      </c>
      <c r="W225" t="str">
        <f t="shared" si="12"/>
        <v>Blacklisted</v>
      </c>
      <c r="X225" s="27" t="str">
        <f t="shared" si="13"/>
        <v>Kavya Nair</v>
      </c>
      <c r="Y225" s="29" t="str">
        <f t="shared" si="14"/>
        <v>Kav00IDDe</v>
      </c>
      <c r="Z225" s="30" t="str">
        <f t="shared" si="15"/>
        <v>kavya.nair@company.com</v>
      </c>
    </row>
    <row r="226" spans="1:26">
      <c r="A226" s="15" t="s">
        <v>1105</v>
      </c>
      <c r="B226" s="15" t="s">
        <v>83</v>
      </c>
      <c r="C226" s="15" t="s">
        <v>259</v>
      </c>
      <c r="D226" s="15" t="s">
        <v>1106</v>
      </c>
      <c r="E226" s="15" t="s">
        <v>155</v>
      </c>
      <c r="F226" s="15" t="s">
        <v>180</v>
      </c>
      <c r="G226" s="15" t="s">
        <v>76</v>
      </c>
      <c r="H226" s="15" t="s">
        <v>1107</v>
      </c>
      <c r="I226" s="15" t="s">
        <v>105</v>
      </c>
      <c r="J226" s="15" t="s">
        <v>106</v>
      </c>
      <c r="K226" s="15" t="s">
        <v>122</v>
      </c>
      <c r="L226" s="15" t="s">
        <v>263</v>
      </c>
      <c r="M226" s="15">
        <v>2</v>
      </c>
      <c r="N226" s="15">
        <v>45</v>
      </c>
      <c r="O226" s="15">
        <v>15</v>
      </c>
      <c r="P226" s="15">
        <v>76.5</v>
      </c>
      <c r="Q226" s="15">
        <v>1</v>
      </c>
      <c r="R226" s="15" t="s">
        <v>48</v>
      </c>
      <c r="S226" s="15" t="s">
        <v>115</v>
      </c>
      <c r="T226" s="15" t="s">
        <v>89</v>
      </c>
      <c r="U226" s="17" t="s">
        <v>1108</v>
      </c>
      <c r="V226" s="15" t="s">
        <v>38</v>
      </c>
      <c r="W226" t="str">
        <f t="shared" si="12"/>
        <v>Blacklisted</v>
      </c>
      <c r="X226" s="27" t="str">
        <f t="shared" si="13"/>
        <v>Arjun Rao</v>
      </c>
      <c r="Y226" s="29" t="str">
        <f t="shared" si="14"/>
        <v>Arj00IDMu</v>
      </c>
      <c r="Z226" s="30" t="str">
        <f t="shared" si="15"/>
        <v>arjun.rao@company.com</v>
      </c>
    </row>
    <row r="227" spans="1:26">
      <c r="A227" s="18" t="s">
        <v>1109</v>
      </c>
      <c r="B227" s="18" t="s">
        <v>100</v>
      </c>
      <c r="C227" s="18" t="s">
        <v>222</v>
      </c>
      <c r="D227" s="18" t="s">
        <v>303</v>
      </c>
      <c r="E227" s="18" t="s">
        <v>1110</v>
      </c>
      <c r="F227" s="18" t="s">
        <v>103</v>
      </c>
      <c r="G227" s="18" t="s">
        <v>28</v>
      </c>
      <c r="H227" s="18" t="s">
        <v>1111</v>
      </c>
      <c r="I227" s="18" t="s">
        <v>30</v>
      </c>
      <c r="J227" s="18" t="s">
        <v>31</v>
      </c>
      <c r="K227" s="18" t="s">
        <v>122</v>
      </c>
      <c r="L227" s="18" t="s">
        <v>227</v>
      </c>
      <c r="M227" s="18">
        <v>8</v>
      </c>
      <c r="N227" s="18">
        <v>20</v>
      </c>
      <c r="O227" s="18">
        <v>15</v>
      </c>
      <c r="P227" s="18">
        <v>136</v>
      </c>
      <c r="Q227" s="18">
        <v>1</v>
      </c>
      <c r="R227" s="18" t="s">
        <v>79</v>
      </c>
      <c r="S227" s="18" t="s">
        <v>35</v>
      </c>
      <c r="T227" s="18" t="s">
        <v>144</v>
      </c>
      <c r="U227" s="19" t="s">
        <v>1112</v>
      </c>
      <c r="V227" s="18" t="s">
        <v>64</v>
      </c>
      <c r="W227" t="str">
        <f t="shared" si="12"/>
        <v>Blacklisted</v>
      </c>
      <c r="X227" s="27" t="str">
        <f t="shared" si="13"/>
        <v>Priya Patel</v>
      </c>
      <c r="Y227" s="29" t="str">
        <f t="shared" si="14"/>
        <v>Pri00IDHy</v>
      </c>
      <c r="Z227" s="30" t="str">
        <f t="shared" si="15"/>
        <v>priya.patel@company.com</v>
      </c>
    </row>
    <row r="228" spans="1:26">
      <c r="A228" s="15" t="s">
        <v>1113</v>
      </c>
      <c r="B228" s="15" t="s">
        <v>168</v>
      </c>
      <c r="C228" s="15" t="s">
        <v>40</v>
      </c>
      <c r="D228" s="15" t="s">
        <v>1114</v>
      </c>
      <c r="E228" s="15" t="s">
        <v>1115</v>
      </c>
      <c r="F228" s="15" t="s">
        <v>361</v>
      </c>
      <c r="G228" s="15" t="s">
        <v>28</v>
      </c>
      <c r="H228" s="15" t="s">
        <v>1116</v>
      </c>
      <c r="I228" s="15" t="s">
        <v>30</v>
      </c>
      <c r="J228" s="15" t="s">
        <v>31</v>
      </c>
      <c r="K228" s="15" t="s">
        <v>46</v>
      </c>
      <c r="L228" s="15" t="s">
        <v>47</v>
      </c>
      <c r="M228" s="15">
        <v>9</v>
      </c>
      <c r="N228" s="15">
        <v>12000</v>
      </c>
      <c r="O228" s="15">
        <v>5</v>
      </c>
      <c r="P228" s="15">
        <v>102600</v>
      </c>
      <c r="Q228" s="15">
        <v>2</v>
      </c>
      <c r="R228" s="15" t="s">
        <v>79</v>
      </c>
      <c r="S228" s="15" t="s">
        <v>35</v>
      </c>
      <c r="T228" s="15" t="s">
        <v>175</v>
      </c>
      <c r="U228" s="17" t="s">
        <v>1117</v>
      </c>
      <c r="V228" s="15" t="s">
        <v>69</v>
      </c>
      <c r="W228" t="str">
        <f t="shared" si="12"/>
        <v>Blacklisted</v>
      </c>
      <c r="X228" s="27" t="str">
        <f t="shared" si="13"/>
        <v>Anita Gupta</v>
      </c>
      <c r="Y228" s="29" t="str">
        <f t="shared" si="14"/>
        <v>Ani00IDHy</v>
      </c>
      <c r="Z228" s="30" t="str">
        <f t="shared" si="15"/>
        <v>anita.gupta@company.com</v>
      </c>
    </row>
    <row r="229" spans="1:26">
      <c r="A229" s="18" t="s">
        <v>1118</v>
      </c>
      <c r="B229" s="18" t="s">
        <v>71</v>
      </c>
      <c r="C229" s="18" t="s">
        <v>92</v>
      </c>
      <c r="D229" s="18" t="s">
        <v>1119</v>
      </c>
      <c r="E229" s="18" t="s">
        <v>1120</v>
      </c>
      <c r="F229" s="18" t="s">
        <v>217</v>
      </c>
      <c r="G229" s="18" t="s">
        <v>76</v>
      </c>
      <c r="H229" s="18" t="s">
        <v>1121</v>
      </c>
      <c r="I229" s="18" t="s">
        <v>294</v>
      </c>
      <c r="J229" s="18" t="s">
        <v>295</v>
      </c>
      <c r="K229" s="18" t="s">
        <v>32</v>
      </c>
      <c r="L229" s="18" t="s">
        <v>97</v>
      </c>
      <c r="M229" s="18">
        <v>3</v>
      </c>
      <c r="N229" s="18">
        <v>3500</v>
      </c>
      <c r="O229" s="18">
        <v>15</v>
      </c>
      <c r="P229" s="18">
        <v>8925</v>
      </c>
      <c r="Q229" s="18">
        <v>1</v>
      </c>
      <c r="R229" s="18" t="s">
        <v>34</v>
      </c>
      <c r="S229" s="18" t="s">
        <v>49</v>
      </c>
      <c r="T229" s="18" t="s">
        <v>80</v>
      </c>
      <c r="U229" s="19" t="s">
        <v>1122</v>
      </c>
      <c r="V229" s="18" t="s">
        <v>69</v>
      </c>
      <c r="W229" t="str">
        <f t="shared" si="12"/>
        <v>Blacklisted</v>
      </c>
      <c r="X229" s="27" t="str">
        <f t="shared" si="13"/>
        <v>Mohit Verma</v>
      </c>
      <c r="Y229" s="29" t="str">
        <f t="shared" si="14"/>
        <v>Moh00IDKo</v>
      </c>
      <c r="Z229" s="30" t="str">
        <f t="shared" si="15"/>
        <v>mohit.verma@company.com</v>
      </c>
    </row>
    <row r="230" spans="1:26">
      <c r="A230" s="15" t="s">
        <v>1123</v>
      </c>
      <c r="B230" s="15" t="s">
        <v>100</v>
      </c>
      <c r="C230" s="15" t="s">
        <v>184</v>
      </c>
      <c r="D230" s="15" t="s">
        <v>1086</v>
      </c>
      <c r="E230" s="15" t="s">
        <v>1124</v>
      </c>
      <c r="F230" s="15" t="s">
        <v>103</v>
      </c>
      <c r="G230" s="15" t="s">
        <v>28</v>
      </c>
      <c r="H230" s="15" t="s">
        <v>1125</v>
      </c>
      <c r="I230" s="15" t="s">
        <v>30</v>
      </c>
      <c r="J230" s="15" t="s">
        <v>31</v>
      </c>
      <c r="K230" s="15" t="s">
        <v>46</v>
      </c>
      <c r="L230" s="15" t="s">
        <v>189</v>
      </c>
      <c r="M230" s="15">
        <v>18</v>
      </c>
      <c r="N230" s="15">
        <v>700</v>
      </c>
      <c r="O230" s="15">
        <v>20</v>
      </c>
      <c r="P230" s="15">
        <v>10080</v>
      </c>
      <c r="Q230" s="15">
        <v>1</v>
      </c>
      <c r="R230" s="15" t="s">
        <v>79</v>
      </c>
      <c r="S230" s="15" t="s">
        <v>151</v>
      </c>
      <c r="T230" s="15" t="s">
        <v>144</v>
      </c>
      <c r="U230" s="17" t="s">
        <v>1126</v>
      </c>
      <c r="V230" s="15" t="s">
        <v>38</v>
      </c>
      <c r="W230" t="str">
        <f t="shared" si="12"/>
        <v>Blacklisted</v>
      </c>
      <c r="X230" s="27" t="str">
        <f t="shared" si="13"/>
        <v>Priya Patel</v>
      </c>
      <c r="Y230" s="29" t="str">
        <f t="shared" si="14"/>
        <v>Pri00IDHy</v>
      </c>
      <c r="Z230" s="30" t="str">
        <f t="shared" si="15"/>
        <v>priya.patel@company.com</v>
      </c>
    </row>
    <row r="231" spans="1:26">
      <c r="A231" s="18" t="s">
        <v>1127</v>
      </c>
      <c r="B231" s="18" t="s">
        <v>71</v>
      </c>
      <c r="C231" s="18" t="s">
        <v>92</v>
      </c>
      <c r="D231" s="18" t="s">
        <v>1128</v>
      </c>
      <c r="E231" s="18" t="s">
        <v>110</v>
      </c>
      <c r="F231" s="18" t="s">
        <v>217</v>
      </c>
      <c r="G231" s="18" t="s">
        <v>76</v>
      </c>
      <c r="H231" s="18" t="s">
        <v>1129</v>
      </c>
      <c r="I231" s="18" t="s">
        <v>114</v>
      </c>
      <c r="J231" s="18" t="s">
        <v>106</v>
      </c>
      <c r="K231" s="18" t="s">
        <v>32</v>
      </c>
      <c r="L231" s="18" t="s">
        <v>97</v>
      </c>
      <c r="M231" s="18">
        <v>14</v>
      </c>
      <c r="N231" s="18">
        <v>3500</v>
      </c>
      <c r="O231" s="18">
        <v>5</v>
      </c>
      <c r="P231" s="18">
        <v>46550</v>
      </c>
      <c r="Q231" s="18">
        <v>1</v>
      </c>
      <c r="R231" s="18" t="s">
        <v>34</v>
      </c>
      <c r="S231" s="18" t="s">
        <v>61</v>
      </c>
      <c r="T231" s="18" t="s">
        <v>80</v>
      </c>
      <c r="U231" s="19" t="s">
        <v>1130</v>
      </c>
      <c r="V231" s="18" t="s">
        <v>38</v>
      </c>
      <c r="W231" t="str">
        <f t="shared" si="12"/>
        <v>Blacklisted</v>
      </c>
      <c r="X231" s="27" t="str">
        <f t="shared" si="13"/>
        <v>Mohit Verma</v>
      </c>
      <c r="Y231" s="29" t="str">
        <f t="shared" si="14"/>
        <v>Moh00IDPu</v>
      </c>
      <c r="Z231" s="30" t="str">
        <f t="shared" si="15"/>
        <v>mohit.verma@company.com</v>
      </c>
    </row>
    <row r="232" spans="1:26">
      <c r="A232" s="15" t="s">
        <v>1131</v>
      </c>
      <c r="B232" s="15" t="s">
        <v>100</v>
      </c>
      <c r="C232" s="15" t="s">
        <v>184</v>
      </c>
      <c r="D232" s="15" t="s">
        <v>684</v>
      </c>
      <c r="E232" s="15" t="s">
        <v>318</v>
      </c>
      <c r="F232" s="15" t="s">
        <v>103</v>
      </c>
      <c r="G232" s="15" t="s">
        <v>28</v>
      </c>
      <c r="H232" s="15" t="s">
        <v>1132</v>
      </c>
      <c r="I232" s="15" t="s">
        <v>294</v>
      </c>
      <c r="J232" s="15" t="s">
        <v>295</v>
      </c>
      <c r="K232" s="15" t="s">
        <v>46</v>
      </c>
      <c r="L232" s="15" t="s">
        <v>189</v>
      </c>
      <c r="M232" s="15">
        <v>6</v>
      </c>
      <c r="N232" s="15">
        <v>700</v>
      </c>
      <c r="O232" s="15">
        <v>5</v>
      </c>
      <c r="P232" s="15">
        <v>3990</v>
      </c>
      <c r="Q232" s="15">
        <v>5</v>
      </c>
      <c r="R232" s="15" t="s">
        <v>34</v>
      </c>
      <c r="S232" s="15" t="s">
        <v>35</v>
      </c>
      <c r="T232" s="15" t="s">
        <v>144</v>
      </c>
      <c r="U232" s="17" t="s">
        <v>1133</v>
      </c>
      <c r="V232" s="15" t="s">
        <v>38</v>
      </c>
      <c r="W232" t="str">
        <f t="shared" si="12"/>
        <v>Silver</v>
      </c>
      <c r="X232" s="27" t="str">
        <f t="shared" si="13"/>
        <v>Priya Patel</v>
      </c>
      <c r="Y232" s="29" t="str">
        <f t="shared" si="14"/>
        <v>Pri00IDKo</v>
      </c>
      <c r="Z232" s="30" t="str">
        <f t="shared" si="15"/>
        <v>priya.patel@company.com</v>
      </c>
    </row>
    <row r="233" spans="1:26">
      <c r="A233" s="18" t="s">
        <v>1134</v>
      </c>
      <c r="B233" s="18" t="s">
        <v>100</v>
      </c>
      <c r="C233" s="18" t="s">
        <v>92</v>
      </c>
      <c r="D233" s="18" t="s">
        <v>679</v>
      </c>
      <c r="E233" s="18" t="s">
        <v>872</v>
      </c>
      <c r="F233" s="18" t="s">
        <v>103</v>
      </c>
      <c r="G233" s="18" t="s">
        <v>28</v>
      </c>
      <c r="H233" s="18" t="s">
        <v>1135</v>
      </c>
      <c r="I233" s="18" t="s">
        <v>105</v>
      </c>
      <c r="J233" s="18" t="s">
        <v>106</v>
      </c>
      <c r="K233" s="18" t="s">
        <v>32</v>
      </c>
      <c r="L233" s="18" t="s">
        <v>97</v>
      </c>
      <c r="M233" s="18">
        <v>17</v>
      </c>
      <c r="N233" s="18">
        <v>3500</v>
      </c>
      <c r="O233" s="18">
        <v>15</v>
      </c>
      <c r="P233" s="18">
        <v>50575</v>
      </c>
      <c r="Q233" s="18">
        <v>3</v>
      </c>
      <c r="R233" s="18" t="s">
        <v>48</v>
      </c>
      <c r="S233" s="18" t="s">
        <v>49</v>
      </c>
      <c r="T233" s="18" t="s">
        <v>144</v>
      </c>
      <c r="U233" s="19" t="s">
        <v>1136</v>
      </c>
      <c r="V233" s="18" t="s">
        <v>64</v>
      </c>
      <c r="W233" t="str">
        <f t="shared" si="12"/>
        <v>Blacklisted</v>
      </c>
      <c r="X233" s="27" t="str">
        <f t="shared" si="13"/>
        <v>Priya Patel</v>
      </c>
      <c r="Y233" s="29" t="str">
        <f t="shared" si="14"/>
        <v>Pri00IDMu</v>
      </c>
      <c r="Z233" s="30" t="str">
        <f t="shared" si="15"/>
        <v>priya.patel@company.com</v>
      </c>
    </row>
    <row r="234" spans="1:26">
      <c r="A234" s="15" t="s">
        <v>1137</v>
      </c>
      <c r="B234" s="15" t="s">
        <v>251</v>
      </c>
      <c r="C234" s="15" t="s">
        <v>222</v>
      </c>
      <c r="D234" s="15" t="s">
        <v>253</v>
      </c>
      <c r="E234" s="15" t="s">
        <v>1128</v>
      </c>
      <c r="F234" s="15" t="s">
        <v>254</v>
      </c>
      <c r="G234" s="15" t="s">
        <v>28</v>
      </c>
      <c r="H234" s="15" t="s">
        <v>1138</v>
      </c>
      <c r="I234" s="15" t="s">
        <v>294</v>
      </c>
      <c r="J234" s="15" t="s">
        <v>295</v>
      </c>
      <c r="K234" s="15" t="s">
        <v>122</v>
      </c>
      <c r="L234" s="15" t="s">
        <v>227</v>
      </c>
      <c r="M234" s="15">
        <v>7</v>
      </c>
      <c r="N234" s="15">
        <v>20</v>
      </c>
      <c r="O234" s="15">
        <v>5</v>
      </c>
      <c r="P234" s="15">
        <v>133</v>
      </c>
      <c r="Q234" s="15">
        <v>2</v>
      </c>
      <c r="R234" s="15" t="s">
        <v>88</v>
      </c>
      <c r="S234" s="15" t="s">
        <v>151</v>
      </c>
      <c r="T234" s="15" t="s">
        <v>256</v>
      </c>
      <c r="U234" s="17" t="s">
        <v>1139</v>
      </c>
      <c r="V234" s="15" t="s">
        <v>38</v>
      </c>
      <c r="W234" t="str">
        <f t="shared" si="12"/>
        <v>Blacklisted</v>
      </c>
      <c r="X234" s="27" t="str">
        <f t="shared" si="13"/>
        <v>Sneha Joshi</v>
      </c>
      <c r="Y234" s="29" t="str">
        <f t="shared" si="14"/>
        <v>Sne00IDKo</v>
      </c>
      <c r="Z234" s="30" t="str">
        <f t="shared" si="15"/>
        <v>sneha.joshi@company.com</v>
      </c>
    </row>
    <row r="235" spans="1:26">
      <c r="A235" s="18" t="s">
        <v>1140</v>
      </c>
      <c r="B235" s="18" t="s">
        <v>23</v>
      </c>
      <c r="C235" s="18" t="s">
        <v>24</v>
      </c>
      <c r="D235" s="18" t="s">
        <v>1141</v>
      </c>
      <c r="E235" s="18" t="s">
        <v>1142</v>
      </c>
      <c r="F235" s="18" t="s">
        <v>27</v>
      </c>
      <c r="G235" s="18" t="s">
        <v>28</v>
      </c>
      <c r="H235" s="18" t="s">
        <v>1143</v>
      </c>
      <c r="I235" s="18" t="s">
        <v>59</v>
      </c>
      <c r="J235" s="18" t="s">
        <v>31</v>
      </c>
      <c r="K235" s="18" t="s">
        <v>32</v>
      </c>
      <c r="L235" s="18" t="s">
        <v>33</v>
      </c>
      <c r="M235" s="18">
        <v>15</v>
      </c>
      <c r="N235" s="18">
        <v>2200</v>
      </c>
      <c r="O235" s="18">
        <v>20</v>
      </c>
      <c r="P235" s="18">
        <v>26400</v>
      </c>
      <c r="Q235" s="18">
        <v>2</v>
      </c>
      <c r="R235" s="18" t="s">
        <v>34</v>
      </c>
      <c r="S235" s="18" t="s">
        <v>61</v>
      </c>
      <c r="T235" s="18" t="s">
        <v>50</v>
      </c>
      <c r="U235" s="19" t="s">
        <v>1144</v>
      </c>
      <c r="V235" s="18" t="s">
        <v>38</v>
      </c>
      <c r="W235" t="str">
        <f t="shared" si="12"/>
        <v>Blacklisted</v>
      </c>
      <c r="X235" s="27" t="str">
        <f t="shared" si="13"/>
        <v>Kavya Nair</v>
      </c>
      <c r="Y235" s="29" t="str">
        <f t="shared" si="14"/>
        <v>Kav00IDBe</v>
      </c>
      <c r="Z235" s="30" t="str">
        <f t="shared" si="15"/>
        <v>kavya.nair@company.com</v>
      </c>
    </row>
    <row r="236" spans="1:26">
      <c r="A236" s="15" t="s">
        <v>1145</v>
      </c>
      <c r="B236" s="15" t="s">
        <v>71</v>
      </c>
      <c r="C236" s="15" t="s">
        <v>222</v>
      </c>
      <c r="D236" s="15" t="s">
        <v>736</v>
      </c>
      <c r="E236" s="15" t="s">
        <v>94</v>
      </c>
      <c r="F236" s="15" t="s">
        <v>217</v>
      </c>
      <c r="G236" s="15" t="s">
        <v>76</v>
      </c>
      <c r="H236" s="15" t="s">
        <v>1146</v>
      </c>
      <c r="I236" s="15" t="s">
        <v>105</v>
      </c>
      <c r="J236" s="15" t="s">
        <v>106</v>
      </c>
      <c r="K236" s="15" t="s">
        <v>122</v>
      </c>
      <c r="L236" s="15" t="s">
        <v>227</v>
      </c>
      <c r="M236" s="15">
        <v>5</v>
      </c>
      <c r="N236" s="15">
        <v>20</v>
      </c>
      <c r="O236" s="15">
        <v>0</v>
      </c>
      <c r="P236" s="15">
        <v>100</v>
      </c>
      <c r="Q236" s="15">
        <v>3</v>
      </c>
      <c r="R236" s="15" t="s">
        <v>34</v>
      </c>
      <c r="S236" s="15" t="s">
        <v>151</v>
      </c>
      <c r="T236" s="15" t="s">
        <v>80</v>
      </c>
      <c r="U236" s="17" t="s">
        <v>1147</v>
      </c>
      <c r="V236" s="15" t="s">
        <v>38</v>
      </c>
      <c r="W236" t="str">
        <f t="shared" si="12"/>
        <v>Silver</v>
      </c>
      <c r="X236" s="27" t="str">
        <f t="shared" si="13"/>
        <v>Mohit Verma</v>
      </c>
      <c r="Y236" s="29" t="str">
        <f t="shared" si="14"/>
        <v>Moh00IDMu</v>
      </c>
      <c r="Z236" s="30" t="str">
        <f t="shared" si="15"/>
        <v>mohit.verma@company.com</v>
      </c>
    </row>
    <row r="237" spans="1:26">
      <c r="A237" s="18" t="s">
        <v>1148</v>
      </c>
      <c r="B237" s="18" t="s">
        <v>127</v>
      </c>
      <c r="C237" s="18" t="s">
        <v>40</v>
      </c>
      <c r="D237" s="18" t="s">
        <v>1149</v>
      </c>
      <c r="E237" s="18" t="s">
        <v>779</v>
      </c>
      <c r="F237" s="18" t="s">
        <v>200</v>
      </c>
      <c r="G237" s="18" t="s">
        <v>76</v>
      </c>
      <c r="H237" s="18" t="s">
        <v>1150</v>
      </c>
      <c r="I237" s="18" t="s">
        <v>44</v>
      </c>
      <c r="J237" s="18" t="s">
        <v>45</v>
      </c>
      <c r="K237" s="18" t="s">
        <v>46</v>
      </c>
      <c r="L237" s="18" t="s">
        <v>47</v>
      </c>
      <c r="M237" s="18">
        <v>8</v>
      </c>
      <c r="N237" s="18">
        <v>12000</v>
      </c>
      <c r="O237" s="18">
        <v>20</v>
      </c>
      <c r="P237" s="18">
        <v>76800</v>
      </c>
      <c r="Q237" s="18">
        <v>3</v>
      </c>
      <c r="R237" s="18" t="s">
        <v>79</v>
      </c>
      <c r="S237" s="18" t="s">
        <v>61</v>
      </c>
      <c r="T237" s="18" t="s">
        <v>132</v>
      </c>
      <c r="U237" s="19" t="s">
        <v>1151</v>
      </c>
      <c r="V237" s="18" t="s">
        <v>64</v>
      </c>
      <c r="W237" t="str">
        <f t="shared" si="12"/>
        <v>Blacklisted</v>
      </c>
      <c r="X237" s="27" t="str">
        <f t="shared" si="13"/>
        <v>Rohit Singh</v>
      </c>
      <c r="Y237" s="29" t="str">
        <f t="shared" si="14"/>
        <v>Roh00IDDe</v>
      </c>
      <c r="Z237" s="30" t="str">
        <f t="shared" si="15"/>
        <v>rohit.singh@company.com</v>
      </c>
    </row>
    <row r="238" spans="1:26">
      <c r="A238" s="15" t="s">
        <v>1152</v>
      </c>
      <c r="B238" s="15" t="s">
        <v>127</v>
      </c>
      <c r="C238" s="15" t="s">
        <v>92</v>
      </c>
      <c r="D238" s="15" t="s">
        <v>1153</v>
      </c>
      <c r="E238" s="15" t="s">
        <v>987</v>
      </c>
      <c r="F238" s="15" t="s">
        <v>200</v>
      </c>
      <c r="G238" s="15" t="s">
        <v>76</v>
      </c>
      <c r="H238" s="15" t="s">
        <v>1154</v>
      </c>
      <c r="I238" s="15" t="s">
        <v>105</v>
      </c>
      <c r="J238" s="15" t="s">
        <v>106</v>
      </c>
      <c r="K238" s="15" t="s">
        <v>32</v>
      </c>
      <c r="L238" s="15" t="s">
        <v>97</v>
      </c>
      <c r="M238" s="15">
        <v>4</v>
      </c>
      <c r="N238" s="15">
        <v>3500</v>
      </c>
      <c r="O238" s="15">
        <v>20</v>
      </c>
      <c r="P238" s="15">
        <v>11200</v>
      </c>
      <c r="Q238" s="15">
        <v>1</v>
      </c>
      <c r="R238" s="15" t="s">
        <v>79</v>
      </c>
      <c r="S238" s="15" t="s">
        <v>115</v>
      </c>
      <c r="T238" s="15" t="s">
        <v>132</v>
      </c>
      <c r="U238" s="17" t="s">
        <v>1155</v>
      </c>
      <c r="V238" s="15" t="s">
        <v>38</v>
      </c>
      <c r="W238" t="str">
        <f t="shared" si="12"/>
        <v>Blacklisted</v>
      </c>
      <c r="X238" s="27" t="str">
        <f t="shared" si="13"/>
        <v>Rohit Singh</v>
      </c>
      <c r="Y238" s="29" t="str">
        <f t="shared" si="14"/>
        <v>Roh00IDMu</v>
      </c>
      <c r="Z238" s="30" t="str">
        <f t="shared" si="15"/>
        <v>rohit.singh@company.com</v>
      </c>
    </row>
    <row r="239" spans="1:26">
      <c r="A239" s="18" t="s">
        <v>1156</v>
      </c>
      <c r="B239" s="18" t="s">
        <v>221</v>
      </c>
      <c r="C239" s="18" t="s">
        <v>259</v>
      </c>
      <c r="D239" s="18" t="s">
        <v>628</v>
      </c>
      <c r="E239" s="18" t="s">
        <v>1157</v>
      </c>
      <c r="F239" s="18" t="s">
        <v>225</v>
      </c>
      <c r="G239" s="18" t="s">
        <v>76</v>
      </c>
      <c r="H239" s="18" t="s">
        <v>1158</v>
      </c>
      <c r="I239" s="18" t="s">
        <v>30</v>
      </c>
      <c r="J239" s="18" t="s">
        <v>31</v>
      </c>
      <c r="K239" s="18" t="s">
        <v>122</v>
      </c>
      <c r="L239" s="18" t="s">
        <v>263</v>
      </c>
      <c r="M239" s="18">
        <v>19</v>
      </c>
      <c r="N239" s="18">
        <v>45</v>
      </c>
      <c r="O239" s="18">
        <v>10</v>
      </c>
      <c r="P239" s="18">
        <v>769.5</v>
      </c>
      <c r="Q239" s="18">
        <v>1</v>
      </c>
      <c r="R239" s="18" t="s">
        <v>34</v>
      </c>
      <c r="S239" s="18" t="s">
        <v>115</v>
      </c>
      <c r="T239" s="18" t="s">
        <v>228</v>
      </c>
      <c r="U239" s="19" t="s">
        <v>1159</v>
      </c>
      <c r="V239" s="18" t="s">
        <v>38</v>
      </c>
      <c r="W239" t="str">
        <f t="shared" si="12"/>
        <v>Blacklisted</v>
      </c>
      <c r="X239" s="27" t="str">
        <f t="shared" si="13"/>
        <v>Vikas Mehta</v>
      </c>
      <c r="Y239" s="29" t="str">
        <f t="shared" si="14"/>
        <v>Vik00IDHy</v>
      </c>
      <c r="Z239" s="30" t="str">
        <f t="shared" si="15"/>
        <v>vikas.mehta@company.com</v>
      </c>
    </row>
    <row r="240" spans="1:26">
      <c r="A240" s="15" t="s">
        <v>1160</v>
      </c>
      <c r="B240" s="15" t="s">
        <v>53</v>
      </c>
      <c r="C240" s="15" t="s">
        <v>259</v>
      </c>
      <c r="D240" s="15" t="s">
        <v>588</v>
      </c>
      <c r="E240" s="15" t="s">
        <v>1161</v>
      </c>
      <c r="F240" s="15" t="s">
        <v>163</v>
      </c>
      <c r="G240" s="15" t="s">
        <v>28</v>
      </c>
      <c r="H240" s="15" t="s">
        <v>1162</v>
      </c>
      <c r="I240" s="15" t="s">
        <v>114</v>
      </c>
      <c r="J240" s="15" t="s">
        <v>106</v>
      </c>
      <c r="K240" s="15" t="s">
        <v>122</v>
      </c>
      <c r="L240" s="15" t="s">
        <v>263</v>
      </c>
      <c r="M240" s="15">
        <v>10</v>
      </c>
      <c r="N240" s="15">
        <v>45</v>
      </c>
      <c r="O240" s="15">
        <v>0</v>
      </c>
      <c r="P240" s="15">
        <v>450</v>
      </c>
      <c r="Q240" s="15">
        <v>4</v>
      </c>
      <c r="R240" s="15" t="s">
        <v>88</v>
      </c>
      <c r="S240" s="15" t="s">
        <v>61</v>
      </c>
      <c r="T240" s="15" t="s">
        <v>62</v>
      </c>
      <c r="U240" s="17" t="s">
        <v>1163</v>
      </c>
      <c r="V240" s="15" t="s">
        <v>38</v>
      </c>
      <c r="W240" t="str">
        <f t="shared" si="12"/>
        <v>Silver</v>
      </c>
      <c r="X240" s="27" t="str">
        <f t="shared" si="13"/>
        <v>Pooja Shah</v>
      </c>
      <c r="Y240" s="29" t="str">
        <f t="shared" si="14"/>
        <v>Poo01IDPu</v>
      </c>
      <c r="Z240" s="30" t="str">
        <f t="shared" si="15"/>
        <v>pooja.shah@company.com</v>
      </c>
    </row>
    <row r="241" spans="1:26">
      <c r="A241" s="18" t="s">
        <v>1164</v>
      </c>
      <c r="B241" s="18" t="s">
        <v>53</v>
      </c>
      <c r="C241" s="18" t="s">
        <v>259</v>
      </c>
      <c r="D241" s="18" t="s">
        <v>1165</v>
      </c>
      <c r="E241" s="18" t="s">
        <v>1039</v>
      </c>
      <c r="F241" s="18" t="s">
        <v>163</v>
      </c>
      <c r="G241" s="18" t="s">
        <v>28</v>
      </c>
      <c r="H241" s="18" t="s">
        <v>1166</v>
      </c>
      <c r="I241" s="18" t="s">
        <v>30</v>
      </c>
      <c r="J241" s="18" t="s">
        <v>31</v>
      </c>
      <c r="K241" s="18" t="s">
        <v>122</v>
      </c>
      <c r="L241" s="18" t="s">
        <v>263</v>
      </c>
      <c r="M241" s="18">
        <v>16</v>
      </c>
      <c r="N241" s="18">
        <v>45</v>
      </c>
      <c r="O241" s="18">
        <v>15</v>
      </c>
      <c r="P241" s="18">
        <v>612</v>
      </c>
      <c r="Q241" s="18">
        <v>3</v>
      </c>
      <c r="R241" s="18" t="s">
        <v>34</v>
      </c>
      <c r="S241" s="18" t="s">
        <v>115</v>
      </c>
      <c r="T241" s="18" t="s">
        <v>62</v>
      </c>
      <c r="U241" s="19" t="s">
        <v>1167</v>
      </c>
      <c r="V241" s="18" t="s">
        <v>69</v>
      </c>
      <c r="W241" t="str">
        <f t="shared" si="12"/>
        <v>Blacklisted</v>
      </c>
      <c r="X241" s="27" t="str">
        <f t="shared" si="13"/>
        <v>Pooja Shah</v>
      </c>
      <c r="Y241" s="29" t="str">
        <f t="shared" si="14"/>
        <v>Poo01IDHy</v>
      </c>
      <c r="Z241" s="30" t="str">
        <f t="shared" si="15"/>
        <v>pooja.shah@company.com</v>
      </c>
    </row>
    <row r="242" spans="1:26">
      <c r="A242" s="15" t="s">
        <v>1168</v>
      </c>
      <c r="B242" s="15" t="s">
        <v>168</v>
      </c>
      <c r="C242" s="15" t="s">
        <v>169</v>
      </c>
      <c r="D242" s="15" t="s">
        <v>119</v>
      </c>
      <c r="E242" s="15" t="s">
        <v>120</v>
      </c>
      <c r="F242" s="15" t="s">
        <v>361</v>
      </c>
      <c r="G242" s="15" t="s">
        <v>28</v>
      </c>
      <c r="H242" s="15" t="s">
        <v>1169</v>
      </c>
      <c r="I242" s="15" t="s">
        <v>114</v>
      </c>
      <c r="J242" s="15" t="s">
        <v>106</v>
      </c>
      <c r="K242" s="15" t="s">
        <v>32</v>
      </c>
      <c r="L242" s="15" t="s">
        <v>174</v>
      </c>
      <c r="M242" s="15">
        <v>16</v>
      </c>
      <c r="N242" s="15">
        <v>8500</v>
      </c>
      <c r="O242" s="15">
        <v>15</v>
      </c>
      <c r="P242" s="15">
        <v>115600</v>
      </c>
      <c r="Q242" s="15">
        <v>4</v>
      </c>
      <c r="R242" s="15" t="s">
        <v>48</v>
      </c>
      <c r="S242" s="15" t="s">
        <v>35</v>
      </c>
      <c r="T242" s="15" t="s">
        <v>175</v>
      </c>
      <c r="U242" s="17" t="s">
        <v>1170</v>
      </c>
      <c r="V242" s="15" t="s">
        <v>69</v>
      </c>
      <c r="W242" t="str">
        <f t="shared" si="12"/>
        <v>Blacklisted</v>
      </c>
      <c r="X242" s="27" t="str">
        <f t="shared" si="13"/>
        <v>Anita Gupta</v>
      </c>
      <c r="Y242" s="29" t="str">
        <f t="shared" si="14"/>
        <v>Ani00IDPu</v>
      </c>
      <c r="Z242" s="30" t="str">
        <f t="shared" si="15"/>
        <v>anita.gupta@company.com</v>
      </c>
    </row>
    <row r="243" spans="1:26">
      <c r="A243" s="18" t="s">
        <v>1171</v>
      </c>
      <c r="B243" s="18" t="s">
        <v>168</v>
      </c>
      <c r="C243" s="18" t="s">
        <v>222</v>
      </c>
      <c r="D243" s="18" t="s">
        <v>445</v>
      </c>
      <c r="E243" s="18" t="s">
        <v>1172</v>
      </c>
      <c r="F243" s="18" t="s">
        <v>361</v>
      </c>
      <c r="G243" s="18" t="s">
        <v>28</v>
      </c>
      <c r="H243" s="18" t="s">
        <v>1173</v>
      </c>
      <c r="I243" s="18" t="s">
        <v>294</v>
      </c>
      <c r="J243" s="18" t="s">
        <v>295</v>
      </c>
      <c r="K243" s="18" t="s">
        <v>122</v>
      </c>
      <c r="L243" s="18" t="s">
        <v>227</v>
      </c>
      <c r="M243" s="18">
        <v>15</v>
      </c>
      <c r="N243" s="18">
        <v>20</v>
      </c>
      <c r="O243" s="18">
        <v>20</v>
      </c>
      <c r="P243" s="18">
        <v>240</v>
      </c>
      <c r="Q243" s="18">
        <v>3</v>
      </c>
      <c r="R243" s="18" t="s">
        <v>48</v>
      </c>
      <c r="S243" s="18" t="s">
        <v>49</v>
      </c>
      <c r="T243" s="18" t="s">
        <v>175</v>
      </c>
      <c r="U243" s="19" t="s">
        <v>1174</v>
      </c>
      <c r="V243" s="18" t="s">
        <v>69</v>
      </c>
      <c r="W243" t="str">
        <f t="shared" si="12"/>
        <v>Blacklisted</v>
      </c>
      <c r="X243" s="27" t="str">
        <f t="shared" si="13"/>
        <v>Anita Gupta</v>
      </c>
      <c r="Y243" s="29" t="str">
        <f t="shared" si="14"/>
        <v>Ani00IDKo</v>
      </c>
      <c r="Z243" s="30" t="str">
        <f t="shared" si="15"/>
        <v>anita.gupta@company.com</v>
      </c>
    </row>
    <row r="244" spans="1:26">
      <c r="A244" s="15" t="s">
        <v>1175</v>
      </c>
      <c r="B244" s="15" t="s">
        <v>83</v>
      </c>
      <c r="C244" s="15" t="s">
        <v>118</v>
      </c>
      <c r="D244" s="15" t="s">
        <v>440</v>
      </c>
      <c r="E244" s="15" t="s">
        <v>1176</v>
      </c>
      <c r="F244" s="15" t="s">
        <v>180</v>
      </c>
      <c r="G244" s="15" t="s">
        <v>76</v>
      </c>
      <c r="H244" s="15" t="s">
        <v>1177</v>
      </c>
      <c r="I244" s="15" t="s">
        <v>59</v>
      </c>
      <c r="J244" s="15" t="s">
        <v>31</v>
      </c>
      <c r="K244" s="15" t="s">
        <v>122</v>
      </c>
      <c r="L244" s="15" t="s">
        <v>123</v>
      </c>
      <c r="M244" s="15">
        <v>14</v>
      </c>
      <c r="N244" s="15">
        <v>60</v>
      </c>
      <c r="O244" s="15">
        <v>5</v>
      </c>
      <c r="P244" s="15">
        <v>798</v>
      </c>
      <c r="Q244" s="15">
        <v>4</v>
      </c>
      <c r="R244" s="15" t="s">
        <v>34</v>
      </c>
      <c r="S244" s="15" t="s">
        <v>49</v>
      </c>
      <c r="T244" s="15" t="s">
        <v>89</v>
      </c>
      <c r="U244" s="17" t="s">
        <v>1178</v>
      </c>
      <c r="V244" s="15" t="s">
        <v>38</v>
      </c>
      <c r="W244" t="str">
        <f t="shared" si="12"/>
        <v>Silver</v>
      </c>
      <c r="X244" s="27" t="str">
        <f t="shared" si="13"/>
        <v>Arjun Rao</v>
      </c>
      <c r="Y244" s="29" t="str">
        <f t="shared" si="14"/>
        <v>Arj00IDBe</v>
      </c>
      <c r="Z244" s="30" t="str">
        <f t="shared" si="15"/>
        <v>arjun.rao@company.com</v>
      </c>
    </row>
    <row r="245" spans="1:26">
      <c r="A245" s="18" t="s">
        <v>1179</v>
      </c>
      <c r="B245" s="18" t="s">
        <v>53</v>
      </c>
      <c r="C245" s="18" t="s">
        <v>72</v>
      </c>
      <c r="D245" s="18" t="s">
        <v>1180</v>
      </c>
      <c r="E245" s="18" t="s">
        <v>1181</v>
      </c>
      <c r="F245" s="18" t="s">
        <v>163</v>
      </c>
      <c r="G245" s="18" t="s">
        <v>28</v>
      </c>
      <c r="H245" s="18" t="s">
        <v>1182</v>
      </c>
      <c r="I245" s="18" t="s">
        <v>105</v>
      </c>
      <c r="J245" s="18" t="s">
        <v>106</v>
      </c>
      <c r="K245" s="18" t="s">
        <v>46</v>
      </c>
      <c r="L245" s="18" t="s">
        <v>78</v>
      </c>
      <c r="M245" s="18">
        <v>19</v>
      </c>
      <c r="N245" s="18">
        <v>1200</v>
      </c>
      <c r="O245" s="18">
        <v>20</v>
      </c>
      <c r="P245" s="18">
        <v>18240</v>
      </c>
      <c r="Q245" s="18">
        <v>2</v>
      </c>
      <c r="R245" s="18" t="s">
        <v>34</v>
      </c>
      <c r="S245" s="18" t="s">
        <v>115</v>
      </c>
      <c r="T245" s="18" t="s">
        <v>62</v>
      </c>
      <c r="U245" s="19" t="s">
        <v>1183</v>
      </c>
      <c r="V245" s="18" t="s">
        <v>69</v>
      </c>
      <c r="W245" t="str">
        <f t="shared" si="12"/>
        <v>Blacklisted</v>
      </c>
      <c r="X245" s="27" t="str">
        <f t="shared" si="13"/>
        <v>Pooja Shah</v>
      </c>
      <c r="Y245" s="29" t="str">
        <f t="shared" si="14"/>
        <v>Poo01IDMu</v>
      </c>
      <c r="Z245" s="30" t="str">
        <f t="shared" si="15"/>
        <v>pooja.shah@company.com</v>
      </c>
    </row>
    <row r="246" spans="1:26">
      <c r="A246" s="15" t="s">
        <v>1184</v>
      </c>
      <c r="B246" s="15" t="s">
        <v>23</v>
      </c>
      <c r="C246" s="15" t="s">
        <v>259</v>
      </c>
      <c r="D246" s="15" t="s">
        <v>340</v>
      </c>
      <c r="E246" s="15" t="s">
        <v>346</v>
      </c>
      <c r="F246" s="15" t="s">
        <v>27</v>
      </c>
      <c r="G246" s="15" t="s">
        <v>28</v>
      </c>
      <c r="H246" s="15" t="s">
        <v>1185</v>
      </c>
      <c r="I246" s="15" t="s">
        <v>59</v>
      </c>
      <c r="J246" s="15" t="s">
        <v>31</v>
      </c>
      <c r="K246" s="15" t="s">
        <v>122</v>
      </c>
      <c r="L246" s="15" t="s">
        <v>263</v>
      </c>
      <c r="M246" s="15">
        <v>5</v>
      </c>
      <c r="N246" s="15">
        <v>45</v>
      </c>
      <c r="O246" s="15">
        <v>15</v>
      </c>
      <c r="P246" s="15">
        <v>191.25</v>
      </c>
      <c r="Q246" s="15">
        <v>2</v>
      </c>
      <c r="R246" s="15" t="s">
        <v>34</v>
      </c>
      <c r="S246" s="15" t="s">
        <v>61</v>
      </c>
      <c r="T246" s="15" t="s">
        <v>50</v>
      </c>
      <c r="U246" s="17" t="s">
        <v>1186</v>
      </c>
      <c r="V246" s="15" t="s">
        <v>69</v>
      </c>
      <c r="W246" t="str">
        <f t="shared" si="12"/>
        <v>Blacklisted</v>
      </c>
      <c r="X246" s="27" t="str">
        <f t="shared" si="13"/>
        <v>Kavya Nair</v>
      </c>
      <c r="Y246" s="29" t="str">
        <f t="shared" si="14"/>
        <v>Kav00IDBe</v>
      </c>
      <c r="Z246" s="30" t="str">
        <f t="shared" si="15"/>
        <v>kavya.nair@company.com</v>
      </c>
    </row>
    <row r="247" spans="1:26">
      <c r="A247" s="18" t="s">
        <v>1187</v>
      </c>
      <c r="B247" s="18" t="s">
        <v>327</v>
      </c>
      <c r="C247" s="18" t="s">
        <v>184</v>
      </c>
      <c r="D247" s="18" t="s">
        <v>237</v>
      </c>
      <c r="E247" s="18" t="s">
        <v>1188</v>
      </c>
      <c r="F247" s="18" t="s">
        <v>394</v>
      </c>
      <c r="G247" s="18" t="s">
        <v>76</v>
      </c>
      <c r="H247" s="18" t="s">
        <v>1189</v>
      </c>
      <c r="I247" s="18" t="s">
        <v>30</v>
      </c>
      <c r="J247" s="18" t="s">
        <v>31</v>
      </c>
      <c r="K247" s="18" t="s">
        <v>46</v>
      </c>
      <c r="L247" s="18" t="s">
        <v>189</v>
      </c>
      <c r="M247" s="18">
        <v>19</v>
      </c>
      <c r="N247" s="18">
        <v>700</v>
      </c>
      <c r="O247" s="18">
        <v>5</v>
      </c>
      <c r="P247" s="18">
        <v>12635</v>
      </c>
      <c r="Q247" s="18">
        <v>5</v>
      </c>
      <c r="R247" s="18" t="s">
        <v>88</v>
      </c>
      <c r="S247" s="18" t="s">
        <v>151</v>
      </c>
      <c r="T247" s="18" t="s">
        <v>332</v>
      </c>
      <c r="U247" s="19" t="s">
        <v>1190</v>
      </c>
      <c r="V247" s="18" t="s">
        <v>38</v>
      </c>
      <c r="W247" t="str">
        <f t="shared" si="12"/>
        <v>Silver</v>
      </c>
      <c r="X247" s="27" t="str">
        <f t="shared" si="13"/>
        <v>Amit Sharma</v>
      </c>
      <c r="Y247" s="29" t="str">
        <f t="shared" si="14"/>
        <v>Ami00IDHy</v>
      </c>
      <c r="Z247" s="30" t="str">
        <f t="shared" si="15"/>
        <v>amit.sharma@company.com</v>
      </c>
    </row>
    <row r="248" spans="1:26">
      <c r="A248" s="15" t="s">
        <v>1191</v>
      </c>
      <c r="B248" s="15" t="s">
        <v>127</v>
      </c>
      <c r="C248" s="15" t="s">
        <v>118</v>
      </c>
      <c r="D248" s="15" t="s">
        <v>464</v>
      </c>
      <c r="E248" s="15" t="s">
        <v>84</v>
      </c>
      <c r="F248" s="15" t="s">
        <v>200</v>
      </c>
      <c r="G248" s="15" t="s">
        <v>76</v>
      </c>
      <c r="H248" s="15" t="s">
        <v>1192</v>
      </c>
      <c r="I248" s="15" t="s">
        <v>294</v>
      </c>
      <c r="J248" s="15" t="s">
        <v>295</v>
      </c>
      <c r="K248" s="15" t="s">
        <v>122</v>
      </c>
      <c r="L248" s="15" t="s">
        <v>123</v>
      </c>
      <c r="M248" s="15">
        <v>7</v>
      </c>
      <c r="N248" s="15">
        <v>60</v>
      </c>
      <c r="O248" s="15">
        <v>0</v>
      </c>
      <c r="P248" s="15">
        <v>420</v>
      </c>
      <c r="Q248" s="15">
        <v>4</v>
      </c>
      <c r="R248" s="15" t="s">
        <v>34</v>
      </c>
      <c r="S248" s="15" t="s">
        <v>115</v>
      </c>
      <c r="T248" s="15" t="s">
        <v>132</v>
      </c>
      <c r="U248" s="17" t="s">
        <v>1193</v>
      </c>
      <c r="V248" s="15" t="s">
        <v>64</v>
      </c>
      <c r="W248" t="str">
        <f t="shared" si="12"/>
        <v>Blacklisted</v>
      </c>
      <c r="X248" s="27" t="str">
        <f t="shared" si="13"/>
        <v>Rohit Singh</v>
      </c>
      <c r="Y248" s="29" t="str">
        <f t="shared" si="14"/>
        <v>Roh00IDKo</v>
      </c>
      <c r="Z248" s="30" t="str">
        <f t="shared" si="15"/>
        <v>rohit.singh@company.com</v>
      </c>
    </row>
    <row r="249" spans="1:26">
      <c r="A249" s="18" t="s">
        <v>1194</v>
      </c>
      <c r="B249" s="18" t="s">
        <v>71</v>
      </c>
      <c r="C249" s="18" t="s">
        <v>24</v>
      </c>
      <c r="D249" s="18" t="s">
        <v>215</v>
      </c>
      <c r="E249" s="18" t="s">
        <v>711</v>
      </c>
      <c r="F249" s="18" t="s">
        <v>217</v>
      </c>
      <c r="G249" s="18" t="s">
        <v>76</v>
      </c>
      <c r="H249" s="18" t="s">
        <v>1195</v>
      </c>
      <c r="I249" s="18" t="s">
        <v>105</v>
      </c>
      <c r="J249" s="18" t="s">
        <v>106</v>
      </c>
      <c r="K249" s="18" t="s">
        <v>32</v>
      </c>
      <c r="L249" s="18" t="s">
        <v>33</v>
      </c>
      <c r="M249" s="18">
        <v>13</v>
      </c>
      <c r="N249" s="18">
        <v>2200</v>
      </c>
      <c r="O249" s="18">
        <v>10</v>
      </c>
      <c r="P249" s="18">
        <v>25740</v>
      </c>
      <c r="Q249" s="18">
        <v>1</v>
      </c>
      <c r="R249" s="18" t="s">
        <v>79</v>
      </c>
      <c r="S249" s="18" t="s">
        <v>151</v>
      </c>
      <c r="T249" s="18" t="s">
        <v>80</v>
      </c>
      <c r="U249" s="19" t="s">
        <v>1196</v>
      </c>
      <c r="V249" s="18" t="s">
        <v>38</v>
      </c>
      <c r="W249" t="str">
        <f t="shared" si="12"/>
        <v>Blacklisted</v>
      </c>
      <c r="X249" s="27" t="str">
        <f t="shared" si="13"/>
        <v>Mohit Verma</v>
      </c>
      <c r="Y249" s="29" t="str">
        <f t="shared" si="14"/>
        <v>Moh00IDMu</v>
      </c>
      <c r="Z249" s="30" t="str">
        <f t="shared" si="15"/>
        <v>mohit.verma@company.com</v>
      </c>
    </row>
    <row r="250" spans="1:26">
      <c r="A250" s="15" t="s">
        <v>1197</v>
      </c>
      <c r="B250" s="15" t="s">
        <v>71</v>
      </c>
      <c r="C250" s="15" t="s">
        <v>24</v>
      </c>
      <c r="D250" s="15" t="s">
        <v>1198</v>
      </c>
      <c r="E250" s="15" t="s">
        <v>1199</v>
      </c>
      <c r="F250" s="15" t="s">
        <v>217</v>
      </c>
      <c r="G250" s="15" t="s">
        <v>76</v>
      </c>
      <c r="H250" s="15" t="s">
        <v>1200</v>
      </c>
      <c r="I250" s="15" t="s">
        <v>59</v>
      </c>
      <c r="J250" s="15" t="s">
        <v>31</v>
      </c>
      <c r="K250" s="15" t="s">
        <v>32</v>
      </c>
      <c r="L250" s="15" t="s">
        <v>33</v>
      </c>
      <c r="M250" s="15">
        <v>9</v>
      </c>
      <c r="N250" s="15">
        <v>2200</v>
      </c>
      <c r="O250" s="15">
        <v>10</v>
      </c>
      <c r="P250" s="15">
        <v>17820</v>
      </c>
      <c r="Q250" s="15">
        <v>2</v>
      </c>
      <c r="R250" s="15" t="s">
        <v>1201</v>
      </c>
      <c r="S250" s="15" t="s">
        <v>61</v>
      </c>
      <c r="T250" s="15" t="s">
        <v>80</v>
      </c>
      <c r="U250" s="17" t="s">
        <v>1202</v>
      </c>
      <c r="V250" s="15" t="s">
        <v>69</v>
      </c>
      <c r="W250" t="str">
        <f t="shared" si="12"/>
        <v>Blacklisted</v>
      </c>
      <c r="X250" s="27" t="str">
        <f t="shared" si="13"/>
        <v>Mohit Verma</v>
      </c>
      <c r="Y250" s="29" t="str">
        <f t="shared" si="14"/>
        <v>Moh00IDBe</v>
      </c>
      <c r="Z250" s="30" t="str">
        <f t="shared" si="15"/>
        <v>mohit.verma@company.com</v>
      </c>
    </row>
    <row r="251" spans="1:26">
      <c r="A251" s="18" t="s">
        <v>1203</v>
      </c>
      <c r="B251" s="18" t="s">
        <v>327</v>
      </c>
      <c r="C251" s="18" t="s">
        <v>169</v>
      </c>
      <c r="D251" s="18" t="s">
        <v>944</v>
      </c>
      <c r="E251" s="18" t="s">
        <v>1204</v>
      </c>
      <c r="F251" s="18" t="s">
        <v>394</v>
      </c>
      <c r="G251" s="18" t="s">
        <v>76</v>
      </c>
      <c r="H251" s="18" t="s">
        <v>1205</v>
      </c>
      <c r="I251" s="18" t="s">
        <v>59</v>
      </c>
      <c r="J251" s="18" t="s">
        <v>31</v>
      </c>
      <c r="K251" s="18" t="s">
        <v>32</v>
      </c>
      <c r="L251" s="18" t="s">
        <v>174</v>
      </c>
      <c r="M251" s="18">
        <v>6</v>
      </c>
      <c r="N251" s="18">
        <v>8500</v>
      </c>
      <c r="O251" s="18">
        <v>15</v>
      </c>
      <c r="P251" s="18">
        <v>43350</v>
      </c>
      <c r="Q251" s="18">
        <v>2</v>
      </c>
      <c r="R251" s="18" t="s">
        <v>34</v>
      </c>
      <c r="S251" s="18" t="s">
        <v>151</v>
      </c>
      <c r="T251" s="18" t="s">
        <v>332</v>
      </c>
      <c r="U251" s="19" t="s">
        <v>1206</v>
      </c>
      <c r="V251" s="18" t="s">
        <v>69</v>
      </c>
      <c r="W251" t="str">
        <f t="shared" si="12"/>
        <v>Blacklisted</v>
      </c>
      <c r="X251" s="27" t="str">
        <f t="shared" si="13"/>
        <v>Amit Sharma</v>
      </c>
      <c r="Y251" s="29" t="str">
        <f t="shared" si="14"/>
        <v>Ami00IDBe</v>
      </c>
      <c r="Z251" s="30" t="str">
        <f t="shared" si="15"/>
        <v>amit.sharma@company.com</v>
      </c>
    </row>
    <row r="252" spans="1:26">
      <c r="A252" s="15" t="s">
        <v>1207</v>
      </c>
      <c r="B252" s="15" t="s">
        <v>221</v>
      </c>
      <c r="C252" s="15" t="s">
        <v>24</v>
      </c>
      <c r="D252" s="15" t="s">
        <v>736</v>
      </c>
      <c r="E252" s="15" t="s">
        <v>94</v>
      </c>
      <c r="F252" s="15" t="s">
        <v>225</v>
      </c>
      <c r="G252" s="15" t="s">
        <v>76</v>
      </c>
      <c r="H252" s="15" t="s">
        <v>1208</v>
      </c>
      <c r="I252" s="15" t="s">
        <v>44</v>
      </c>
      <c r="J252" s="15" t="s">
        <v>45</v>
      </c>
      <c r="K252" s="15" t="s">
        <v>32</v>
      </c>
      <c r="L252" s="15" t="s">
        <v>33</v>
      </c>
      <c r="M252" s="15">
        <v>9</v>
      </c>
      <c r="N252" s="15">
        <v>2200</v>
      </c>
      <c r="O252" s="15">
        <v>10</v>
      </c>
      <c r="P252" s="15">
        <v>17820</v>
      </c>
      <c r="Q252" s="15">
        <v>3</v>
      </c>
      <c r="R252" s="15" t="s">
        <v>79</v>
      </c>
      <c r="S252" s="15" t="s">
        <v>35</v>
      </c>
      <c r="T252" s="15" t="s">
        <v>228</v>
      </c>
      <c r="U252" s="17" t="s">
        <v>1209</v>
      </c>
      <c r="V252" s="15" t="s">
        <v>64</v>
      </c>
      <c r="W252" t="str">
        <f t="shared" si="12"/>
        <v>Blacklisted</v>
      </c>
      <c r="X252" s="27" t="str">
        <f t="shared" si="13"/>
        <v>Vikas Mehta</v>
      </c>
      <c r="Y252" s="29" t="str">
        <f t="shared" si="14"/>
        <v>Vik00IDDe</v>
      </c>
      <c r="Z252" s="30" t="str">
        <f t="shared" si="15"/>
        <v>vikas.mehta@company.com</v>
      </c>
    </row>
    <row r="253" spans="1:26">
      <c r="A253" s="18" t="s">
        <v>1210</v>
      </c>
      <c r="B253" s="18" t="s">
        <v>23</v>
      </c>
      <c r="C253" s="18" t="s">
        <v>169</v>
      </c>
      <c r="D253" s="18" t="s">
        <v>825</v>
      </c>
      <c r="E253" s="18" t="s">
        <v>876</v>
      </c>
      <c r="F253" s="18" t="s">
        <v>27</v>
      </c>
      <c r="G253" s="18" t="s">
        <v>28</v>
      </c>
      <c r="H253" s="18" t="s">
        <v>1211</v>
      </c>
      <c r="I253" s="18" t="s">
        <v>294</v>
      </c>
      <c r="J253" s="18" t="s">
        <v>295</v>
      </c>
      <c r="K253" s="18" t="s">
        <v>32</v>
      </c>
      <c r="L253" s="18" t="s">
        <v>174</v>
      </c>
      <c r="M253" s="18">
        <v>16</v>
      </c>
      <c r="N253" s="18">
        <v>8500</v>
      </c>
      <c r="O253" s="18">
        <v>0</v>
      </c>
      <c r="P253" s="18">
        <v>136000</v>
      </c>
      <c r="Q253" s="18">
        <v>5</v>
      </c>
      <c r="R253" s="18" t="s">
        <v>88</v>
      </c>
      <c r="S253" s="18" t="s">
        <v>115</v>
      </c>
      <c r="T253" s="18" t="s">
        <v>50</v>
      </c>
      <c r="U253" s="19" t="s">
        <v>1212</v>
      </c>
      <c r="V253" s="18" t="s">
        <v>69</v>
      </c>
      <c r="W253" t="str">
        <f t="shared" si="12"/>
        <v>Blacklisted</v>
      </c>
      <c r="X253" s="27" t="str">
        <f t="shared" si="13"/>
        <v>Kavya Nair</v>
      </c>
      <c r="Y253" s="29" t="str">
        <f t="shared" si="14"/>
        <v>Kav00IDKo</v>
      </c>
      <c r="Z253" s="30" t="str">
        <f t="shared" si="15"/>
        <v>kavya.nair@company.com</v>
      </c>
    </row>
    <row r="254" spans="1:26">
      <c r="A254" s="15" t="s">
        <v>1213</v>
      </c>
      <c r="B254" s="15" t="s">
        <v>327</v>
      </c>
      <c r="C254" s="15" t="s">
        <v>72</v>
      </c>
      <c r="D254" s="15" t="s">
        <v>1214</v>
      </c>
      <c r="E254" s="15" t="s">
        <v>692</v>
      </c>
      <c r="F254" s="15" t="s">
        <v>394</v>
      </c>
      <c r="G254" s="15" t="s">
        <v>76</v>
      </c>
      <c r="H254" s="15" t="s">
        <v>1215</v>
      </c>
      <c r="I254" s="15" t="s">
        <v>44</v>
      </c>
      <c r="J254" s="15" t="s">
        <v>45</v>
      </c>
      <c r="K254" s="15" t="s">
        <v>46</v>
      </c>
      <c r="L254" s="15" t="s">
        <v>78</v>
      </c>
      <c r="M254" s="15">
        <v>10</v>
      </c>
      <c r="N254" s="15">
        <v>1200</v>
      </c>
      <c r="O254" s="15">
        <v>15</v>
      </c>
      <c r="P254" s="15">
        <v>10200</v>
      </c>
      <c r="Q254" s="15">
        <v>5</v>
      </c>
      <c r="R254" s="15" t="s">
        <v>34</v>
      </c>
      <c r="S254" s="15" t="s">
        <v>49</v>
      </c>
      <c r="T254" s="15" t="s">
        <v>332</v>
      </c>
      <c r="U254" s="17" t="s">
        <v>1216</v>
      </c>
      <c r="V254" s="15" t="s">
        <v>38</v>
      </c>
      <c r="W254" t="str">
        <f t="shared" si="12"/>
        <v>Silver</v>
      </c>
      <c r="X254" s="27" t="str">
        <f t="shared" si="13"/>
        <v>Amit Sharma</v>
      </c>
      <c r="Y254" s="29" t="str">
        <f t="shared" si="14"/>
        <v>Ami00IDDe</v>
      </c>
      <c r="Z254" s="30" t="str">
        <f t="shared" si="15"/>
        <v>amit.sharma@company.com</v>
      </c>
    </row>
    <row r="255" spans="1:26">
      <c r="A255" s="18" t="s">
        <v>1217</v>
      </c>
      <c r="B255" s="18" t="s">
        <v>127</v>
      </c>
      <c r="C255" s="18" t="s">
        <v>40</v>
      </c>
      <c r="D255" s="18" t="s">
        <v>413</v>
      </c>
      <c r="E255" s="18" t="s">
        <v>136</v>
      </c>
      <c r="F255" s="18" t="s">
        <v>200</v>
      </c>
      <c r="G255" s="18" t="s">
        <v>76</v>
      </c>
      <c r="H255" s="18" t="s">
        <v>1218</v>
      </c>
      <c r="I255" s="18" t="s">
        <v>294</v>
      </c>
      <c r="J255" s="18" t="s">
        <v>295</v>
      </c>
      <c r="K255" s="18" t="s">
        <v>46</v>
      </c>
      <c r="L255" s="18" t="s">
        <v>47</v>
      </c>
      <c r="M255" s="18">
        <v>7</v>
      </c>
      <c r="N255" s="18">
        <v>12000</v>
      </c>
      <c r="O255" s="18">
        <v>0</v>
      </c>
      <c r="P255" s="18">
        <v>84000</v>
      </c>
      <c r="Q255" s="18">
        <v>1</v>
      </c>
      <c r="R255" s="18" t="s">
        <v>88</v>
      </c>
      <c r="S255" s="18" t="s">
        <v>151</v>
      </c>
      <c r="T255" s="18" t="s">
        <v>132</v>
      </c>
      <c r="U255" s="19" t="s">
        <v>1219</v>
      </c>
      <c r="V255" s="18" t="s">
        <v>64</v>
      </c>
      <c r="W255" t="str">
        <f t="shared" si="12"/>
        <v>Blacklisted</v>
      </c>
      <c r="X255" s="27" t="str">
        <f t="shared" si="13"/>
        <v>Rohit Singh</v>
      </c>
      <c r="Y255" s="29" t="str">
        <f t="shared" si="14"/>
        <v>Roh00IDKo</v>
      </c>
      <c r="Z255" s="30" t="str">
        <f t="shared" si="15"/>
        <v>rohit.singh@company.com</v>
      </c>
    </row>
    <row r="256" spans="1:26">
      <c r="A256" s="15" t="s">
        <v>1220</v>
      </c>
      <c r="B256" s="15" t="s">
        <v>221</v>
      </c>
      <c r="C256" s="15" t="s">
        <v>40</v>
      </c>
      <c r="D256" s="15" t="s">
        <v>128</v>
      </c>
      <c r="E256" s="15" t="s">
        <v>1221</v>
      </c>
      <c r="F256" s="15" t="s">
        <v>225</v>
      </c>
      <c r="G256" s="15" t="s">
        <v>76</v>
      </c>
      <c r="H256" s="15" t="s">
        <v>1222</v>
      </c>
      <c r="I256" s="15" t="s">
        <v>114</v>
      </c>
      <c r="J256" s="15" t="s">
        <v>106</v>
      </c>
      <c r="K256" s="15" t="s">
        <v>46</v>
      </c>
      <c r="L256" s="15" t="s">
        <v>47</v>
      </c>
      <c r="M256" s="15">
        <v>3</v>
      </c>
      <c r="N256" s="15">
        <v>12000</v>
      </c>
      <c r="O256" s="15">
        <v>10</v>
      </c>
      <c r="P256" s="15">
        <v>32400</v>
      </c>
      <c r="Q256" s="15">
        <v>4</v>
      </c>
      <c r="R256" s="15" t="s">
        <v>79</v>
      </c>
      <c r="S256" s="15" t="s">
        <v>151</v>
      </c>
      <c r="T256" s="15" t="s">
        <v>228</v>
      </c>
      <c r="U256" s="17" t="s">
        <v>1223</v>
      </c>
      <c r="V256" s="15" t="s">
        <v>38</v>
      </c>
      <c r="W256" t="str">
        <f t="shared" si="12"/>
        <v>Silver</v>
      </c>
      <c r="X256" s="27" t="str">
        <f t="shared" si="13"/>
        <v>Vikas Mehta</v>
      </c>
      <c r="Y256" s="29" t="str">
        <f t="shared" si="14"/>
        <v>Vik00IDPu</v>
      </c>
      <c r="Z256" s="30" t="str">
        <f t="shared" si="15"/>
        <v>vikas.mehta@company.com</v>
      </c>
    </row>
    <row r="257" spans="1:26">
      <c r="A257" s="18" t="s">
        <v>1224</v>
      </c>
      <c r="B257" s="18" t="s">
        <v>221</v>
      </c>
      <c r="C257" s="18" t="s">
        <v>40</v>
      </c>
      <c r="D257" s="18" t="s">
        <v>1225</v>
      </c>
      <c r="E257" s="18" t="s">
        <v>927</v>
      </c>
      <c r="F257" s="18" t="s">
        <v>225</v>
      </c>
      <c r="G257" s="18" t="s">
        <v>76</v>
      </c>
      <c r="H257" s="18" t="s">
        <v>1226</v>
      </c>
      <c r="I257" s="18" t="s">
        <v>30</v>
      </c>
      <c r="J257" s="18" t="s">
        <v>31</v>
      </c>
      <c r="K257" s="18" t="s">
        <v>46</v>
      </c>
      <c r="L257" s="18" t="s">
        <v>47</v>
      </c>
      <c r="M257" s="18">
        <v>4</v>
      </c>
      <c r="N257" s="18">
        <v>12000</v>
      </c>
      <c r="O257" s="18">
        <v>15</v>
      </c>
      <c r="P257" s="18">
        <v>40800</v>
      </c>
      <c r="Q257" s="18">
        <v>3</v>
      </c>
      <c r="R257" s="18" t="s">
        <v>79</v>
      </c>
      <c r="S257" s="18" t="s">
        <v>35</v>
      </c>
      <c r="T257" s="18" t="s">
        <v>228</v>
      </c>
      <c r="U257" s="19" t="s">
        <v>1227</v>
      </c>
      <c r="V257" s="18" t="s">
        <v>64</v>
      </c>
      <c r="W257" t="str">
        <f t="shared" si="12"/>
        <v>Blacklisted</v>
      </c>
      <c r="X257" s="27" t="str">
        <f t="shared" si="13"/>
        <v>Vikas Mehta</v>
      </c>
      <c r="Y257" s="29" t="str">
        <f t="shared" si="14"/>
        <v>Vik00IDHy</v>
      </c>
      <c r="Z257" s="30" t="str">
        <f t="shared" si="15"/>
        <v>vikas.mehta@company.com</v>
      </c>
    </row>
    <row r="258" spans="1:26">
      <c r="A258" s="15" t="s">
        <v>1228</v>
      </c>
      <c r="B258" s="15" t="s">
        <v>127</v>
      </c>
      <c r="C258" s="15" t="s">
        <v>40</v>
      </c>
      <c r="D258" s="15" t="s">
        <v>260</v>
      </c>
      <c r="E258" s="15" t="s">
        <v>498</v>
      </c>
      <c r="F258" s="15" t="s">
        <v>200</v>
      </c>
      <c r="G258" s="15" t="s">
        <v>76</v>
      </c>
      <c r="H258" s="15" t="s">
        <v>1229</v>
      </c>
      <c r="I258" s="15" t="s">
        <v>30</v>
      </c>
      <c r="J258" s="15" t="s">
        <v>31</v>
      </c>
      <c r="K258" s="15" t="s">
        <v>46</v>
      </c>
      <c r="L258" s="15" t="s">
        <v>47</v>
      </c>
      <c r="M258" s="15">
        <v>13</v>
      </c>
      <c r="N258" s="15">
        <v>12000</v>
      </c>
      <c r="O258" s="15">
        <v>10</v>
      </c>
      <c r="P258" s="15">
        <v>140400</v>
      </c>
      <c r="Q258" s="15">
        <v>2</v>
      </c>
      <c r="R258" s="15" t="s">
        <v>34</v>
      </c>
      <c r="S258" s="15" t="s">
        <v>151</v>
      </c>
      <c r="T258" s="15" t="s">
        <v>132</v>
      </c>
      <c r="U258" s="17" t="s">
        <v>1230</v>
      </c>
      <c r="V258" s="15" t="s">
        <v>69</v>
      </c>
      <c r="W258" t="str">
        <f t="shared" si="12"/>
        <v>Blacklisted</v>
      </c>
      <c r="X258" s="27" t="str">
        <f t="shared" si="13"/>
        <v>Rohit Singh</v>
      </c>
      <c r="Y258" s="29" t="str">
        <f t="shared" si="14"/>
        <v>Roh00IDHy</v>
      </c>
      <c r="Z258" s="30" t="str">
        <f t="shared" si="15"/>
        <v>rohit.singh@company.com</v>
      </c>
    </row>
    <row r="259" spans="1:26">
      <c r="A259" s="18" t="s">
        <v>1231</v>
      </c>
      <c r="B259" s="18" t="s">
        <v>23</v>
      </c>
      <c r="C259" s="18" t="s">
        <v>92</v>
      </c>
      <c r="D259" s="18" t="s">
        <v>318</v>
      </c>
      <c r="E259" s="18" t="s">
        <v>679</v>
      </c>
      <c r="F259" s="18" t="s">
        <v>27</v>
      </c>
      <c r="G259" s="18" t="s">
        <v>28</v>
      </c>
      <c r="H259" s="18" t="s">
        <v>1232</v>
      </c>
      <c r="I259" s="18" t="s">
        <v>59</v>
      </c>
      <c r="J259" s="18" t="s">
        <v>31</v>
      </c>
      <c r="K259" s="18" t="s">
        <v>32</v>
      </c>
      <c r="L259" s="18" t="s">
        <v>97</v>
      </c>
      <c r="M259" s="18">
        <v>19</v>
      </c>
      <c r="N259" s="18">
        <v>3500</v>
      </c>
      <c r="O259" s="18">
        <v>20</v>
      </c>
      <c r="P259" s="18">
        <v>53200</v>
      </c>
      <c r="Q259" s="18">
        <v>1</v>
      </c>
      <c r="R259" s="18" t="s">
        <v>34</v>
      </c>
      <c r="S259" s="18" t="s">
        <v>61</v>
      </c>
      <c r="T259" s="18" t="s">
        <v>50</v>
      </c>
      <c r="U259" s="19" t="s">
        <v>1233</v>
      </c>
      <c r="V259" s="18" t="s">
        <v>69</v>
      </c>
      <c r="W259" t="str">
        <f t="shared" ref="W259:W322" si="16">IF(OR(Q259&lt;=2,V259="Cancelled"),"Blacklisted",IF(AND(P259&gt;=100000,Q259&gt;=4,O259&lt;10,V259="Completed"),"Platinum",IF(AND(P259&gt;=50000,P259&lt;=99999,Q259&gt;=3,V259="Completed"),"Gold",IF(AND(P259&lt;50000,V259="Completed"),"Silver","Blacklisted"))))</f>
        <v>Blacklisted</v>
      </c>
      <c r="X259" s="27" t="str">
        <f t="shared" ref="X259:X322" si="17">PROPER(TRIM(F259))</f>
        <v>Kavya Nair</v>
      </c>
      <c r="Y259" s="29" t="str">
        <f t="shared" ref="Y259:Y322" si="18">LEFT(X259,3)&amp;MID(B259,2,2)&amp;"ID"&amp;LEFT(I259,2)</f>
        <v>Kav00IDBe</v>
      </c>
      <c r="Z259" s="30" t="str">
        <f t="shared" ref="Z259:Z322" si="19">IF(ISNUMBER(SEARCH("@",T259)),LOWER(TRIM(T259)),"Invalid Email")</f>
        <v>kavya.nair@company.com</v>
      </c>
    </row>
    <row r="260" spans="1:26">
      <c r="A260" s="15" t="s">
        <v>1234</v>
      </c>
      <c r="B260" s="15" t="s">
        <v>23</v>
      </c>
      <c r="C260" s="15" t="s">
        <v>24</v>
      </c>
      <c r="D260" s="15" t="s">
        <v>932</v>
      </c>
      <c r="E260" s="15" t="s">
        <v>436</v>
      </c>
      <c r="F260" s="15" t="s">
        <v>27</v>
      </c>
      <c r="G260" s="15" t="s">
        <v>28</v>
      </c>
      <c r="H260" s="15" t="s">
        <v>1235</v>
      </c>
      <c r="I260" s="15" t="s">
        <v>105</v>
      </c>
      <c r="J260" s="15" t="s">
        <v>106</v>
      </c>
      <c r="K260" s="15" t="s">
        <v>32</v>
      </c>
      <c r="L260" s="15" t="s">
        <v>33</v>
      </c>
      <c r="M260" s="15">
        <v>7</v>
      </c>
      <c r="N260" s="15">
        <v>2200</v>
      </c>
      <c r="O260" s="15">
        <v>5</v>
      </c>
      <c r="P260" s="15">
        <v>14630</v>
      </c>
      <c r="Q260" s="15">
        <v>3</v>
      </c>
      <c r="R260" s="15" t="s">
        <v>88</v>
      </c>
      <c r="S260" s="15" t="s">
        <v>61</v>
      </c>
      <c r="T260" s="15" t="s">
        <v>50</v>
      </c>
      <c r="U260" s="17" t="s">
        <v>1236</v>
      </c>
      <c r="V260" s="15" t="s">
        <v>69</v>
      </c>
      <c r="W260" t="str">
        <f t="shared" si="16"/>
        <v>Blacklisted</v>
      </c>
      <c r="X260" s="27" t="str">
        <f t="shared" si="17"/>
        <v>Kavya Nair</v>
      </c>
      <c r="Y260" s="29" t="str">
        <f t="shared" si="18"/>
        <v>Kav00IDMu</v>
      </c>
      <c r="Z260" s="30" t="str">
        <f t="shared" si="19"/>
        <v>kavya.nair@company.com</v>
      </c>
    </row>
    <row r="261" spans="1:26">
      <c r="A261" s="18" t="s">
        <v>1237</v>
      </c>
      <c r="B261" s="18" t="s">
        <v>83</v>
      </c>
      <c r="C261" s="18" t="s">
        <v>184</v>
      </c>
      <c r="D261" s="18" t="s">
        <v>1238</v>
      </c>
      <c r="E261" s="18" t="s">
        <v>426</v>
      </c>
      <c r="F261" s="18" t="s">
        <v>180</v>
      </c>
      <c r="G261" s="18" t="s">
        <v>76</v>
      </c>
      <c r="H261" s="18" t="s">
        <v>1239</v>
      </c>
      <c r="I261" s="18" t="s">
        <v>212</v>
      </c>
      <c r="J261" s="18" t="s">
        <v>45</v>
      </c>
      <c r="K261" s="18" t="s">
        <v>46</v>
      </c>
      <c r="L261" s="18" t="s">
        <v>189</v>
      </c>
      <c r="M261" s="18">
        <v>18</v>
      </c>
      <c r="N261" s="18">
        <v>700</v>
      </c>
      <c r="O261" s="18">
        <v>5</v>
      </c>
      <c r="P261" s="18">
        <v>11970</v>
      </c>
      <c r="Q261" s="18">
        <v>2</v>
      </c>
      <c r="R261" s="18" t="s">
        <v>88</v>
      </c>
      <c r="S261" s="18" t="s">
        <v>61</v>
      </c>
      <c r="T261" s="18" t="s">
        <v>89</v>
      </c>
      <c r="U261" s="19" t="s">
        <v>1240</v>
      </c>
      <c r="V261" s="18" t="s">
        <v>69</v>
      </c>
      <c r="W261" t="str">
        <f t="shared" si="16"/>
        <v>Blacklisted</v>
      </c>
      <c r="X261" s="27" t="str">
        <f t="shared" si="17"/>
        <v>Arjun Rao</v>
      </c>
      <c r="Y261" s="29" t="str">
        <f t="shared" si="18"/>
        <v>Arj00IDJa</v>
      </c>
      <c r="Z261" s="30" t="str">
        <f t="shared" si="19"/>
        <v>arjun.rao@company.com</v>
      </c>
    </row>
    <row r="262" spans="1:26">
      <c r="A262" s="15" t="s">
        <v>1241</v>
      </c>
      <c r="B262" s="15" t="s">
        <v>23</v>
      </c>
      <c r="C262" s="15" t="s">
        <v>222</v>
      </c>
      <c r="D262" s="15" t="s">
        <v>1106</v>
      </c>
      <c r="E262" s="15" t="s">
        <v>1242</v>
      </c>
      <c r="F262" s="15" t="s">
        <v>27</v>
      </c>
      <c r="G262" s="15" t="s">
        <v>28</v>
      </c>
      <c r="H262" s="15" t="s">
        <v>1243</v>
      </c>
      <c r="I262" s="15" t="s">
        <v>294</v>
      </c>
      <c r="J262" s="15" t="s">
        <v>295</v>
      </c>
      <c r="K262" s="15" t="s">
        <v>122</v>
      </c>
      <c r="L262" s="15" t="s">
        <v>227</v>
      </c>
      <c r="M262" s="15">
        <v>11</v>
      </c>
      <c r="N262" s="15">
        <v>20</v>
      </c>
      <c r="O262" s="15">
        <v>0</v>
      </c>
      <c r="P262" s="15">
        <v>220</v>
      </c>
      <c r="Q262" s="15">
        <v>2</v>
      </c>
      <c r="R262" s="15" t="s">
        <v>48</v>
      </c>
      <c r="S262" s="15" t="s">
        <v>115</v>
      </c>
      <c r="T262" s="15" t="s">
        <v>50</v>
      </c>
      <c r="U262" s="17" t="s">
        <v>1244</v>
      </c>
      <c r="V262" s="15" t="s">
        <v>69</v>
      </c>
      <c r="W262" t="str">
        <f t="shared" si="16"/>
        <v>Blacklisted</v>
      </c>
      <c r="X262" s="27" t="str">
        <f t="shared" si="17"/>
        <v>Kavya Nair</v>
      </c>
      <c r="Y262" s="29" t="str">
        <f t="shared" si="18"/>
        <v>Kav00IDKo</v>
      </c>
      <c r="Z262" s="30" t="str">
        <f t="shared" si="19"/>
        <v>kavya.nair@company.com</v>
      </c>
    </row>
    <row r="263" spans="1:26">
      <c r="A263" s="18" t="s">
        <v>1245</v>
      </c>
      <c r="B263" s="18" t="s">
        <v>327</v>
      </c>
      <c r="C263" s="18" t="s">
        <v>40</v>
      </c>
      <c r="D263" s="18" t="s">
        <v>1069</v>
      </c>
      <c r="E263" s="18" t="s">
        <v>272</v>
      </c>
      <c r="F263" s="18" t="s">
        <v>394</v>
      </c>
      <c r="G263" s="18" t="s">
        <v>76</v>
      </c>
      <c r="H263" s="18" t="s">
        <v>1246</v>
      </c>
      <c r="I263" s="18" t="s">
        <v>114</v>
      </c>
      <c r="J263" s="18" t="s">
        <v>106</v>
      </c>
      <c r="K263" s="18" t="s">
        <v>46</v>
      </c>
      <c r="L263" s="18" t="s">
        <v>47</v>
      </c>
      <c r="M263" s="18">
        <v>17</v>
      </c>
      <c r="N263" s="18">
        <v>12000</v>
      </c>
      <c r="O263" s="18">
        <v>20</v>
      </c>
      <c r="P263" s="18">
        <v>163200</v>
      </c>
      <c r="Q263" s="18">
        <v>4</v>
      </c>
      <c r="R263" s="18" t="s">
        <v>88</v>
      </c>
      <c r="S263" s="18" t="s">
        <v>151</v>
      </c>
      <c r="T263" s="18" t="s">
        <v>332</v>
      </c>
      <c r="U263" s="19" t="s">
        <v>1247</v>
      </c>
      <c r="V263" s="18" t="s">
        <v>38</v>
      </c>
      <c r="W263" t="str">
        <f t="shared" si="16"/>
        <v>Blacklisted</v>
      </c>
      <c r="X263" s="27" t="str">
        <f t="shared" si="17"/>
        <v>Amit Sharma</v>
      </c>
      <c r="Y263" s="29" t="str">
        <f t="shared" si="18"/>
        <v>Ami00IDPu</v>
      </c>
      <c r="Z263" s="30" t="str">
        <f t="shared" si="19"/>
        <v>amit.sharma@company.com</v>
      </c>
    </row>
    <row r="264" spans="1:26">
      <c r="A264" s="15" t="s">
        <v>1248</v>
      </c>
      <c r="B264" s="15" t="s">
        <v>251</v>
      </c>
      <c r="C264" s="15" t="s">
        <v>24</v>
      </c>
      <c r="D264" s="15" t="s">
        <v>1249</v>
      </c>
      <c r="E264" s="15" t="s">
        <v>267</v>
      </c>
      <c r="F264" s="15" t="s">
        <v>254</v>
      </c>
      <c r="G264" s="15" t="s">
        <v>28</v>
      </c>
      <c r="H264" s="15" t="s">
        <v>1250</v>
      </c>
      <c r="I264" s="15" t="s">
        <v>294</v>
      </c>
      <c r="J264" s="15" t="s">
        <v>295</v>
      </c>
      <c r="K264" s="15" t="s">
        <v>32</v>
      </c>
      <c r="L264" s="15" t="s">
        <v>33</v>
      </c>
      <c r="M264" s="15">
        <v>4</v>
      </c>
      <c r="N264" s="15">
        <v>2200</v>
      </c>
      <c r="O264" s="15">
        <v>5</v>
      </c>
      <c r="P264" s="15">
        <v>8360</v>
      </c>
      <c r="Q264" s="15">
        <v>2</v>
      </c>
      <c r="R264" s="15" t="s">
        <v>34</v>
      </c>
      <c r="S264" s="15" t="s">
        <v>35</v>
      </c>
      <c r="T264" s="15" t="s">
        <v>256</v>
      </c>
      <c r="U264" s="17" t="s">
        <v>1251</v>
      </c>
      <c r="V264" s="15" t="s">
        <v>38</v>
      </c>
      <c r="W264" t="str">
        <f t="shared" si="16"/>
        <v>Blacklisted</v>
      </c>
      <c r="X264" s="27" t="str">
        <f t="shared" si="17"/>
        <v>Sneha Joshi</v>
      </c>
      <c r="Y264" s="29" t="str">
        <f t="shared" si="18"/>
        <v>Sne00IDKo</v>
      </c>
      <c r="Z264" s="30" t="str">
        <f t="shared" si="19"/>
        <v>sneha.joshi@company.com</v>
      </c>
    </row>
    <row r="265" spans="1:26">
      <c r="A265" s="18" t="s">
        <v>1252</v>
      </c>
      <c r="B265" s="18" t="s">
        <v>23</v>
      </c>
      <c r="C265" s="18" t="s">
        <v>54</v>
      </c>
      <c r="D265" s="18" t="s">
        <v>1253</v>
      </c>
      <c r="E265" s="18" t="s">
        <v>455</v>
      </c>
      <c r="F265" s="18" t="s">
        <v>27</v>
      </c>
      <c r="G265" s="18" t="s">
        <v>28</v>
      </c>
      <c r="H265" s="18" t="s">
        <v>1254</v>
      </c>
      <c r="I265" s="18" t="s">
        <v>138</v>
      </c>
      <c r="J265" s="18" t="s">
        <v>106</v>
      </c>
      <c r="K265" s="18" t="s">
        <v>46</v>
      </c>
      <c r="L265" s="18" t="s">
        <v>60</v>
      </c>
      <c r="M265" s="18">
        <v>6</v>
      </c>
      <c r="N265" s="18">
        <v>55000</v>
      </c>
      <c r="O265" s="18">
        <v>20</v>
      </c>
      <c r="P265" s="18">
        <v>264000</v>
      </c>
      <c r="Q265" s="18">
        <v>2</v>
      </c>
      <c r="R265" s="18" t="s">
        <v>88</v>
      </c>
      <c r="S265" s="18" t="s">
        <v>151</v>
      </c>
      <c r="T265" s="18" t="s">
        <v>50</v>
      </c>
      <c r="U265" s="19" t="s">
        <v>1255</v>
      </c>
      <c r="V265" s="18" t="s">
        <v>69</v>
      </c>
      <c r="W265" t="str">
        <f t="shared" si="16"/>
        <v>Blacklisted</v>
      </c>
      <c r="X265" s="27" t="str">
        <f t="shared" si="17"/>
        <v>Kavya Nair</v>
      </c>
      <c r="Y265" s="29" t="str">
        <f t="shared" si="18"/>
        <v>Kav00IDAh</v>
      </c>
      <c r="Z265" s="30" t="str">
        <f t="shared" si="19"/>
        <v>kavya.nair@company.com</v>
      </c>
    </row>
    <row r="266" spans="1:26">
      <c r="A266" s="15" t="s">
        <v>1256</v>
      </c>
      <c r="B266" s="15" t="s">
        <v>71</v>
      </c>
      <c r="C266" s="15" t="s">
        <v>169</v>
      </c>
      <c r="D266" s="15" t="s">
        <v>84</v>
      </c>
      <c r="E266" s="15" t="s">
        <v>998</v>
      </c>
      <c r="F266" s="15" t="s">
        <v>217</v>
      </c>
      <c r="G266" s="15" t="s">
        <v>76</v>
      </c>
      <c r="H266" s="15" t="s">
        <v>1257</v>
      </c>
      <c r="I266" s="15" t="s">
        <v>44</v>
      </c>
      <c r="J266" s="15" t="s">
        <v>45</v>
      </c>
      <c r="K266" s="15" t="s">
        <v>32</v>
      </c>
      <c r="L266" s="15" t="s">
        <v>174</v>
      </c>
      <c r="M266" s="15">
        <v>6</v>
      </c>
      <c r="N266" s="15">
        <v>8500</v>
      </c>
      <c r="O266" s="15">
        <v>10</v>
      </c>
      <c r="P266" s="15">
        <v>45900</v>
      </c>
      <c r="Q266" s="15">
        <v>5</v>
      </c>
      <c r="R266" s="15" t="s">
        <v>88</v>
      </c>
      <c r="S266" s="15" t="s">
        <v>61</v>
      </c>
      <c r="T266" s="15" t="s">
        <v>80</v>
      </c>
      <c r="U266" s="17" t="s">
        <v>1258</v>
      </c>
      <c r="V266" s="15" t="s">
        <v>38</v>
      </c>
      <c r="W266" t="str">
        <f t="shared" si="16"/>
        <v>Silver</v>
      </c>
      <c r="X266" s="27" t="str">
        <f t="shared" si="17"/>
        <v>Mohit Verma</v>
      </c>
      <c r="Y266" s="29" t="str">
        <f t="shared" si="18"/>
        <v>Moh00IDDe</v>
      </c>
      <c r="Z266" s="30" t="str">
        <f t="shared" si="19"/>
        <v>mohit.verma@company.com</v>
      </c>
    </row>
    <row r="267" spans="1:26">
      <c r="A267" s="18" t="s">
        <v>1259</v>
      </c>
      <c r="B267" s="18" t="s">
        <v>23</v>
      </c>
      <c r="C267" s="18" t="s">
        <v>222</v>
      </c>
      <c r="D267" s="18" t="s">
        <v>558</v>
      </c>
      <c r="E267" s="18" t="s">
        <v>371</v>
      </c>
      <c r="F267" s="18" t="s">
        <v>27</v>
      </c>
      <c r="G267" s="18" t="s">
        <v>28</v>
      </c>
      <c r="H267" s="18" t="s">
        <v>1260</v>
      </c>
      <c r="I267" s="18" t="s">
        <v>212</v>
      </c>
      <c r="J267" s="18" t="s">
        <v>45</v>
      </c>
      <c r="K267" s="18" t="s">
        <v>122</v>
      </c>
      <c r="L267" s="18" t="s">
        <v>227</v>
      </c>
      <c r="M267" s="18">
        <v>6</v>
      </c>
      <c r="N267" s="18">
        <v>20</v>
      </c>
      <c r="O267" s="18">
        <v>15</v>
      </c>
      <c r="P267" s="18">
        <v>102</v>
      </c>
      <c r="Q267" s="18">
        <v>2</v>
      </c>
      <c r="R267" s="18" t="s">
        <v>88</v>
      </c>
      <c r="S267" s="18" t="s">
        <v>49</v>
      </c>
      <c r="T267" s="18" t="s">
        <v>50</v>
      </c>
      <c r="U267" s="19" t="s">
        <v>1261</v>
      </c>
      <c r="V267" s="18" t="s">
        <v>69</v>
      </c>
      <c r="W267" t="str">
        <f t="shared" si="16"/>
        <v>Blacklisted</v>
      </c>
      <c r="X267" s="27" t="str">
        <f t="shared" si="17"/>
        <v>Kavya Nair</v>
      </c>
      <c r="Y267" s="29" t="str">
        <f t="shared" si="18"/>
        <v>Kav00IDJa</v>
      </c>
      <c r="Z267" s="30" t="str">
        <f t="shared" si="19"/>
        <v>kavya.nair@company.com</v>
      </c>
    </row>
    <row r="268" spans="1:26">
      <c r="A268" s="15" t="s">
        <v>1262</v>
      </c>
      <c r="B268" s="15" t="s">
        <v>53</v>
      </c>
      <c r="C268" s="15" t="s">
        <v>118</v>
      </c>
      <c r="D268" s="15" t="s">
        <v>1263</v>
      </c>
      <c r="E268" s="15" t="s">
        <v>597</v>
      </c>
      <c r="F268" s="15" t="s">
        <v>163</v>
      </c>
      <c r="G268" s="15" t="s">
        <v>28</v>
      </c>
      <c r="H268" s="15" t="s">
        <v>1264</v>
      </c>
      <c r="I268" s="15" t="s">
        <v>105</v>
      </c>
      <c r="J268" s="15" t="s">
        <v>106</v>
      </c>
      <c r="K268" s="15" t="s">
        <v>122</v>
      </c>
      <c r="L268" s="15" t="s">
        <v>123</v>
      </c>
      <c r="M268" s="15">
        <v>6</v>
      </c>
      <c r="N268" s="15">
        <v>60</v>
      </c>
      <c r="O268" s="15">
        <v>5</v>
      </c>
      <c r="P268" s="15">
        <v>342</v>
      </c>
      <c r="Q268" s="15">
        <v>1</v>
      </c>
      <c r="R268" s="15" t="s">
        <v>48</v>
      </c>
      <c r="S268" s="15" t="s">
        <v>61</v>
      </c>
      <c r="T268" s="15" t="s">
        <v>62</v>
      </c>
      <c r="U268" s="17" t="s">
        <v>1265</v>
      </c>
      <c r="V268" s="15" t="s">
        <v>38</v>
      </c>
      <c r="W268" t="str">
        <f t="shared" si="16"/>
        <v>Blacklisted</v>
      </c>
      <c r="X268" s="27" t="str">
        <f t="shared" si="17"/>
        <v>Pooja Shah</v>
      </c>
      <c r="Y268" s="29" t="str">
        <f t="shared" si="18"/>
        <v>Poo01IDMu</v>
      </c>
      <c r="Z268" s="30" t="str">
        <f t="shared" si="19"/>
        <v>pooja.shah@company.com</v>
      </c>
    </row>
    <row r="269" spans="1:26">
      <c r="A269" s="18" t="s">
        <v>1266</v>
      </c>
      <c r="B269" s="18" t="s">
        <v>127</v>
      </c>
      <c r="C269" s="18" t="s">
        <v>169</v>
      </c>
      <c r="D269" s="18" t="s">
        <v>1267</v>
      </c>
      <c r="E269" s="18" t="s">
        <v>1268</v>
      </c>
      <c r="F269" s="18" t="s">
        <v>200</v>
      </c>
      <c r="G269" s="18" t="s">
        <v>76</v>
      </c>
      <c r="H269" s="18" t="s">
        <v>1269</v>
      </c>
      <c r="I269" s="18" t="s">
        <v>30</v>
      </c>
      <c r="J269" s="18" t="s">
        <v>31</v>
      </c>
      <c r="K269" s="18" t="s">
        <v>32</v>
      </c>
      <c r="L269" s="18" t="s">
        <v>174</v>
      </c>
      <c r="M269" s="18">
        <v>19</v>
      </c>
      <c r="N269" s="18">
        <v>8500</v>
      </c>
      <c r="O269" s="18">
        <v>0</v>
      </c>
      <c r="P269" s="18">
        <v>161500</v>
      </c>
      <c r="Q269" s="18">
        <v>5</v>
      </c>
      <c r="R269" s="18" t="s">
        <v>88</v>
      </c>
      <c r="S269" s="18" t="s">
        <v>151</v>
      </c>
      <c r="T269" s="18" t="s">
        <v>132</v>
      </c>
      <c r="U269" s="19" t="s">
        <v>1270</v>
      </c>
      <c r="V269" s="18" t="s">
        <v>38</v>
      </c>
      <c r="W269" t="str">
        <f t="shared" si="16"/>
        <v>Platinum</v>
      </c>
      <c r="X269" s="27" t="str">
        <f t="shared" si="17"/>
        <v>Rohit Singh</v>
      </c>
      <c r="Y269" s="29" t="str">
        <f t="shared" si="18"/>
        <v>Roh00IDHy</v>
      </c>
      <c r="Z269" s="30" t="str">
        <f t="shared" si="19"/>
        <v>rohit.singh@company.com</v>
      </c>
    </row>
    <row r="270" spans="1:26">
      <c r="A270" s="15" t="s">
        <v>1271</v>
      </c>
      <c r="B270" s="15" t="s">
        <v>251</v>
      </c>
      <c r="C270" s="15" t="s">
        <v>54</v>
      </c>
      <c r="D270" s="15" t="s">
        <v>445</v>
      </c>
      <c r="E270" s="15" t="s">
        <v>573</v>
      </c>
      <c r="F270" s="15" t="s">
        <v>254</v>
      </c>
      <c r="G270" s="15" t="s">
        <v>28</v>
      </c>
      <c r="H270" s="15" t="s">
        <v>1272</v>
      </c>
      <c r="I270" s="15" t="s">
        <v>212</v>
      </c>
      <c r="J270" s="15" t="s">
        <v>45</v>
      </c>
      <c r="K270" s="15" t="s">
        <v>46</v>
      </c>
      <c r="L270" s="15" t="s">
        <v>60</v>
      </c>
      <c r="M270" s="15">
        <v>8</v>
      </c>
      <c r="N270" s="15">
        <v>55000</v>
      </c>
      <c r="O270" s="15">
        <v>0</v>
      </c>
      <c r="P270" s="15">
        <v>440000</v>
      </c>
      <c r="Q270" s="15">
        <v>3</v>
      </c>
      <c r="R270" s="15" t="s">
        <v>79</v>
      </c>
      <c r="S270" s="15" t="s">
        <v>115</v>
      </c>
      <c r="T270" s="15" t="s">
        <v>256</v>
      </c>
      <c r="U270" s="17" t="s">
        <v>1273</v>
      </c>
      <c r="V270" s="15" t="s">
        <v>64</v>
      </c>
      <c r="W270" t="str">
        <f t="shared" si="16"/>
        <v>Blacklisted</v>
      </c>
      <c r="X270" s="27" t="str">
        <f t="shared" si="17"/>
        <v>Sneha Joshi</v>
      </c>
      <c r="Y270" s="29" t="str">
        <f t="shared" si="18"/>
        <v>Sne00IDJa</v>
      </c>
      <c r="Z270" s="30" t="str">
        <f t="shared" si="19"/>
        <v>sneha.joshi@company.com</v>
      </c>
    </row>
    <row r="271" spans="1:26">
      <c r="A271" s="18" t="s">
        <v>1274</v>
      </c>
      <c r="B271" s="18" t="s">
        <v>71</v>
      </c>
      <c r="C271" s="18" t="s">
        <v>40</v>
      </c>
      <c r="D271" s="18" t="s">
        <v>1098</v>
      </c>
      <c r="E271" s="18" t="s">
        <v>583</v>
      </c>
      <c r="F271" s="18" t="s">
        <v>217</v>
      </c>
      <c r="G271" s="18" t="s">
        <v>76</v>
      </c>
      <c r="H271" s="18" t="s">
        <v>1275</v>
      </c>
      <c r="I271" s="18" t="s">
        <v>294</v>
      </c>
      <c r="J271" s="18" t="s">
        <v>295</v>
      </c>
      <c r="K271" s="18" t="s">
        <v>46</v>
      </c>
      <c r="L271" s="18" t="s">
        <v>47</v>
      </c>
      <c r="M271" s="18">
        <v>18</v>
      </c>
      <c r="N271" s="18">
        <v>12000</v>
      </c>
      <c r="O271" s="18">
        <v>20</v>
      </c>
      <c r="P271" s="18">
        <v>172800</v>
      </c>
      <c r="Q271" s="18">
        <v>5</v>
      </c>
      <c r="R271" s="18" t="s">
        <v>88</v>
      </c>
      <c r="S271" s="18" t="s">
        <v>61</v>
      </c>
      <c r="T271" s="18" t="s">
        <v>80</v>
      </c>
      <c r="U271" s="19" t="s">
        <v>1276</v>
      </c>
      <c r="V271" s="18" t="s">
        <v>69</v>
      </c>
      <c r="W271" t="str">
        <f t="shared" si="16"/>
        <v>Blacklisted</v>
      </c>
      <c r="X271" s="27" t="str">
        <f t="shared" si="17"/>
        <v>Mohit Verma</v>
      </c>
      <c r="Y271" s="29" t="str">
        <f t="shared" si="18"/>
        <v>Moh00IDKo</v>
      </c>
      <c r="Z271" s="30" t="str">
        <f t="shared" si="19"/>
        <v>mohit.verma@company.com</v>
      </c>
    </row>
    <row r="272" spans="1:26">
      <c r="A272" s="15" t="s">
        <v>1277</v>
      </c>
      <c r="B272" s="15" t="s">
        <v>127</v>
      </c>
      <c r="C272" s="15" t="s">
        <v>169</v>
      </c>
      <c r="D272" s="15" t="s">
        <v>1278</v>
      </c>
      <c r="E272" s="15" t="s">
        <v>198</v>
      </c>
      <c r="F272" s="15" t="s">
        <v>200</v>
      </c>
      <c r="G272" s="15" t="s">
        <v>76</v>
      </c>
      <c r="H272" s="15" t="s">
        <v>1279</v>
      </c>
      <c r="I272" s="15" t="s">
        <v>138</v>
      </c>
      <c r="J272" s="15" t="s">
        <v>106</v>
      </c>
      <c r="K272" s="15" t="s">
        <v>32</v>
      </c>
      <c r="L272" s="15" t="s">
        <v>174</v>
      </c>
      <c r="M272" s="15">
        <v>8</v>
      </c>
      <c r="N272" s="15">
        <v>8500</v>
      </c>
      <c r="O272" s="15">
        <v>5</v>
      </c>
      <c r="P272" s="15">
        <v>64600</v>
      </c>
      <c r="Q272" s="15">
        <v>2</v>
      </c>
      <c r="R272" s="15" t="s">
        <v>79</v>
      </c>
      <c r="S272" s="15" t="s">
        <v>61</v>
      </c>
      <c r="T272" s="15" t="s">
        <v>132</v>
      </c>
      <c r="U272" s="17" t="s">
        <v>1280</v>
      </c>
      <c r="V272" s="15" t="s">
        <v>69</v>
      </c>
      <c r="W272" t="str">
        <f t="shared" si="16"/>
        <v>Blacklisted</v>
      </c>
      <c r="X272" s="27" t="str">
        <f t="shared" si="17"/>
        <v>Rohit Singh</v>
      </c>
      <c r="Y272" s="29" t="str">
        <f t="shared" si="18"/>
        <v>Roh00IDAh</v>
      </c>
      <c r="Z272" s="30" t="str">
        <f t="shared" si="19"/>
        <v>rohit.singh@company.com</v>
      </c>
    </row>
    <row r="273" spans="1:26">
      <c r="A273" s="18" t="s">
        <v>1281</v>
      </c>
      <c r="B273" s="18" t="s">
        <v>23</v>
      </c>
      <c r="C273" s="18" t="s">
        <v>222</v>
      </c>
      <c r="D273" s="18" t="s">
        <v>1282</v>
      </c>
      <c r="E273" s="18" t="s">
        <v>724</v>
      </c>
      <c r="F273" s="18" t="s">
        <v>27</v>
      </c>
      <c r="G273" s="18" t="s">
        <v>28</v>
      </c>
      <c r="H273" s="18" t="s">
        <v>1283</v>
      </c>
      <c r="I273" s="18" t="s">
        <v>105</v>
      </c>
      <c r="J273" s="18" t="s">
        <v>106</v>
      </c>
      <c r="K273" s="18" t="s">
        <v>122</v>
      </c>
      <c r="L273" s="18" t="s">
        <v>227</v>
      </c>
      <c r="M273" s="18">
        <v>13</v>
      </c>
      <c r="N273" s="18">
        <v>20</v>
      </c>
      <c r="O273" s="18">
        <v>5</v>
      </c>
      <c r="P273" s="18">
        <v>247</v>
      </c>
      <c r="Q273" s="18">
        <v>3</v>
      </c>
      <c r="R273" s="18" t="s">
        <v>48</v>
      </c>
      <c r="S273" s="18" t="s">
        <v>115</v>
      </c>
      <c r="T273" s="18" t="s">
        <v>50</v>
      </c>
      <c r="U273" s="19" t="s">
        <v>1284</v>
      </c>
      <c r="V273" s="18" t="s">
        <v>64</v>
      </c>
      <c r="W273" t="str">
        <f t="shared" si="16"/>
        <v>Blacklisted</v>
      </c>
      <c r="X273" s="27" t="str">
        <f t="shared" si="17"/>
        <v>Kavya Nair</v>
      </c>
      <c r="Y273" s="29" t="str">
        <f t="shared" si="18"/>
        <v>Kav00IDMu</v>
      </c>
      <c r="Z273" s="30" t="str">
        <f t="shared" si="19"/>
        <v>kavya.nair@company.com</v>
      </c>
    </row>
    <row r="274" spans="1:26">
      <c r="A274" s="15" t="s">
        <v>1285</v>
      </c>
      <c r="B274" s="15" t="s">
        <v>83</v>
      </c>
      <c r="C274" s="15" t="s">
        <v>118</v>
      </c>
      <c r="D274" s="15" t="s">
        <v>740</v>
      </c>
      <c r="E274" s="15" t="s">
        <v>1286</v>
      </c>
      <c r="F274" s="15" t="s">
        <v>180</v>
      </c>
      <c r="G274" s="15" t="s">
        <v>76</v>
      </c>
      <c r="H274" s="15" t="s">
        <v>1287</v>
      </c>
      <c r="I274" s="15" t="s">
        <v>212</v>
      </c>
      <c r="J274" s="15" t="s">
        <v>45</v>
      </c>
      <c r="K274" s="15" t="s">
        <v>122</v>
      </c>
      <c r="L274" s="15" t="s">
        <v>123</v>
      </c>
      <c r="M274" s="15">
        <v>1</v>
      </c>
      <c r="N274" s="15">
        <v>60</v>
      </c>
      <c r="O274" s="15">
        <v>15</v>
      </c>
      <c r="P274" s="15">
        <v>51</v>
      </c>
      <c r="Q274" s="15">
        <v>2</v>
      </c>
      <c r="R274" s="15" t="s">
        <v>79</v>
      </c>
      <c r="S274" s="15" t="s">
        <v>61</v>
      </c>
      <c r="T274" s="15" t="s">
        <v>89</v>
      </c>
      <c r="U274" s="17" t="s">
        <v>1288</v>
      </c>
      <c r="V274" s="15" t="s">
        <v>69</v>
      </c>
      <c r="W274" t="str">
        <f t="shared" si="16"/>
        <v>Blacklisted</v>
      </c>
      <c r="X274" s="27" t="str">
        <f t="shared" si="17"/>
        <v>Arjun Rao</v>
      </c>
      <c r="Y274" s="29" t="str">
        <f t="shared" si="18"/>
        <v>Arj00IDJa</v>
      </c>
      <c r="Z274" s="30" t="str">
        <f t="shared" si="19"/>
        <v>arjun.rao@company.com</v>
      </c>
    </row>
    <row r="275" spans="1:26">
      <c r="A275" s="18" t="s">
        <v>1289</v>
      </c>
      <c r="B275" s="18" t="s">
        <v>53</v>
      </c>
      <c r="C275" s="18" t="s">
        <v>222</v>
      </c>
      <c r="D275" s="18" t="s">
        <v>1290</v>
      </c>
      <c r="E275" s="18" t="s">
        <v>965</v>
      </c>
      <c r="F275" s="18" t="s">
        <v>163</v>
      </c>
      <c r="G275" s="18" t="s">
        <v>28</v>
      </c>
      <c r="H275" s="18" t="s">
        <v>1291</v>
      </c>
      <c r="I275" s="18" t="s">
        <v>114</v>
      </c>
      <c r="J275" s="18" t="s">
        <v>106</v>
      </c>
      <c r="K275" s="18" t="s">
        <v>122</v>
      </c>
      <c r="L275" s="18" t="s">
        <v>227</v>
      </c>
      <c r="M275" s="18">
        <v>5</v>
      </c>
      <c r="N275" s="18">
        <v>20</v>
      </c>
      <c r="O275" s="18">
        <v>5</v>
      </c>
      <c r="P275" s="18">
        <v>95</v>
      </c>
      <c r="Q275" s="18">
        <v>2</v>
      </c>
      <c r="R275" s="18" t="s">
        <v>48</v>
      </c>
      <c r="S275" s="18" t="s">
        <v>49</v>
      </c>
      <c r="T275" s="18" t="s">
        <v>62</v>
      </c>
      <c r="U275" s="19" t="s">
        <v>1292</v>
      </c>
      <c r="V275" s="18" t="s">
        <v>64</v>
      </c>
      <c r="W275" t="str">
        <f t="shared" si="16"/>
        <v>Blacklisted</v>
      </c>
      <c r="X275" s="27" t="str">
        <f t="shared" si="17"/>
        <v>Pooja Shah</v>
      </c>
      <c r="Y275" s="29" t="str">
        <f t="shared" si="18"/>
        <v>Poo01IDPu</v>
      </c>
      <c r="Z275" s="30" t="str">
        <f t="shared" si="19"/>
        <v>pooja.shah@company.com</v>
      </c>
    </row>
    <row r="276" spans="1:26">
      <c r="A276" s="15" t="s">
        <v>1293</v>
      </c>
      <c r="B276" s="15" t="s">
        <v>221</v>
      </c>
      <c r="C276" s="15" t="s">
        <v>222</v>
      </c>
      <c r="D276" s="15" t="s">
        <v>1294</v>
      </c>
      <c r="E276" s="15" t="s">
        <v>1017</v>
      </c>
      <c r="F276" s="15" t="s">
        <v>225</v>
      </c>
      <c r="G276" s="15" t="s">
        <v>76</v>
      </c>
      <c r="H276" s="15" t="s">
        <v>1295</v>
      </c>
      <c r="I276" s="15" t="s">
        <v>294</v>
      </c>
      <c r="J276" s="15" t="s">
        <v>295</v>
      </c>
      <c r="K276" s="15" t="s">
        <v>122</v>
      </c>
      <c r="L276" s="15" t="s">
        <v>227</v>
      </c>
      <c r="M276" s="15">
        <v>19</v>
      </c>
      <c r="N276" s="15">
        <v>20</v>
      </c>
      <c r="O276" s="15">
        <v>20</v>
      </c>
      <c r="P276" s="15">
        <v>304</v>
      </c>
      <c r="Q276" s="15">
        <v>3</v>
      </c>
      <c r="R276" s="15" t="s">
        <v>34</v>
      </c>
      <c r="S276" s="15" t="s">
        <v>35</v>
      </c>
      <c r="T276" s="15" t="s">
        <v>228</v>
      </c>
      <c r="U276" s="17" t="s">
        <v>1296</v>
      </c>
      <c r="V276" s="15" t="s">
        <v>69</v>
      </c>
      <c r="W276" t="str">
        <f t="shared" si="16"/>
        <v>Blacklisted</v>
      </c>
      <c r="X276" s="27" t="str">
        <f t="shared" si="17"/>
        <v>Vikas Mehta</v>
      </c>
      <c r="Y276" s="29" t="str">
        <f t="shared" si="18"/>
        <v>Vik00IDKo</v>
      </c>
      <c r="Z276" s="30" t="str">
        <f t="shared" si="19"/>
        <v>vikas.mehta@company.com</v>
      </c>
    </row>
    <row r="277" spans="1:26">
      <c r="A277" s="18" t="s">
        <v>1297</v>
      </c>
      <c r="B277" s="18" t="s">
        <v>100</v>
      </c>
      <c r="C277" s="18" t="s">
        <v>259</v>
      </c>
      <c r="D277" s="18" t="s">
        <v>1298</v>
      </c>
      <c r="E277" s="18" t="s">
        <v>366</v>
      </c>
      <c r="F277" s="18" t="s">
        <v>103</v>
      </c>
      <c r="G277" s="18" t="s">
        <v>28</v>
      </c>
      <c r="H277" s="18" t="s">
        <v>1299</v>
      </c>
      <c r="I277" s="18" t="s">
        <v>138</v>
      </c>
      <c r="J277" s="18" t="s">
        <v>106</v>
      </c>
      <c r="K277" s="18" t="s">
        <v>122</v>
      </c>
      <c r="L277" s="18" t="s">
        <v>263</v>
      </c>
      <c r="M277" s="18">
        <v>17</v>
      </c>
      <c r="N277" s="18">
        <v>45</v>
      </c>
      <c r="O277" s="18">
        <v>5</v>
      </c>
      <c r="P277" s="18">
        <v>726.75</v>
      </c>
      <c r="Q277" s="18">
        <v>4</v>
      </c>
      <c r="R277" s="18" t="s">
        <v>34</v>
      </c>
      <c r="S277" s="18" t="s">
        <v>115</v>
      </c>
      <c r="T277" s="18" t="s">
        <v>144</v>
      </c>
      <c r="U277" s="19" t="s">
        <v>1300</v>
      </c>
      <c r="V277" s="18" t="s">
        <v>64</v>
      </c>
      <c r="W277" t="str">
        <f t="shared" si="16"/>
        <v>Blacklisted</v>
      </c>
      <c r="X277" s="27" t="str">
        <f t="shared" si="17"/>
        <v>Priya Patel</v>
      </c>
      <c r="Y277" s="29" t="str">
        <f t="shared" si="18"/>
        <v>Pri00IDAh</v>
      </c>
      <c r="Z277" s="30" t="str">
        <f t="shared" si="19"/>
        <v>priya.patel@company.com</v>
      </c>
    </row>
    <row r="278" spans="1:26">
      <c r="A278" s="15" t="s">
        <v>1301</v>
      </c>
      <c r="B278" s="15" t="s">
        <v>83</v>
      </c>
      <c r="C278" s="15" t="s">
        <v>184</v>
      </c>
      <c r="D278" s="15" t="s">
        <v>1302</v>
      </c>
      <c r="E278" s="15" t="s">
        <v>170</v>
      </c>
      <c r="F278" s="15" t="s">
        <v>180</v>
      </c>
      <c r="G278" s="15" t="s">
        <v>76</v>
      </c>
      <c r="H278" s="15" t="s">
        <v>1303</v>
      </c>
      <c r="I278" s="15" t="s">
        <v>59</v>
      </c>
      <c r="J278" s="15" t="s">
        <v>31</v>
      </c>
      <c r="K278" s="15" t="s">
        <v>46</v>
      </c>
      <c r="L278" s="15" t="s">
        <v>189</v>
      </c>
      <c r="M278" s="15">
        <v>8</v>
      </c>
      <c r="N278" s="15">
        <v>700</v>
      </c>
      <c r="O278" s="15">
        <v>15</v>
      </c>
      <c r="P278" s="15">
        <v>4760</v>
      </c>
      <c r="Q278" s="15">
        <v>4</v>
      </c>
      <c r="R278" s="15" t="s">
        <v>48</v>
      </c>
      <c r="S278" s="15" t="s">
        <v>35</v>
      </c>
      <c r="T278" s="15" t="s">
        <v>89</v>
      </c>
      <c r="U278" s="17" t="s">
        <v>1304</v>
      </c>
      <c r="V278" s="15" t="s">
        <v>64</v>
      </c>
      <c r="W278" t="str">
        <f t="shared" si="16"/>
        <v>Blacklisted</v>
      </c>
      <c r="X278" s="27" t="str">
        <f t="shared" si="17"/>
        <v>Arjun Rao</v>
      </c>
      <c r="Y278" s="29" t="str">
        <f t="shared" si="18"/>
        <v>Arj00IDBe</v>
      </c>
      <c r="Z278" s="30" t="str">
        <f t="shared" si="19"/>
        <v>arjun.rao@company.com</v>
      </c>
    </row>
    <row r="279" spans="1:26">
      <c r="A279" s="18" t="s">
        <v>1305</v>
      </c>
      <c r="B279" s="18" t="s">
        <v>168</v>
      </c>
      <c r="C279" s="18" t="s">
        <v>24</v>
      </c>
      <c r="D279" s="18" t="s">
        <v>1306</v>
      </c>
      <c r="E279" s="18" t="s">
        <v>1307</v>
      </c>
      <c r="F279" s="18" t="s">
        <v>361</v>
      </c>
      <c r="G279" s="18" t="s">
        <v>28</v>
      </c>
      <c r="H279" s="18" t="s">
        <v>1308</v>
      </c>
      <c r="I279" s="18" t="s">
        <v>105</v>
      </c>
      <c r="J279" s="18" t="s">
        <v>106</v>
      </c>
      <c r="K279" s="18" t="s">
        <v>32</v>
      </c>
      <c r="L279" s="18" t="s">
        <v>33</v>
      </c>
      <c r="M279" s="18">
        <v>15</v>
      </c>
      <c r="N279" s="18">
        <v>2200</v>
      </c>
      <c r="O279" s="18">
        <v>10</v>
      </c>
      <c r="P279" s="18">
        <v>29700</v>
      </c>
      <c r="Q279" s="18">
        <v>5</v>
      </c>
      <c r="R279" s="18" t="s">
        <v>88</v>
      </c>
      <c r="S279" s="18" t="s">
        <v>151</v>
      </c>
      <c r="T279" s="18" t="s">
        <v>175</v>
      </c>
      <c r="U279" s="19" t="s">
        <v>1309</v>
      </c>
      <c r="V279" s="18" t="s">
        <v>38</v>
      </c>
      <c r="W279" t="str">
        <f t="shared" si="16"/>
        <v>Silver</v>
      </c>
      <c r="X279" s="27" t="str">
        <f t="shared" si="17"/>
        <v>Anita Gupta</v>
      </c>
      <c r="Y279" s="29" t="str">
        <f t="shared" si="18"/>
        <v>Ani00IDMu</v>
      </c>
      <c r="Z279" s="30" t="str">
        <f t="shared" si="19"/>
        <v>anita.gupta@company.com</v>
      </c>
    </row>
    <row r="280" spans="1:26">
      <c r="A280" s="15" t="s">
        <v>1310</v>
      </c>
      <c r="B280" s="15" t="s">
        <v>100</v>
      </c>
      <c r="C280" s="15" t="s">
        <v>24</v>
      </c>
      <c r="D280" s="15" t="s">
        <v>860</v>
      </c>
      <c r="E280" s="15" t="s">
        <v>1311</v>
      </c>
      <c r="F280" s="15" t="s">
        <v>103</v>
      </c>
      <c r="G280" s="15" t="s">
        <v>28</v>
      </c>
      <c r="H280" s="15" t="s">
        <v>1312</v>
      </c>
      <c r="I280" s="15" t="s">
        <v>105</v>
      </c>
      <c r="J280" s="15" t="s">
        <v>106</v>
      </c>
      <c r="K280" s="15" t="s">
        <v>32</v>
      </c>
      <c r="L280" s="15" t="s">
        <v>33</v>
      </c>
      <c r="M280" s="15">
        <v>1</v>
      </c>
      <c r="N280" s="15">
        <v>2200</v>
      </c>
      <c r="O280" s="15">
        <v>0</v>
      </c>
      <c r="P280" s="15">
        <v>2200</v>
      </c>
      <c r="Q280" s="15">
        <v>4</v>
      </c>
      <c r="R280" s="15" t="s">
        <v>34</v>
      </c>
      <c r="S280" s="15" t="s">
        <v>49</v>
      </c>
      <c r="T280" s="15" t="s">
        <v>144</v>
      </c>
      <c r="U280" s="17" t="s">
        <v>1313</v>
      </c>
      <c r="V280" s="15" t="s">
        <v>69</v>
      </c>
      <c r="W280" t="str">
        <f t="shared" si="16"/>
        <v>Blacklisted</v>
      </c>
      <c r="X280" s="27" t="str">
        <f t="shared" si="17"/>
        <v>Priya Patel</v>
      </c>
      <c r="Y280" s="29" t="str">
        <f t="shared" si="18"/>
        <v>Pri00IDMu</v>
      </c>
      <c r="Z280" s="30" t="str">
        <f t="shared" si="19"/>
        <v>priya.patel@company.com</v>
      </c>
    </row>
    <row r="281" spans="1:26">
      <c r="A281" s="18" t="s">
        <v>1314</v>
      </c>
      <c r="B281" s="18" t="s">
        <v>251</v>
      </c>
      <c r="C281" s="18" t="s">
        <v>92</v>
      </c>
      <c r="D281" s="18" t="s">
        <v>872</v>
      </c>
      <c r="E281" s="18" t="s">
        <v>1315</v>
      </c>
      <c r="F281" s="18" t="s">
        <v>254</v>
      </c>
      <c r="G281" s="18" t="s">
        <v>28</v>
      </c>
      <c r="H281" s="18" t="s">
        <v>1316</v>
      </c>
      <c r="I281" s="18" t="s">
        <v>138</v>
      </c>
      <c r="J281" s="18" t="s">
        <v>106</v>
      </c>
      <c r="K281" s="18" t="s">
        <v>32</v>
      </c>
      <c r="L281" s="18" t="s">
        <v>97</v>
      </c>
      <c r="M281" s="18">
        <v>10</v>
      </c>
      <c r="N281" s="18">
        <v>3500</v>
      </c>
      <c r="O281" s="18">
        <v>10</v>
      </c>
      <c r="P281" s="18">
        <v>31500</v>
      </c>
      <c r="Q281" s="18">
        <v>4</v>
      </c>
      <c r="R281" s="18" t="s">
        <v>48</v>
      </c>
      <c r="S281" s="18" t="s">
        <v>35</v>
      </c>
      <c r="T281" s="18" t="s">
        <v>256</v>
      </c>
      <c r="U281" s="19" t="s">
        <v>1317</v>
      </c>
      <c r="V281" s="18" t="s">
        <v>69</v>
      </c>
      <c r="W281" t="str">
        <f t="shared" si="16"/>
        <v>Blacklisted</v>
      </c>
      <c r="X281" s="27" t="str">
        <f t="shared" si="17"/>
        <v>Sneha Joshi</v>
      </c>
      <c r="Y281" s="29" t="str">
        <f t="shared" si="18"/>
        <v>Sne00IDAh</v>
      </c>
      <c r="Z281" s="30" t="str">
        <f t="shared" si="19"/>
        <v>sneha.joshi@company.com</v>
      </c>
    </row>
    <row r="282" spans="1:26">
      <c r="A282" s="15" t="s">
        <v>1318</v>
      </c>
      <c r="B282" s="15" t="s">
        <v>71</v>
      </c>
      <c r="C282" s="15" t="s">
        <v>92</v>
      </c>
      <c r="D282" s="15" t="s">
        <v>1319</v>
      </c>
      <c r="E282" s="15" t="s">
        <v>1320</v>
      </c>
      <c r="F282" s="15" t="s">
        <v>217</v>
      </c>
      <c r="G282" s="15" t="s">
        <v>76</v>
      </c>
      <c r="H282" s="15" t="s">
        <v>1321</v>
      </c>
      <c r="I282" s="15" t="s">
        <v>212</v>
      </c>
      <c r="J282" s="15" t="s">
        <v>45</v>
      </c>
      <c r="K282" s="15" t="s">
        <v>32</v>
      </c>
      <c r="L282" s="15" t="s">
        <v>97</v>
      </c>
      <c r="M282" s="15">
        <v>16</v>
      </c>
      <c r="N282" s="15">
        <v>3500</v>
      </c>
      <c r="O282" s="15">
        <v>15</v>
      </c>
      <c r="P282" s="15">
        <v>47600</v>
      </c>
      <c r="Q282" s="15">
        <v>1</v>
      </c>
      <c r="R282" s="15" t="s">
        <v>79</v>
      </c>
      <c r="S282" s="15" t="s">
        <v>115</v>
      </c>
      <c r="T282" s="15" t="s">
        <v>80</v>
      </c>
      <c r="U282" s="17" t="s">
        <v>1322</v>
      </c>
      <c r="V282" s="15" t="s">
        <v>64</v>
      </c>
      <c r="W282" t="str">
        <f t="shared" si="16"/>
        <v>Blacklisted</v>
      </c>
      <c r="X282" s="27" t="str">
        <f t="shared" si="17"/>
        <v>Mohit Verma</v>
      </c>
      <c r="Y282" s="29" t="str">
        <f t="shared" si="18"/>
        <v>Moh00IDJa</v>
      </c>
      <c r="Z282" s="30" t="str">
        <f t="shared" si="19"/>
        <v>mohit.verma@company.com</v>
      </c>
    </row>
    <row r="283" spans="1:26">
      <c r="A283" s="18" t="s">
        <v>1323</v>
      </c>
      <c r="B283" s="18" t="s">
        <v>251</v>
      </c>
      <c r="C283" s="18" t="s">
        <v>40</v>
      </c>
      <c r="D283" s="18" t="s">
        <v>1324</v>
      </c>
      <c r="E283" s="18" t="s">
        <v>25</v>
      </c>
      <c r="F283" s="18" t="s">
        <v>254</v>
      </c>
      <c r="G283" s="18" t="s">
        <v>28</v>
      </c>
      <c r="H283" s="18" t="s">
        <v>1325</v>
      </c>
      <c r="I283" s="18" t="s">
        <v>212</v>
      </c>
      <c r="J283" s="18" t="s">
        <v>45</v>
      </c>
      <c r="K283" s="18" t="s">
        <v>46</v>
      </c>
      <c r="L283" s="18" t="s">
        <v>47</v>
      </c>
      <c r="M283" s="18">
        <v>1</v>
      </c>
      <c r="N283" s="18">
        <v>12000</v>
      </c>
      <c r="O283" s="18">
        <v>0</v>
      </c>
      <c r="P283" s="18">
        <v>12000</v>
      </c>
      <c r="Q283" s="18">
        <v>4</v>
      </c>
      <c r="R283" s="18" t="s">
        <v>48</v>
      </c>
      <c r="S283" s="18" t="s">
        <v>115</v>
      </c>
      <c r="T283" s="18" t="s">
        <v>256</v>
      </c>
      <c r="U283" s="19" t="s">
        <v>1326</v>
      </c>
      <c r="V283" s="18" t="s">
        <v>69</v>
      </c>
      <c r="W283" t="str">
        <f t="shared" si="16"/>
        <v>Blacklisted</v>
      </c>
      <c r="X283" s="27" t="str">
        <f t="shared" si="17"/>
        <v>Sneha Joshi</v>
      </c>
      <c r="Y283" s="29" t="str">
        <f t="shared" si="18"/>
        <v>Sne00IDJa</v>
      </c>
      <c r="Z283" s="30" t="str">
        <f t="shared" si="19"/>
        <v>sneha.joshi@company.com</v>
      </c>
    </row>
    <row r="284" spans="1:26">
      <c r="A284" s="15" t="s">
        <v>1327</v>
      </c>
      <c r="B284" s="15" t="s">
        <v>83</v>
      </c>
      <c r="C284" s="15" t="s">
        <v>184</v>
      </c>
      <c r="D284" s="15" t="s">
        <v>1328</v>
      </c>
      <c r="E284" s="15" t="s">
        <v>606</v>
      </c>
      <c r="F284" s="15" t="s">
        <v>180</v>
      </c>
      <c r="G284" s="15" t="s">
        <v>76</v>
      </c>
      <c r="H284" s="15" t="s">
        <v>1329</v>
      </c>
      <c r="I284" s="15" t="s">
        <v>105</v>
      </c>
      <c r="J284" s="15" t="s">
        <v>106</v>
      </c>
      <c r="K284" s="15" t="s">
        <v>46</v>
      </c>
      <c r="L284" s="15" t="s">
        <v>189</v>
      </c>
      <c r="M284" s="15">
        <v>6</v>
      </c>
      <c r="N284" s="15">
        <v>700</v>
      </c>
      <c r="O284" s="15">
        <v>20</v>
      </c>
      <c r="P284" s="15">
        <v>3360</v>
      </c>
      <c r="Q284" s="15">
        <v>2</v>
      </c>
      <c r="R284" s="15" t="s">
        <v>48</v>
      </c>
      <c r="S284" s="15" t="s">
        <v>115</v>
      </c>
      <c r="T284" s="15" t="s">
        <v>89</v>
      </c>
      <c r="U284" s="17" t="s">
        <v>1330</v>
      </c>
      <c r="V284" s="15" t="s">
        <v>64</v>
      </c>
      <c r="W284" t="str">
        <f t="shared" si="16"/>
        <v>Blacklisted</v>
      </c>
      <c r="X284" s="27" t="str">
        <f t="shared" si="17"/>
        <v>Arjun Rao</v>
      </c>
      <c r="Y284" s="29" t="str">
        <f t="shared" si="18"/>
        <v>Arj00IDMu</v>
      </c>
      <c r="Z284" s="30" t="str">
        <f t="shared" si="19"/>
        <v>arjun.rao@company.com</v>
      </c>
    </row>
    <row r="285" spans="1:26">
      <c r="A285" s="18" t="s">
        <v>1331</v>
      </c>
      <c r="B285" s="18" t="s">
        <v>71</v>
      </c>
      <c r="C285" s="18" t="s">
        <v>24</v>
      </c>
      <c r="D285" s="18" t="s">
        <v>923</v>
      </c>
      <c r="E285" s="18" t="s">
        <v>1332</v>
      </c>
      <c r="F285" s="18" t="s">
        <v>217</v>
      </c>
      <c r="G285" s="18" t="s">
        <v>76</v>
      </c>
      <c r="H285" s="18" t="s">
        <v>1333</v>
      </c>
      <c r="I285" s="18" t="s">
        <v>138</v>
      </c>
      <c r="J285" s="18" t="s">
        <v>106</v>
      </c>
      <c r="K285" s="18" t="s">
        <v>32</v>
      </c>
      <c r="L285" s="18" t="s">
        <v>33</v>
      </c>
      <c r="M285" s="18">
        <v>3</v>
      </c>
      <c r="N285" s="18">
        <v>2200</v>
      </c>
      <c r="O285" s="18">
        <v>0</v>
      </c>
      <c r="P285" s="18">
        <v>6600</v>
      </c>
      <c r="Q285" s="18">
        <v>4</v>
      </c>
      <c r="R285" s="18" t="s">
        <v>79</v>
      </c>
      <c r="S285" s="18" t="s">
        <v>35</v>
      </c>
      <c r="T285" s="18" t="s">
        <v>80</v>
      </c>
      <c r="U285" s="19" t="s">
        <v>1334</v>
      </c>
      <c r="V285" s="18" t="s">
        <v>38</v>
      </c>
      <c r="W285" t="str">
        <f t="shared" si="16"/>
        <v>Silver</v>
      </c>
      <c r="X285" s="27" t="str">
        <f t="shared" si="17"/>
        <v>Mohit Verma</v>
      </c>
      <c r="Y285" s="29" t="str">
        <f t="shared" si="18"/>
        <v>Moh00IDAh</v>
      </c>
      <c r="Z285" s="30" t="str">
        <f t="shared" si="19"/>
        <v>mohit.verma@company.com</v>
      </c>
    </row>
    <row r="286" spans="1:26">
      <c r="A286" s="15" t="s">
        <v>1335</v>
      </c>
      <c r="B286" s="15" t="s">
        <v>251</v>
      </c>
      <c r="C286" s="15" t="s">
        <v>259</v>
      </c>
      <c r="D286" s="15" t="s">
        <v>1198</v>
      </c>
      <c r="E286" s="15" t="s">
        <v>216</v>
      </c>
      <c r="F286" s="15" t="s">
        <v>254</v>
      </c>
      <c r="G286" s="15" t="s">
        <v>28</v>
      </c>
      <c r="H286" s="15" t="s">
        <v>1336</v>
      </c>
      <c r="I286" s="15" t="s">
        <v>30</v>
      </c>
      <c r="J286" s="15" t="s">
        <v>31</v>
      </c>
      <c r="K286" s="15" t="s">
        <v>122</v>
      </c>
      <c r="L286" s="15" t="s">
        <v>263</v>
      </c>
      <c r="M286" s="15">
        <v>6</v>
      </c>
      <c r="N286" s="15">
        <v>45</v>
      </c>
      <c r="O286" s="15">
        <v>15</v>
      </c>
      <c r="P286" s="15">
        <v>229.5</v>
      </c>
      <c r="Q286" s="15">
        <v>1</v>
      </c>
      <c r="R286" s="15" t="s">
        <v>88</v>
      </c>
      <c r="S286" s="15" t="s">
        <v>49</v>
      </c>
      <c r="T286" s="15" t="s">
        <v>256</v>
      </c>
      <c r="U286" s="17" t="s">
        <v>1337</v>
      </c>
      <c r="V286" s="15" t="s">
        <v>38</v>
      </c>
      <c r="W286" t="str">
        <f t="shared" si="16"/>
        <v>Blacklisted</v>
      </c>
      <c r="X286" s="27" t="str">
        <f t="shared" si="17"/>
        <v>Sneha Joshi</v>
      </c>
      <c r="Y286" s="29" t="str">
        <f t="shared" si="18"/>
        <v>Sne00IDHy</v>
      </c>
      <c r="Z286" s="30" t="str">
        <f t="shared" si="19"/>
        <v>sneha.joshi@company.com</v>
      </c>
    </row>
    <row r="287" spans="1:26">
      <c r="A287" s="18" t="s">
        <v>1338</v>
      </c>
      <c r="B287" s="18" t="s">
        <v>251</v>
      </c>
      <c r="C287" s="18" t="s">
        <v>72</v>
      </c>
      <c r="D287" s="18" t="s">
        <v>26</v>
      </c>
      <c r="E287" s="18" t="s">
        <v>1339</v>
      </c>
      <c r="F287" s="18" t="s">
        <v>254</v>
      </c>
      <c r="G287" s="18" t="s">
        <v>28</v>
      </c>
      <c r="H287" s="18" t="s">
        <v>1340</v>
      </c>
      <c r="I287" s="18" t="s">
        <v>59</v>
      </c>
      <c r="J287" s="18" t="s">
        <v>31</v>
      </c>
      <c r="K287" s="18" t="s">
        <v>46</v>
      </c>
      <c r="L287" s="18" t="s">
        <v>78</v>
      </c>
      <c r="M287" s="18">
        <v>2</v>
      </c>
      <c r="N287" s="18">
        <v>1200</v>
      </c>
      <c r="O287" s="18">
        <v>0</v>
      </c>
      <c r="P287" s="18">
        <v>2400</v>
      </c>
      <c r="Q287" s="18">
        <v>1</v>
      </c>
      <c r="R287" s="18" t="s">
        <v>34</v>
      </c>
      <c r="S287" s="18" t="s">
        <v>151</v>
      </c>
      <c r="T287" s="18" t="s">
        <v>256</v>
      </c>
      <c r="U287" s="19" t="s">
        <v>1341</v>
      </c>
      <c r="V287" s="18" t="s">
        <v>69</v>
      </c>
      <c r="W287" t="str">
        <f t="shared" si="16"/>
        <v>Blacklisted</v>
      </c>
      <c r="X287" s="27" t="str">
        <f t="shared" si="17"/>
        <v>Sneha Joshi</v>
      </c>
      <c r="Y287" s="29" t="str">
        <f t="shared" si="18"/>
        <v>Sne00IDBe</v>
      </c>
      <c r="Z287" s="30" t="str">
        <f t="shared" si="19"/>
        <v>sneha.joshi@company.com</v>
      </c>
    </row>
    <row r="288" spans="1:26">
      <c r="A288" s="15" t="s">
        <v>1342</v>
      </c>
      <c r="B288" s="15" t="s">
        <v>168</v>
      </c>
      <c r="C288" s="15" t="s">
        <v>184</v>
      </c>
      <c r="D288" s="15" t="s">
        <v>1343</v>
      </c>
      <c r="E288" s="15" t="s">
        <v>1344</v>
      </c>
      <c r="F288" s="15" t="s">
        <v>361</v>
      </c>
      <c r="G288" s="15" t="s">
        <v>28</v>
      </c>
      <c r="H288" s="15" t="s">
        <v>1345</v>
      </c>
      <c r="I288" s="15" t="s">
        <v>30</v>
      </c>
      <c r="J288" s="15" t="s">
        <v>31</v>
      </c>
      <c r="K288" s="15" t="s">
        <v>46</v>
      </c>
      <c r="L288" s="15" t="s">
        <v>189</v>
      </c>
      <c r="M288" s="15">
        <v>14</v>
      </c>
      <c r="N288" s="15">
        <v>700</v>
      </c>
      <c r="O288" s="15">
        <v>15</v>
      </c>
      <c r="P288" s="15">
        <v>8330</v>
      </c>
      <c r="Q288" s="15">
        <v>5</v>
      </c>
      <c r="R288" s="15" t="s">
        <v>34</v>
      </c>
      <c r="S288" s="15" t="s">
        <v>115</v>
      </c>
      <c r="T288" s="15" t="s">
        <v>175</v>
      </c>
      <c r="U288" s="17" t="s">
        <v>1346</v>
      </c>
      <c r="V288" s="15" t="s">
        <v>64</v>
      </c>
      <c r="W288" t="str">
        <f t="shared" si="16"/>
        <v>Blacklisted</v>
      </c>
      <c r="X288" s="27" t="str">
        <f t="shared" si="17"/>
        <v>Anita Gupta</v>
      </c>
      <c r="Y288" s="29" t="str">
        <f t="shared" si="18"/>
        <v>Ani00IDHy</v>
      </c>
      <c r="Z288" s="30" t="str">
        <f t="shared" si="19"/>
        <v>anita.gupta@company.com</v>
      </c>
    </row>
    <row r="289" spans="1:26">
      <c r="A289" s="18" t="s">
        <v>1347</v>
      </c>
      <c r="B289" s="18" t="s">
        <v>100</v>
      </c>
      <c r="C289" s="18" t="s">
        <v>222</v>
      </c>
      <c r="D289" s="18" t="s">
        <v>291</v>
      </c>
      <c r="E289" s="18" t="s">
        <v>507</v>
      </c>
      <c r="F289" s="18" t="s">
        <v>103</v>
      </c>
      <c r="G289" s="18" t="s">
        <v>28</v>
      </c>
      <c r="H289" s="18" t="s">
        <v>1348</v>
      </c>
      <c r="I289" s="18" t="s">
        <v>105</v>
      </c>
      <c r="J289" s="18" t="s">
        <v>106</v>
      </c>
      <c r="K289" s="18" t="s">
        <v>122</v>
      </c>
      <c r="L289" s="18" t="s">
        <v>227</v>
      </c>
      <c r="M289" s="18">
        <v>13</v>
      </c>
      <c r="N289" s="18">
        <v>20</v>
      </c>
      <c r="O289" s="18">
        <v>5</v>
      </c>
      <c r="P289" s="18">
        <v>247</v>
      </c>
      <c r="Q289" s="18">
        <v>1</v>
      </c>
      <c r="R289" s="18" t="s">
        <v>79</v>
      </c>
      <c r="S289" s="18" t="s">
        <v>35</v>
      </c>
      <c r="T289" s="18" t="s">
        <v>1349</v>
      </c>
      <c r="U289" s="19" t="s">
        <v>1350</v>
      </c>
      <c r="V289" s="18" t="s">
        <v>64</v>
      </c>
      <c r="W289" t="str">
        <f t="shared" si="16"/>
        <v>Blacklisted</v>
      </c>
      <c r="X289" s="27" t="str">
        <f t="shared" si="17"/>
        <v>Priya Patel</v>
      </c>
      <c r="Y289" s="29" t="str">
        <f t="shared" si="18"/>
        <v>Pri00IDMu</v>
      </c>
      <c r="Z289" s="30" t="str">
        <f t="shared" si="19"/>
        <v>Invalid Email</v>
      </c>
    </row>
    <row r="290" spans="1:26">
      <c r="A290" s="15" t="s">
        <v>1351</v>
      </c>
      <c r="B290" s="15" t="s">
        <v>71</v>
      </c>
      <c r="C290" s="15" t="s">
        <v>24</v>
      </c>
      <c r="D290" s="15" t="s">
        <v>135</v>
      </c>
      <c r="E290" s="15" t="s">
        <v>136</v>
      </c>
      <c r="F290" s="15" t="s">
        <v>217</v>
      </c>
      <c r="G290" s="15" t="s">
        <v>76</v>
      </c>
      <c r="H290" s="15" t="s">
        <v>1352</v>
      </c>
      <c r="I290" s="15" t="s">
        <v>114</v>
      </c>
      <c r="J290" s="15" t="s">
        <v>106</v>
      </c>
      <c r="K290" s="15" t="s">
        <v>32</v>
      </c>
      <c r="L290" s="15" t="s">
        <v>33</v>
      </c>
      <c r="M290" s="15">
        <v>3</v>
      </c>
      <c r="N290" s="15">
        <v>2200</v>
      </c>
      <c r="O290" s="15">
        <v>0</v>
      </c>
      <c r="P290" s="15">
        <v>6600</v>
      </c>
      <c r="Q290" s="15">
        <v>4</v>
      </c>
      <c r="R290" s="15" t="s">
        <v>48</v>
      </c>
      <c r="S290" s="15" t="s">
        <v>61</v>
      </c>
      <c r="T290" s="15" t="s">
        <v>80</v>
      </c>
      <c r="U290" s="17" t="s">
        <v>1353</v>
      </c>
      <c r="V290" s="15" t="s">
        <v>69</v>
      </c>
      <c r="W290" t="str">
        <f t="shared" si="16"/>
        <v>Blacklisted</v>
      </c>
      <c r="X290" s="27" t="str">
        <f t="shared" si="17"/>
        <v>Mohit Verma</v>
      </c>
      <c r="Y290" s="29" t="str">
        <f t="shared" si="18"/>
        <v>Moh00IDPu</v>
      </c>
      <c r="Z290" s="30" t="str">
        <f t="shared" si="19"/>
        <v>mohit.verma@company.com</v>
      </c>
    </row>
    <row r="291" spans="1:26">
      <c r="A291" s="18" t="s">
        <v>1354</v>
      </c>
      <c r="B291" s="18" t="s">
        <v>71</v>
      </c>
      <c r="C291" s="18" t="s">
        <v>118</v>
      </c>
      <c r="D291" s="18" t="s">
        <v>450</v>
      </c>
      <c r="E291" s="18" t="s">
        <v>923</v>
      </c>
      <c r="F291" s="18" t="s">
        <v>217</v>
      </c>
      <c r="G291" s="18" t="s">
        <v>76</v>
      </c>
      <c r="H291" s="18" t="s">
        <v>1355</v>
      </c>
      <c r="I291" s="18" t="s">
        <v>114</v>
      </c>
      <c r="J291" s="18" t="s">
        <v>106</v>
      </c>
      <c r="K291" s="18" t="s">
        <v>122</v>
      </c>
      <c r="L291" s="18" t="s">
        <v>123</v>
      </c>
      <c r="M291" s="18">
        <v>3</v>
      </c>
      <c r="N291" s="18">
        <v>60</v>
      </c>
      <c r="O291" s="18">
        <v>15</v>
      </c>
      <c r="P291" s="18">
        <v>153</v>
      </c>
      <c r="Q291" s="18">
        <v>4</v>
      </c>
      <c r="R291" s="18" t="s">
        <v>88</v>
      </c>
      <c r="S291" s="18" t="s">
        <v>115</v>
      </c>
      <c r="T291" s="18" t="s">
        <v>80</v>
      </c>
      <c r="U291" s="19" t="s">
        <v>1356</v>
      </c>
      <c r="V291" s="18" t="s">
        <v>38</v>
      </c>
      <c r="W291" t="str">
        <f t="shared" si="16"/>
        <v>Silver</v>
      </c>
      <c r="X291" s="27" t="str">
        <f t="shared" si="17"/>
        <v>Mohit Verma</v>
      </c>
      <c r="Y291" s="29" t="str">
        <f t="shared" si="18"/>
        <v>Moh00IDPu</v>
      </c>
      <c r="Z291" s="30" t="str">
        <f t="shared" si="19"/>
        <v>mohit.verma@company.com</v>
      </c>
    </row>
    <row r="292" spans="1:26">
      <c r="A292" s="15" t="s">
        <v>1357</v>
      </c>
      <c r="B292" s="15" t="s">
        <v>127</v>
      </c>
      <c r="C292" s="15" t="s">
        <v>92</v>
      </c>
      <c r="D292" s="15" t="s">
        <v>624</v>
      </c>
      <c r="E292" s="15" t="s">
        <v>825</v>
      </c>
      <c r="F292" s="15" t="s">
        <v>200</v>
      </c>
      <c r="G292" s="15" t="s">
        <v>76</v>
      </c>
      <c r="H292" s="15" t="s">
        <v>584</v>
      </c>
      <c r="I292" s="15" t="s">
        <v>105</v>
      </c>
      <c r="J292" s="15" t="s">
        <v>106</v>
      </c>
      <c r="K292" s="15" t="s">
        <v>32</v>
      </c>
      <c r="L292" s="15" t="s">
        <v>97</v>
      </c>
      <c r="M292" s="15">
        <v>9</v>
      </c>
      <c r="N292" s="15">
        <v>3500</v>
      </c>
      <c r="O292" s="15">
        <v>5</v>
      </c>
      <c r="P292" s="15">
        <v>29925</v>
      </c>
      <c r="Q292" s="15">
        <v>1</v>
      </c>
      <c r="R292" s="15" t="s">
        <v>34</v>
      </c>
      <c r="S292" s="15" t="s">
        <v>61</v>
      </c>
      <c r="T292" s="15" t="s">
        <v>132</v>
      </c>
      <c r="U292" s="17" t="s">
        <v>1358</v>
      </c>
      <c r="V292" s="15" t="s">
        <v>64</v>
      </c>
      <c r="W292" t="str">
        <f t="shared" si="16"/>
        <v>Blacklisted</v>
      </c>
      <c r="X292" s="27" t="str">
        <f t="shared" si="17"/>
        <v>Rohit Singh</v>
      </c>
      <c r="Y292" s="29" t="str">
        <f t="shared" si="18"/>
        <v>Roh00IDMu</v>
      </c>
      <c r="Z292" s="30" t="str">
        <f t="shared" si="19"/>
        <v>rohit.singh@company.com</v>
      </c>
    </row>
    <row r="293" spans="1:26">
      <c r="A293" s="18" t="s">
        <v>1359</v>
      </c>
      <c r="B293" s="18" t="s">
        <v>327</v>
      </c>
      <c r="C293" s="18" t="s">
        <v>72</v>
      </c>
      <c r="D293" s="18" t="s">
        <v>120</v>
      </c>
      <c r="E293" s="18" t="s">
        <v>1360</v>
      </c>
      <c r="F293" s="18" t="s">
        <v>394</v>
      </c>
      <c r="G293" s="18" t="s">
        <v>76</v>
      </c>
      <c r="H293" s="18" t="s">
        <v>1361</v>
      </c>
      <c r="I293" s="18" t="s">
        <v>212</v>
      </c>
      <c r="J293" s="18" t="s">
        <v>45</v>
      </c>
      <c r="K293" s="18" t="s">
        <v>46</v>
      </c>
      <c r="L293" s="18" t="s">
        <v>78</v>
      </c>
      <c r="M293" s="18">
        <v>5</v>
      </c>
      <c r="N293" s="18">
        <v>1200</v>
      </c>
      <c r="O293" s="18">
        <v>20</v>
      </c>
      <c r="P293" s="18">
        <v>4800</v>
      </c>
      <c r="Q293" s="18">
        <v>2</v>
      </c>
      <c r="R293" s="18" t="s">
        <v>88</v>
      </c>
      <c r="S293" s="18" t="s">
        <v>115</v>
      </c>
      <c r="T293" s="18" t="s">
        <v>332</v>
      </c>
      <c r="U293" s="19" t="s">
        <v>1362</v>
      </c>
      <c r="V293" s="18" t="s">
        <v>64</v>
      </c>
      <c r="W293" t="str">
        <f t="shared" si="16"/>
        <v>Blacklisted</v>
      </c>
      <c r="X293" s="27" t="str">
        <f t="shared" si="17"/>
        <v>Amit Sharma</v>
      </c>
      <c r="Y293" s="29" t="str">
        <f t="shared" si="18"/>
        <v>Ami00IDJa</v>
      </c>
      <c r="Z293" s="30" t="str">
        <f t="shared" si="19"/>
        <v>amit.sharma@company.com</v>
      </c>
    </row>
    <row r="294" spans="1:26">
      <c r="A294" s="15" t="s">
        <v>1363</v>
      </c>
      <c r="B294" s="15" t="s">
        <v>53</v>
      </c>
      <c r="C294" s="15" t="s">
        <v>72</v>
      </c>
      <c r="D294" s="15" t="s">
        <v>1031</v>
      </c>
      <c r="E294" s="15" t="s">
        <v>910</v>
      </c>
      <c r="F294" s="15" t="s">
        <v>163</v>
      </c>
      <c r="G294" s="15" t="s">
        <v>28</v>
      </c>
      <c r="H294" s="15" t="s">
        <v>1364</v>
      </c>
      <c r="I294" s="15" t="s">
        <v>212</v>
      </c>
      <c r="J294" s="15" t="s">
        <v>45</v>
      </c>
      <c r="K294" s="15" t="s">
        <v>46</v>
      </c>
      <c r="L294" s="15" t="s">
        <v>78</v>
      </c>
      <c r="M294" s="15">
        <v>10</v>
      </c>
      <c r="N294" s="15">
        <v>1200</v>
      </c>
      <c r="O294" s="15">
        <v>20</v>
      </c>
      <c r="P294" s="15">
        <v>9600</v>
      </c>
      <c r="Q294" s="15">
        <v>4</v>
      </c>
      <c r="R294" s="15" t="s">
        <v>34</v>
      </c>
      <c r="S294" s="15" t="s">
        <v>49</v>
      </c>
      <c r="T294" s="16" t="s">
        <v>1365</v>
      </c>
      <c r="U294" s="17" t="s">
        <v>1366</v>
      </c>
      <c r="V294" s="15" t="s">
        <v>38</v>
      </c>
      <c r="W294" t="str">
        <f t="shared" si="16"/>
        <v>Silver</v>
      </c>
      <c r="X294" s="27" t="str">
        <f t="shared" si="17"/>
        <v>Pooja Shah</v>
      </c>
      <c r="Y294" s="29" t="str">
        <f t="shared" si="18"/>
        <v>Poo01IDJa</v>
      </c>
      <c r="Z294" s="30" t="str">
        <f t="shared" si="19"/>
        <v>pooja.shah@company.com</v>
      </c>
    </row>
    <row r="295" spans="1:26">
      <c r="A295" s="18" t="s">
        <v>1367</v>
      </c>
      <c r="B295" s="18" t="s">
        <v>23</v>
      </c>
      <c r="C295" s="18" t="s">
        <v>72</v>
      </c>
      <c r="D295" s="18" t="s">
        <v>1368</v>
      </c>
      <c r="E295" s="18" t="s">
        <v>1369</v>
      </c>
      <c r="F295" s="18" t="s">
        <v>27</v>
      </c>
      <c r="G295" s="18" t="s">
        <v>28</v>
      </c>
      <c r="H295" s="18" t="s">
        <v>1370</v>
      </c>
      <c r="I295" s="18" t="s">
        <v>138</v>
      </c>
      <c r="J295" s="18" t="s">
        <v>106</v>
      </c>
      <c r="K295" s="18" t="s">
        <v>46</v>
      </c>
      <c r="L295" s="18" t="s">
        <v>78</v>
      </c>
      <c r="M295" s="18">
        <v>5</v>
      </c>
      <c r="N295" s="18">
        <v>1200</v>
      </c>
      <c r="O295" s="18">
        <v>20</v>
      </c>
      <c r="P295" s="18">
        <v>4800</v>
      </c>
      <c r="Q295" s="18">
        <v>3</v>
      </c>
      <c r="R295" s="18" t="s">
        <v>48</v>
      </c>
      <c r="S295" s="18" t="s">
        <v>151</v>
      </c>
      <c r="T295" s="18" t="s">
        <v>50</v>
      </c>
      <c r="U295" s="19" t="s">
        <v>1371</v>
      </c>
      <c r="V295" s="18" t="s">
        <v>38</v>
      </c>
      <c r="W295" t="str">
        <f t="shared" si="16"/>
        <v>Silver</v>
      </c>
      <c r="X295" s="27" t="str">
        <f t="shared" si="17"/>
        <v>Kavya Nair</v>
      </c>
      <c r="Y295" s="29" t="str">
        <f t="shared" si="18"/>
        <v>Kav00IDAh</v>
      </c>
      <c r="Z295" s="30" t="str">
        <f t="shared" si="19"/>
        <v>kavya.nair@company.com</v>
      </c>
    </row>
    <row r="296" spans="1:26">
      <c r="A296" s="15" t="s">
        <v>1372</v>
      </c>
      <c r="B296" s="15" t="s">
        <v>168</v>
      </c>
      <c r="C296" s="15" t="s">
        <v>222</v>
      </c>
      <c r="D296" s="15" t="s">
        <v>1373</v>
      </c>
      <c r="E296" s="15" t="s">
        <v>1374</v>
      </c>
      <c r="F296" s="15" t="s">
        <v>361</v>
      </c>
      <c r="G296" s="15" t="s">
        <v>28</v>
      </c>
      <c r="H296" s="15" t="s">
        <v>1375</v>
      </c>
      <c r="I296" s="15" t="s">
        <v>105</v>
      </c>
      <c r="J296" s="15" t="s">
        <v>106</v>
      </c>
      <c r="K296" s="15" t="s">
        <v>122</v>
      </c>
      <c r="L296" s="15" t="s">
        <v>227</v>
      </c>
      <c r="M296" s="15">
        <v>10</v>
      </c>
      <c r="N296" s="15">
        <v>20</v>
      </c>
      <c r="O296" s="15">
        <v>5</v>
      </c>
      <c r="P296" s="15">
        <v>190</v>
      </c>
      <c r="Q296" s="15">
        <v>4</v>
      </c>
      <c r="R296" s="15" t="s">
        <v>34</v>
      </c>
      <c r="S296" s="15" t="s">
        <v>151</v>
      </c>
      <c r="T296" s="15" t="s">
        <v>175</v>
      </c>
      <c r="U296" s="17" t="s">
        <v>1376</v>
      </c>
      <c r="V296" s="15" t="s">
        <v>64</v>
      </c>
      <c r="W296" t="str">
        <f t="shared" si="16"/>
        <v>Blacklisted</v>
      </c>
      <c r="X296" s="27" t="str">
        <f t="shared" si="17"/>
        <v>Anita Gupta</v>
      </c>
      <c r="Y296" s="29" t="str">
        <f t="shared" si="18"/>
        <v>Ani00IDMu</v>
      </c>
      <c r="Z296" s="30" t="str">
        <f t="shared" si="19"/>
        <v>anita.gupta@company.com</v>
      </c>
    </row>
    <row r="297" spans="1:26">
      <c r="A297" s="18" t="s">
        <v>1377</v>
      </c>
      <c r="B297" s="18" t="s">
        <v>100</v>
      </c>
      <c r="C297" s="18" t="s">
        <v>118</v>
      </c>
      <c r="D297" s="18" t="s">
        <v>1378</v>
      </c>
      <c r="E297" s="18" t="s">
        <v>1379</v>
      </c>
      <c r="F297" s="18" t="s">
        <v>103</v>
      </c>
      <c r="G297" s="18" t="s">
        <v>28</v>
      </c>
      <c r="H297" s="18" t="s">
        <v>1380</v>
      </c>
      <c r="I297" s="18" t="s">
        <v>44</v>
      </c>
      <c r="J297" s="18" t="s">
        <v>45</v>
      </c>
      <c r="K297" s="18" t="s">
        <v>122</v>
      </c>
      <c r="L297" s="18" t="s">
        <v>123</v>
      </c>
      <c r="M297" s="18">
        <v>20</v>
      </c>
      <c r="N297" s="18">
        <v>60</v>
      </c>
      <c r="O297" s="18">
        <v>15</v>
      </c>
      <c r="P297" s="18">
        <v>1020</v>
      </c>
      <c r="Q297" s="18">
        <v>5</v>
      </c>
      <c r="R297" s="18" t="s">
        <v>79</v>
      </c>
      <c r="S297" s="18" t="s">
        <v>35</v>
      </c>
      <c r="T297" s="18" t="s">
        <v>144</v>
      </c>
      <c r="U297" s="19" t="s">
        <v>1381</v>
      </c>
      <c r="V297" s="18" t="s">
        <v>64</v>
      </c>
      <c r="W297" t="str">
        <f t="shared" si="16"/>
        <v>Blacklisted</v>
      </c>
      <c r="X297" s="27" t="str">
        <f t="shared" si="17"/>
        <v>Priya Patel</v>
      </c>
      <c r="Y297" s="29" t="str">
        <f t="shared" si="18"/>
        <v>Pri00IDDe</v>
      </c>
      <c r="Z297" s="30" t="str">
        <f t="shared" si="19"/>
        <v>priya.patel@company.com</v>
      </c>
    </row>
    <row r="298" spans="1:26">
      <c r="A298" s="15" t="s">
        <v>1382</v>
      </c>
      <c r="B298" s="15" t="s">
        <v>327</v>
      </c>
      <c r="C298" s="15" t="s">
        <v>24</v>
      </c>
      <c r="D298" s="15" t="s">
        <v>1360</v>
      </c>
      <c r="E298" s="15" t="s">
        <v>577</v>
      </c>
      <c r="F298" s="15" t="s">
        <v>394</v>
      </c>
      <c r="G298" s="15" t="s">
        <v>76</v>
      </c>
      <c r="H298" s="15" t="s">
        <v>1383</v>
      </c>
      <c r="I298" s="15" t="s">
        <v>138</v>
      </c>
      <c r="J298" s="15" t="s">
        <v>106</v>
      </c>
      <c r="K298" s="15" t="s">
        <v>32</v>
      </c>
      <c r="L298" s="15" t="s">
        <v>33</v>
      </c>
      <c r="M298" s="15">
        <v>7</v>
      </c>
      <c r="N298" s="15">
        <v>2200</v>
      </c>
      <c r="O298" s="15">
        <v>15</v>
      </c>
      <c r="P298" s="15">
        <v>13090</v>
      </c>
      <c r="Q298" s="15">
        <v>4</v>
      </c>
      <c r="R298" s="15" t="s">
        <v>34</v>
      </c>
      <c r="S298" s="15" t="s">
        <v>61</v>
      </c>
      <c r="T298" s="15" t="s">
        <v>332</v>
      </c>
      <c r="U298" s="17" t="s">
        <v>1384</v>
      </c>
      <c r="V298" s="15" t="s">
        <v>69</v>
      </c>
      <c r="W298" t="str">
        <f t="shared" si="16"/>
        <v>Blacklisted</v>
      </c>
      <c r="X298" s="27" t="str">
        <f t="shared" si="17"/>
        <v>Amit Sharma</v>
      </c>
      <c r="Y298" s="29" t="str">
        <f t="shared" si="18"/>
        <v>Ami00IDAh</v>
      </c>
      <c r="Z298" s="30" t="str">
        <f t="shared" si="19"/>
        <v>amit.sharma@company.com</v>
      </c>
    </row>
    <row r="299" spans="1:26">
      <c r="A299" s="18" t="s">
        <v>1385</v>
      </c>
      <c r="B299" s="18" t="s">
        <v>127</v>
      </c>
      <c r="C299" s="18" t="s">
        <v>54</v>
      </c>
      <c r="D299" s="18" t="s">
        <v>619</v>
      </c>
      <c r="E299" s="18" t="s">
        <v>760</v>
      </c>
      <c r="F299" s="18" t="s">
        <v>200</v>
      </c>
      <c r="G299" s="18" t="s">
        <v>76</v>
      </c>
      <c r="H299" s="18" t="s">
        <v>1386</v>
      </c>
      <c r="I299" s="18" t="s">
        <v>30</v>
      </c>
      <c r="J299" s="18" t="s">
        <v>31</v>
      </c>
      <c r="K299" s="18" t="s">
        <v>46</v>
      </c>
      <c r="L299" s="18" t="s">
        <v>60</v>
      </c>
      <c r="M299" s="18">
        <v>11</v>
      </c>
      <c r="N299" s="18">
        <v>55000</v>
      </c>
      <c r="O299" s="18">
        <v>5</v>
      </c>
      <c r="P299" s="18">
        <v>574750</v>
      </c>
      <c r="Q299" s="18">
        <v>1</v>
      </c>
      <c r="R299" s="18" t="s">
        <v>88</v>
      </c>
      <c r="S299" s="18" t="s">
        <v>35</v>
      </c>
      <c r="T299" s="18" t="s">
        <v>132</v>
      </c>
      <c r="U299" s="19" t="s">
        <v>1387</v>
      </c>
      <c r="V299" s="18" t="s">
        <v>69</v>
      </c>
      <c r="W299" t="str">
        <f t="shared" si="16"/>
        <v>Blacklisted</v>
      </c>
      <c r="X299" s="27" t="str">
        <f t="shared" si="17"/>
        <v>Rohit Singh</v>
      </c>
      <c r="Y299" s="29" t="str">
        <f t="shared" si="18"/>
        <v>Roh00IDHy</v>
      </c>
      <c r="Z299" s="30" t="str">
        <f t="shared" si="19"/>
        <v>rohit.singh@company.com</v>
      </c>
    </row>
    <row r="300" spans="1:26">
      <c r="A300" s="15" t="s">
        <v>1388</v>
      </c>
      <c r="B300" s="15" t="s">
        <v>83</v>
      </c>
      <c r="C300" s="15" t="s">
        <v>92</v>
      </c>
      <c r="D300" s="15" t="s">
        <v>308</v>
      </c>
      <c r="E300" s="15" t="s">
        <v>1389</v>
      </c>
      <c r="F300" s="15" t="s">
        <v>180</v>
      </c>
      <c r="G300" s="15" t="s">
        <v>76</v>
      </c>
      <c r="H300" s="15" t="s">
        <v>1390</v>
      </c>
      <c r="I300" s="15" t="s">
        <v>212</v>
      </c>
      <c r="J300" s="15" t="s">
        <v>45</v>
      </c>
      <c r="K300" s="15" t="s">
        <v>32</v>
      </c>
      <c r="L300" s="15" t="s">
        <v>97</v>
      </c>
      <c r="M300" s="15">
        <v>12</v>
      </c>
      <c r="N300" s="15">
        <v>3500</v>
      </c>
      <c r="O300" s="15">
        <v>0</v>
      </c>
      <c r="P300" s="15">
        <v>42000</v>
      </c>
      <c r="Q300" s="15">
        <v>2</v>
      </c>
      <c r="R300" s="15" t="s">
        <v>48</v>
      </c>
      <c r="S300" s="15"/>
      <c r="T300" s="15" t="s">
        <v>89</v>
      </c>
      <c r="U300" s="17" t="s">
        <v>1391</v>
      </c>
      <c r="V300" s="15" t="s">
        <v>64</v>
      </c>
      <c r="W300" t="str">
        <f t="shared" si="16"/>
        <v>Blacklisted</v>
      </c>
      <c r="X300" s="27" t="str">
        <f t="shared" si="17"/>
        <v>Arjun Rao</v>
      </c>
      <c r="Y300" s="29" t="str">
        <f t="shared" si="18"/>
        <v>Arj00IDJa</v>
      </c>
      <c r="Z300" s="30" t="str">
        <f t="shared" si="19"/>
        <v>arjun.rao@company.com</v>
      </c>
    </row>
    <row r="301" spans="1:26">
      <c r="A301" s="18" t="s">
        <v>1392</v>
      </c>
      <c r="B301" s="18" t="s">
        <v>71</v>
      </c>
      <c r="C301" s="18" t="s">
        <v>259</v>
      </c>
      <c r="D301" s="18" t="s">
        <v>94</v>
      </c>
      <c r="E301" s="18" t="s">
        <v>298</v>
      </c>
      <c r="F301" s="18" t="s">
        <v>217</v>
      </c>
      <c r="G301" s="18" t="s">
        <v>76</v>
      </c>
      <c r="H301" s="18" t="s">
        <v>1393</v>
      </c>
      <c r="I301" s="18" t="s">
        <v>30</v>
      </c>
      <c r="J301" s="18" t="s">
        <v>31</v>
      </c>
      <c r="K301" s="18" t="s">
        <v>122</v>
      </c>
      <c r="L301" s="18" t="s">
        <v>263</v>
      </c>
      <c r="M301" s="18">
        <v>15</v>
      </c>
      <c r="N301" s="18">
        <v>45</v>
      </c>
      <c r="O301" s="18">
        <v>10</v>
      </c>
      <c r="P301" s="18">
        <v>607.5</v>
      </c>
      <c r="Q301" s="18">
        <v>2</v>
      </c>
      <c r="R301" s="18" t="s">
        <v>34</v>
      </c>
      <c r="S301" s="18" t="s">
        <v>151</v>
      </c>
      <c r="T301" s="18" t="s">
        <v>80</v>
      </c>
      <c r="U301" s="19" t="s">
        <v>1394</v>
      </c>
      <c r="V301" s="18" t="s">
        <v>64</v>
      </c>
      <c r="W301" t="str">
        <f t="shared" si="16"/>
        <v>Blacklisted</v>
      </c>
      <c r="X301" s="27" t="str">
        <f t="shared" si="17"/>
        <v>Mohit Verma</v>
      </c>
      <c r="Y301" s="29" t="str">
        <f t="shared" si="18"/>
        <v>Moh00IDHy</v>
      </c>
      <c r="Z301" s="30" t="str">
        <f t="shared" si="19"/>
        <v>mohit.verma@company.com</v>
      </c>
    </row>
    <row r="302" spans="1:26">
      <c r="A302" s="15" t="s">
        <v>1395</v>
      </c>
      <c r="B302" s="15" t="s">
        <v>327</v>
      </c>
      <c r="C302" s="15" t="s">
        <v>259</v>
      </c>
      <c r="D302" s="15" t="s">
        <v>1320</v>
      </c>
      <c r="E302" s="15" t="s">
        <v>936</v>
      </c>
      <c r="F302" s="15" t="s">
        <v>394</v>
      </c>
      <c r="G302" s="15" t="s">
        <v>76</v>
      </c>
      <c r="H302" s="15" t="s">
        <v>1396</v>
      </c>
      <c r="I302" s="15" t="s">
        <v>59</v>
      </c>
      <c r="J302" s="15" t="s">
        <v>31</v>
      </c>
      <c r="K302" s="15" t="s">
        <v>122</v>
      </c>
      <c r="L302" s="15" t="s">
        <v>263</v>
      </c>
      <c r="M302" s="15">
        <v>13</v>
      </c>
      <c r="N302" s="15">
        <v>45</v>
      </c>
      <c r="O302" s="15">
        <v>0</v>
      </c>
      <c r="P302" s="15">
        <v>585</v>
      </c>
      <c r="Q302" s="15">
        <v>5</v>
      </c>
      <c r="R302" s="15" t="s">
        <v>48</v>
      </c>
      <c r="S302" s="15" t="s">
        <v>49</v>
      </c>
      <c r="T302" s="15" t="s">
        <v>332</v>
      </c>
      <c r="U302" s="17" t="s">
        <v>1397</v>
      </c>
      <c r="V302" s="15" t="s">
        <v>64</v>
      </c>
      <c r="W302" t="str">
        <f t="shared" si="16"/>
        <v>Blacklisted</v>
      </c>
      <c r="X302" s="27" t="str">
        <f t="shared" si="17"/>
        <v>Amit Sharma</v>
      </c>
      <c r="Y302" s="29" t="str">
        <f t="shared" si="18"/>
        <v>Ami00IDBe</v>
      </c>
      <c r="Z302" s="30" t="str">
        <f t="shared" si="19"/>
        <v>amit.sharma@company.com</v>
      </c>
    </row>
    <row r="303" spans="1:26">
      <c r="A303" s="18" t="s">
        <v>1398</v>
      </c>
      <c r="B303" s="18" t="s">
        <v>127</v>
      </c>
      <c r="C303" s="18" t="s">
        <v>54</v>
      </c>
      <c r="D303" s="18" t="s">
        <v>711</v>
      </c>
      <c r="E303" s="18" t="s">
        <v>1199</v>
      </c>
      <c r="F303" s="18" t="s">
        <v>200</v>
      </c>
      <c r="G303" s="18" t="s">
        <v>76</v>
      </c>
      <c r="H303" s="18" t="s">
        <v>1399</v>
      </c>
      <c r="I303" s="18" t="s">
        <v>59</v>
      </c>
      <c r="J303" s="18" t="s">
        <v>31</v>
      </c>
      <c r="K303" s="18" t="s">
        <v>46</v>
      </c>
      <c r="L303" s="18" t="s">
        <v>60</v>
      </c>
      <c r="M303" s="18">
        <v>8</v>
      </c>
      <c r="N303" s="18">
        <v>55000</v>
      </c>
      <c r="O303" s="18">
        <v>0</v>
      </c>
      <c r="P303" s="18">
        <v>440000</v>
      </c>
      <c r="Q303" s="18">
        <v>2</v>
      </c>
      <c r="R303" s="18" t="s">
        <v>88</v>
      </c>
      <c r="S303" s="18" t="s">
        <v>151</v>
      </c>
      <c r="T303" s="18" t="s">
        <v>132</v>
      </c>
      <c r="U303" s="19" t="s">
        <v>1400</v>
      </c>
      <c r="V303" s="18" t="s">
        <v>69</v>
      </c>
      <c r="W303" t="str">
        <f t="shared" si="16"/>
        <v>Blacklisted</v>
      </c>
      <c r="X303" s="27" t="str">
        <f t="shared" si="17"/>
        <v>Rohit Singh</v>
      </c>
      <c r="Y303" s="29" t="str">
        <f t="shared" si="18"/>
        <v>Roh00IDBe</v>
      </c>
      <c r="Z303" s="30" t="str">
        <f t="shared" si="19"/>
        <v>rohit.singh@company.com</v>
      </c>
    </row>
    <row r="304" spans="1:26">
      <c r="A304" s="15" t="s">
        <v>1401</v>
      </c>
      <c r="B304" s="15" t="s">
        <v>251</v>
      </c>
      <c r="C304" s="15" t="s">
        <v>54</v>
      </c>
      <c r="D304" s="15" t="s">
        <v>830</v>
      </c>
      <c r="E304" s="15" t="s">
        <v>381</v>
      </c>
      <c r="F304" s="15" t="s">
        <v>254</v>
      </c>
      <c r="G304" s="15" t="s">
        <v>28</v>
      </c>
      <c r="H304" s="15" t="s">
        <v>1402</v>
      </c>
      <c r="I304" s="15" t="s">
        <v>44</v>
      </c>
      <c r="J304" s="15" t="s">
        <v>45</v>
      </c>
      <c r="K304" s="15" t="s">
        <v>46</v>
      </c>
      <c r="L304" s="15" t="s">
        <v>60</v>
      </c>
      <c r="M304" s="15">
        <v>4</v>
      </c>
      <c r="N304" s="15">
        <v>55000</v>
      </c>
      <c r="O304" s="15">
        <v>20</v>
      </c>
      <c r="P304" s="15">
        <v>176000</v>
      </c>
      <c r="Q304" s="15">
        <v>5</v>
      </c>
      <c r="R304" s="15" t="s">
        <v>34</v>
      </c>
      <c r="S304" s="15" t="s">
        <v>49</v>
      </c>
      <c r="T304" s="15" t="s">
        <v>256</v>
      </c>
      <c r="U304" s="17" t="s">
        <v>1403</v>
      </c>
      <c r="V304" s="15" t="s">
        <v>64</v>
      </c>
      <c r="W304" t="str">
        <f t="shared" si="16"/>
        <v>Blacklisted</v>
      </c>
      <c r="X304" s="27" t="str">
        <f t="shared" si="17"/>
        <v>Sneha Joshi</v>
      </c>
      <c r="Y304" s="29" t="str">
        <f t="shared" si="18"/>
        <v>Sne00IDDe</v>
      </c>
      <c r="Z304" s="30" t="str">
        <f t="shared" si="19"/>
        <v>sneha.joshi@company.com</v>
      </c>
    </row>
    <row r="305" spans="1:26">
      <c r="A305" s="18" t="s">
        <v>1404</v>
      </c>
      <c r="B305" s="18" t="s">
        <v>23</v>
      </c>
      <c r="C305" s="18" t="s">
        <v>92</v>
      </c>
      <c r="D305" s="18" t="s">
        <v>1405</v>
      </c>
      <c r="E305" s="18" t="s">
        <v>716</v>
      </c>
      <c r="F305" s="18" t="s">
        <v>27</v>
      </c>
      <c r="G305" s="18" t="s">
        <v>28</v>
      </c>
      <c r="H305" s="18" t="s">
        <v>1406</v>
      </c>
      <c r="I305" s="18" t="s">
        <v>138</v>
      </c>
      <c r="J305" s="18" t="s">
        <v>106</v>
      </c>
      <c r="K305" s="18" t="s">
        <v>32</v>
      </c>
      <c r="L305" s="18" t="s">
        <v>97</v>
      </c>
      <c r="M305" s="18">
        <v>19</v>
      </c>
      <c r="N305" s="18">
        <v>3500</v>
      </c>
      <c r="O305" s="18">
        <v>5</v>
      </c>
      <c r="P305" s="18">
        <v>63175</v>
      </c>
      <c r="Q305" s="18">
        <v>1</v>
      </c>
      <c r="R305" s="18" t="s">
        <v>79</v>
      </c>
      <c r="S305" s="18" t="s">
        <v>115</v>
      </c>
      <c r="T305" s="18" t="s">
        <v>50</v>
      </c>
      <c r="U305" s="19" t="s">
        <v>1407</v>
      </c>
      <c r="V305" s="18" t="s">
        <v>38</v>
      </c>
      <c r="W305" t="str">
        <f t="shared" si="16"/>
        <v>Blacklisted</v>
      </c>
      <c r="X305" s="27" t="str">
        <f t="shared" si="17"/>
        <v>Kavya Nair</v>
      </c>
      <c r="Y305" s="29" t="str">
        <f t="shared" si="18"/>
        <v>Kav00IDAh</v>
      </c>
      <c r="Z305" s="30" t="str">
        <f t="shared" si="19"/>
        <v>kavya.nair@company.com</v>
      </c>
    </row>
    <row r="306" spans="1:26">
      <c r="A306" s="15" t="s">
        <v>1408</v>
      </c>
      <c r="B306" s="15" t="s">
        <v>221</v>
      </c>
      <c r="C306" s="15" t="s">
        <v>72</v>
      </c>
      <c r="D306" s="15" t="s">
        <v>1409</v>
      </c>
      <c r="E306" s="15" t="s">
        <v>414</v>
      </c>
      <c r="F306" s="15" t="s">
        <v>225</v>
      </c>
      <c r="G306" s="15" t="s">
        <v>76</v>
      </c>
      <c r="H306" s="15" t="s">
        <v>1410</v>
      </c>
      <c r="I306" s="15" t="s">
        <v>212</v>
      </c>
      <c r="J306" s="15" t="s">
        <v>45</v>
      </c>
      <c r="K306" s="15" t="s">
        <v>46</v>
      </c>
      <c r="L306" s="15" t="s">
        <v>78</v>
      </c>
      <c r="M306" s="15">
        <v>17</v>
      </c>
      <c r="N306" s="15">
        <v>1200</v>
      </c>
      <c r="O306" s="15">
        <v>15</v>
      </c>
      <c r="P306" s="15">
        <v>17340</v>
      </c>
      <c r="Q306" s="15">
        <v>2</v>
      </c>
      <c r="R306" s="15" t="s">
        <v>48</v>
      </c>
      <c r="S306" s="15" t="s">
        <v>49</v>
      </c>
      <c r="T306" s="15" t="s">
        <v>228</v>
      </c>
      <c r="U306" s="17" t="s">
        <v>1411</v>
      </c>
      <c r="V306" s="15" t="s">
        <v>38</v>
      </c>
      <c r="W306" t="str">
        <f t="shared" si="16"/>
        <v>Blacklisted</v>
      </c>
      <c r="X306" s="27" t="str">
        <f t="shared" si="17"/>
        <v>Vikas Mehta</v>
      </c>
      <c r="Y306" s="29" t="str">
        <f t="shared" si="18"/>
        <v>Vik00IDJa</v>
      </c>
      <c r="Z306" s="30" t="str">
        <f t="shared" si="19"/>
        <v>vikas.mehta@company.com</v>
      </c>
    </row>
    <row r="307" spans="1:26">
      <c r="A307" s="18" t="s">
        <v>1412</v>
      </c>
      <c r="B307" s="18" t="s">
        <v>23</v>
      </c>
      <c r="C307" s="18" t="s">
        <v>24</v>
      </c>
      <c r="D307" s="18" t="s">
        <v>450</v>
      </c>
      <c r="E307" s="18" t="s">
        <v>736</v>
      </c>
      <c r="F307" s="18" t="s">
        <v>27</v>
      </c>
      <c r="G307" s="18" t="s">
        <v>28</v>
      </c>
      <c r="H307" s="18" t="s">
        <v>1413</v>
      </c>
      <c r="I307" s="18" t="s">
        <v>30</v>
      </c>
      <c r="J307" s="18" t="s">
        <v>31</v>
      </c>
      <c r="K307" s="18" t="s">
        <v>32</v>
      </c>
      <c r="L307" s="18" t="s">
        <v>33</v>
      </c>
      <c r="M307" s="18">
        <v>8</v>
      </c>
      <c r="N307" s="18">
        <v>2200</v>
      </c>
      <c r="O307" s="18">
        <v>5</v>
      </c>
      <c r="P307" s="18">
        <v>16720</v>
      </c>
      <c r="Q307" s="18">
        <v>3</v>
      </c>
      <c r="R307" s="18" t="s">
        <v>79</v>
      </c>
      <c r="S307" s="18" t="s">
        <v>115</v>
      </c>
      <c r="T307" s="18" t="s">
        <v>50</v>
      </c>
      <c r="U307" s="19" t="s">
        <v>1414</v>
      </c>
      <c r="V307" s="18" t="s">
        <v>64</v>
      </c>
      <c r="W307" t="str">
        <f t="shared" si="16"/>
        <v>Blacklisted</v>
      </c>
      <c r="X307" s="27" t="str">
        <f t="shared" si="17"/>
        <v>Kavya Nair</v>
      </c>
      <c r="Y307" s="29" t="str">
        <f t="shared" si="18"/>
        <v>Kav00IDHy</v>
      </c>
      <c r="Z307" s="30" t="str">
        <f t="shared" si="19"/>
        <v>kavya.nair@company.com</v>
      </c>
    </row>
    <row r="308" spans="1:26">
      <c r="A308" s="15" t="s">
        <v>1415</v>
      </c>
      <c r="B308" s="15" t="s">
        <v>251</v>
      </c>
      <c r="C308" s="15" t="s">
        <v>184</v>
      </c>
      <c r="D308" s="15" t="s">
        <v>987</v>
      </c>
      <c r="E308" s="15" t="s">
        <v>387</v>
      </c>
      <c r="F308" s="15" t="s">
        <v>254</v>
      </c>
      <c r="G308" s="15" t="s">
        <v>28</v>
      </c>
      <c r="H308" s="15" t="s">
        <v>813</v>
      </c>
      <c r="I308" s="15" t="s">
        <v>105</v>
      </c>
      <c r="J308" s="15" t="s">
        <v>106</v>
      </c>
      <c r="K308" s="15" t="s">
        <v>46</v>
      </c>
      <c r="L308" s="15" t="s">
        <v>189</v>
      </c>
      <c r="M308" s="15">
        <v>17</v>
      </c>
      <c r="N308" s="15">
        <v>700</v>
      </c>
      <c r="O308" s="15">
        <v>20</v>
      </c>
      <c r="P308" s="15">
        <v>9520</v>
      </c>
      <c r="Q308" s="15">
        <v>4</v>
      </c>
      <c r="R308" s="15" t="s">
        <v>48</v>
      </c>
      <c r="S308" s="15" t="s">
        <v>115</v>
      </c>
      <c r="T308" s="15" t="s">
        <v>256</v>
      </c>
      <c r="U308" s="17" t="s">
        <v>1416</v>
      </c>
      <c r="V308" s="15" t="s">
        <v>38</v>
      </c>
      <c r="W308" t="str">
        <f t="shared" si="16"/>
        <v>Silver</v>
      </c>
      <c r="X308" s="27" t="str">
        <f t="shared" si="17"/>
        <v>Sneha Joshi</v>
      </c>
      <c r="Y308" s="29" t="str">
        <f t="shared" si="18"/>
        <v>Sne00IDMu</v>
      </c>
      <c r="Z308" s="30" t="str">
        <f t="shared" si="19"/>
        <v>sneha.joshi@company.com</v>
      </c>
    </row>
    <row r="309" spans="1:26">
      <c r="A309" s="18" t="s">
        <v>1417</v>
      </c>
      <c r="B309" s="18" t="s">
        <v>251</v>
      </c>
      <c r="C309" s="18" t="s">
        <v>169</v>
      </c>
      <c r="D309" s="18" t="s">
        <v>372</v>
      </c>
      <c r="E309" s="18" t="s">
        <v>246</v>
      </c>
      <c r="F309" s="18" t="s">
        <v>254</v>
      </c>
      <c r="G309" s="18" t="s">
        <v>28</v>
      </c>
      <c r="H309" s="18" t="s">
        <v>1215</v>
      </c>
      <c r="I309" s="18" t="s">
        <v>114</v>
      </c>
      <c r="J309" s="18" t="s">
        <v>106</v>
      </c>
      <c r="K309" s="18" t="s">
        <v>32</v>
      </c>
      <c r="L309" s="18" t="s">
        <v>174</v>
      </c>
      <c r="M309" s="18">
        <v>6</v>
      </c>
      <c r="N309" s="18">
        <v>8500</v>
      </c>
      <c r="O309" s="18">
        <v>15</v>
      </c>
      <c r="P309" s="18">
        <v>43350</v>
      </c>
      <c r="Q309" s="18">
        <v>1</v>
      </c>
      <c r="R309" s="18" t="s">
        <v>34</v>
      </c>
      <c r="S309" s="18" t="s">
        <v>61</v>
      </c>
      <c r="T309" s="18" t="s">
        <v>256</v>
      </c>
      <c r="U309" s="19" t="s">
        <v>1418</v>
      </c>
      <c r="V309" s="18" t="s">
        <v>38</v>
      </c>
      <c r="W309" t="str">
        <f t="shared" si="16"/>
        <v>Blacklisted</v>
      </c>
      <c r="X309" s="27" t="str">
        <f t="shared" si="17"/>
        <v>Sneha Joshi</v>
      </c>
      <c r="Y309" s="29" t="str">
        <f t="shared" si="18"/>
        <v>Sne00IDPu</v>
      </c>
      <c r="Z309" s="30" t="str">
        <f t="shared" si="19"/>
        <v>sneha.joshi@company.com</v>
      </c>
    </row>
    <row r="310" spans="1:26">
      <c r="A310" s="15" t="s">
        <v>1419</v>
      </c>
      <c r="B310" s="15" t="s">
        <v>53</v>
      </c>
      <c r="C310" s="15" t="s">
        <v>92</v>
      </c>
      <c r="D310" s="15" t="s">
        <v>941</v>
      </c>
      <c r="E310" s="15" t="s">
        <v>345</v>
      </c>
      <c r="F310" s="15" t="s">
        <v>163</v>
      </c>
      <c r="G310" s="15" t="s">
        <v>28</v>
      </c>
      <c r="H310" s="15" t="s">
        <v>1420</v>
      </c>
      <c r="I310" s="15" t="s">
        <v>30</v>
      </c>
      <c r="J310" s="15" t="s">
        <v>31</v>
      </c>
      <c r="K310" s="15" t="s">
        <v>32</v>
      </c>
      <c r="L310" s="15" t="s">
        <v>97</v>
      </c>
      <c r="M310" s="15">
        <v>3</v>
      </c>
      <c r="N310" s="15">
        <v>3500</v>
      </c>
      <c r="O310" s="15">
        <v>10</v>
      </c>
      <c r="P310" s="15">
        <v>9450</v>
      </c>
      <c r="Q310" s="15">
        <v>1</v>
      </c>
      <c r="R310" s="15" t="s">
        <v>48</v>
      </c>
      <c r="S310" s="15" t="s">
        <v>49</v>
      </c>
      <c r="T310" s="15" t="s">
        <v>62</v>
      </c>
      <c r="U310" s="17" t="s">
        <v>1421</v>
      </c>
      <c r="V310" s="15" t="s">
        <v>38</v>
      </c>
      <c r="W310" t="str">
        <f t="shared" si="16"/>
        <v>Blacklisted</v>
      </c>
      <c r="X310" s="27" t="str">
        <f t="shared" si="17"/>
        <v>Pooja Shah</v>
      </c>
      <c r="Y310" s="29" t="str">
        <f t="shared" si="18"/>
        <v>Poo01IDHy</v>
      </c>
      <c r="Z310" s="30" t="str">
        <f t="shared" si="19"/>
        <v>pooja.shah@company.com</v>
      </c>
    </row>
    <row r="311" spans="1:26">
      <c r="A311" s="18" t="s">
        <v>1422</v>
      </c>
      <c r="B311" s="18" t="s">
        <v>71</v>
      </c>
      <c r="C311" s="18" t="s">
        <v>40</v>
      </c>
      <c r="D311" s="18" t="s">
        <v>1378</v>
      </c>
      <c r="E311" s="18" t="s">
        <v>783</v>
      </c>
      <c r="F311" s="18" t="s">
        <v>217</v>
      </c>
      <c r="G311" s="18" t="s">
        <v>76</v>
      </c>
      <c r="H311" s="18" t="s">
        <v>1423</v>
      </c>
      <c r="I311" s="18" t="s">
        <v>138</v>
      </c>
      <c r="J311" s="18" t="s">
        <v>106</v>
      </c>
      <c r="K311" s="18" t="s">
        <v>46</v>
      </c>
      <c r="L311" s="18" t="s">
        <v>47</v>
      </c>
      <c r="M311" s="18">
        <v>2</v>
      </c>
      <c r="N311" s="18">
        <v>12000</v>
      </c>
      <c r="O311" s="18">
        <v>20</v>
      </c>
      <c r="P311" s="18">
        <v>19200</v>
      </c>
      <c r="Q311" s="18">
        <v>1</v>
      </c>
      <c r="R311" s="18" t="s">
        <v>79</v>
      </c>
      <c r="S311" s="18" t="s">
        <v>61</v>
      </c>
      <c r="T311" s="18" t="s">
        <v>80</v>
      </c>
      <c r="U311" s="19" t="s">
        <v>1424</v>
      </c>
      <c r="V311" s="18" t="s">
        <v>38</v>
      </c>
      <c r="W311" t="str">
        <f t="shared" si="16"/>
        <v>Blacklisted</v>
      </c>
      <c r="X311" s="27" t="str">
        <f t="shared" si="17"/>
        <v>Mohit Verma</v>
      </c>
      <c r="Y311" s="29" t="str">
        <f t="shared" si="18"/>
        <v>Moh00IDAh</v>
      </c>
      <c r="Z311" s="30" t="str">
        <f t="shared" si="19"/>
        <v>mohit.verma@company.com</v>
      </c>
    </row>
    <row r="312" spans="1:26">
      <c r="A312" s="15" t="s">
        <v>1425</v>
      </c>
      <c r="B312" s="15" t="s">
        <v>221</v>
      </c>
      <c r="C312" s="15" t="s">
        <v>222</v>
      </c>
      <c r="D312" s="15" t="s">
        <v>340</v>
      </c>
      <c r="E312" s="15" t="s">
        <v>1426</v>
      </c>
      <c r="F312" s="15" t="s">
        <v>225</v>
      </c>
      <c r="G312" s="15" t="s">
        <v>76</v>
      </c>
      <c r="H312" s="15" t="s">
        <v>1427</v>
      </c>
      <c r="I312" s="15" t="s">
        <v>44</v>
      </c>
      <c r="J312" s="15" t="s">
        <v>45</v>
      </c>
      <c r="K312" s="15" t="s">
        <v>122</v>
      </c>
      <c r="L312" s="15" t="s">
        <v>227</v>
      </c>
      <c r="M312" s="15">
        <v>12</v>
      </c>
      <c r="N312" s="15">
        <v>20</v>
      </c>
      <c r="O312" s="15">
        <v>20</v>
      </c>
      <c r="P312" s="15">
        <v>192</v>
      </c>
      <c r="Q312" s="15">
        <v>2</v>
      </c>
      <c r="R312" s="15" t="s">
        <v>79</v>
      </c>
      <c r="S312" s="15" t="s">
        <v>49</v>
      </c>
      <c r="T312" s="15" t="s">
        <v>228</v>
      </c>
      <c r="U312" s="17" t="s">
        <v>1428</v>
      </c>
      <c r="V312" s="15" t="s">
        <v>38</v>
      </c>
      <c r="W312" t="str">
        <f t="shared" si="16"/>
        <v>Blacklisted</v>
      </c>
      <c r="X312" s="27" t="str">
        <f t="shared" si="17"/>
        <v>Vikas Mehta</v>
      </c>
      <c r="Y312" s="29" t="str">
        <f t="shared" si="18"/>
        <v>Vik00IDDe</v>
      </c>
      <c r="Z312" s="30" t="str">
        <f t="shared" si="19"/>
        <v>vikas.mehta@company.com</v>
      </c>
    </row>
    <row r="313" spans="1:26">
      <c r="A313" s="18" t="s">
        <v>1429</v>
      </c>
      <c r="B313" s="18" t="s">
        <v>100</v>
      </c>
      <c r="C313" s="18" t="s">
        <v>40</v>
      </c>
      <c r="D313" s="18" t="s">
        <v>716</v>
      </c>
      <c r="E313" s="18" t="s">
        <v>1430</v>
      </c>
      <c r="F313" s="18" t="s">
        <v>103</v>
      </c>
      <c r="G313" s="18" t="s">
        <v>28</v>
      </c>
      <c r="H313" s="18" t="s">
        <v>1431</v>
      </c>
      <c r="I313" s="18" t="s">
        <v>294</v>
      </c>
      <c r="J313" s="18" t="s">
        <v>295</v>
      </c>
      <c r="K313" s="18" t="s">
        <v>46</v>
      </c>
      <c r="L313" s="18" t="s">
        <v>47</v>
      </c>
      <c r="M313" s="18">
        <v>20</v>
      </c>
      <c r="N313" s="18">
        <v>12000</v>
      </c>
      <c r="O313" s="18">
        <v>15</v>
      </c>
      <c r="P313" s="18">
        <v>204000</v>
      </c>
      <c r="Q313" s="18">
        <v>3</v>
      </c>
      <c r="R313" s="18" t="s">
        <v>34</v>
      </c>
      <c r="S313" s="18" t="s">
        <v>35</v>
      </c>
      <c r="T313" s="18" t="s">
        <v>144</v>
      </c>
      <c r="U313" s="19" t="s">
        <v>1432</v>
      </c>
      <c r="V313" s="18" t="s">
        <v>64</v>
      </c>
      <c r="W313" t="str">
        <f t="shared" si="16"/>
        <v>Blacklisted</v>
      </c>
      <c r="X313" s="27" t="str">
        <f t="shared" si="17"/>
        <v>Priya Patel</v>
      </c>
      <c r="Y313" s="29" t="str">
        <f t="shared" si="18"/>
        <v>Pri00IDKo</v>
      </c>
      <c r="Z313" s="30" t="str">
        <f t="shared" si="19"/>
        <v>priya.patel@company.com</v>
      </c>
    </row>
    <row r="314" spans="1:26">
      <c r="A314" s="15" t="s">
        <v>1433</v>
      </c>
      <c r="B314" s="15" t="s">
        <v>53</v>
      </c>
      <c r="C314" s="15" t="s">
        <v>118</v>
      </c>
      <c r="D314" s="15" t="s">
        <v>398</v>
      </c>
      <c r="E314" s="15" t="s">
        <v>740</v>
      </c>
      <c r="F314" s="15" t="s">
        <v>163</v>
      </c>
      <c r="G314" s="15" t="s">
        <v>28</v>
      </c>
      <c r="H314" s="15" t="s">
        <v>1434</v>
      </c>
      <c r="I314" s="15" t="s">
        <v>212</v>
      </c>
      <c r="J314" s="15" t="s">
        <v>45</v>
      </c>
      <c r="K314" s="15" t="s">
        <v>122</v>
      </c>
      <c r="L314" s="15" t="s">
        <v>123</v>
      </c>
      <c r="M314" s="15">
        <v>13</v>
      </c>
      <c r="N314" s="15">
        <v>60</v>
      </c>
      <c r="O314" s="15">
        <v>10</v>
      </c>
      <c r="P314" s="15">
        <v>702</v>
      </c>
      <c r="Q314" s="15">
        <v>5</v>
      </c>
      <c r="R314" s="15" t="s">
        <v>34</v>
      </c>
      <c r="S314" s="15" t="s">
        <v>35</v>
      </c>
      <c r="T314" s="15" t="s">
        <v>62</v>
      </c>
      <c r="U314" s="17" t="s">
        <v>1435</v>
      </c>
      <c r="V314" s="15" t="s">
        <v>64</v>
      </c>
      <c r="W314" t="str">
        <f t="shared" si="16"/>
        <v>Blacklisted</v>
      </c>
      <c r="X314" s="27" t="str">
        <f t="shared" si="17"/>
        <v>Pooja Shah</v>
      </c>
      <c r="Y314" s="29" t="str">
        <f t="shared" si="18"/>
        <v>Poo01IDJa</v>
      </c>
      <c r="Z314" s="30" t="str">
        <f t="shared" si="19"/>
        <v>pooja.shah@company.com</v>
      </c>
    </row>
    <row r="315" spans="1:26">
      <c r="A315" s="18" t="s">
        <v>1436</v>
      </c>
      <c r="B315" s="18" t="s">
        <v>71</v>
      </c>
      <c r="C315" s="18" t="s">
        <v>54</v>
      </c>
      <c r="D315" s="18" t="s">
        <v>1437</v>
      </c>
      <c r="E315" s="18" t="s">
        <v>1294</v>
      </c>
      <c r="F315" s="18" t="s">
        <v>217</v>
      </c>
      <c r="G315" s="18" t="s">
        <v>76</v>
      </c>
      <c r="H315" s="18" t="s">
        <v>1438</v>
      </c>
      <c r="I315" s="18" t="s">
        <v>114</v>
      </c>
      <c r="J315" s="18" t="s">
        <v>106</v>
      </c>
      <c r="K315" s="18" t="s">
        <v>46</v>
      </c>
      <c r="L315" s="18" t="s">
        <v>60</v>
      </c>
      <c r="M315" s="18">
        <v>13</v>
      </c>
      <c r="N315" s="18">
        <v>55000</v>
      </c>
      <c r="O315" s="18">
        <v>5</v>
      </c>
      <c r="P315" s="18">
        <v>679250</v>
      </c>
      <c r="Q315" s="18">
        <v>1</v>
      </c>
      <c r="R315" s="18" t="s">
        <v>88</v>
      </c>
      <c r="S315" s="18" t="s">
        <v>151</v>
      </c>
      <c r="T315" s="18" t="s">
        <v>80</v>
      </c>
      <c r="U315" s="19" t="s">
        <v>1439</v>
      </c>
      <c r="V315" s="18" t="s">
        <v>64</v>
      </c>
      <c r="W315" t="str">
        <f t="shared" si="16"/>
        <v>Blacklisted</v>
      </c>
      <c r="X315" s="27" t="str">
        <f t="shared" si="17"/>
        <v>Mohit Verma</v>
      </c>
      <c r="Y315" s="29" t="str">
        <f t="shared" si="18"/>
        <v>Moh00IDPu</v>
      </c>
      <c r="Z315" s="30" t="str">
        <f t="shared" si="19"/>
        <v>mohit.verma@company.com</v>
      </c>
    </row>
    <row r="316" spans="1:26">
      <c r="A316" s="15" t="s">
        <v>1440</v>
      </c>
      <c r="B316" s="15" t="s">
        <v>100</v>
      </c>
      <c r="C316" s="15" t="s">
        <v>72</v>
      </c>
      <c r="D316" s="15" t="s">
        <v>797</v>
      </c>
      <c r="E316" s="15" t="s">
        <v>798</v>
      </c>
      <c r="F316" s="15" t="s">
        <v>103</v>
      </c>
      <c r="G316" s="15" t="s">
        <v>28</v>
      </c>
      <c r="H316" s="15" t="s">
        <v>1441</v>
      </c>
      <c r="I316" s="15" t="s">
        <v>59</v>
      </c>
      <c r="J316" s="15" t="s">
        <v>31</v>
      </c>
      <c r="K316" s="15" t="s">
        <v>46</v>
      </c>
      <c r="L316" s="15" t="s">
        <v>78</v>
      </c>
      <c r="M316" s="15">
        <v>7</v>
      </c>
      <c r="N316" s="15">
        <v>1200</v>
      </c>
      <c r="O316" s="15">
        <v>15</v>
      </c>
      <c r="P316" s="15">
        <v>7140</v>
      </c>
      <c r="Q316" s="15">
        <v>5</v>
      </c>
      <c r="R316" s="15" t="s">
        <v>88</v>
      </c>
      <c r="S316" s="15" t="s">
        <v>49</v>
      </c>
      <c r="T316" s="15" t="s">
        <v>144</v>
      </c>
      <c r="U316" s="17" t="s">
        <v>1442</v>
      </c>
      <c r="V316" s="15" t="s">
        <v>64</v>
      </c>
      <c r="W316" t="str">
        <f t="shared" si="16"/>
        <v>Blacklisted</v>
      </c>
      <c r="X316" s="27" t="str">
        <f t="shared" si="17"/>
        <v>Priya Patel</v>
      </c>
      <c r="Y316" s="29" t="str">
        <f t="shared" si="18"/>
        <v>Pri00IDBe</v>
      </c>
      <c r="Z316" s="30" t="str">
        <f t="shared" si="19"/>
        <v>priya.patel@company.com</v>
      </c>
    </row>
    <row r="317" spans="1:26">
      <c r="A317" s="18" t="s">
        <v>1443</v>
      </c>
      <c r="B317" s="18" t="s">
        <v>83</v>
      </c>
      <c r="C317" s="18" t="s">
        <v>40</v>
      </c>
      <c r="D317" s="18" t="s">
        <v>961</v>
      </c>
      <c r="E317" s="18" t="s">
        <v>1444</v>
      </c>
      <c r="F317" s="18" t="s">
        <v>180</v>
      </c>
      <c r="G317" s="18" t="s">
        <v>76</v>
      </c>
      <c r="H317" s="18" t="s">
        <v>1445</v>
      </c>
      <c r="I317" s="18" t="s">
        <v>212</v>
      </c>
      <c r="J317" s="18" t="s">
        <v>45</v>
      </c>
      <c r="K317" s="18" t="s">
        <v>46</v>
      </c>
      <c r="L317" s="18" t="s">
        <v>47</v>
      </c>
      <c r="M317" s="18">
        <v>17</v>
      </c>
      <c r="N317" s="18">
        <v>12000</v>
      </c>
      <c r="O317" s="18">
        <v>5</v>
      </c>
      <c r="P317" s="18">
        <v>193800</v>
      </c>
      <c r="Q317" s="18">
        <v>1</v>
      </c>
      <c r="R317" s="18" t="s">
        <v>34</v>
      </c>
      <c r="S317" s="18" t="s">
        <v>61</v>
      </c>
      <c r="T317" s="18" t="s">
        <v>89</v>
      </c>
      <c r="U317" s="19" t="s">
        <v>1446</v>
      </c>
      <c r="V317" s="18" t="s">
        <v>69</v>
      </c>
      <c r="W317" t="str">
        <f t="shared" si="16"/>
        <v>Blacklisted</v>
      </c>
      <c r="X317" s="27" t="str">
        <f t="shared" si="17"/>
        <v>Arjun Rao</v>
      </c>
      <c r="Y317" s="29" t="str">
        <f t="shared" si="18"/>
        <v>Arj00IDJa</v>
      </c>
      <c r="Z317" s="30" t="str">
        <f t="shared" si="19"/>
        <v>arjun.rao@company.com</v>
      </c>
    </row>
    <row r="318" spans="1:26">
      <c r="A318" s="15" t="s">
        <v>1447</v>
      </c>
      <c r="B318" s="15" t="s">
        <v>83</v>
      </c>
      <c r="C318" s="15" t="s">
        <v>222</v>
      </c>
      <c r="D318" s="15" t="s">
        <v>356</v>
      </c>
      <c r="E318" s="15" t="s">
        <v>517</v>
      </c>
      <c r="F318" s="15" t="s">
        <v>180</v>
      </c>
      <c r="G318" s="15" t="s">
        <v>76</v>
      </c>
      <c r="H318" s="15" t="s">
        <v>1448</v>
      </c>
      <c r="I318" s="15" t="s">
        <v>59</v>
      </c>
      <c r="J318" s="15" t="s">
        <v>31</v>
      </c>
      <c r="K318" s="15" t="s">
        <v>122</v>
      </c>
      <c r="L318" s="15" t="s">
        <v>227</v>
      </c>
      <c r="M318" s="15">
        <v>10</v>
      </c>
      <c r="N318" s="15">
        <v>20</v>
      </c>
      <c r="O318" s="15">
        <v>5</v>
      </c>
      <c r="P318" s="15">
        <v>190</v>
      </c>
      <c r="Q318" s="15">
        <v>2</v>
      </c>
      <c r="R318" s="15" t="s">
        <v>34</v>
      </c>
      <c r="S318" s="15" t="s">
        <v>61</v>
      </c>
      <c r="T318" s="15" t="s">
        <v>89</v>
      </c>
      <c r="U318" s="17" t="s">
        <v>1449</v>
      </c>
      <c r="V318" s="15" t="s">
        <v>69</v>
      </c>
      <c r="W318" t="str">
        <f t="shared" si="16"/>
        <v>Blacklisted</v>
      </c>
      <c r="X318" s="27" t="str">
        <f t="shared" si="17"/>
        <v>Arjun Rao</v>
      </c>
      <c r="Y318" s="29" t="str">
        <f t="shared" si="18"/>
        <v>Arj00IDBe</v>
      </c>
      <c r="Z318" s="30" t="str">
        <f t="shared" si="19"/>
        <v>arjun.rao@company.com</v>
      </c>
    </row>
    <row r="319" spans="1:26">
      <c r="A319" s="18" t="s">
        <v>1450</v>
      </c>
      <c r="B319" s="18" t="s">
        <v>168</v>
      </c>
      <c r="C319" s="18" t="s">
        <v>24</v>
      </c>
      <c r="D319" s="18" t="s">
        <v>291</v>
      </c>
      <c r="E319" s="18" t="s">
        <v>1451</v>
      </c>
      <c r="F319" s="18" t="s">
        <v>361</v>
      </c>
      <c r="G319" s="18" t="s">
        <v>28</v>
      </c>
      <c r="H319" s="18" t="s">
        <v>1452</v>
      </c>
      <c r="I319" s="18" t="s">
        <v>44</v>
      </c>
      <c r="J319" s="18" t="s">
        <v>45</v>
      </c>
      <c r="K319" s="18" t="s">
        <v>32</v>
      </c>
      <c r="L319" s="18" t="s">
        <v>33</v>
      </c>
      <c r="M319" s="18">
        <v>11</v>
      </c>
      <c r="N319" s="18">
        <v>2200</v>
      </c>
      <c r="O319" s="18">
        <v>5</v>
      </c>
      <c r="P319" s="18">
        <v>22990</v>
      </c>
      <c r="Q319" s="18">
        <v>5</v>
      </c>
      <c r="R319" s="18" t="s">
        <v>79</v>
      </c>
      <c r="S319" s="18" t="s">
        <v>49</v>
      </c>
      <c r="T319" s="18" t="s">
        <v>175</v>
      </c>
      <c r="U319" s="19" t="s">
        <v>1453</v>
      </c>
      <c r="V319" s="18" t="s">
        <v>64</v>
      </c>
      <c r="W319" t="str">
        <f t="shared" si="16"/>
        <v>Blacklisted</v>
      </c>
      <c r="X319" s="27" t="str">
        <f t="shared" si="17"/>
        <v>Anita Gupta</v>
      </c>
      <c r="Y319" s="29" t="str">
        <f t="shared" si="18"/>
        <v>Ani00IDDe</v>
      </c>
      <c r="Z319" s="30" t="str">
        <f t="shared" si="19"/>
        <v>anita.gupta@company.com</v>
      </c>
    </row>
    <row r="320" spans="1:26">
      <c r="A320" s="15" t="s">
        <v>1454</v>
      </c>
      <c r="B320" s="15" t="s">
        <v>100</v>
      </c>
      <c r="C320" s="15" t="s">
        <v>118</v>
      </c>
      <c r="D320" s="15" t="s">
        <v>1369</v>
      </c>
      <c r="E320" s="15" t="s">
        <v>178</v>
      </c>
      <c r="F320" s="15" t="s">
        <v>103</v>
      </c>
      <c r="G320" s="15" t="s">
        <v>28</v>
      </c>
      <c r="H320" s="15" t="s">
        <v>1455</v>
      </c>
      <c r="I320" s="15" t="s">
        <v>212</v>
      </c>
      <c r="J320" s="15" t="s">
        <v>45</v>
      </c>
      <c r="K320" s="15" t="s">
        <v>122</v>
      </c>
      <c r="L320" s="15" t="s">
        <v>123</v>
      </c>
      <c r="M320" s="15">
        <v>8</v>
      </c>
      <c r="N320" s="15">
        <v>60</v>
      </c>
      <c r="O320" s="15">
        <v>15</v>
      </c>
      <c r="P320" s="15">
        <v>408</v>
      </c>
      <c r="Q320" s="15">
        <v>4</v>
      </c>
      <c r="R320" s="15" t="s">
        <v>34</v>
      </c>
      <c r="S320" s="15" t="s">
        <v>49</v>
      </c>
      <c r="T320" s="15" t="s">
        <v>144</v>
      </c>
      <c r="U320" s="17" t="s">
        <v>1456</v>
      </c>
      <c r="V320" s="15" t="s">
        <v>64</v>
      </c>
      <c r="W320" t="str">
        <f t="shared" si="16"/>
        <v>Blacklisted</v>
      </c>
      <c r="X320" s="27" t="str">
        <f t="shared" si="17"/>
        <v>Priya Patel</v>
      </c>
      <c r="Y320" s="29" t="str">
        <f t="shared" si="18"/>
        <v>Pri00IDJa</v>
      </c>
      <c r="Z320" s="30" t="str">
        <f t="shared" si="19"/>
        <v>priya.patel@company.com</v>
      </c>
    </row>
    <row r="321" spans="1:26">
      <c r="A321" s="18" t="s">
        <v>1457</v>
      </c>
      <c r="B321" s="18" t="s">
        <v>221</v>
      </c>
      <c r="C321" s="18" t="s">
        <v>259</v>
      </c>
      <c r="D321" s="18" t="s">
        <v>825</v>
      </c>
      <c r="E321" s="18" t="s">
        <v>119</v>
      </c>
      <c r="F321" s="18" t="s">
        <v>225</v>
      </c>
      <c r="G321" s="18" t="s">
        <v>76</v>
      </c>
      <c r="H321" s="18" t="s">
        <v>1458</v>
      </c>
      <c r="I321" s="18" t="s">
        <v>44</v>
      </c>
      <c r="J321" s="18" t="s">
        <v>45</v>
      </c>
      <c r="K321" s="18" t="s">
        <v>122</v>
      </c>
      <c r="L321" s="18" t="s">
        <v>263</v>
      </c>
      <c r="M321" s="18">
        <v>17</v>
      </c>
      <c r="N321" s="18">
        <v>45</v>
      </c>
      <c r="O321" s="18">
        <v>15</v>
      </c>
      <c r="P321" s="18">
        <v>650.25</v>
      </c>
      <c r="Q321" s="18">
        <v>2</v>
      </c>
      <c r="R321" s="18" t="s">
        <v>88</v>
      </c>
      <c r="S321" s="18" t="s">
        <v>151</v>
      </c>
      <c r="T321" s="18" t="s">
        <v>228</v>
      </c>
      <c r="U321" s="19" t="s">
        <v>1459</v>
      </c>
      <c r="V321" s="18" t="s">
        <v>38</v>
      </c>
      <c r="W321" t="str">
        <f t="shared" si="16"/>
        <v>Blacklisted</v>
      </c>
      <c r="X321" s="27" t="str">
        <f t="shared" si="17"/>
        <v>Vikas Mehta</v>
      </c>
      <c r="Y321" s="29" t="str">
        <f t="shared" si="18"/>
        <v>Vik00IDDe</v>
      </c>
      <c r="Z321" s="30" t="str">
        <f t="shared" si="19"/>
        <v>vikas.mehta@company.com</v>
      </c>
    </row>
    <row r="322" spans="1:26">
      <c r="A322" s="15" t="s">
        <v>1460</v>
      </c>
      <c r="B322" s="15" t="s">
        <v>327</v>
      </c>
      <c r="C322" s="15" t="s">
        <v>184</v>
      </c>
      <c r="D322" s="15" t="s">
        <v>632</v>
      </c>
      <c r="E322" s="15" t="s">
        <v>1461</v>
      </c>
      <c r="F322" s="15" t="s">
        <v>394</v>
      </c>
      <c r="G322" s="15" t="s">
        <v>76</v>
      </c>
      <c r="H322" s="15" t="s">
        <v>1462</v>
      </c>
      <c r="I322" s="15" t="s">
        <v>212</v>
      </c>
      <c r="J322" s="15" t="s">
        <v>45</v>
      </c>
      <c r="K322" s="15" t="s">
        <v>46</v>
      </c>
      <c r="L322" s="15" t="s">
        <v>189</v>
      </c>
      <c r="M322" s="15">
        <v>14</v>
      </c>
      <c r="N322" s="15">
        <v>700</v>
      </c>
      <c r="O322" s="15">
        <v>15</v>
      </c>
      <c r="P322" s="15">
        <v>8330</v>
      </c>
      <c r="Q322" s="15">
        <v>1</v>
      </c>
      <c r="R322" s="15" t="s">
        <v>79</v>
      </c>
      <c r="S322" s="15" t="s">
        <v>115</v>
      </c>
      <c r="T322" s="15" t="s">
        <v>332</v>
      </c>
      <c r="U322" s="17" t="s">
        <v>1463</v>
      </c>
      <c r="V322" s="15" t="s">
        <v>38</v>
      </c>
      <c r="W322" t="str">
        <f t="shared" si="16"/>
        <v>Blacklisted</v>
      </c>
      <c r="X322" s="27" t="str">
        <f t="shared" si="17"/>
        <v>Amit Sharma</v>
      </c>
      <c r="Y322" s="29" t="str">
        <f t="shared" si="18"/>
        <v>Ami00IDJa</v>
      </c>
      <c r="Z322" s="30" t="str">
        <f t="shared" si="19"/>
        <v>amit.sharma@company.com</v>
      </c>
    </row>
    <row r="323" spans="1:26">
      <c r="A323" s="18" t="s">
        <v>1464</v>
      </c>
      <c r="B323" s="18" t="s">
        <v>83</v>
      </c>
      <c r="C323" s="18" t="s">
        <v>72</v>
      </c>
      <c r="D323" s="18" t="s">
        <v>1465</v>
      </c>
      <c r="E323" s="18" t="s">
        <v>948</v>
      </c>
      <c r="F323" s="18" t="s">
        <v>180</v>
      </c>
      <c r="G323" s="18" t="s">
        <v>76</v>
      </c>
      <c r="H323" s="18" t="s">
        <v>1466</v>
      </c>
      <c r="I323" s="18" t="s">
        <v>114</v>
      </c>
      <c r="J323" s="18" t="s">
        <v>106</v>
      </c>
      <c r="K323" s="18" t="s">
        <v>46</v>
      </c>
      <c r="L323" s="18" t="s">
        <v>78</v>
      </c>
      <c r="M323" s="18">
        <v>3</v>
      </c>
      <c r="N323" s="18">
        <v>1200</v>
      </c>
      <c r="O323" s="18">
        <v>5</v>
      </c>
      <c r="P323" s="18">
        <v>3420</v>
      </c>
      <c r="Q323" s="18">
        <v>3</v>
      </c>
      <c r="R323" s="18" t="s">
        <v>48</v>
      </c>
      <c r="S323" s="18" t="s">
        <v>151</v>
      </c>
      <c r="T323" s="18" t="s">
        <v>89</v>
      </c>
      <c r="U323" s="19" t="s">
        <v>1467</v>
      </c>
      <c r="V323" s="18" t="s">
        <v>38</v>
      </c>
      <c r="W323" t="str">
        <f t="shared" ref="W323:W386" si="20">IF(OR(Q323&lt;=2,V323="Cancelled"),"Blacklisted",IF(AND(P323&gt;=100000,Q323&gt;=4,O323&lt;10,V323="Completed"),"Platinum",IF(AND(P323&gt;=50000,P323&lt;=99999,Q323&gt;=3,V323="Completed"),"Gold",IF(AND(P323&lt;50000,V323="Completed"),"Silver","Blacklisted"))))</f>
        <v>Silver</v>
      </c>
      <c r="X323" s="27" t="str">
        <f t="shared" ref="X323:X386" si="21">PROPER(TRIM(F323))</f>
        <v>Arjun Rao</v>
      </c>
      <c r="Y323" s="29" t="str">
        <f t="shared" ref="Y323:Y386" si="22">LEFT(X323,3)&amp;MID(B323,2,2)&amp;"ID"&amp;LEFT(I323,2)</f>
        <v>Arj00IDPu</v>
      </c>
      <c r="Z323" s="30" t="str">
        <f t="shared" ref="Z323:Z386" si="23">IF(ISNUMBER(SEARCH("@",T323)),LOWER(TRIM(T323)),"Invalid Email")</f>
        <v>arjun.rao@company.com</v>
      </c>
    </row>
    <row r="324" spans="1:26">
      <c r="A324" s="15" t="s">
        <v>1468</v>
      </c>
      <c r="B324" s="15" t="s">
        <v>23</v>
      </c>
      <c r="C324" s="15" t="s">
        <v>72</v>
      </c>
      <c r="D324" s="15" t="s">
        <v>489</v>
      </c>
      <c r="E324" s="15" t="s">
        <v>914</v>
      </c>
      <c r="F324" s="15" t="s">
        <v>27</v>
      </c>
      <c r="G324" s="15" t="s">
        <v>28</v>
      </c>
      <c r="H324" s="15" t="s">
        <v>1469</v>
      </c>
      <c r="I324" s="15" t="s">
        <v>138</v>
      </c>
      <c r="J324" s="15" t="s">
        <v>106</v>
      </c>
      <c r="K324" s="15" t="s">
        <v>46</v>
      </c>
      <c r="L324" s="15" t="s">
        <v>78</v>
      </c>
      <c r="M324" s="15">
        <v>9</v>
      </c>
      <c r="N324" s="15">
        <v>1200</v>
      </c>
      <c r="O324" s="15">
        <v>15</v>
      </c>
      <c r="P324" s="15">
        <v>9180</v>
      </c>
      <c r="Q324" s="15">
        <v>3</v>
      </c>
      <c r="R324" s="15" t="s">
        <v>34</v>
      </c>
      <c r="S324" s="15" t="s">
        <v>49</v>
      </c>
      <c r="T324" s="15" t="s">
        <v>50</v>
      </c>
      <c r="U324" s="17" t="s">
        <v>1470</v>
      </c>
      <c r="V324" s="15" t="s">
        <v>38</v>
      </c>
      <c r="W324" t="str">
        <f t="shared" si="20"/>
        <v>Silver</v>
      </c>
      <c r="X324" s="27" t="str">
        <f t="shared" si="21"/>
        <v>Kavya Nair</v>
      </c>
      <c r="Y324" s="29" t="str">
        <f t="shared" si="22"/>
        <v>Kav00IDAh</v>
      </c>
      <c r="Z324" s="30" t="str">
        <f t="shared" si="23"/>
        <v>kavya.nair@company.com</v>
      </c>
    </row>
    <row r="325" spans="1:26">
      <c r="A325" s="18" t="s">
        <v>1471</v>
      </c>
      <c r="B325" s="18" t="s">
        <v>251</v>
      </c>
      <c r="C325" s="18" t="s">
        <v>222</v>
      </c>
      <c r="D325" s="18" t="s">
        <v>224</v>
      </c>
      <c r="E325" s="18" t="s">
        <v>360</v>
      </c>
      <c r="F325" s="18" t="s">
        <v>254</v>
      </c>
      <c r="G325" s="18" t="s">
        <v>28</v>
      </c>
      <c r="H325" s="18" t="s">
        <v>1472</v>
      </c>
      <c r="I325" s="18" t="s">
        <v>105</v>
      </c>
      <c r="J325" s="18" t="s">
        <v>106</v>
      </c>
      <c r="K325" s="18" t="s">
        <v>122</v>
      </c>
      <c r="L325" s="18" t="s">
        <v>227</v>
      </c>
      <c r="M325" s="18">
        <v>5</v>
      </c>
      <c r="N325" s="18">
        <v>20</v>
      </c>
      <c r="O325" s="18">
        <v>5</v>
      </c>
      <c r="P325" s="18">
        <v>95</v>
      </c>
      <c r="Q325" s="18">
        <v>4</v>
      </c>
      <c r="R325" s="18" t="s">
        <v>34</v>
      </c>
      <c r="S325" s="18" t="s">
        <v>151</v>
      </c>
      <c r="T325" s="18" t="s">
        <v>256</v>
      </c>
      <c r="U325" s="19" t="s">
        <v>1473</v>
      </c>
      <c r="V325" s="18" t="s">
        <v>38</v>
      </c>
      <c r="W325" t="str">
        <f t="shared" si="20"/>
        <v>Silver</v>
      </c>
      <c r="X325" s="27" t="str">
        <f t="shared" si="21"/>
        <v>Sneha Joshi</v>
      </c>
      <c r="Y325" s="29" t="str">
        <f t="shared" si="22"/>
        <v>Sne00IDMu</v>
      </c>
      <c r="Z325" s="30" t="str">
        <f t="shared" si="23"/>
        <v>sneha.joshi@company.com</v>
      </c>
    </row>
    <row r="326" spans="1:26">
      <c r="A326" s="15" t="s">
        <v>1474</v>
      </c>
      <c r="B326" s="15" t="s">
        <v>251</v>
      </c>
      <c r="C326" s="15" t="s">
        <v>24</v>
      </c>
      <c r="D326" s="15" t="s">
        <v>1475</v>
      </c>
      <c r="E326" s="15" t="s">
        <v>1476</v>
      </c>
      <c r="F326" s="15" t="s">
        <v>254</v>
      </c>
      <c r="G326" s="15" t="s">
        <v>28</v>
      </c>
      <c r="H326" s="15" t="s">
        <v>1477</v>
      </c>
      <c r="I326" s="15" t="s">
        <v>138</v>
      </c>
      <c r="J326" s="15" t="s">
        <v>106</v>
      </c>
      <c r="K326" s="15" t="s">
        <v>32</v>
      </c>
      <c r="L326" s="15" t="s">
        <v>33</v>
      </c>
      <c r="M326" s="15">
        <v>8</v>
      </c>
      <c r="N326" s="15">
        <v>2200</v>
      </c>
      <c r="O326" s="15">
        <v>10</v>
      </c>
      <c r="P326" s="15">
        <v>15840</v>
      </c>
      <c r="Q326" s="15">
        <v>4</v>
      </c>
      <c r="R326" s="15" t="s">
        <v>88</v>
      </c>
      <c r="S326" s="15" t="s">
        <v>61</v>
      </c>
      <c r="T326" s="15" t="s">
        <v>256</v>
      </c>
      <c r="U326" s="17" t="s">
        <v>1478</v>
      </c>
      <c r="V326" s="15" t="s">
        <v>69</v>
      </c>
      <c r="W326" t="str">
        <f t="shared" si="20"/>
        <v>Blacklisted</v>
      </c>
      <c r="X326" s="27" t="str">
        <f t="shared" si="21"/>
        <v>Sneha Joshi</v>
      </c>
      <c r="Y326" s="29" t="str">
        <f t="shared" si="22"/>
        <v>Sne00IDAh</v>
      </c>
      <c r="Z326" s="30" t="str">
        <f t="shared" si="23"/>
        <v>sneha.joshi@company.com</v>
      </c>
    </row>
    <row r="327" spans="1:26">
      <c r="A327" s="18" t="s">
        <v>1479</v>
      </c>
      <c r="B327" s="18" t="s">
        <v>251</v>
      </c>
      <c r="C327" s="18" t="s">
        <v>184</v>
      </c>
      <c r="D327" s="18" t="s">
        <v>298</v>
      </c>
      <c r="E327" s="18" t="s">
        <v>1480</v>
      </c>
      <c r="F327" s="18" t="s">
        <v>254</v>
      </c>
      <c r="G327" s="18" t="s">
        <v>28</v>
      </c>
      <c r="H327" s="18" t="s">
        <v>1481</v>
      </c>
      <c r="I327" s="18" t="s">
        <v>105</v>
      </c>
      <c r="J327" s="18" t="s">
        <v>106</v>
      </c>
      <c r="K327" s="18" t="s">
        <v>46</v>
      </c>
      <c r="L327" s="18" t="s">
        <v>189</v>
      </c>
      <c r="M327" s="18">
        <v>10</v>
      </c>
      <c r="N327" s="18">
        <v>700</v>
      </c>
      <c r="O327" s="18">
        <v>20</v>
      </c>
      <c r="P327" s="18">
        <v>5600</v>
      </c>
      <c r="Q327" s="18">
        <v>1</v>
      </c>
      <c r="R327" s="18" t="s">
        <v>88</v>
      </c>
      <c r="S327" s="18" t="s">
        <v>115</v>
      </c>
      <c r="T327" s="18" t="s">
        <v>256</v>
      </c>
      <c r="U327" s="19" t="s">
        <v>1482</v>
      </c>
      <c r="V327" s="18" t="s">
        <v>38</v>
      </c>
      <c r="W327" t="str">
        <f t="shared" si="20"/>
        <v>Blacklisted</v>
      </c>
      <c r="X327" s="27" t="str">
        <f t="shared" si="21"/>
        <v>Sneha Joshi</v>
      </c>
      <c r="Y327" s="29" t="str">
        <f t="shared" si="22"/>
        <v>Sne00IDMu</v>
      </c>
      <c r="Z327" s="30" t="str">
        <f t="shared" si="23"/>
        <v>sneha.joshi@company.com</v>
      </c>
    </row>
    <row r="328" spans="1:26">
      <c r="A328" s="15" t="s">
        <v>1483</v>
      </c>
      <c r="B328" s="15" t="s">
        <v>83</v>
      </c>
      <c r="C328" s="15" t="s">
        <v>184</v>
      </c>
      <c r="D328" s="15" t="s">
        <v>1484</v>
      </c>
      <c r="E328" s="15" t="s">
        <v>1485</v>
      </c>
      <c r="F328" s="15" t="s">
        <v>180</v>
      </c>
      <c r="G328" s="15" t="s">
        <v>76</v>
      </c>
      <c r="H328" s="15" t="s">
        <v>1486</v>
      </c>
      <c r="I328" s="15" t="s">
        <v>59</v>
      </c>
      <c r="J328" s="15" t="s">
        <v>31</v>
      </c>
      <c r="K328" s="15" t="s">
        <v>46</v>
      </c>
      <c r="L328" s="15" t="s">
        <v>189</v>
      </c>
      <c r="M328" s="15">
        <v>2</v>
      </c>
      <c r="N328" s="15">
        <v>700</v>
      </c>
      <c r="O328" s="15">
        <v>20</v>
      </c>
      <c r="P328" s="15">
        <v>1120</v>
      </c>
      <c r="Q328" s="15">
        <v>2</v>
      </c>
      <c r="R328" s="15" t="s">
        <v>34</v>
      </c>
      <c r="S328" s="15" t="s">
        <v>115</v>
      </c>
      <c r="T328" s="15" t="s">
        <v>89</v>
      </c>
      <c r="U328" s="17" t="s">
        <v>1487</v>
      </c>
      <c r="V328" s="15" t="s">
        <v>64</v>
      </c>
      <c r="W328" t="str">
        <f t="shared" si="20"/>
        <v>Blacklisted</v>
      </c>
      <c r="X328" s="27" t="str">
        <f t="shared" si="21"/>
        <v>Arjun Rao</v>
      </c>
      <c r="Y328" s="29" t="str">
        <f t="shared" si="22"/>
        <v>Arj00IDBe</v>
      </c>
      <c r="Z328" s="30" t="str">
        <f t="shared" si="23"/>
        <v>arjun.rao@company.com</v>
      </c>
    </row>
    <row r="329" spans="1:26">
      <c r="A329" s="18" t="s">
        <v>1488</v>
      </c>
      <c r="B329" s="18" t="s">
        <v>221</v>
      </c>
      <c r="C329" s="18" t="s">
        <v>92</v>
      </c>
      <c r="D329" s="18" t="s">
        <v>872</v>
      </c>
      <c r="E329" s="18" t="s">
        <v>965</v>
      </c>
      <c r="F329" s="18" t="s">
        <v>225</v>
      </c>
      <c r="G329" s="18" t="s">
        <v>76</v>
      </c>
      <c r="H329" s="18" t="s">
        <v>1489</v>
      </c>
      <c r="I329" s="18" t="s">
        <v>114</v>
      </c>
      <c r="J329" s="18" t="s">
        <v>106</v>
      </c>
      <c r="K329" s="18" t="s">
        <v>32</v>
      </c>
      <c r="L329" s="18" t="s">
        <v>97</v>
      </c>
      <c r="M329" s="18">
        <v>16</v>
      </c>
      <c r="N329" s="18">
        <v>3500</v>
      </c>
      <c r="O329" s="18">
        <v>20</v>
      </c>
      <c r="P329" s="18">
        <v>44800</v>
      </c>
      <c r="Q329" s="18">
        <v>2</v>
      </c>
      <c r="R329" s="18" t="s">
        <v>88</v>
      </c>
      <c r="S329" s="18" t="s">
        <v>35</v>
      </c>
      <c r="T329" s="18" t="s">
        <v>228</v>
      </c>
      <c r="U329" s="19" t="s">
        <v>1490</v>
      </c>
      <c r="V329" s="18" t="s">
        <v>64</v>
      </c>
      <c r="W329" t="str">
        <f t="shared" si="20"/>
        <v>Blacklisted</v>
      </c>
      <c r="X329" s="27" t="str">
        <f t="shared" si="21"/>
        <v>Vikas Mehta</v>
      </c>
      <c r="Y329" s="29" t="str">
        <f t="shared" si="22"/>
        <v>Vik00IDPu</v>
      </c>
      <c r="Z329" s="30" t="str">
        <f t="shared" si="23"/>
        <v>vikas.mehta@company.com</v>
      </c>
    </row>
    <row r="330" spans="1:26">
      <c r="A330" s="15" t="s">
        <v>1491</v>
      </c>
      <c r="B330" s="15" t="s">
        <v>168</v>
      </c>
      <c r="C330" s="15" t="s">
        <v>92</v>
      </c>
      <c r="D330" s="15" t="s">
        <v>829</v>
      </c>
      <c r="E330" s="15" t="s">
        <v>756</v>
      </c>
      <c r="F330" s="15" t="s">
        <v>361</v>
      </c>
      <c r="G330" s="15" t="s">
        <v>28</v>
      </c>
      <c r="H330" s="15" t="s">
        <v>1492</v>
      </c>
      <c r="I330" s="15" t="s">
        <v>44</v>
      </c>
      <c r="J330" s="15" t="s">
        <v>45</v>
      </c>
      <c r="K330" s="15" t="s">
        <v>32</v>
      </c>
      <c r="L330" s="15" t="s">
        <v>97</v>
      </c>
      <c r="M330" s="15">
        <v>9</v>
      </c>
      <c r="N330" s="15">
        <v>3500</v>
      </c>
      <c r="O330" s="15">
        <v>20</v>
      </c>
      <c r="P330" s="15">
        <v>25200</v>
      </c>
      <c r="Q330" s="15">
        <v>1</v>
      </c>
      <c r="R330" s="15" t="s">
        <v>79</v>
      </c>
      <c r="S330" s="15" t="s">
        <v>49</v>
      </c>
      <c r="T330" s="15" t="s">
        <v>175</v>
      </c>
      <c r="U330" s="17" t="s">
        <v>1493</v>
      </c>
      <c r="V330" s="15" t="s">
        <v>69</v>
      </c>
      <c r="W330" t="str">
        <f t="shared" si="20"/>
        <v>Blacklisted</v>
      </c>
      <c r="X330" s="27" t="str">
        <f t="shared" si="21"/>
        <v>Anita Gupta</v>
      </c>
      <c r="Y330" s="29" t="str">
        <f t="shared" si="22"/>
        <v>Ani00IDDe</v>
      </c>
      <c r="Z330" s="30" t="str">
        <f t="shared" si="23"/>
        <v>anita.gupta@company.com</v>
      </c>
    </row>
    <row r="331" spans="1:26">
      <c r="A331" s="18" t="s">
        <v>1494</v>
      </c>
      <c r="B331" s="18" t="s">
        <v>127</v>
      </c>
      <c r="C331" s="18" t="s">
        <v>184</v>
      </c>
      <c r="D331" s="18" t="s">
        <v>896</v>
      </c>
      <c r="E331" s="18" t="s">
        <v>530</v>
      </c>
      <c r="F331" s="18" t="s">
        <v>200</v>
      </c>
      <c r="G331" s="18" t="s">
        <v>76</v>
      </c>
      <c r="H331" s="18" t="s">
        <v>1495</v>
      </c>
      <c r="I331" s="18" t="s">
        <v>30</v>
      </c>
      <c r="J331" s="18" t="s">
        <v>31</v>
      </c>
      <c r="K331" s="18" t="s">
        <v>46</v>
      </c>
      <c r="L331" s="18" t="s">
        <v>189</v>
      </c>
      <c r="M331" s="18">
        <v>15</v>
      </c>
      <c r="N331" s="18">
        <v>700</v>
      </c>
      <c r="O331" s="18">
        <v>5</v>
      </c>
      <c r="P331" s="18">
        <v>9975</v>
      </c>
      <c r="Q331" s="18">
        <v>1</v>
      </c>
      <c r="R331" s="18" t="s">
        <v>34</v>
      </c>
      <c r="S331" s="18" t="s">
        <v>49</v>
      </c>
      <c r="T331" s="18" t="s">
        <v>132</v>
      </c>
      <c r="U331" s="19" t="s">
        <v>1496</v>
      </c>
      <c r="V331" s="18" t="s">
        <v>69</v>
      </c>
      <c r="W331" t="str">
        <f t="shared" si="20"/>
        <v>Blacklisted</v>
      </c>
      <c r="X331" s="27" t="str">
        <f t="shared" si="21"/>
        <v>Rohit Singh</v>
      </c>
      <c r="Y331" s="29" t="str">
        <f t="shared" si="22"/>
        <v>Roh00IDHy</v>
      </c>
      <c r="Z331" s="30" t="str">
        <f t="shared" si="23"/>
        <v>rohit.singh@company.com</v>
      </c>
    </row>
    <row r="332" spans="1:26">
      <c r="A332" s="15" t="s">
        <v>1497</v>
      </c>
      <c r="B332" s="15" t="s">
        <v>53</v>
      </c>
      <c r="C332" s="15" t="s">
        <v>72</v>
      </c>
      <c r="D332" s="15" t="s">
        <v>179</v>
      </c>
      <c r="E332" s="15" t="s">
        <v>798</v>
      </c>
      <c r="F332" s="15" t="s">
        <v>163</v>
      </c>
      <c r="G332" s="15" t="s">
        <v>28</v>
      </c>
      <c r="H332" s="15" t="s">
        <v>1498</v>
      </c>
      <c r="I332" s="15" t="s">
        <v>138</v>
      </c>
      <c r="J332" s="15" t="s">
        <v>106</v>
      </c>
      <c r="K332" s="15" t="s">
        <v>46</v>
      </c>
      <c r="L332" s="15" t="s">
        <v>78</v>
      </c>
      <c r="M332" s="15">
        <v>13</v>
      </c>
      <c r="N332" s="15">
        <v>1200</v>
      </c>
      <c r="O332" s="15">
        <v>0</v>
      </c>
      <c r="P332" s="15">
        <v>15600</v>
      </c>
      <c r="Q332" s="15">
        <v>3</v>
      </c>
      <c r="R332" s="15" t="s">
        <v>48</v>
      </c>
      <c r="S332" s="15" t="s">
        <v>115</v>
      </c>
      <c r="T332" s="15" t="s">
        <v>62</v>
      </c>
      <c r="U332" s="17" t="s">
        <v>1499</v>
      </c>
      <c r="V332" s="15" t="s">
        <v>69</v>
      </c>
      <c r="W332" t="str">
        <f t="shared" si="20"/>
        <v>Blacklisted</v>
      </c>
      <c r="X332" s="27" t="str">
        <f t="shared" si="21"/>
        <v>Pooja Shah</v>
      </c>
      <c r="Y332" s="29" t="str">
        <f t="shared" si="22"/>
        <v>Poo01IDAh</v>
      </c>
      <c r="Z332" s="30" t="str">
        <f t="shared" si="23"/>
        <v>pooja.shah@company.com</v>
      </c>
    </row>
    <row r="333" spans="1:26">
      <c r="A333" s="18" t="s">
        <v>1500</v>
      </c>
      <c r="B333" s="18" t="s">
        <v>327</v>
      </c>
      <c r="C333" s="18" t="s">
        <v>40</v>
      </c>
      <c r="D333" s="18" t="s">
        <v>1501</v>
      </c>
      <c r="E333" s="18" t="s">
        <v>1502</v>
      </c>
      <c r="F333" s="18" t="s">
        <v>394</v>
      </c>
      <c r="G333" s="18" t="s">
        <v>76</v>
      </c>
      <c r="H333" s="18" t="s">
        <v>1503</v>
      </c>
      <c r="I333" s="18" t="s">
        <v>44</v>
      </c>
      <c r="J333" s="18" t="s">
        <v>45</v>
      </c>
      <c r="K333" s="18" t="s">
        <v>46</v>
      </c>
      <c r="L333" s="18" t="s">
        <v>47</v>
      </c>
      <c r="M333" s="18">
        <v>5</v>
      </c>
      <c r="N333" s="18">
        <v>12000</v>
      </c>
      <c r="O333" s="18">
        <v>10</v>
      </c>
      <c r="P333" s="18">
        <v>54000</v>
      </c>
      <c r="Q333" s="18">
        <v>3</v>
      </c>
      <c r="R333" s="18" t="s">
        <v>88</v>
      </c>
      <c r="S333" s="18" t="s">
        <v>49</v>
      </c>
      <c r="T333" s="18" t="s">
        <v>332</v>
      </c>
      <c r="U333" s="19" t="s">
        <v>1504</v>
      </c>
      <c r="V333" s="18" t="s">
        <v>38</v>
      </c>
      <c r="W333" t="str">
        <f t="shared" si="20"/>
        <v>Gold</v>
      </c>
      <c r="X333" s="27" t="str">
        <f t="shared" si="21"/>
        <v>Amit Sharma</v>
      </c>
      <c r="Y333" s="29" t="str">
        <f t="shared" si="22"/>
        <v>Ami00IDDe</v>
      </c>
      <c r="Z333" s="30" t="str">
        <f t="shared" si="23"/>
        <v>amit.sharma@company.com</v>
      </c>
    </row>
    <row r="334" spans="1:26">
      <c r="A334" s="15" t="s">
        <v>1505</v>
      </c>
      <c r="B334" s="15" t="s">
        <v>53</v>
      </c>
      <c r="C334" s="15" t="s">
        <v>259</v>
      </c>
      <c r="D334" s="15" t="s">
        <v>1506</v>
      </c>
      <c r="E334" s="15" t="s">
        <v>1507</v>
      </c>
      <c r="F334" s="15" t="s">
        <v>163</v>
      </c>
      <c r="G334" s="15" t="s">
        <v>28</v>
      </c>
      <c r="H334" s="15" t="s">
        <v>1508</v>
      </c>
      <c r="I334" s="15" t="s">
        <v>59</v>
      </c>
      <c r="J334" s="15" t="s">
        <v>31</v>
      </c>
      <c r="K334" s="15" t="s">
        <v>122</v>
      </c>
      <c r="L334" s="15" t="s">
        <v>263</v>
      </c>
      <c r="M334" s="15">
        <v>12</v>
      </c>
      <c r="N334" s="15">
        <v>45</v>
      </c>
      <c r="O334" s="15">
        <v>20</v>
      </c>
      <c r="P334" s="15">
        <v>432</v>
      </c>
      <c r="Q334" s="15">
        <v>3</v>
      </c>
      <c r="R334" s="15" t="s">
        <v>48</v>
      </c>
      <c r="S334" s="15" t="s">
        <v>61</v>
      </c>
      <c r="T334" s="15" t="s">
        <v>62</v>
      </c>
      <c r="U334" s="17" t="s">
        <v>1509</v>
      </c>
      <c r="V334" s="15" t="s">
        <v>38</v>
      </c>
      <c r="W334" t="str">
        <f t="shared" si="20"/>
        <v>Silver</v>
      </c>
      <c r="X334" s="27" t="str">
        <f t="shared" si="21"/>
        <v>Pooja Shah</v>
      </c>
      <c r="Y334" s="29" t="str">
        <f t="shared" si="22"/>
        <v>Poo01IDBe</v>
      </c>
      <c r="Z334" s="30" t="str">
        <f t="shared" si="23"/>
        <v>pooja.shah@company.com</v>
      </c>
    </row>
    <row r="335" spans="1:26">
      <c r="A335" s="18" t="s">
        <v>1510</v>
      </c>
      <c r="B335" s="18" t="s">
        <v>23</v>
      </c>
      <c r="C335" s="18" t="s">
        <v>92</v>
      </c>
      <c r="D335" s="18" t="s">
        <v>652</v>
      </c>
      <c r="E335" s="18" t="s">
        <v>666</v>
      </c>
      <c r="F335" s="18" t="s">
        <v>27</v>
      </c>
      <c r="G335" s="18" t="s">
        <v>28</v>
      </c>
      <c r="H335" s="18" t="s">
        <v>1511</v>
      </c>
      <c r="I335" s="18" t="s">
        <v>59</v>
      </c>
      <c r="J335" s="18" t="s">
        <v>31</v>
      </c>
      <c r="K335" s="18" t="s">
        <v>32</v>
      </c>
      <c r="L335" s="18" t="s">
        <v>97</v>
      </c>
      <c r="M335" s="18">
        <v>2</v>
      </c>
      <c r="N335" s="18">
        <v>3500</v>
      </c>
      <c r="O335" s="18">
        <v>0</v>
      </c>
      <c r="P335" s="18">
        <v>7000</v>
      </c>
      <c r="Q335" s="18">
        <v>1</v>
      </c>
      <c r="R335" s="18" t="s">
        <v>48</v>
      </c>
      <c r="S335" s="18" t="s">
        <v>115</v>
      </c>
      <c r="T335" s="18" t="s">
        <v>50</v>
      </c>
      <c r="U335" s="19" t="s">
        <v>1512</v>
      </c>
      <c r="V335" s="18" t="s">
        <v>64</v>
      </c>
      <c r="W335" t="str">
        <f t="shared" si="20"/>
        <v>Blacklisted</v>
      </c>
      <c r="X335" s="27" t="str">
        <f t="shared" si="21"/>
        <v>Kavya Nair</v>
      </c>
      <c r="Y335" s="29" t="str">
        <f t="shared" si="22"/>
        <v>Kav00IDBe</v>
      </c>
      <c r="Z335" s="30" t="str">
        <f t="shared" si="23"/>
        <v>kavya.nair@company.com</v>
      </c>
    </row>
    <row r="336" spans="1:26">
      <c r="A336" s="15" t="s">
        <v>1513</v>
      </c>
      <c r="B336" s="15" t="s">
        <v>23</v>
      </c>
      <c r="C336" s="15" t="s">
        <v>24</v>
      </c>
      <c r="D336" s="15" t="s">
        <v>426</v>
      </c>
      <c r="E336" s="15" t="s">
        <v>1180</v>
      </c>
      <c r="F336" s="15" t="s">
        <v>27</v>
      </c>
      <c r="G336" s="15" t="s">
        <v>28</v>
      </c>
      <c r="H336" s="15" t="s">
        <v>1514</v>
      </c>
      <c r="I336" s="15" t="s">
        <v>114</v>
      </c>
      <c r="J336" s="15" t="s">
        <v>106</v>
      </c>
      <c r="K336" s="15" t="s">
        <v>32</v>
      </c>
      <c r="L336" s="15" t="s">
        <v>33</v>
      </c>
      <c r="M336" s="15">
        <v>15</v>
      </c>
      <c r="N336" s="15">
        <v>2200</v>
      </c>
      <c r="O336" s="15">
        <v>15</v>
      </c>
      <c r="P336" s="15">
        <v>28050</v>
      </c>
      <c r="Q336" s="15">
        <v>2</v>
      </c>
      <c r="R336" s="15" t="s">
        <v>48</v>
      </c>
      <c r="S336" s="15" t="s">
        <v>49</v>
      </c>
      <c r="T336" s="15" t="s">
        <v>50</v>
      </c>
      <c r="U336" s="17" t="s">
        <v>1515</v>
      </c>
      <c r="V336" s="15" t="s">
        <v>64</v>
      </c>
      <c r="W336" t="str">
        <f t="shared" si="20"/>
        <v>Blacklisted</v>
      </c>
      <c r="X336" s="27" t="str">
        <f t="shared" si="21"/>
        <v>Kavya Nair</v>
      </c>
      <c r="Y336" s="29" t="str">
        <f t="shared" si="22"/>
        <v>Kav00IDPu</v>
      </c>
      <c r="Z336" s="30" t="str">
        <f t="shared" si="23"/>
        <v>kavya.nair@company.com</v>
      </c>
    </row>
    <row r="337" spans="1:26">
      <c r="A337" s="18" t="s">
        <v>1516</v>
      </c>
      <c r="B337" s="18" t="s">
        <v>100</v>
      </c>
      <c r="C337" s="18" t="s">
        <v>222</v>
      </c>
      <c r="D337" s="18" t="s">
        <v>186</v>
      </c>
      <c r="E337" s="18" t="s">
        <v>1253</v>
      </c>
      <c r="F337" s="18" t="s">
        <v>103</v>
      </c>
      <c r="G337" s="18" t="s">
        <v>28</v>
      </c>
      <c r="H337" s="18" t="s">
        <v>1517</v>
      </c>
      <c r="I337" s="18" t="s">
        <v>138</v>
      </c>
      <c r="J337" s="18" t="s">
        <v>106</v>
      </c>
      <c r="K337" s="18" t="s">
        <v>122</v>
      </c>
      <c r="L337" s="18" t="s">
        <v>227</v>
      </c>
      <c r="M337" s="18">
        <v>8</v>
      </c>
      <c r="N337" s="18">
        <v>20</v>
      </c>
      <c r="O337" s="18">
        <v>20</v>
      </c>
      <c r="P337" s="18">
        <v>128</v>
      </c>
      <c r="Q337" s="18">
        <v>5</v>
      </c>
      <c r="R337" s="18" t="s">
        <v>88</v>
      </c>
      <c r="S337" s="18" t="s">
        <v>49</v>
      </c>
      <c r="T337" s="18" t="s">
        <v>144</v>
      </c>
      <c r="U337" s="19" t="s">
        <v>1518</v>
      </c>
      <c r="V337" s="18" t="s">
        <v>38</v>
      </c>
      <c r="W337" t="str">
        <f t="shared" si="20"/>
        <v>Silver</v>
      </c>
      <c r="X337" s="27" t="str">
        <f t="shared" si="21"/>
        <v>Priya Patel</v>
      </c>
      <c r="Y337" s="29" t="str">
        <f t="shared" si="22"/>
        <v>Pri00IDAh</v>
      </c>
      <c r="Z337" s="30" t="str">
        <f t="shared" si="23"/>
        <v>priya.patel@company.com</v>
      </c>
    </row>
    <row r="338" spans="1:26">
      <c r="A338" s="15" t="s">
        <v>1519</v>
      </c>
      <c r="B338" s="15" t="s">
        <v>127</v>
      </c>
      <c r="C338" s="15" t="s">
        <v>222</v>
      </c>
      <c r="D338" s="15" t="s">
        <v>298</v>
      </c>
      <c r="E338" s="15" t="s">
        <v>798</v>
      </c>
      <c r="F338" s="15" t="s">
        <v>200</v>
      </c>
      <c r="G338" s="15" t="s">
        <v>76</v>
      </c>
      <c r="H338" s="15" t="s">
        <v>1520</v>
      </c>
      <c r="I338" s="15" t="s">
        <v>30</v>
      </c>
      <c r="J338" s="15" t="s">
        <v>31</v>
      </c>
      <c r="K338" s="15" t="s">
        <v>122</v>
      </c>
      <c r="L338" s="15" t="s">
        <v>227</v>
      </c>
      <c r="M338" s="15">
        <v>1</v>
      </c>
      <c r="N338" s="15">
        <v>20</v>
      </c>
      <c r="O338" s="15">
        <v>0</v>
      </c>
      <c r="P338" s="15">
        <v>20</v>
      </c>
      <c r="Q338" s="15">
        <v>3</v>
      </c>
      <c r="R338" s="15" t="s">
        <v>88</v>
      </c>
      <c r="S338" s="15" t="s">
        <v>35</v>
      </c>
      <c r="T338" s="15" t="s">
        <v>132</v>
      </c>
      <c r="U338" s="17" t="s">
        <v>1521</v>
      </c>
      <c r="V338" s="15" t="s">
        <v>38</v>
      </c>
      <c r="W338" t="str">
        <f t="shared" si="20"/>
        <v>Silver</v>
      </c>
      <c r="X338" s="27" t="str">
        <f t="shared" si="21"/>
        <v>Rohit Singh</v>
      </c>
      <c r="Y338" s="29" t="str">
        <f t="shared" si="22"/>
        <v>Roh00IDHy</v>
      </c>
      <c r="Z338" s="30" t="str">
        <f t="shared" si="23"/>
        <v>rohit.singh@company.com</v>
      </c>
    </row>
    <row r="339" spans="1:26">
      <c r="A339" s="18" t="s">
        <v>1522</v>
      </c>
      <c r="B339" s="18" t="s">
        <v>23</v>
      </c>
      <c r="C339" s="18" t="s">
        <v>184</v>
      </c>
      <c r="D339" s="18" t="s">
        <v>1199</v>
      </c>
      <c r="E339" s="18" t="s">
        <v>253</v>
      </c>
      <c r="F339" s="18" t="s">
        <v>27</v>
      </c>
      <c r="G339" s="18" t="s">
        <v>28</v>
      </c>
      <c r="H339" s="18" t="s">
        <v>1523</v>
      </c>
      <c r="I339" s="18" t="s">
        <v>212</v>
      </c>
      <c r="J339" s="18" t="s">
        <v>45</v>
      </c>
      <c r="K339" s="18" t="s">
        <v>46</v>
      </c>
      <c r="L339" s="18" t="s">
        <v>189</v>
      </c>
      <c r="M339" s="18">
        <v>15</v>
      </c>
      <c r="N339" s="18">
        <v>700</v>
      </c>
      <c r="O339" s="18">
        <v>0</v>
      </c>
      <c r="P339" s="18">
        <v>10500</v>
      </c>
      <c r="Q339" s="18">
        <v>2</v>
      </c>
      <c r="R339" s="18" t="s">
        <v>88</v>
      </c>
      <c r="S339" s="18" t="s">
        <v>49</v>
      </c>
      <c r="T339" s="18" t="s">
        <v>50</v>
      </c>
      <c r="U339" s="19" t="s">
        <v>1524</v>
      </c>
      <c r="V339" s="18" t="s">
        <v>38</v>
      </c>
      <c r="W339" t="str">
        <f t="shared" si="20"/>
        <v>Blacklisted</v>
      </c>
      <c r="X339" s="27" t="str">
        <f t="shared" si="21"/>
        <v>Kavya Nair</v>
      </c>
      <c r="Y339" s="29" t="str">
        <f t="shared" si="22"/>
        <v>Kav00IDJa</v>
      </c>
      <c r="Z339" s="30" t="str">
        <f t="shared" si="23"/>
        <v>kavya.nair@company.com</v>
      </c>
    </row>
    <row r="340" spans="1:26">
      <c r="A340" s="15" t="s">
        <v>1525</v>
      </c>
      <c r="B340" s="15" t="s">
        <v>327</v>
      </c>
      <c r="C340" s="15" t="s">
        <v>92</v>
      </c>
      <c r="D340" s="15" t="s">
        <v>932</v>
      </c>
      <c r="E340" s="15" t="s">
        <v>1526</v>
      </c>
      <c r="F340" s="15" t="s">
        <v>394</v>
      </c>
      <c r="G340" s="15" t="s">
        <v>76</v>
      </c>
      <c r="H340" s="15" t="s">
        <v>1527</v>
      </c>
      <c r="I340" s="15" t="s">
        <v>30</v>
      </c>
      <c r="J340" s="15" t="s">
        <v>31</v>
      </c>
      <c r="K340" s="15" t="s">
        <v>32</v>
      </c>
      <c r="L340" s="15" t="s">
        <v>97</v>
      </c>
      <c r="M340" s="15">
        <v>15</v>
      </c>
      <c r="N340" s="15">
        <v>3500</v>
      </c>
      <c r="O340" s="15">
        <v>10</v>
      </c>
      <c r="P340" s="15">
        <v>47250</v>
      </c>
      <c r="Q340" s="15">
        <v>3</v>
      </c>
      <c r="R340" s="15" t="s">
        <v>34</v>
      </c>
      <c r="S340" s="15" t="s">
        <v>151</v>
      </c>
      <c r="T340" s="15" t="s">
        <v>332</v>
      </c>
      <c r="U340" s="17" t="s">
        <v>1528</v>
      </c>
      <c r="V340" s="15" t="s">
        <v>64</v>
      </c>
      <c r="W340" t="str">
        <f t="shared" si="20"/>
        <v>Blacklisted</v>
      </c>
      <c r="X340" s="27" t="str">
        <f t="shared" si="21"/>
        <v>Amit Sharma</v>
      </c>
      <c r="Y340" s="29" t="str">
        <f t="shared" si="22"/>
        <v>Ami00IDHy</v>
      </c>
      <c r="Z340" s="30" t="str">
        <f t="shared" si="23"/>
        <v>amit.sharma@company.com</v>
      </c>
    </row>
    <row r="341" spans="1:26">
      <c r="A341" s="18" t="s">
        <v>1529</v>
      </c>
      <c r="B341" s="18" t="s">
        <v>23</v>
      </c>
      <c r="C341" s="18" t="s">
        <v>118</v>
      </c>
      <c r="D341" s="18" t="s">
        <v>1530</v>
      </c>
      <c r="E341" s="18" t="s">
        <v>156</v>
      </c>
      <c r="F341" s="18" t="s">
        <v>27</v>
      </c>
      <c r="G341" s="18" t="s">
        <v>28</v>
      </c>
      <c r="H341" s="18" t="s">
        <v>1531</v>
      </c>
      <c r="I341" s="18" t="s">
        <v>294</v>
      </c>
      <c r="J341" s="18" t="s">
        <v>295</v>
      </c>
      <c r="K341" s="18" t="s">
        <v>122</v>
      </c>
      <c r="L341" s="18" t="s">
        <v>123</v>
      </c>
      <c r="M341" s="18">
        <v>16</v>
      </c>
      <c r="N341" s="18">
        <v>60</v>
      </c>
      <c r="O341" s="18">
        <v>10</v>
      </c>
      <c r="P341" s="18">
        <v>864</v>
      </c>
      <c r="Q341" s="18">
        <v>4</v>
      </c>
      <c r="R341" s="18" t="s">
        <v>79</v>
      </c>
      <c r="S341" s="18" t="s">
        <v>61</v>
      </c>
      <c r="T341" s="18" t="s">
        <v>50</v>
      </c>
      <c r="U341" s="19" t="s">
        <v>1532</v>
      </c>
      <c r="V341" s="18" t="s">
        <v>38</v>
      </c>
      <c r="W341" t="str">
        <f t="shared" si="20"/>
        <v>Silver</v>
      </c>
      <c r="X341" s="27" t="str">
        <f t="shared" si="21"/>
        <v>Kavya Nair</v>
      </c>
      <c r="Y341" s="29" t="str">
        <f t="shared" si="22"/>
        <v>Kav00IDKo</v>
      </c>
      <c r="Z341" s="30" t="str">
        <f t="shared" si="23"/>
        <v>kavya.nair@company.com</v>
      </c>
    </row>
    <row r="342" spans="1:26">
      <c r="A342" s="15" t="s">
        <v>1533</v>
      </c>
      <c r="B342" s="15" t="s">
        <v>127</v>
      </c>
      <c r="C342" s="15" t="s">
        <v>259</v>
      </c>
      <c r="D342" s="15" t="s">
        <v>309</v>
      </c>
      <c r="E342" s="15" t="s">
        <v>793</v>
      </c>
      <c r="F342" s="15" t="s">
        <v>200</v>
      </c>
      <c r="G342" s="15" t="s">
        <v>76</v>
      </c>
      <c r="H342" s="15" t="s">
        <v>1534</v>
      </c>
      <c r="I342" s="15" t="s">
        <v>44</v>
      </c>
      <c r="J342" s="15" t="s">
        <v>45</v>
      </c>
      <c r="K342" s="15" t="s">
        <v>122</v>
      </c>
      <c r="L342" s="15" t="s">
        <v>263</v>
      </c>
      <c r="M342" s="15">
        <v>2</v>
      </c>
      <c r="N342" s="15">
        <v>45</v>
      </c>
      <c r="O342" s="15">
        <v>15</v>
      </c>
      <c r="P342" s="15">
        <v>76.5</v>
      </c>
      <c r="Q342" s="15">
        <v>1</v>
      </c>
      <c r="R342" s="15" t="s">
        <v>88</v>
      </c>
      <c r="S342" s="15" t="s">
        <v>151</v>
      </c>
      <c r="T342" s="15" t="s">
        <v>132</v>
      </c>
      <c r="U342" s="17" t="s">
        <v>1535</v>
      </c>
      <c r="V342" s="15" t="s">
        <v>69</v>
      </c>
      <c r="W342" t="str">
        <f t="shared" si="20"/>
        <v>Blacklisted</v>
      </c>
      <c r="X342" s="27" t="str">
        <f t="shared" si="21"/>
        <v>Rohit Singh</v>
      </c>
      <c r="Y342" s="29" t="str">
        <f t="shared" si="22"/>
        <v>Roh00IDDe</v>
      </c>
      <c r="Z342" s="30" t="str">
        <f t="shared" si="23"/>
        <v>rohit.singh@company.com</v>
      </c>
    </row>
    <row r="343" spans="1:26">
      <c r="A343" s="18" t="s">
        <v>1536</v>
      </c>
      <c r="B343" s="18" t="s">
        <v>168</v>
      </c>
      <c r="C343" s="18" t="s">
        <v>118</v>
      </c>
      <c r="D343" s="18" t="s">
        <v>1537</v>
      </c>
      <c r="E343" s="18" t="s">
        <v>1214</v>
      </c>
      <c r="F343" s="18" t="s">
        <v>361</v>
      </c>
      <c r="G343" s="18" t="s">
        <v>28</v>
      </c>
      <c r="H343" s="18" t="s">
        <v>1538</v>
      </c>
      <c r="I343" s="18" t="s">
        <v>44</v>
      </c>
      <c r="J343" s="18" t="s">
        <v>45</v>
      </c>
      <c r="K343" s="18" t="s">
        <v>122</v>
      </c>
      <c r="L343" s="18" t="s">
        <v>123</v>
      </c>
      <c r="M343" s="18">
        <v>13</v>
      </c>
      <c r="N343" s="18">
        <v>60</v>
      </c>
      <c r="O343" s="18">
        <v>15</v>
      </c>
      <c r="P343" s="18">
        <v>663</v>
      </c>
      <c r="Q343" s="18">
        <v>2</v>
      </c>
      <c r="R343" s="18" t="s">
        <v>48</v>
      </c>
      <c r="S343" s="18" t="s">
        <v>61</v>
      </c>
      <c r="T343" s="18" t="s">
        <v>175</v>
      </c>
      <c r="U343" s="19" t="s">
        <v>1539</v>
      </c>
      <c r="V343" s="18" t="s">
        <v>69</v>
      </c>
      <c r="W343" t="str">
        <f t="shared" si="20"/>
        <v>Blacklisted</v>
      </c>
      <c r="X343" s="27" t="str">
        <f t="shared" si="21"/>
        <v>Anita Gupta</v>
      </c>
      <c r="Y343" s="29" t="str">
        <f t="shared" si="22"/>
        <v>Ani00IDDe</v>
      </c>
      <c r="Z343" s="30" t="str">
        <f t="shared" si="23"/>
        <v>anita.gupta@company.com</v>
      </c>
    </row>
    <row r="344" spans="1:26">
      <c r="A344" s="15" t="s">
        <v>1540</v>
      </c>
      <c r="B344" s="15" t="s">
        <v>83</v>
      </c>
      <c r="C344" s="15" t="s">
        <v>40</v>
      </c>
      <c r="D344" s="15" t="s">
        <v>1086</v>
      </c>
      <c r="E344" s="15" t="s">
        <v>236</v>
      </c>
      <c r="F344" s="15" t="s">
        <v>180</v>
      </c>
      <c r="G344" s="15" t="s">
        <v>76</v>
      </c>
      <c r="H344" s="15" t="s">
        <v>1541</v>
      </c>
      <c r="I344" s="15" t="s">
        <v>44</v>
      </c>
      <c r="J344" s="15" t="s">
        <v>45</v>
      </c>
      <c r="K344" s="15" t="s">
        <v>46</v>
      </c>
      <c r="L344" s="15" t="s">
        <v>47</v>
      </c>
      <c r="M344" s="15">
        <v>15</v>
      </c>
      <c r="N344" s="15">
        <v>12000</v>
      </c>
      <c r="O344" s="15">
        <v>20</v>
      </c>
      <c r="P344" s="15">
        <v>144000</v>
      </c>
      <c r="Q344" s="15">
        <v>3</v>
      </c>
      <c r="R344" s="15" t="s">
        <v>79</v>
      </c>
      <c r="S344" s="15" t="s">
        <v>35</v>
      </c>
      <c r="T344" s="15" t="s">
        <v>89</v>
      </c>
      <c r="U344" s="17" t="s">
        <v>1542</v>
      </c>
      <c r="V344" s="15" t="s">
        <v>69</v>
      </c>
      <c r="W344" t="str">
        <f t="shared" si="20"/>
        <v>Blacklisted</v>
      </c>
      <c r="X344" s="27" t="str">
        <f t="shared" si="21"/>
        <v>Arjun Rao</v>
      </c>
      <c r="Y344" s="29" t="str">
        <f t="shared" si="22"/>
        <v>Arj00IDDe</v>
      </c>
      <c r="Z344" s="30" t="str">
        <f t="shared" si="23"/>
        <v>arjun.rao@company.com</v>
      </c>
    </row>
    <row r="345" spans="1:26">
      <c r="A345" s="18" t="s">
        <v>1543</v>
      </c>
      <c r="B345" s="18" t="s">
        <v>327</v>
      </c>
      <c r="C345" s="18" t="s">
        <v>222</v>
      </c>
      <c r="D345" s="18" t="s">
        <v>755</v>
      </c>
      <c r="E345" s="18" t="s">
        <v>1544</v>
      </c>
      <c r="F345" s="18" t="s">
        <v>394</v>
      </c>
      <c r="G345" s="18" t="s">
        <v>76</v>
      </c>
      <c r="H345" s="18" t="s">
        <v>1545</v>
      </c>
      <c r="I345" s="18" t="s">
        <v>44</v>
      </c>
      <c r="J345" s="18" t="s">
        <v>45</v>
      </c>
      <c r="K345" s="18" t="s">
        <v>122</v>
      </c>
      <c r="L345" s="18" t="s">
        <v>227</v>
      </c>
      <c r="M345" s="18">
        <v>2</v>
      </c>
      <c r="N345" s="18">
        <v>20</v>
      </c>
      <c r="O345" s="18">
        <v>20</v>
      </c>
      <c r="P345" s="18">
        <v>32</v>
      </c>
      <c r="Q345" s="18">
        <v>4</v>
      </c>
      <c r="R345" s="18" t="s">
        <v>34</v>
      </c>
      <c r="S345" s="18" t="s">
        <v>35</v>
      </c>
      <c r="T345" s="18" t="s">
        <v>332</v>
      </c>
      <c r="U345" s="19" t="s">
        <v>1546</v>
      </c>
      <c r="V345" s="18" t="s">
        <v>64</v>
      </c>
      <c r="W345" t="str">
        <f t="shared" si="20"/>
        <v>Blacklisted</v>
      </c>
      <c r="X345" s="27" t="str">
        <f t="shared" si="21"/>
        <v>Amit Sharma</v>
      </c>
      <c r="Y345" s="29" t="str">
        <f t="shared" si="22"/>
        <v>Ami00IDDe</v>
      </c>
      <c r="Z345" s="30" t="str">
        <f t="shared" si="23"/>
        <v>amit.sharma@company.com</v>
      </c>
    </row>
    <row r="346" spans="1:26">
      <c r="A346" s="15" t="s">
        <v>1547</v>
      </c>
      <c r="B346" s="15" t="s">
        <v>127</v>
      </c>
      <c r="C346" s="15" t="s">
        <v>92</v>
      </c>
      <c r="D346" s="15" t="s">
        <v>382</v>
      </c>
      <c r="E346" s="15" t="s">
        <v>1548</v>
      </c>
      <c r="F346" s="15" t="s">
        <v>200</v>
      </c>
      <c r="G346" s="15" t="s">
        <v>76</v>
      </c>
      <c r="H346" s="15" t="s">
        <v>1549</v>
      </c>
      <c r="I346" s="15" t="s">
        <v>59</v>
      </c>
      <c r="J346" s="15" t="s">
        <v>31</v>
      </c>
      <c r="K346" s="15" t="s">
        <v>32</v>
      </c>
      <c r="L346" s="15" t="s">
        <v>97</v>
      </c>
      <c r="M346" s="15">
        <v>16</v>
      </c>
      <c r="N346" s="15">
        <v>3500</v>
      </c>
      <c r="O346" s="15">
        <v>0</v>
      </c>
      <c r="P346" s="15">
        <v>56000</v>
      </c>
      <c r="Q346" s="15">
        <v>4</v>
      </c>
      <c r="R346" s="15" t="s">
        <v>34</v>
      </c>
      <c r="S346" s="15" t="s">
        <v>115</v>
      </c>
      <c r="T346" s="15" t="s">
        <v>132</v>
      </c>
      <c r="U346" s="17" t="s">
        <v>1550</v>
      </c>
      <c r="V346" s="15" t="s">
        <v>38</v>
      </c>
      <c r="W346" t="str">
        <f t="shared" si="20"/>
        <v>Gold</v>
      </c>
      <c r="X346" s="27" t="str">
        <f t="shared" si="21"/>
        <v>Rohit Singh</v>
      </c>
      <c r="Y346" s="29" t="str">
        <f t="shared" si="22"/>
        <v>Roh00IDBe</v>
      </c>
      <c r="Z346" s="30" t="str">
        <f t="shared" si="23"/>
        <v>rohit.singh@company.com</v>
      </c>
    </row>
    <row r="347" spans="1:26">
      <c r="A347" s="18" t="s">
        <v>1551</v>
      </c>
      <c r="B347" s="18" t="s">
        <v>53</v>
      </c>
      <c r="C347" s="18" t="s">
        <v>92</v>
      </c>
      <c r="D347" s="18" t="s">
        <v>1302</v>
      </c>
      <c r="E347" s="18" t="s">
        <v>94</v>
      </c>
      <c r="F347" s="18" t="s">
        <v>163</v>
      </c>
      <c r="G347" s="18" t="s">
        <v>28</v>
      </c>
      <c r="H347" s="18" t="s">
        <v>1552</v>
      </c>
      <c r="I347" s="18" t="s">
        <v>138</v>
      </c>
      <c r="J347" s="18" t="s">
        <v>106</v>
      </c>
      <c r="K347" s="18" t="s">
        <v>32</v>
      </c>
      <c r="L347" s="18" t="s">
        <v>97</v>
      </c>
      <c r="M347" s="18">
        <v>18</v>
      </c>
      <c r="N347" s="18">
        <v>3500</v>
      </c>
      <c r="O347" s="18">
        <v>15</v>
      </c>
      <c r="P347" s="18">
        <v>53550</v>
      </c>
      <c r="Q347" s="18">
        <v>5</v>
      </c>
      <c r="R347" s="18" t="s">
        <v>34</v>
      </c>
      <c r="S347" s="18" t="s">
        <v>151</v>
      </c>
      <c r="T347" s="18" t="s">
        <v>62</v>
      </c>
      <c r="U347" s="19" t="s">
        <v>1553</v>
      </c>
      <c r="V347" s="18" t="s">
        <v>69</v>
      </c>
      <c r="W347" t="str">
        <f t="shared" si="20"/>
        <v>Blacklisted</v>
      </c>
      <c r="X347" s="27" t="str">
        <f t="shared" si="21"/>
        <v>Pooja Shah</v>
      </c>
      <c r="Y347" s="29" t="str">
        <f t="shared" si="22"/>
        <v>Poo01IDAh</v>
      </c>
      <c r="Z347" s="30" t="str">
        <f t="shared" si="23"/>
        <v>pooja.shah@company.com</v>
      </c>
    </row>
    <row r="348" spans="1:26">
      <c r="A348" s="15" t="s">
        <v>1554</v>
      </c>
      <c r="B348" s="15" t="s">
        <v>23</v>
      </c>
      <c r="C348" s="15" t="s">
        <v>259</v>
      </c>
      <c r="D348" s="15" t="s">
        <v>65</v>
      </c>
      <c r="E348" s="15" t="s">
        <v>544</v>
      </c>
      <c r="F348" s="15" t="s">
        <v>27</v>
      </c>
      <c r="G348" s="15" t="s">
        <v>28</v>
      </c>
      <c r="H348" s="15" t="s">
        <v>1555</v>
      </c>
      <c r="I348" s="15" t="s">
        <v>138</v>
      </c>
      <c r="J348" s="15" t="s">
        <v>106</v>
      </c>
      <c r="K348" s="15" t="s">
        <v>122</v>
      </c>
      <c r="L348" s="15" t="s">
        <v>263</v>
      </c>
      <c r="M348" s="15">
        <v>20</v>
      </c>
      <c r="N348" s="15">
        <v>45</v>
      </c>
      <c r="O348" s="15">
        <v>15</v>
      </c>
      <c r="P348" s="15">
        <v>765</v>
      </c>
      <c r="Q348" s="15">
        <v>4</v>
      </c>
      <c r="R348" s="15" t="s">
        <v>34</v>
      </c>
      <c r="S348" s="15" t="s">
        <v>151</v>
      </c>
      <c r="T348" s="15" t="s">
        <v>50</v>
      </c>
      <c r="U348" s="17" t="s">
        <v>1556</v>
      </c>
      <c r="V348" s="15" t="s">
        <v>69</v>
      </c>
      <c r="W348" t="str">
        <f t="shared" si="20"/>
        <v>Blacklisted</v>
      </c>
      <c r="X348" s="27" t="str">
        <f t="shared" si="21"/>
        <v>Kavya Nair</v>
      </c>
      <c r="Y348" s="29" t="str">
        <f t="shared" si="22"/>
        <v>Kav00IDAh</v>
      </c>
      <c r="Z348" s="30" t="str">
        <f t="shared" si="23"/>
        <v>kavya.nair@company.com</v>
      </c>
    </row>
    <row r="349" spans="1:26">
      <c r="A349" s="18" t="s">
        <v>1557</v>
      </c>
      <c r="B349" s="18" t="s">
        <v>251</v>
      </c>
      <c r="C349" s="18" t="s">
        <v>24</v>
      </c>
      <c r="D349" s="18" t="s">
        <v>1286</v>
      </c>
      <c r="E349" s="18" t="s">
        <v>356</v>
      </c>
      <c r="F349" s="18" t="s">
        <v>254</v>
      </c>
      <c r="G349" s="18" t="s">
        <v>28</v>
      </c>
      <c r="H349" s="18" t="s">
        <v>1558</v>
      </c>
      <c r="I349" s="18" t="s">
        <v>44</v>
      </c>
      <c r="J349" s="18" t="s">
        <v>45</v>
      </c>
      <c r="K349" s="18" t="s">
        <v>32</v>
      </c>
      <c r="L349" s="18" t="s">
        <v>33</v>
      </c>
      <c r="M349" s="18">
        <v>13</v>
      </c>
      <c r="N349" s="18">
        <v>2200</v>
      </c>
      <c r="O349" s="18">
        <v>15</v>
      </c>
      <c r="P349" s="18">
        <v>24310</v>
      </c>
      <c r="Q349" s="18">
        <v>2</v>
      </c>
      <c r="R349" s="18" t="s">
        <v>48</v>
      </c>
      <c r="S349" s="18" t="s">
        <v>115</v>
      </c>
      <c r="T349" s="18" t="s">
        <v>256</v>
      </c>
      <c r="U349" s="19" t="s">
        <v>1559</v>
      </c>
      <c r="V349" s="18" t="s">
        <v>64</v>
      </c>
      <c r="W349" t="str">
        <f t="shared" si="20"/>
        <v>Blacklisted</v>
      </c>
      <c r="X349" s="27" t="str">
        <f t="shared" si="21"/>
        <v>Sneha Joshi</v>
      </c>
      <c r="Y349" s="29" t="str">
        <f t="shared" si="22"/>
        <v>Sne00IDDe</v>
      </c>
      <c r="Z349" s="30" t="str">
        <f t="shared" si="23"/>
        <v>sneha.joshi@company.com</v>
      </c>
    </row>
    <row r="350" spans="1:26">
      <c r="A350" s="15" t="s">
        <v>1560</v>
      </c>
      <c r="B350" s="15" t="s">
        <v>53</v>
      </c>
      <c r="C350" s="15" t="s">
        <v>1561</v>
      </c>
      <c r="D350" s="15" t="s">
        <v>340</v>
      </c>
      <c r="E350" s="15" t="s">
        <v>346</v>
      </c>
      <c r="F350" s="15" t="s">
        <v>163</v>
      </c>
      <c r="G350" s="15" t="s">
        <v>28</v>
      </c>
      <c r="H350" s="15" t="s">
        <v>1562</v>
      </c>
      <c r="I350" s="15" t="s">
        <v>294</v>
      </c>
      <c r="J350" s="15" t="s">
        <v>295</v>
      </c>
      <c r="K350" s="15" t="s">
        <v>32</v>
      </c>
      <c r="L350" s="15" t="s">
        <v>174</v>
      </c>
      <c r="M350" s="15">
        <v>11</v>
      </c>
      <c r="N350" s="15">
        <v>8500</v>
      </c>
      <c r="O350" s="15">
        <v>5</v>
      </c>
      <c r="P350" s="15">
        <v>88825</v>
      </c>
      <c r="Q350" s="15">
        <v>1</v>
      </c>
      <c r="R350" s="15" t="s">
        <v>88</v>
      </c>
      <c r="S350" s="15" t="s">
        <v>115</v>
      </c>
      <c r="T350" s="15" t="s">
        <v>62</v>
      </c>
      <c r="U350" s="17" t="s">
        <v>1563</v>
      </c>
      <c r="V350" s="15" t="s">
        <v>69</v>
      </c>
      <c r="W350" t="str">
        <f t="shared" si="20"/>
        <v>Blacklisted</v>
      </c>
      <c r="X350" s="27" t="str">
        <f t="shared" si="21"/>
        <v>Pooja Shah</v>
      </c>
      <c r="Y350" s="29" t="str">
        <f t="shared" si="22"/>
        <v>Poo01IDKo</v>
      </c>
      <c r="Z350" s="30" t="str">
        <f t="shared" si="23"/>
        <v>pooja.shah@company.com</v>
      </c>
    </row>
    <row r="351" spans="1:26">
      <c r="A351" s="18" t="s">
        <v>1564</v>
      </c>
      <c r="B351" s="18" t="s">
        <v>53</v>
      </c>
      <c r="C351" s="18" t="s">
        <v>24</v>
      </c>
      <c r="D351" s="18" t="s">
        <v>1565</v>
      </c>
      <c r="E351" s="18" t="s">
        <v>1475</v>
      </c>
      <c r="F351" s="18" t="s">
        <v>163</v>
      </c>
      <c r="G351" s="18" t="s">
        <v>28</v>
      </c>
      <c r="H351" s="18" t="s">
        <v>1566</v>
      </c>
      <c r="I351" s="18" t="s">
        <v>212</v>
      </c>
      <c r="J351" s="18" t="s">
        <v>45</v>
      </c>
      <c r="K351" s="18" t="s">
        <v>32</v>
      </c>
      <c r="L351" s="18" t="s">
        <v>33</v>
      </c>
      <c r="M351" s="18">
        <v>2</v>
      </c>
      <c r="N351" s="18">
        <v>2200</v>
      </c>
      <c r="O351" s="18">
        <v>0</v>
      </c>
      <c r="P351" s="18">
        <v>4400</v>
      </c>
      <c r="Q351" s="18">
        <v>4</v>
      </c>
      <c r="R351" s="18" t="s">
        <v>88</v>
      </c>
      <c r="S351" s="18" t="s">
        <v>151</v>
      </c>
      <c r="T351" s="18" t="s">
        <v>62</v>
      </c>
      <c r="U351" s="19" t="s">
        <v>1567</v>
      </c>
      <c r="V351" s="18" t="s">
        <v>64</v>
      </c>
      <c r="W351" t="str">
        <f t="shared" si="20"/>
        <v>Blacklisted</v>
      </c>
      <c r="X351" s="27" t="str">
        <f t="shared" si="21"/>
        <v>Pooja Shah</v>
      </c>
      <c r="Y351" s="29" t="str">
        <f t="shared" si="22"/>
        <v>Poo01IDJa</v>
      </c>
      <c r="Z351" s="30" t="str">
        <f t="shared" si="23"/>
        <v>pooja.shah@company.com</v>
      </c>
    </row>
    <row r="352" spans="1:26">
      <c r="A352" s="15" t="s">
        <v>1568</v>
      </c>
      <c r="B352" s="15" t="s">
        <v>83</v>
      </c>
      <c r="C352" s="15" t="s">
        <v>184</v>
      </c>
      <c r="D352" s="15" t="s">
        <v>1242</v>
      </c>
      <c r="E352" s="15" t="s">
        <v>720</v>
      </c>
      <c r="F352" s="15" t="s">
        <v>180</v>
      </c>
      <c r="G352" s="15" t="s">
        <v>76</v>
      </c>
      <c r="H352" s="15" t="s">
        <v>1569</v>
      </c>
      <c r="I352" s="15" t="s">
        <v>105</v>
      </c>
      <c r="J352" s="15" t="s">
        <v>106</v>
      </c>
      <c r="K352" s="15" t="s">
        <v>46</v>
      </c>
      <c r="L352" s="15" t="s">
        <v>189</v>
      </c>
      <c r="M352" s="15">
        <v>15</v>
      </c>
      <c r="N352" s="15">
        <v>700</v>
      </c>
      <c r="O352" s="15">
        <v>15</v>
      </c>
      <c r="P352" s="15">
        <v>8925</v>
      </c>
      <c r="Q352" s="15">
        <v>3</v>
      </c>
      <c r="R352" s="15" t="s">
        <v>48</v>
      </c>
      <c r="S352" s="15" t="s">
        <v>115</v>
      </c>
      <c r="T352" s="15" t="s">
        <v>89</v>
      </c>
      <c r="U352" s="17" t="s">
        <v>1570</v>
      </c>
      <c r="V352" s="15" t="s">
        <v>38</v>
      </c>
      <c r="W352" t="str">
        <f t="shared" si="20"/>
        <v>Silver</v>
      </c>
      <c r="X352" s="27" t="str">
        <f t="shared" si="21"/>
        <v>Arjun Rao</v>
      </c>
      <c r="Y352" s="29" t="str">
        <f t="shared" si="22"/>
        <v>Arj00IDMu</v>
      </c>
      <c r="Z352" s="30" t="str">
        <f t="shared" si="23"/>
        <v>arjun.rao@company.com</v>
      </c>
    </row>
    <row r="353" spans="1:26">
      <c r="A353" s="18" t="s">
        <v>1571</v>
      </c>
      <c r="B353" s="18" t="s">
        <v>127</v>
      </c>
      <c r="C353" s="18" t="s">
        <v>24</v>
      </c>
      <c r="D353" s="18" t="s">
        <v>1572</v>
      </c>
      <c r="E353" s="18" t="s">
        <v>835</v>
      </c>
      <c r="F353" s="18" t="s">
        <v>200</v>
      </c>
      <c r="G353" s="18" t="s">
        <v>76</v>
      </c>
      <c r="H353" s="18" t="s">
        <v>1573</v>
      </c>
      <c r="I353" s="18" t="s">
        <v>138</v>
      </c>
      <c r="J353" s="18" t="s">
        <v>106</v>
      </c>
      <c r="K353" s="18" t="s">
        <v>32</v>
      </c>
      <c r="L353" s="18" t="s">
        <v>33</v>
      </c>
      <c r="M353" s="18">
        <v>5</v>
      </c>
      <c r="N353" s="18">
        <v>2200</v>
      </c>
      <c r="O353" s="18">
        <v>15</v>
      </c>
      <c r="P353" s="18">
        <v>9350</v>
      </c>
      <c r="Q353" s="18">
        <v>1</v>
      </c>
      <c r="R353" s="18" t="s">
        <v>48</v>
      </c>
      <c r="S353" s="18" t="s">
        <v>115</v>
      </c>
      <c r="T353" s="18" t="s">
        <v>132</v>
      </c>
      <c r="U353" s="19" t="s">
        <v>1574</v>
      </c>
      <c r="V353" s="18" t="s">
        <v>64</v>
      </c>
      <c r="W353" t="str">
        <f t="shared" si="20"/>
        <v>Blacklisted</v>
      </c>
      <c r="X353" s="27" t="str">
        <f t="shared" si="21"/>
        <v>Rohit Singh</v>
      </c>
      <c r="Y353" s="29" t="str">
        <f t="shared" si="22"/>
        <v>Roh00IDAh</v>
      </c>
      <c r="Z353" s="30" t="str">
        <f t="shared" si="23"/>
        <v>rohit.singh@company.com</v>
      </c>
    </row>
    <row r="354" spans="1:26">
      <c r="A354" s="15" t="s">
        <v>1575</v>
      </c>
      <c r="B354" s="15" t="s">
        <v>83</v>
      </c>
      <c r="C354" s="15" t="s">
        <v>72</v>
      </c>
      <c r="D354" s="15" t="s">
        <v>554</v>
      </c>
      <c r="E354" s="15" t="s">
        <v>1480</v>
      </c>
      <c r="F354" s="15" t="s">
        <v>180</v>
      </c>
      <c r="G354" s="15" t="s">
        <v>76</v>
      </c>
      <c r="H354" s="15" t="s">
        <v>1576</v>
      </c>
      <c r="I354" s="15" t="s">
        <v>138</v>
      </c>
      <c r="J354" s="15" t="s">
        <v>106</v>
      </c>
      <c r="K354" s="15" t="s">
        <v>46</v>
      </c>
      <c r="L354" s="15" t="s">
        <v>78</v>
      </c>
      <c r="M354" s="15">
        <v>15</v>
      </c>
      <c r="N354" s="15">
        <v>1200</v>
      </c>
      <c r="O354" s="15">
        <v>0</v>
      </c>
      <c r="P354" s="15">
        <v>18000</v>
      </c>
      <c r="Q354" s="15">
        <v>3</v>
      </c>
      <c r="R354" s="15" t="s">
        <v>48</v>
      </c>
      <c r="S354" s="15" t="s">
        <v>61</v>
      </c>
      <c r="T354" s="15" t="s">
        <v>89</v>
      </c>
      <c r="U354" s="17" t="s">
        <v>1577</v>
      </c>
      <c r="V354" s="15" t="s">
        <v>69</v>
      </c>
      <c r="W354" t="str">
        <f t="shared" si="20"/>
        <v>Blacklisted</v>
      </c>
      <c r="X354" s="27" t="str">
        <f t="shared" si="21"/>
        <v>Arjun Rao</v>
      </c>
      <c r="Y354" s="29" t="str">
        <f t="shared" si="22"/>
        <v>Arj00IDAh</v>
      </c>
      <c r="Z354" s="30" t="str">
        <f t="shared" si="23"/>
        <v>arjun.rao@company.com</v>
      </c>
    </row>
    <row r="355" spans="1:26">
      <c r="A355" s="18" t="s">
        <v>1578</v>
      </c>
      <c r="B355" s="18" t="s">
        <v>251</v>
      </c>
      <c r="C355" s="18" t="s">
        <v>72</v>
      </c>
      <c r="D355" s="18" t="s">
        <v>161</v>
      </c>
      <c r="E355" s="18" t="s">
        <v>657</v>
      </c>
      <c r="F355" s="18" t="s">
        <v>254</v>
      </c>
      <c r="G355" s="18" t="s">
        <v>28</v>
      </c>
      <c r="H355" s="18" t="s">
        <v>1579</v>
      </c>
      <c r="I355" s="18" t="s">
        <v>105</v>
      </c>
      <c r="J355" s="18" t="s">
        <v>106</v>
      </c>
      <c r="K355" s="18" t="s">
        <v>46</v>
      </c>
      <c r="L355" s="18" t="s">
        <v>78</v>
      </c>
      <c r="M355" s="18">
        <v>19</v>
      </c>
      <c r="N355" s="18">
        <v>1200</v>
      </c>
      <c r="O355" s="18">
        <v>0</v>
      </c>
      <c r="P355" s="18">
        <v>22800</v>
      </c>
      <c r="Q355" s="18">
        <v>1</v>
      </c>
      <c r="R355" s="18" t="s">
        <v>34</v>
      </c>
      <c r="S355" s="18" t="s">
        <v>49</v>
      </c>
      <c r="T355" s="18" t="s">
        <v>256</v>
      </c>
      <c r="U355" s="19" t="s">
        <v>1580</v>
      </c>
      <c r="V355" s="18" t="s">
        <v>69</v>
      </c>
      <c r="W355" t="str">
        <f t="shared" si="20"/>
        <v>Blacklisted</v>
      </c>
      <c r="X355" s="27" t="str">
        <f t="shared" si="21"/>
        <v>Sneha Joshi</v>
      </c>
      <c r="Y355" s="29" t="str">
        <f t="shared" si="22"/>
        <v>Sne00IDMu</v>
      </c>
      <c r="Z355" s="30" t="str">
        <f t="shared" si="23"/>
        <v>sneha.joshi@company.com</v>
      </c>
    </row>
    <row r="356" spans="1:26">
      <c r="A356" s="15" t="s">
        <v>1581</v>
      </c>
      <c r="B356" s="15" t="s">
        <v>168</v>
      </c>
      <c r="C356" s="15" t="s">
        <v>40</v>
      </c>
      <c r="D356" s="15" t="s">
        <v>25</v>
      </c>
      <c r="E356" s="15" t="s">
        <v>1582</v>
      </c>
      <c r="F356" s="15" t="s">
        <v>361</v>
      </c>
      <c r="G356" s="15" t="s">
        <v>28</v>
      </c>
      <c r="H356" s="15" t="s">
        <v>1583</v>
      </c>
      <c r="I356" s="15" t="s">
        <v>105</v>
      </c>
      <c r="J356" s="15" t="s">
        <v>106</v>
      </c>
      <c r="K356" s="15" t="s">
        <v>46</v>
      </c>
      <c r="L356" s="15" t="s">
        <v>47</v>
      </c>
      <c r="M356" s="15">
        <v>9</v>
      </c>
      <c r="N356" s="15">
        <v>12000</v>
      </c>
      <c r="O356" s="15">
        <v>15</v>
      </c>
      <c r="P356" s="15">
        <v>91800</v>
      </c>
      <c r="Q356" s="15">
        <v>3</v>
      </c>
      <c r="R356" s="15" t="s">
        <v>88</v>
      </c>
      <c r="S356" s="15" t="s">
        <v>49</v>
      </c>
      <c r="T356" s="15" t="s">
        <v>175</v>
      </c>
      <c r="U356" s="17" t="s">
        <v>1584</v>
      </c>
      <c r="V356" s="15" t="s">
        <v>69</v>
      </c>
      <c r="W356" t="str">
        <f t="shared" si="20"/>
        <v>Blacklisted</v>
      </c>
      <c r="X356" s="27" t="str">
        <f t="shared" si="21"/>
        <v>Anita Gupta</v>
      </c>
      <c r="Y356" s="29" t="str">
        <f t="shared" si="22"/>
        <v>Ani00IDMu</v>
      </c>
      <c r="Z356" s="30" t="str">
        <f t="shared" si="23"/>
        <v>anita.gupta@company.com</v>
      </c>
    </row>
    <row r="357" spans="1:26">
      <c r="A357" s="18" t="s">
        <v>1585</v>
      </c>
      <c r="B357" s="18" t="s">
        <v>23</v>
      </c>
      <c r="C357" s="18" t="s">
        <v>259</v>
      </c>
      <c r="D357" s="18" t="s">
        <v>345</v>
      </c>
      <c r="E357" s="18" t="s">
        <v>793</v>
      </c>
      <c r="F357" s="18" t="s">
        <v>27</v>
      </c>
      <c r="G357" s="18" t="s">
        <v>28</v>
      </c>
      <c r="H357" s="18" t="s">
        <v>1586</v>
      </c>
      <c r="I357" s="18" t="s">
        <v>212</v>
      </c>
      <c r="J357" s="18" t="s">
        <v>45</v>
      </c>
      <c r="K357" s="18" t="s">
        <v>122</v>
      </c>
      <c r="L357" s="18" t="s">
        <v>263</v>
      </c>
      <c r="M357" s="18">
        <v>5</v>
      </c>
      <c r="N357" s="18">
        <v>45</v>
      </c>
      <c r="O357" s="18">
        <v>5</v>
      </c>
      <c r="P357" s="18">
        <v>213.75</v>
      </c>
      <c r="Q357" s="18">
        <v>1</v>
      </c>
      <c r="R357" s="18" t="s">
        <v>79</v>
      </c>
      <c r="S357" s="18" t="s">
        <v>115</v>
      </c>
      <c r="T357" s="18" t="s">
        <v>50</v>
      </c>
      <c r="U357" s="19" t="s">
        <v>1587</v>
      </c>
      <c r="V357" s="18" t="s">
        <v>38</v>
      </c>
      <c r="W357" t="str">
        <f t="shared" si="20"/>
        <v>Blacklisted</v>
      </c>
      <c r="X357" s="27" t="str">
        <f t="shared" si="21"/>
        <v>Kavya Nair</v>
      </c>
      <c r="Y357" s="29" t="str">
        <f t="shared" si="22"/>
        <v>Kav00IDJa</v>
      </c>
      <c r="Z357" s="30" t="str">
        <f t="shared" si="23"/>
        <v>kavya.nair@company.com</v>
      </c>
    </row>
    <row r="358" spans="1:26">
      <c r="A358" s="15" t="s">
        <v>1588</v>
      </c>
      <c r="B358" s="15" t="s">
        <v>251</v>
      </c>
      <c r="C358" s="15" t="s">
        <v>184</v>
      </c>
      <c r="D358" s="15" t="s">
        <v>1589</v>
      </c>
      <c r="E358" s="15" t="s">
        <v>1373</v>
      </c>
      <c r="F358" s="15" t="s">
        <v>254</v>
      </c>
      <c r="G358" s="15" t="s">
        <v>28</v>
      </c>
      <c r="H358" s="15" t="s">
        <v>1590</v>
      </c>
      <c r="I358" s="15" t="s">
        <v>105</v>
      </c>
      <c r="J358" s="15" t="s">
        <v>106</v>
      </c>
      <c r="K358" s="15" t="s">
        <v>46</v>
      </c>
      <c r="L358" s="15" t="s">
        <v>189</v>
      </c>
      <c r="M358" s="15">
        <v>3</v>
      </c>
      <c r="N358" s="15">
        <v>700</v>
      </c>
      <c r="O358" s="15">
        <v>15</v>
      </c>
      <c r="P358" s="15">
        <v>1785</v>
      </c>
      <c r="Q358" s="15">
        <v>4</v>
      </c>
      <c r="R358" s="15" t="s">
        <v>34</v>
      </c>
      <c r="S358" s="15" t="s">
        <v>151</v>
      </c>
      <c r="T358" s="15" t="s">
        <v>256</v>
      </c>
      <c r="U358" s="17" t="s">
        <v>1591</v>
      </c>
      <c r="V358" s="15" t="s">
        <v>38</v>
      </c>
      <c r="W358" t="str">
        <f t="shared" si="20"/>
        <v>Silver</v>
      </c>
      <c r="X358" s="27" t="str">
        <f t="shared" si="21"/>
        <v>Sneha Joshi</v>
      </c>
      <c r="Y358" s="29" t="str">
        <f t="shared" si="22"/>
        <v>Sne00IDMu</v>
      </c>
      <c r="Z358" s="30" t="str">
        <f t="shared" si="23"/>
        <v>sneha.joshi@company.com</v>
      </c>
    </row>
    <row r="359" spans="1:26">
      <c r="A359" s="18" t="s">
        <v>1592</v>
      </c>
      <c r="B359" s="18" t="s">
        <v>71</v>
      </c>
      <c r="C359" s="18" t="s">
        <v>169</v>
      </c>
      <c r="D359" s="18" t="s">
        <v>454</v>
      </c>
      <c r="E359" s="18" t="s">
        <v>961</v>
      </c>
      <c r="F359" s="18" t="s">
        <v>217</v>
      </c>
      <c r="G359" s="18" t="s">
        <v>76</v>
      </c>
      <c r="H359" s="18" t="s">
        <v>1593</v>
      </c>
      <c r="I359" s="18" t="s">
        <v>212</v>
      </c>
      <c r="J359" s="18" t="s">
        <v>45</v>
      </c>
      <c r="K359" s="18" t="s">
        <v>32</v>
      </c>
      <c r="L359" s="18" t="s">
        <v>174</v>
      </c>
      <c r="M359" s="18">
        <v>12</v>
      </c>
      <c r="N359" s="18">
        <v>8500</v>
      </c>
      <c r="O359" s="18">
        <v>5</v>
      </c>
      <c r="P359" s="18">
        <v>96900</v>
      </c>
      <c r="Q359" s="18">
        <v>3</v>
      </c>
      <c r="R359" s="18" t="s">
        <v>79</v>
      </c>
      <c r="S359" s="18" t="s">
        <v>61</v>
      </c>
      <c r="T359" s="18" t="s">
        <v>80</v>
      </c>
      <c r="U359" s="19" t="s">
        <v>1594</v>
      </c>
      <c r="V359" s="18" t="s">
        <v>64</v>
      </c>
      <c r="W359" t="str">
        <f t="shared" si="20"/>
        <v>Blacklisted</v>
      </c>
      <c r="X359" s="27" t="str">
        <f t="shared" si="21"/>
        <v>Mohit Verma</v>
      </c>
      <c r="Y359" s="29" t="str">
        <f t="shared" si="22"/>
        <v>Moh00IDJa</v>
      </c>
      <c r="Z359" s="30" t="str">
        <f t="shared" si="23"/>
        <v>mohit.verma@company.com</v>
      </c>
    </row>
    <row r="360" spans="1:26">
      <c r="A360" s="15" t="s">
        <v>1595</v>
      </c>
      <c r="B360" s="15" t="s">
        <v>251</v>
      </c>
      <c r="C360" s="15" t="s">
        <v>169</v>
      </c>
      <c r="D360" s="15" t="s">
        <v>162</v>
      </c>
      <c r="E360" s="15" t="s">
        <v>356</v>
      </c>
      <c r="F360" s="15" t="s">
        <v>254</v>
      </c>
      <c r="G360" s="15" t="s">
        <v>28</v>
      </c>
      <c r="H360" s="15" t="s">
        <v>1596</v>
      </c>
      <c r="I360" s="15" t="s">
        <v>114</v>
      </c>
      <c r="J360" s="15" t="s">
        <v>106</v>
      </c>
      <c r="K360" s="15" t="s">
        <v>32</v>
      </c>
      <c r="L360" s="15" t="s">
        <v>174</v>
      </c>
      <c r="M360" s="15">
        <v>4</v>
      </c>
      <c r="N360" s="15">
        <v>8500</v>
      </c>
      <c r="O360" s="15">
        <v>15</v>
      </c>
      <c r="P360" s="15">
        <v>28900</v>
      </c>
      <c r="Q360" s="15">
        <v>4</v>
      </c>
      <c r="R360" s="15" t="s">
        <v>48</v>
      </c>
      <c r="S360" s="15" t="s">
        <v>61</v>
      </c>
      <c r="T360" s="15" t="s">
        <v>256</v>
      </c>
      <c r="U360" s="17" t="s">
        <v>1597</v>
      </c>
      <c r="V360" s="15" t="s">
        <v>64</v>
      </c>
      <c r="W360" t="str">
        <f t="shared" si="20"/>
        <v>Blacklisted</v>
      </c>
      <c r="X360" s="27" t="str">
        <f t="shared" si="21"/>
        <v>Sneha Joshi</v>
      </c>
      <c r="Y360" s="29" t="str">
        <f t="shared" si="22"/>
        <v>Sne00IDPu</v>
      </c>
      <c r="Z360" s="30" t="str">
        <f t="shared" si="23"/>
        <v>sneha.joshi@company.com</v>
      </c>
    </row>
    <row r="361" spans="1:26">
      <c r="A361" s="18" t="s">
        <v>1598</v>
      </c>
      <c r="B361" s="18" t="s">
        <v>127</v>
      </c>
      <c r="C361" s="18" t="s">
        <v>222</v>
      </c>
      <c r="D361" s="18" t="s">
        <v>102</v>
      </c>
      <c r="E361" s="18" t="s">
        <v>953</v>
      </c>
      <c r="F361" s="18" t="s">
        <v>200</v>
      </c>
      <c r="G361" s="18" t="s">
        <v>76</v>
      </c>
      <c r="H361" s="18" t="s">
        <v>1599</v>
      </c>
      <c r="I361" s="18" t="s">
        <v>212</v>
      </c>
      <c r="J361" s="18" t="s">
        <v>45</v>
      </c>
      <c r="K361" s="18" t="s">
        <v>122</v>
      </c>
      <c r="L361" s="18" t="s">
        <v>227</v>
      </c>
      <c r="M361" s="18">
        <v>16</v>
      </c>
      <c r="N361" s="18">
        <v>20</v>
      </c>
      <c r="O361" s="18">
        <v>10</v>
      </c>
      <c r="P361" s="18">
        <v>288</v>
      </c>
      <c r="Q361" s="18">
        <v>4</v>
      </c>
      <c r="R361" s="18" t="s">
        <v>34</v>
      </c>
      <c r="S361" s="18" t="s">
        <v>115</v>
      </c>
      <c r="T361" s="18" t="s">
        <v>132</v>
      </c>
      <c r="U361" s="19" t="s">
        <v>1600</v>
      </c>
      <c r="V361" s="18" t="s">
        <v>69</v>
      </c>
      <c r="W361" t="str">
        <f t="shared" si="20"/>
        <v>Blacklisted</v>
      </c>
      <c r="X361" s="27" t="str">
        <f t="shared" si="21"/>
        <v>Rohit Singh</v>
      </c>
      <c r="Y361" s="29" t="str">
        <f t="shared" si="22"/>
        <v>Roh00IDJa</v>
      </c>
      <c r="Z361" s="30" t="str">
        <f t="shared" si="23"/>
        <v>rohit.singh@company.com</v>
      </c>
    </row>
    <row r="362" spans="1:26">
      <c r="A362" s="15" t="s">
        <v>1601</v>
      </c>
      <c r="B362" s="15" t="s">
        <v>127</v>
      </c>
      <c r="C362" s="15" t="s">
        <v>118</v>
      </c>
      <c r="D362" s="15" t="s">
        <v>601</v>
      </c>
      <c r="E362" s="15" t="s">
        <v>1602</v>
      </c>
      <c r="F362" s="15" t="s">
        <v>200</v>
      </c>
      <c r="G362" s="15" t="s">
        <v>76</v>
      </c>
      <c r="H362" s="15" t="s">
        <v>1603</v>
      </c>
      <c r="I362" s="15" t="s">
        <v>105</v>
      </c>
      <c r="J362" s="15" t="s">
        <v>106</v>
      </c>
      <c r="K362" s="15" t="s">
        <v>122</v>
      </c>
      <c r="L362" s="15" t="s">
        <v>123</v>
      </c>
      <c r="M362" s="15">
        <v>3</v>
      </c>
      <c r="N362" s="15">
        <v>60</v>
      </c>
      <c r="O362" s="15">
        <v>20</v>
      </c>
      <c r="P362" s="15">
        <v>144</v>
      </c>
      <c r="Q362" s="15">
        <v>4</v>
      </c>
      <c r="R362" s="15" t="s">
        <v>88</v>
      </c>
      <c r="S362" s="15" t="s">
        <v>151</v>
      </c>
      <c r="T362" s="15" t="s">
        <v>132</v>
      </c>
      <c r="U362" s="17" t="s">
        <v>1604</v>
      </c>
      <c r="V362" s="15" t="s">
        <v>64</v>
      </c>
      <c r="W362" t="str">
        <f t="shared" si="20"/>
        <v>Blacklisted</v>
      </c>
      <c r="X362" s="27" t="str">
        <f t="shared" si="21"/>
        <v>Rohit Singh</v>
      </c>
      <c r="Y362" s="29" t="str">
        <f t="shared" si="22"/>
        <v>Roh00IDMu</v>
      </c>
      <c r="Z362" s="30" t="str">
        <f t="shared" si="23"/>
        <v>rohit.singh@company.com</v>
      </c>
    </row>
    <row r="363" spans="1:26">
      <c r="A363" s="18" t="s">
        <v>1605</v>
      </c>
      <c r="B363" s="18" t="s">
        <v>71</v>
      </c>
      <c r="C363" s="18" t="s">
        <v>24</v>
      </c>
      <c r="D363" s="18" t="s">
        <v>1106</v>
      </c>
      <c r="E363" s="18" t="s">
        <v>155</v>
      </c>
      <c r="F363" s="18" t="s">
        <v>217</v>
      </c>
      <c r="G363" s="18" t="s">
        <v>76</v>
      </c>
      <c r="H363" s="18" t="s">
        <v>1606</v>
      </c>
      <c r="I363" s="18" t="s">
        <v>105</v>
      </c>
      <c r="J363" s="18" t="s">
        <v>106</v>
      </c>
      <c r="K363" s="18" t="s">
        <v>32</v>
      </c>
      <c r="L363" s="18" t="s">
        <v>33</v>
      </c>
      <c r="M363" s="18">
        <v>19</v>
      </c>
      <c r="N363" s="18">
        <v>2200</v>
      </c>
      <c r="O363" s="18">
        <v>10</v>
      </c>
      <c r="P363" s="18">
        <v>37620</v>
      </c>
      <c r="Q363" s="18">
        <v>2</v>
      </c>
      <c r="R363" s="18" t="s">
        <v>34</v>
      </c>
      <c r="S363" s="18" t="s">
        <v>151</v>
      </c>
      <c r="T363" s="18" t="s">
        <v>80</v>
      </c>
      <c r="U363" s="19" t="s">
        <v>1607</v>
      </c>
      <c r="V363" s="18" t="s">
        <v>64</v>
      </c>
      <c r="W363" t="str">
        <f t="shared" si="20"/>
        <v>Blacklisted</v>
      </c>
      <c r="X363" s="27" t="str">
        <f t="shared" si="21"/>
        <v>Mohit Verma</v>
      </c>
      <c r="Y363" s="29" t="str">
        <f t="shared" si="22"/>
        <v>Moh00IDMu</v>
      </c>
      <c r="Z363" s="30" t="str">
        <f t="shared" si="23"/>
        <v>mohit.verma@company.com</v>
      </c>
    </row>
    <row r="364" spans="1:26">
      <c r="A364" s="15" t="s">
        <v>1608</v>
      </c>
      <c r="B364" s="15" t="s">
        <v>71</v>
      </c>
      <c r="C364" s="15" t="s">
        <v>72</v>
      </c>
      <c r="D364" s="15" t="s">
        <v>1609</v>
      </c>
      <c r="E364" s="15" t="s">
        <v>588</v>
      </c>
      <c r="F364" s="15" t="s">
        <v>217</v>
      </c>
      <c r="G364" s="15" t="s">
        <v>76</v>
      </c>
      <c r="H364" s="15" t="s">
        <v>1610</v>
      </c>
      <c r="I364" s="15" t="s">
        <v>30</v>
      </c>
      <c r="J364" s="15" t="s">
        <v>31</v>
      </c>
      <c r="K364" s="15" t="s">
        <v>46</v>
      </c>
      <c r="L364" s="15" t="s">
        <v>78</v>
      </c>
      <c r="M364" s="15">
        <v>7</v>
      </c>
      <c r="N364" s="15">
        <v>1200</v>
      </c>
      <c r="O364" s="15">
        <v>20</v>
      </c>
      <c r="P364" s="15">
        <v>6720</v>
      </c>
      <c r="Q364" s="15">
        <v>3</v>
      </c>
      <c r="R364" s="15" t="s">
        <v>79</v>
      </c>
      <c r="S364" s="15" t="s">
        <v>115</v>
      </c>
      <c r="T364" s="15" t="s">
        <v>80</v>
      </c>
      <c r="U364" s="17" t="s">
        <v>1611</v>
      </c>
      <c r="V364" s="15" t="s">
        <v>69</v>
      </c>
      <c r="W364" t="str">
        <f t="shared" si="20"/>
        <v>Blacklisted</v>
      </c>
      <c r="X364" s="27" t="str">
        <f t="shared" si="21"/>
        <v>Mohit Verma</v>
      </c>
      <c r="Y364" s="29" t="str">
        <f t="shared" si="22"/>
        <v>Moh00IDHy</v>
      </c>
      <c r="Z364" s="30" t="str">
        <f t="shared" si="23"/>
        <v>mohit.verma@company.com</v>
      </c>
    </row>
    <row r="365" spans="1:26">
      <c r="A365" s="18" t="s">
        <v>1612</v>
      </c>
      <c r="B365" s="18" t="s">
        <v>53</v>
      </c>
      <c r="C365" s="18" t="s">
        <v>222</v>
      </c>
      <c r="D365" s="18" t="s">
        <v>543</v>
      </c>
      <c r="E365" s="18" t="s">
        <v>65</v>
      </c>
      <c r="F365" s="18" t="s">
        <v>163</v>
      </c>
      <c r="G365" s="18" t="s">
        <v>28</v>
      </c>
      <c r="H365" s="18" t="s">
        <v>1613</v>
      </c>
      <c r="I365" s="18" t="s">
        <v>59</v>
      </c>
      <c r="J365" s="18" t="s">
        <v>31</v>
      </c>
      <c r="K365" s="18" t="s">
        <v>122</v>
      </c>
      <c r="L365" s="18" t="s">
        <v>227</v>
      </c>
      <c r="M365" s="18">
        <v>20</v>
      </c>
      <c r="N365" s="18">
        <v>20</v>
      </c>
      <c r="O365" s="18">
        <v>20</v>
      </c>
      <c r="P365" s="18">
        <v>320</v>
      </c>
      <c r="Q365" s="18">
        <v>5</v>
      </c>
      <c r="R365" s="18" t="s">
        <v>79</v>
      </c>
      <c r="S365" s="18" t="s">
        <v>115</v>
      </c>
      <c r="T365" s="18" t="s">
        <v>62</v>
      </c>
      <c r="U365" s="19" t="s">
        <v>1614</v>
      </c>
      <c r="V365" s="18" t="s">
        <v>64</v>
      </c>
      <c r="W365" t="str">
        <f t="shared" si="20"/>
        <v>Blacklisted</v>
      </c>
      <c r="X365" s="27" t="str">
        <f t="shared" si="21"/>
        <v>Pooja Shah</v>
      </c>
      <c r="Y365" s="29" t="str">
        <f t="shared" si="22"/>
        <v>Poo01IDBe</v>
      </c>
      <c r="Z365" s="30" t="str">
        <f t="shared" si="23"/>
        <v>pooja.shah@company.com</v>
      </c>
    </row>
    <row r="366" spans="1:26">
      <c r="A366" s="15" t="s">
        <v>1615</v>
      </c>
      <c r="B366" s="15" t="s">
        <v>100</v>
      </c>
      <c r="C366" s="15" t="s">
        <v>72</v>
      </c>
      <c r="D366" s="15" t="s">
        <v>210</v>
      </c>
      <c r="E366" s="15" t="s">
        <v>1616</v>
      </c>
      <c r="F366" s="15" t="s">
        <v>103</v>
      </c>
      <c r="G366" s="15" t="s">
        <v>28</v>
      </c>
      <c r="H366" s="15" t="s">
        <v>1617</v>
      </c>
      <c r="I366" s="15" t="s">
        <v>30</v>
      </c>
      <c r="J366" s="15" t="s">
        <v>31</v>
      </c>
      <c r="K366" s="15" t="s">
        <v>46</v>
      </c>
      <c r="L366" s="15" t="s">
        <v>78</v>
      </c>
      <c r="M366" s="15">
        <v>19</v>
      </c>
      <c r="N366" s="15">
        <v>1200</v>
      </c>
      <c r="O366" s="15">
        <v>5</v>
      </c>
      <c r="P366" s="15">
        <v>21660</v>
      </c>
      <c r="Q366" s="15">
        <v>3</v>
      </c>
      <c r="R366" s="15" t="s">
        <v>79</v>
      </c>
      <c r="S366" s="15" t="s">
        <v>35</v>
      </c>
      <c r="T366" s="15" t="s">
        <v>144</v>
      </c>
      <c r="U366" s="17" t="s">
        <v>1618</v>
      </c>
      <c r="V366" s="15" t="s">
        <v>64</v>
      </c>
      <c r="W366" t="str">
        <f t="shared" si="20"/>
        <v>Blacklisted</v>
      </c>
      <c r="X366" s="27" t="str">
        <f t="shared" si="21"/>
        <v>Priya Patel</v>
      </c>
      <c r="Y366" s="29" t="str">
        <f t="shared" si="22"/>
        <v>Pri00IDHy</v>
      </c>
      <c r="Z366" s="30" t="str">
        <f t="shared" si="23"/>
        <v>priya.patel@company.com</v>
      </c>
    </row>
    <row r="367" spans="1:26">
      <c r="A367" s="18" t="s">
        <v>1619</v>
      </c>
      <c r="B367" s="18" t="s">
        <v>53</v>
      </c>
      <c r="C367" s="18" t="s">
        <v>222</v>
      </c>
      <c r="D367" s="18" t="s">
        <v>1620</v>
      </c>
      <c r="E367" s="18" t="s">
        <v>302</v>
      </c>
      <c r="F367" s="18" t="s">
        <v>163</v>
      </c>
      <c r="G367" s="18" t="s">
        <v>28</v>
      </c>
      <c r="H367" s="18" t="s">
        <v>1621</v>
      </c>
      <c r="I367" s="18" t="s">
        <v>30</v>
      </c>
      <c r="J367" s="18" t="s">
        <v>31</v>
      </c>
      <c r="K367" s="18" t="s">
        <v>122</v>
      </c>
      <c r="L367" s="18" t="s">
        <v>227</v>
      </c>
      <c r="M367" s="18">
        <v>5</v>
      </c>
      <c r="N367" s="18">
        <v>20</v>
      </c>
      <c r="O367" s="18">
        <v>0</v>
      </c>
      <c r="P367" s="18">
        <v>100</v>
      </c>
      <c r="Q367" s="18">
        <v>2</v>
      </c>
      <c r="R367" s="18" t="s">
        <v>88</v>
      </c>
      <c r="S367" s="18" t="s">
        <v>49</v>
      </c>
      <c r="T367" s="18" t="s">
        <v>62</v>
      </c>
      <c r="U367" s="19" t="s">
        <v>1622</v>
      </c>
      <c r="V367" s="18" t="s">
        <v>64</v>
      </c>
      <c r="W367" t="str">
        <f t="shared" si="20"/>
        <v>Blacklisted</v>
      </c>
      <c r="X367" s="27" t="str">
        <f t="shared" si="21"/>
        <v>Pooja Shah</v>
      </c>
      <c r="Y367" s="29" t="str">
        <f t="shared" si="22"/>
        <v>Poo01IDHy</v>
      </c>
      <c r="Z367" s="30" t="str">
        <f t="shared" si="23"/>
        <v>pooja.shah@company.com</v>
      </c>
    </row>
    <row r="368" spans="1:26">
      <c r="A368" s="15" t="s">
        <v>1623</v>
      </c>
      <c r="B368" s="15" t="s">
        <v>100</v>
      </c>
      <c r="C368" s="15" t="s">
        <v>259</v>
      </c>
      <c r="D368" s="15" t="s">
        <v>797</v>
      </c>
      <c r="E368" s="15" t="s">
        <v>543</v>
      </c>
      <c r="F368" s="15" t="s">
        <v>103</v>
      </c>
      <c r="G368" s="15" t="s">
        <v>28</v>
      </c>
      <c r="H368" s="15" t="s">
        <v>1624</v>
      </c>
      <c r="I368" s="15" t="s">
        <v>212</v>
      </c>
      <c r="J368" s="15" t="s">
        <v>45</v>
      </c>
      <c r="K368" s="15" t="s">
        <v>122</v>
      </c>
      <c r="L368" s="15" t="s">
        <v>263</v>
      </c>
      <c r="M368" s="15">
        <v>16</v>
      </c>
      <c r="N368" s="15">
        <v>45</v>
      </c>
      <c r="O368" s="15">
        <v>15</v>
      </c>
      <c r="P368" s="15">
        <v>612</v>
      </c>
      <c r="Q368" s="15">
        <v>5</v>
      </c>
      <c r="R368" s="15" t="s">
        <v>34</v>
      </c>
      <c r="S368" s="15" t="s">
        <v>61</v>
      </c>
      <c r="T368" s="15" t="s">
        <v>144</v>
      </c>
      <c r="U368" s="17" t="s">
        <v>1625</v>
      </c>
      <c r="V368" s="15" t="s">
        <v>69</v>
      </c>
      <c r="W368" t="str">
        <f t="shared" si="20"/>
        <v>Blacklisted</v>
      </c>
      <c r="X368" s="27" t="str">
        <f t="shared" si="21"/>
        <v>Priya Patel</v>
      </c>
      <c r="Y368" s="29" t="str">
        <f t="shared" si="22"/>
        <v>Pri00IDJa</v>
      </c>
      <c r="Z368" s="30" t="str">
        <f t="shared" si="23"/>
        <v>priya.patel@company.com</v>
      </c>
    </row>
    <row r="369" spans="1:26">
      <c r="A369" s="18" t="s">
        <v>1626</v>
      </c>
      <c r="B369" s="18" t="s">
        <v>23</v>
      </c>
      <c r="C369" s="18" t="s">
        <v>24</v>
      </c>
      <c r="D369" s="18" t="s">
        <v>1263</v>
      </c>
      <c r="E369" s="18" t="s">
        <v>944</v>
      </c>
      <c r="F369" s="18" t="s">
        <v>27</v>
      </c>
      <c r="G369" s="18" t="s">
        <v>28</v>
      </c>
      <c r="H369" s="18" t="s">
        <v>1627</v>
      </c>
      <c r="I369" s="18" t="s">
        <v>212</v>
      </c>
      <c r="J369" s="18" t="s">
        <v>45</v>
      </c>
      <c r="K369" s="18" t="s">
        <v>32</v>
      </c>
      <c r="L369" s="18" t="s">
        <v>33</v>
      </c>
      <c r="M369" s="18">
        <v>1</v>
      </c>
      <c r="N369" s="18">
        <v>2200</v>
      </c>
      <c r="O369" s="18">
        <v>10</v>
      </c>
      <c r="P369" s="18">
        <v>1980</v>
      </c>
      <c r="Q369" s="18">
        <v>5</v>
      </c>
      <c r="R369" s="18" t="s">
        <v>79</v>
      </c>
      <c r="S369" s="18" t="s">
        <v>49</v>
      </c>
      <c r="T369" s="18" t="s">
        <v>50</v>
      </c>
      <c r="U369" s="19" t="s">
        <v>1628</v>
      </c>
      <c r="V369" s="18" t="s">
        <v>38</v>
      </c>
      <c r="W369" t="str">
        <f t="shared" si="20"/>
        <v>Silver</v>
      </c>
      <c r="X369" s="27" t="str">
        <f t="shared" si="21"/>
        <v>Kavya Nair</v>
      </c>
      <c r="Y369" s="29" t="str">
        <f t="shared" si="22"/>
        <v>Kav00IDJa</v>
      </c>
      <c r="Z369" s="30" t="str">
        <f t="shared" si="23"/>
        <v>kavya.nair@company.com</v>
      </c>
    </row>
    <row r="370" spans="1:26">
      <c r="A370" s="15" t="s">
        <v>1629</v>
      </c>
      <c r="B370" s="15" t="s">
        <v>53</v>
      </c>
      <c r="C370" s="15" t="s">
        <v>118</v>
      </c>
      <c r="D370" s="15" t="s">
        <v>891</v>
      </c>
      <c r="E370" s="15" t="s">
        <v>1630</v>
      </c>
      <c r="F370" s="15" t="s">
        <v>163</v>
      </c>
      <c r="G370" s="15" t="s">
        <v>28</v>
      </c>
      <c r="H370" s="15" t="s">
        <v>1631</v>
      </c>
      <c r="I370" s="15" t="s">
        <v>30</v>
      </c>
      <c r="J370" s="15" t="s">
        <v>31</v>
      </c>
      <c r="K370" s="15" t="s">
        <v>122</v>
      </c>
      <c r="L370" s="15" t="s">
        <v>123</v>
      </c>
      <c r="M370" s="15">
        <v>19</v>
      </c>
      <c r="N370" s="15">
        <v>60</v>
      </c>
      <c r="O370" s="15">
        <v>15</v>
      </c>
      <c r="P370" s="15">
        <v>969</v>
      </c>
      <c r="Q370" s="15">
        <v>4</v>
      </c>
      <c r="R370" s="15" t="s">
        <v>48</v>
      </c>
      <c r="S370" s="15" t="s">
        <v>115</v>
      </c>
      <c r="T370" s="15" t="s">
        <v>62</v>
      </c>
      <c r="U370" s="17" t="s">
        <v>1632</v>
      </c>
      <c r="V370" s="15" t="s">
        <v>69</v>
      </c>
      <c r="W370" t="str">
        <f t="shared" si="20"/>
        <v>Blacklisted</v>
      </c>
      <c r="X370" s="27" t="str">
        <f t="shared" si="21"/>
        <v>Pooja Shah</v>
      </c>
      <c r="Y370" s="29" t="str">
        <f t="shared" si="22"/>
        <v>Poo01IDHy</v>
      </c>
      <c r="Z370" s="30" t="str">
        <f t="shared" si="23"/>
        <v>pooja.shah@company.com</v>
      </c>
    </row>
    <row r="371" spans="1:26">
      <c r="A371" s="18" t="s">
        <v>1633</v>
      </c>
      <c r="B371" s="18" t="s">
        <v>327</v>
      </c>
      <c r="C371" s="18" t="s">
        <v>54</v>
      </c>
      <c r="D371" s="18"/>
      <c r="E371" s="18" t="s">
        <v>1634</v>
      </c>
      <c r="F371" s="18" t="s">
        <v>394</v>
      </c>
      <c r="G371" s="18" t="s">
        <v>76</v>
      </c>
      <c r="H371" s="18" t="s">
        <v>1635</v>
      </c>
      <c r="I371" s="18" t="s">
        <v>44</v>
      </c>
      <c r="J371" s="18" t="s">
        <v>45</v>
      </c>
      <c r="K371" s="18" t="s">
        <v>46</v>
      </c>
      <c r="L371" s="18" t="s">
        <v>60</v>
      </c>
      <c r="M371" s="18">
        <v>15</v>
      </c>
      <c r="N371" s="18">
        <v>55000</v>
      </c>
      <c r="O371" s="18">
        <v>0</v>
      </c>
      <c r="P371" s="18">
        <v>825000</v>
      </c>
      <c r="Q371" s="18">
        <v>5</v>
      </c>
      <c r="R371" s="18" t="s">
        <v>79</v>
      </c>
      <c r="S371" s="18" t="s">
        <v>115</v>
      </c>
      <c r="T371" s="18" t="s">
        <v>332</v>
      </c>
      <c r="U371" s="19" t="s">
        <v>1636</v>
      </c>
      <c r="V371" s="18" t="s">
        <v>69</v>
      </c>
      <c r="W371" t="str">
        <f t="shared" si="20"/>
        <v>Blacklisted</v>
      </c>
      <c r="X371" s="27" t="str">
        <f t="shared" si="21"/>
        <v>Amit Sharma</v>
      </c>
      <c r="Y371" s="29" t="str">
        <f t="shared" si="22"/>
        <v>Ami00IDDe</v>
      </c>
      <c r="Z371" s="30" t="str">
        <f t="shared" si="23"/>
        <v>amit.sharma@company.com</v>
      </c>
    </row>
    <row r="372" spans="1:26">
      <c r="A372" s="15" t="s">
        <v>1637</v>
      </c>
      <c r="B372" s="15" t="s">
        <v>71</v>
      </c>
      <c r="C372" s="15" t="s">
        <v>259</v>
      </c>
      <c r="D372" s="15" t="s">
        <v>941</v>
      </c>
      <c r="E372" s="15" t="s">
        <v>1638</v>
      </c>
      <c r="F372" s="15" t="s">
        <v>217</v>
      </c>
      <c r="G372" s="15" t="s">
        <v>76</v>
      </c>
      <c r="H372" s="15" t="s">
        <v>1639</v>
      </c>
      <c r="I372" s="15" t="s">
        <v>59</v>
      </c>
      <c r="J372" s="15" t="s">
        <v>31</v>
      </c>
      <c r="K372" s="15" t="s">
        <v>122</v>
      </c>
      <c r="L372" s="15" t="s">
        <v>263</v>
      </c>
      <c r="M372" s="15">
        <v>11</v>
      </c>
      <c r="N372" s="15">
        <v>45</v>
      </c>
      <c r="O372" s="15">
        <v>5</v>
      </c>
      <c r="P372" s="15">
        <v>470.25</v>
      </c>
      <c r="Q372" s="15">
        <v>5</v>
      </c>
      <c r="R372" s="15" t="s">
        <v>48</v>
      </c>
      <c r="S372" s="15" t="s">
        <v>151</v>
      </c>
      <c r="T372" s="15" t="s">
        <v>80</v>
      </c>
      <c r="U372" s="17" t="s">
        <v>1640</v>
      </c>
      <c r="V372" s="15" t="s">
        <v>38</v>
      </c>
      <c r="W372" t="str">
        <f t="shared" si="20"/>
        <v>Silver</v>
      </c>
      <c r="X372" s="27" t="str">
        <f t="shared" si="21"/>
        <v>Mohit Verma</v>
      </c>
      <c r="Y372" s="29" t="str">
        <f t="shared" si="22"/>
        <v>Moh00IDBe</v>
      </c>
      <c r="Z372" s="30" t="str">
        <f t="shared" si="23"/>
        <v>mohit.verma@company.com</v>
      </c>
    </row>
    <row r="373" spans="1:26">
      <c r="A373" s="18" t="s">
        <v>1641</v>
      </c>
      <c r="B373" s="18" t="s">
        <v>251</v>
      </c>
      <c r="C373" s="18" t="s">
        <v>222</v>
      </c>
      <c r="D373" s="18" t="s">
        <v>1642</v>
      </c>
      <c r="E373" s="18" t="s">
        <v>1643</v>
      </c>
      <c r="F373" s="18" t="s">
        <v>254</v>
      </c>
      <c r="G373" s="18" t="s">
        <v>28</v>
      </c>
      <c r="H373" s="18" t="s">
        <v>1644</v>
      </c>
      <c r="I373" s="18" t="s">
        <v>212</v>
      </c>
      <c r="J373" s="18" t="s">
        <v>45</v>
      </c>
      <c r="K373" s="18" t="s">
        <v>122</v>
      </c>
      <c r="L373" s="18" t="s">
        <v>227</v>
      </c>
      <c r="M373" s="18">
        <v>9</v>
      </c>
      <c r="N373" s="18">
        <v>20</v>
      </c>
      <c r="O373" s="18">
        <v>10</v>
      </c>
      <c r="P373" s="18">
        <v>162</v>
      </c>
      <c r="Q373" s="18">
        <v>1</v>
      </c>
      <c r="R373" s="18" t="s">
        <v>79</v>
      </c>
      <c r="S373" s="18" t="s">
        <v>49</v>
      </c>
      <c r="T373" s="18" t="s">
        <v>256</v>
      </c>
      <c r="U373" s="19" t="s">
        <v>1645</v>
      </c>
      <c r="V373" s="18" t="s">
        <v>69</v>
      </c>
      <c r="W373" t="str">
        <f t="shared" si="20"/>
        <v>Blacklisted</v>
      </c>
      <c r="X373" s="27" t="str">
        <f t="shared" si="21"/>
        <v>Sneha Joshi</v>
      </c>
      <c r="Y373" s="29" t="str">
        <f t="shared" si="22"/>
        <v>Sne00IDJa</v>
      </c>
      <c r="Z373" s="30" t="str">
        <f t="shared" si="23"/>
        <v>sneha.joshi@company.com</v>
      </c>
    </row>
    <row r="374" spans="1:26">
      <c r="A374" s="15" t="s">
        <v>1646</v>
      </c>
      <c r="B374" s="15" t="s">
        <v>168</v>
      </c>
      <c r="C374" s="15" t="s">
        <v>259</v>
      </c>
      <c r="D374" s="15" t="s">
        <v>645</v>
      </c>
      <c r="E374" s="15" t="s">
        <v>980</v>
      </c>
      <c r="F374" s="15" t="s">
        <v>361</v>
      </c>
      <c r="G374" s="15" t="s">
        <v>28</v>
      </c>
      <c r="H374" s="15" t="s">
        <v>1647</v>
      </c>
      <c r="I374" s="15" t="s">
        <v>59</v>
      </c>
      <c r="J374" s="15" t="s">
        <v>31</v>
      </c>
      <c r="K374" s="15" t="s">
        <v>122</v>
      </c>
      <c r="L374" s="15" t="s">
        <v>263</v>
      </c>
      <c r="M374" s="15">
        <v>5</v>
      </c>
      <c r="N374" s="15">
        <v>45</v>
      </c>
      <c r="O374" s="15">
        <v>5</v>
      </c>
      <c r="P374" s="15">
        <v>213.75</v>
      </c>
      <c r="Q374" s="15">
        <v>3</v>
      </c>
      <c r="R374" s="15" t="s">
        <v>79</v>
      </c>
      <c r="S374" s="15" t="s">
        <v>115</v>
      </c>
      <c r="T374" s="15" t="s">
        <v>175</v>
      </c>
      <c r="U374" s="17" t="s">
        <v>1648</v>
      </c>
      <c r="V374" s="15" t="s">
        <v>64</v>
      </c>
      <c r="W374" t="str">
        <f t="shared" si="20"/>
        <v>Blacklisted</v>
      </c>
      <c r="X374" s="27" t="str">
        <f t="shared" si="21"/>
        <v>Anita Gupta</v>
      </c>
      <c r="Y374" s="29" t="str">
        <f t="shared" si="22"/>
        <v>Ani00IDBe</v>
      </c>
      <c r="Z374" s="30" t="str">
        <f t="shared" si="23"/>
        <v>anita.gupta@company.com</v>
      </c>
    </row>
    <row r="375" spans="1:26">
      <c r="A375" s="18" t="s">
        <v>1649</v>
      </c>
      <c r="B375" s="18" t="s">
        <v>83</v>
      </c>
      <c r="C375" s="18" t="s">
        <v>184</v>
      </c>
      <c r="D375" s="18" t="s">
        <v>1650</v>
      </c>
      <c r="E375" s="18" t="s">
        <v>1102</v>
      </c>
      <c r="F375" s="18" t="s">
        <v>180</v>
      </c>
      <c r="G375" s="18" t="s">
        <v>76</v>
      </c>
      <c r="H375" s="18" t="s">
        <v>1651</v>
      </c>
      <c r="I375" s="18" t="s">
        <v>30</v>
      </c>
      <c r="J375" s="18" t="s">
        <v>31</v>
      </c>
      <c r="K375" s="18" t="s">
        <v>46</v>
      </c>
      <c r="L375" s="18" t="s">
        <v>189</v>
      </c>
      <c r="M375" s="18">
        <v>5</v>
      </c>
      <c r="N375" s="18">
        <v>700</v>
      </c>
      <c r="O375" s="18">
        <v>10</v>
      </c>
      <c r="P375" s="18">
        <v>3150</v>
      </c>
      <c r="Q375" s="18">
        <v>2</v>
      </c>
      <c r="R375" s="18" t="s">
        <v>88</v>
      </c>
      <c r="S375" s="18" t="s">
        <v>49</v>
      </c>
      <c r="T375" s="18" t="s">
        <v>89</v>
      </c>
      <c r="U375" s="19" t="s">
        <v>1652</v>
      </c>
      <c r="V375" s="18" t="s">
        <v>38</v>
      </c>
      <c r="W375" t="str">
        <f t="shared" si="20"/>
        <v>Blacklisted</v>
      </c>
      <c r="X375" s="27" t="str">
        <f t="shared" si="21"/>
        <v>Arjun Rao</v>
      </c>
      <c r="Y375" s="29" t="str">
        <f t="shared" si="22"/>
        <v>Arj00IDHy</v>
      </c>
      <c r="Z375" s="30" t="str">
        <f t="shared" si="23"/>
        <v>arjun.rao@company.com</v>
      </c>
    </row>
    <row r="376" spans="1:26">
      <c r="A376" s="15" t="s">
        <v>1653</v>
      </c>
      <c r="B376" s="15" t="s">
        <v>221</v>
      </c>
      <c r="C376" s="15" t="s">
        <v>184</v>
      </c>
      <c r="D376" s="15" t="s">
        <v>957</v>
      </c>
      <c r="E376" s="15" t="s">
        <v>1654</v>
      </c>
      <c r="F376" s="15" t="s">
        <v>225</v>
      </c>
      <c r="G376" s="15" t="s">
        <v>76</v>
      </c>
      <c r="H376" s="15" t="s">
        <v>1655</v>
      </c>
      <c r="I376" s="15" t="s">
        <v>294</v>
      </c>
      <c r="J376" s="15" t="s">
        <v>295</v>
      </c>
      <c r="K376" s="15" t="s">
        <v>46</v>
      </c>
      <c r="L376" s="15" t="s">
        <v>189</v>
      </c>
      <c r="M376" s="15">
        <v>1</v>
      </c>
      <c r="N376" s="15">
        <v>700</v>
      </c>
      <c r="O376" s="15">
        <v>0</v>
      </c>
      <c r="P376" s="15">
        <v>700</v>
      </c>
      <c r="Q376" s="15">
        <v>1</v>
      </c>
      <c r="R376" s="15" t="s">
        <v>88</v>
      </c>
      <c r="S376" s="15" t="s">
        <v>151</v>
      </c>
      <c r="T376" s="15" t="s">
        <v>228</v>
      </c>
      <c r="U376" s="17" t="s">
        <v>1656</v>
      </c>
      <c r="V376" s="15" t="s">
        <v>38</v>
      </c>
      <c r="W376" t="str">
        <f t="shared" si="20"/>
        <v>Blacklisted</v>
      </c>
      <c r="X376" s="27" t="str">
        <f t="shared" si="21"/>
        <v>Vikas Mehta</v>
      </c>
      <c r="Y376" s="29" t="str">
        <f t="shared" si="22"/>
        <v>Vik00IDKo</v>
      </c>
      <c r="Z376" s="30" t="str">
        <f t="shared" si="23"/>
        <v>vikas.mehta@company.com</v>
      </c>
    </row>
    <row r="377" spans="1:26">
      <c r="A377" s="18" t="s">
        <v>1657</v>
      </c>
      <c r="B377" s="18" t="s">
        <v>23</v>
      </c>
      <c r="C377" s="18" t="s">
        <v>184</v>
      </c>
      <c r="D377" s="18" t="s">
        <v>1368</v>
      </c>
      <c r="E377" s="18" t="s">
        <v>923</v>
      </c>
      <c r="F377" s="18" t="s">
        <v>27</v>
      </c>
      <c r="G377" s="18" t="s">
        <v>28</v>
      </c>
      <c r="H377" s="18" t="s">
        <v>1658</v>
      </c>
      <c r="I377" s="18" t="s">
        <v>105</v>
      </c>
      <c r="J377" s="18" t="s">
        <v>106</v>
      </c>
      <c r="K377" s="18" t="s">
        <v>46</v>
      </c>
      <c r="L377" s="18" t="s">
        <v>189</v>
      </c>
      <c r="M377" s="18">
        <v>13</v>
      </c>
      <c r="N377" s="18">
        <v>700</v>
      </c>
      <c r="O377" s="18">
        <v>20</v>
      </c>
      <c r="P377" s="18">
        <v>7280</v>
      </c>
      <c r="Q377" s="18">
        <v>2</v>
      </c>
      <c r="R377" s="18" t="s">
        <v>79</v>
      </c>
      <c r="S377" s="18" t="s">
        <v>35</v>
      </c>
      <c r="T377" s="18" t="s">
        <v>50</v>
      </c>
      <c r="U377" s="19" t="s">
        <v>1659</v>
      </c>
      <c r="V377" s="18" t="s">
        <v>38</v>
      </c>
      <c r="W377" t="str">
        <f t="shared" si="20"/>
        <v>Blacklisted</v>
      </c>
      <c r="X377" s="27" t="str">
        <f t="shared" si="21"/>
        <v>Kavya Nair</v>
      </c>
      <c r="Y377" s="29" t="str">
        <f t="shared" si="22"/>
        <v>Kav00IDMu</v>
      </c>
      <c r="Z377" s="30" t="str">
        <f t="shared" si="23"/>
        <v>kavya.nair@company.com</v>
      </c>
    </row>
    <row r="378" spans="1:26">
      <c r="A378" s="15" t="s">
        <v>1660</v>
      </c>
      <c r="B378" s="15" t="s">
        <v>71</v>
      </c>
      <c r="C378" s="15" t="s">
        <v>40</v>
      </c>
      <c r="D378" s="15" t="s">
        <v>1153</v>
      </c>
      <c r="E378" s="15" t="s">
        <v>303</v>
      </c>
      <c r="F378" s="15" t="s">
        <v>217</v>
      </c>
      <c r="G378" s="15" t="s">
        <v>76</v>
      </c>
      <c r="H378" s="15" t="s">
        <v>1661</v>
      </c>
      <c r="I378" s="15" t="s">
        <v>114</v>
      </c>
      <c r="J378" s="15" t="s">
        <v>106</v>
      </c>
      <c r="K378" s="15" t="s">
        <v>46</v>
      </c>
      <c r="L378" s="15" t="s">
        <v>47</v>
      </c>
      <c r="M378" s="15">
        <v>20</v>
      </c>
      <c r="N378" s="15">
        <v>12000</v>
      </c>
      <c r="O378" s="15">
        <v>0</v>
      </c>
      <c r="P378" s="15">
        <v>240000</v>
      </c>
      <c r="Q378" s="15">
        <v>2</v>
      </c>
      <c r="R378" s="15" t="s">
        <v>79</v>
      </c>
      <c r="S378" s="15" t="s">
        <v>115</v>
      </c>
      <c r="T378" s="15" t="s">
        <v>80</v>
      </c>
      <c r="U378" s="17" t="s">
        <v>1662</v>
      </c>
      <c r="V378" s="15" t="s">
        <v>38</v>
      </c>
      <c r="W378" t="str">
        <f t="shared" si="20"/>
        <v>Blacklisted</v>
      </c>
      <c r="X378" s="27" t="str">
        <f t="shared" si="21"/>
        <v>Mohit Verma</v>
      </c>
      <c r="Y378" s="29" t="str">
        <f t="shared" si="22"/>
        <v>Moh00IDPu</v>
      </c>
      <c r="Z378" s="30" t="str">
        <f t="shared" si="23"/>
        <v>mohit.verma@company.com</v>
      </c>
    </row>
    <row r="379" spans="1:26">
      <c r="A379" s="18" t="s">
        <v>1663</v>
      </c>
      <c r="B379" s="18" t="s">
        <v>83</v>
      </c>
      <c r="C379" s="18" t="s">
        <v>72</v>
      </c>
      <c r="D379" s="18" t="s">
        <v>1198</v>
      </c>
      <c r="E379" s="18" t="s">
        <v>712</v>
      </c>
      <c r="F379" s="18" t="s">
        <v>180</v>
      </c>
      <c r="G379" s="18" t="s">
        <v>76</v>
      </c>
      <c r="H379" s="18" t="s">
        <v>1664</v>
      </c>
      <c r="I379" s="18" t="s">
        <v>294</v>
      </c>
      <c r="J379" s="18" t="s">
        <v>295</v>
      </c>
      <c r="K379" s="18" t="s">
        <v>46</v>
      </c>
      <c r="L379" s="18" t="s">
        <v>78</v>
      </c>
      <c r="M379" s="18">
        <v>9</v>
      </c>
      <c r="N379" s="18">
        <v>1200</v>
      </c>
      <c r="O379" s="18">
        <v>15</v>
      </c>
      <c r="P379" s="18">
        <v>9180</v>
      </c>
      <c r="Q379" s="18">
        <v>1</v>
      </c>
      <c r="R379" s="18" t="s">
        <v>88</v>
      </c>
      <c r="S379" s="18" t="s">
        <v>35</v>
      </c>
      <c r="T379" s="18" t="s">
        <v>89</v>
      </c>
      <c r="U379" s="19" t="s">
        <v>1665</v>
      </c>
      <c r="V379" s="18" t="s">
        <v>64</v>
      </c>
      <c r="W379" t="str">
        <f t="shared" si="20"/>
        <v>Blacklisted</v>
      </c>
      <c r="X379" s="27" t="str">
        <f t="shared" si="21"/>
        <v>Arjun Rao</v>
      </c>
      <c r="Y379" s="29" t="str">
        <f t="shared" si="22"/>
        <v>Arj00IDKo</v>
      </c>
      <c r="Z379" s="30" t="str">
        <f t="shared" si="23"/>
        <v>arjun.rao@company.com</v>
      </c>
    </row>
    <row r="380" spans="1:26">
      <c r="A380" s="15" t="s">
        <v>1666</v>
      </c>
      <c r="B380" s="15" t="s">
        <v>83</v>
      </c>
      <c r="C380" s="15" t="s">
        <v>222</v>
      </c>
      <c r="D380" s="15" t="s">
        <v>1221</v>
      </c>
      <c r="E380" s="15" t="s">
        <v>1667</v>
      </c>
      <c r="F380" s="15" t="s">
        <v>180</v>
      </c>
      <c r="G380" s="15" t="s">
        <v>76</v>
      </c>
      <c r="H380" s="15" t="s">
        <v>1668</v>
      </c>
      <c r="I380" s="15" t="s">
        <v>212</v>
      </c>
      <c r="J380" s="15" t="s">
        <v>45</v>
      </c>
      <c r="K380" s="15" t="s">
        <v>122</v>
      </c>
      <c r="L380" s="15" t="s">
        <v>227</v>
      </c>
      <c r="M380" s="15">
        <v>3</v>
      </c>
      <c r="N380" s="15">
        <v>20</v>
      </c>
      <c r="O380" s="15">
        <v>15</v>
      </c>
      <c r="P380" s="15">
        <v>51</v>
      </c>
      <c r="Q380" s="15">
        <v>3</v>
      </c>
      <c r="R380" s="15" t="s">
        <v>34</v>
      </c>
      <c r="S380" s="15" t="s">
        <v>115</v>
      </c>
      <c r="T380" s="15" t="s">
        <v>89</v>
      </c>
      <c r="U380" s="17" t="s">
        <v>1669</v>
      </c>
      <c r="V380" s="15" t="s">
        <v>64</v>
      </c>
      <c r="W380" t="str">
        <f t="shared" si="20"/>
        <v>Blacklisted</v>
      </c>
      <c r="X380" s="27" t="str">
        <f t="shared" si="21"/>
        <v>Arjun Rao</v>
      </c>
      <c r="Y380" s="29" t="str">
        <f t="shared" si="22"/>
        <v>Arj00IDJa</v>
      </c>
      <c r="Z380" s="30" t="str">
        <f t="shared" si="23"/>
        <v>arjun.rao@company.com</v>
      </c>
    </row>
    <row r="381" spans="1:26">
      <c r="A381" s="18" t="s">
        <v>1670</v>
      </c>
      <c r="B381" s="18" t="s">
        <v>251</v>
      </c>
      <c r="C381" s="18" t="s">
        <v>54</v>
      </c>
      <c r="D381" s="18" t="s">
        <v>788</v>
      </c>
      <c r="E381" s="18" t="s">
        <v>455</v>
      </c>
      <c r="F381" s="18" t="s">
        <v>254</v>
      </c>
      <c r="G381" s="18" t="s">
        <v>28</v>
      </c>
      <c r="H381" s="18" t="s">
        <v>1671</v>
      </c>
      <c r="I381" s="18" t="s">
        <v>44</v>
      </c>
      <c r="J381" s="18" t="s">
        <v>45</v>
      </c>
      <c r="K381" s="18" t="s">
        <v>46</v>
      </c>
      <c r="L381" s="18" t="s">
        <v>60</v>
      </c>
      <c r="M381" s="18">
        <v>8</v>
      </c>
      <c r="N381" s="18">
        <v>55000</v>
      </c>
      <c r="O381" s="18">
        <v>20</v>
      </c>
      <c r="P381" s="18">
        <v>352000</v>
      </c>
      <c r="Q381" s="18">
        <v>5</v>
      </c>
      <c r="R381" s="18" t="s">
        <v>79</v>
      </c>
      <c r="S381" s="18" t="s">
        <v>151</v>
      </c>
      <c r="T381" s="18" t="s">
        <v>256</v>
      </c>
      <c r="U381" s="19" t="s">
        <v>1672</v>
      </c>
      <c r="V381" s="18" t="s">
        <v>64</v>
      </c>
      <c r="W381" t="str">
        <f t="shared" si="20"/>
        <v>Blacklisted</v>
      </c>
      <c r="X381" s="27" t="str">
        <f t="shared" si="21"/>
        <v>Sneha Joshi</v>
      </c>
      <c r="Y381" s="29" t="str">
        <f t="shared" si="22"/>
        <v>Sne00IDDe</v>
      </c>
      <c r="Z381" s="30" t="str">
        <f t="shared" si="23"/>
        <v>sneha.joshi@company.com</v>
      </c>
    </row>
    <row r="382" spans="1:26">
      <c r="A382" s="15" t="s">
        <v>1673</v>
      </c>
      <c r="B382" s="15" t="s">
        <v>251</v>
      </c>
      <c r="C382" s="15" t="s">
        <v>118</v>
      </c>
      <c r="D382" s="15" t="s">
        <v>1311</v>
      </c>
      <c r="E382" s="15" t="s">
        <v>74</v>
      </c>
      <c r="F382" s="15" t="s">
        <v>254</v>
      </c>
      <c r="G382" s="15" t="s">
        <v>28</v>
      </c>
      <c r="H382" s="15" t="s">
        <v>1674</v>
      </c>
      <c r="I382" s="15" t="s">
        <v>44</v>
      </c>
      <c r="J382" s="15" t="s">
        <v>45</v>
      </c>
      <c r="K382" s="15" t="s">
        <v>122</v>
      </c>
      <c r="L382" s="15" t="s">
        <v>123</v>
      </c>
      <c r="M382" s="15">
        <v>17</v>
      </c>
      <c r="N382" s="15">
        <v>60</v>
      </c>
      <c r="O382" s="15">
        <v>20</v>
      </c>
      <c r="P382" s="15">
        <v>816</v>
      </c>
      <c r="Q382" s="15">
        <v>1</v>
      </c>
      <c r="R382" s="15" t="s">
        <v>88</v>
      </c>
      <c r="S382" s="15" t="s">
        <v>35</v>
      </c>
      <c r="T382" s="15" t="s">
        <v>256</v>
      </c>
      <c r="U382" s="17" t="s">
        <v>1675</v>
      </c>
      <c r="V382" s="15" t="s">
        <v>64</v>
      </c>
      <c r="W382" t="str">
        <f t="shared" si="20"/>
        <v>Blacklisted</v>
      </c>
      <c r="X382" s="27" t="str">
        <f t="shared" si="21"/>
        <v>Sneha Joshi</v>
      </c>
      <c r="Y382" s="29" t="str">
        <f t="shared" si="22"/>
        <v>Sne00IDDe</v>
      </c>
      <c r="Z382" s="30" t="str">
        <f t="shared" si="23"/>
        <v>sneha.joshi@company.com</v>
      </c>
    </row>
    <row r="383" spans="1:26">
      <c r="A383" s="18" t="s">
        <v>1676</v>
      </c>
      <c r="B383" s="18" t="s">
        <v>127</v>
      </c>
      <c r="C383" s="18" t="s">
        <v>222</v>
      </c>
      <c r="D383" s="18" t="s">
        <v>1677</v>
      </c>
      <c r="E383" s="18" t="s">
        <v>236</v>
      </c>
      <c r="F383" s="18" t="s">
        <v>200</v>
      </c>
      <c r="G383" s="18" t="s">
        <v>76</v>
      </c>
      <c r="H383" s="18" t="s">
        <v>1678</v>
      </c>
      <c r="I383" s="18" t="s">
        <v>59</v>
      </c>
      <c r="J383" s="18" t="s">
        <v>31</v>
      </c>
      <c r="K383" s="18" t="s">
        <v>122</v>
      </c>
      <c r="L383" s="18" t="s">
        <v>227</v>
      </c>
      <c r="M383" s="18">
        <v>4</v>
      </c>
      <c r="N383" s="18">
        <v>20</v>
      </c>
      <c r="O383" s="18">
        <v>15</v>
      </c>
      <c r="P383" s="18">
        <v>68</v>
      </c>
      <c r="Q383" s="18">
        <v>3</v>
      </c>
      <c r="R383" s="18" t="s">
        <v>48</v>
      </c>
      <c r="S383" s="18" t="s">
        <v>61</v>
      </c>
      <c r="T383" s="18" t="s">
        <v>132</v>
      </c>
      <c r="U383" s="19" t="s">
        <v>1679</v>
      </c>
      <c r="V383" s="18" t="s">
        <v>64</v>
      </c>
      <c r="W383" t="str">
        <f t="shared" si="20"/>
        <v>Blacklisted</v>
      </c>
      <c r="X383" s="27" t="str">
        <f t="shared" si="21"/>
        <v>Rohit Singh</v>
      </c>
      <c r="Y383" s="29" t="str">
        <f t="shared" si="22"/>
        <v>Roh00IDBe</v>
      </c>
      <c r="Z383" s="30" t="str">
        <f t="shared" si="23"/>
        <v>rohit.singh@company.com</v>
      </c>
    </row>
    <row r="384" spans="1:26">
      <c r="A384" s="15" t="s">
        <v>1680</v>
      </c>
      <c r="B384" s="15" t="s">
        <v>127</v>
      </c>
      <c r="C384" s="15" t="s">
        <v>24</v>
      </c>
      <c r="D384" s="15" t="s">
        <v>1360</v>
      </c>
      <c r="E384" s="15" t="s">
        <v>775</v>
      </c>
      <c r="F384" s="15" t="s">
        <v>1681</v>
      </c>
      <c r="G384" s="15" t="s">
        <v>76</v>
      </c>
      <c r="H384" s="15" t="s">
        <v>1682</v>
      </c>
      <c r="I384" s="15" t="s">
        <v>294</v>
      </c>
      <c r="J384" s="15" t="s">
        <v>295</v>
      </c>
      <c r="K384" s="15" t="s">
        <v>32</v>
      </c>
      <c r="L384" s="15" t="s">
        <v>33</v>
      </c>
      <c r="M384" s="15">
        <v>2</v>
      </c>
      <c r="N384" s="15">
        <v>2200</v>
      </c>
      <c r="O384" s="15">
        <v>10</v>
      </c>
      <c r="P384" s="15">
        <v>3960</v>
      </c>
      <c r="Q384" s="15">
        <v>2</v>
      </c>
      <c r="R384" s="15" t="s">
        <v>88</v>
      </c>
      <c r="S384" s="15" t="s">
        <v>49</v>
      </c>
      <c r="T384" s="15" t="s">
        <v>132</v>
      </c>
      <c r="U384" s="17" t="s">
        <v>1683</v>
      </c>
      <c r="V384" s="15" t="s">
        <v>64</v>
      </c>
      <c r="W384" t="str">
        <f t="shared" si="20"/>
        <v>Blacklisted</v>
      </c>
      <c r="X384" s="27" t="str">
        <f t="shared" si="21"/>
        <v>Rohit Singh</v>
      </c>
      <c r="Y384" s="29" t="str">
        <f t="shared" si="22"/>
        <v>Roh00IDKo</v>
      </c>
      <c r="Z384" s="30" t="str">
        <f t="shared" si="23"/>
        <v>rohit.singh@company.com</v>
      </c>
    </row>
    <row r="385" spans="1:26">
      <c r="A385" s="18" t="s">
        <v>1684</v>
      </c>
      <c r="B385" s="18" t="s">
        <v>221</v>
      </c>
      <c r="C385" s="18" t="s">
        <v>118</v>
      </c>
      <c r="D385" s="18" t="s">
        <v>366</v>
      </c>
      <c r="E385" s="18" t="s">
        <v>539</v>
      </c>
      <c r="F385" s="18" t="s">
        <v>225</v>
      </c>
      <c r="G385" s="18" t="s">
        <v>76</v>
      </c>
      <c r="H385" s="18" t="s">
        <v>1685</v>
      </c>
      <c r="I385" s="18" t="s">
        <v>59</v>
      </c>
      <c r="J385" s="18" t="s">
        <v>31</v>
      </c>
      <c r="K385" s="18" t="s">
        <v>122</v>
      </c>
      <c r="L385" s="18" t="s">
        <v>123</v>
      </c>
      <c r="M385" s="18">
        <v>5</v>
      </c>
      <c r="N385" s="18">
        <v>60</v>
      </c>
      <c r="O385" s="18">
        <v>5</v>
      </c>
      <c r="P385" s="18">
        <v>285</v>
      </c>
      <c r="Q385" s="18">
        <v>1</v>
      </c>
      <c r="R385" s="18" t="s">
        <v>88</v>
      </c>
      <c r="S385" s="18" t="s">
        <v>35</v>
      </c>
      <c r="T385" s="18" t="s">
        <v>228</v>
      </c>
      <c r="U385" s="19" t="s">
        <v>1686</v>
      </c>
      <c r="V385" s="18" t="s">
        <v>69</v>
      </c>
      <c r="W385" t="str">
        <f t="shared" si="20"/>
        <v>Blacklisted</v>
      </c>
      <c r="X385" s="27" t="str">
        <f t="shared" si="21"/>
        <v>Vikas Mehta</v>
      </c>
      <c r="Y385" s="29" t="str">
        <f t="shared" si="22"/>
        <v>Vik00IDBe</v>
      </c>
      <c r="Z385" s="30" t="str">
        <f t="shared" si="23"/>
        <v>vikas.mehta@company.com</v>
      </c>
    </row>
    <row r="386" spans="1:26">
      <c r="A386" s="15" t="s">
        <v>1687</v>
      </c>
      <c r="B386" s="15" t="s">
        <v>127</v>
      </c>
      <c r="C386" s="15" t="s">
        <v>24</v>
      </c>
      <c r="D386" s="15" t="s">
        <v>1688</v>
      </c>
      <c r="E386" s="15" t="s">
        <v>1689</v>
      </c>
      <c r="F386" s="15" t="s">
        <v>200</v>
      </c>
      <c r="G386" s="15" t="s">
        <v>76</v>
      </c>
      <c r="H386" s="15" t="s">
        <v>1690</v>
      </c>
      <c r="I386" s="15" t="s">
        <v>44</v>
      </c>
      <c r="J386" s="15" t="s">
        <v>45</v>
      </c>
      <c r="K386" s="15" t="s">
        <v>32</v>
      </c>
      <c r="L386" s="15" t="s">
        <v>33</v>
      </c>
      <c r="M386" s="15">
        <v>17</v>
      </c>
      <c r="N386" s="15">
        <v>2200</v>
      </c>
      <c r="O386" s="15">
        <v>0</v>
      </c>
      <c r="P386" s="15">
        <v>37400</v>
      </c>
      <c r="Q386" s="15">
        <v>2</v>
      </c>
      <c r="R386" s="15" t="s">
        <v>88</v>
      </c>
      <c r="S386" s="15" t="s">
        <v>151</v>
      </c>
      <c r="T386" s="15" t="s">
        <v>132</v>
      </c>
      <c r="U386" s="17" t="s">
        <v>1691</v>
      </c>
      <c r="V386" s="15" t="s">
        <v>69</v>
      </c>
      <c r="W386" t="str">
        <f t="shared" si="20"/>
        <v>Blacklisted</v>
      </c>
      <c r="X386" s="27" t="str">
        <f t="shared" si="21"/>
        <v>Rohit Singh</v>
      </c>
      <c r="Y386" s="29" t="str">
        <f t="shared" si="22"/>
        <v>Roh00IDDe</v>
      </c>
      <c r="Z386" s="30" t="str">
        <f t="shared" si="23"/>
        <v>rohit.singh@company.com</v>
      </c>
    </row>
    <row r="387" spans="1:26">
      <c r="A387" s="18" t="s">
        <v>1692</v>
      </c>
      <c r="B387" s="18" t="s">
        <v>168</v>
      </c>
      <c r="C387" s="18" t="s">
        <v>118</v>
      </c>
      <c r="D387" s="18" t="s">
        <v>186</v>
      </c>
      <c r="E387" s="18" t="s">
        <v>610</v>
      </c>
      <c r="F387" s="18" t="s">
        <v>361</v>
      </c>
      <c r="G387" s="18" t="s">
        <v>28</v>
      </c>
      <c r="H387" s="18" t="s">
        <v>1693</v>
      </c>
      <c r="I387" s="18" t="s">
        <v>138</v>
      </c>
      <c r="J387" s="18" t="s">
        <v>106</v>
      </c>
      <c r="K387" s="18" t="s">
        <v>122</v>
      </c>
      <c r="L387" s="18" t="s">
        <v>123</v>
      </c>
      <c r="M387" s="18">
        <v>7</v>
      </c>
      <c r="N387" s="18">
        <v>60</v>
      </c>
      <c r="O387" s="18">
        <v>0</v>
      </c>
      <c r="P387" s="18">
        <v>420</v>
      </c>
      <c r="Q387" s="18">
        <v>2</v>
      </c>
      <c r="R387" s="18" t="s">
        <v>88</v>
      </c>
      <c r="S387" s="18" t="s">
        <v>61</v>
      </c>
      <c r="T387" s="18" t="s">
        <v>175</v>
      </c>
      <c r="U387" s="19" t="s">
        <v>1694</v>
      </c>
      <c r="V387" s="18" t="s">
        <v>64</v>
      </c>
      <c r="W387" t="str">
        <f t="shared" ref="W387:W450" si="24">IF(OR(Q387&lt;=2,V387="Cancelled"),"Blacklisted",IF(AND(P387&gt;=100000,Q387&gt;=4,O387&lt;10,V387="Completed"),"Platinum",IF(AND(P387&gt;=50000,P387&lt;=99999,Q387&gt;=3,V387="Completed"),"Gold",IF(AND(P387&lt;50000,V387="Completed"),"Silver","Blacklisted"))))</f>
        <v>Blacklisted</v>
      </c>
      <c r="X387" s="27" t="str">
        <f t="shared" ref="X387:X450" si="25">PROPER(TRIM(F387))</f>
        <v>Anita Gupta</v>
      </c>
      <c r="Y387" s="29" t="str">
        <f t="shared" ref="Y387:Y450" si="26">LEFT(X387,3)&amp;MID(B387,2,2)&amp;"ID"&amp;LEFT(I387,2)</f>
        <v>Ani00IDAh</v>
      </c>
      <c r="Z387" s="30" t="str">
        <f t="shared" ref="Z387:Z450" si="27">IF(ISNUMBER(SEARCH("@",T387)),LOWER(TRIM(T387)),"Invalid Email")</f>
        <v>anita.gupta@company.com</v>
      </c>
    </row>
    <row r="388" spans="1:26">
      <c r="A388" s="15" t="s">
        <v>1695</v>
      </c>
      <c r="B388" s="15" t="s">
        <v>221</v>
      </c>
      <c r="C388" s="15" t="s">
        <v>54</v>
      </c>
      <c r="D388" s="15" t="s">
        <v>702</v>
      </c>
      <c r="E388" s="15" t="s">
        <v>1696</v>
      </c>
      <c r="F388" s="15" t="s">
        <v>225</v>
      </c>
      <c r="G388" s="15" t="s">
        <v>76</v>
      </c>
      <c r="H388" s="15" t="s">
        <v>1697</v>
      </c>
      <c r="I388" s="15" t="s">
        <v>30</v>
      </c>
      <c r="J388" s="15" t="s">
        <v>31</v>
      </c>
      <c r="K388" s="15" t="s">
        <v>46</v>
      </c>
      <c r="L388" s="15" t="s">
        <v>60</v>
      </c>
      <c r="M388" s="15">
        <v>6</v>
      </c>
      <c r="N388" s="15">
        <v>55000</v>
      </c>
      <c r="O388" s="15">
        <v>5</v>
      </c>
      <c r="P388" s="15">
        <v>313500</v>
      </c>
      <c r="Q388" s="15">
        <v>4</v>
      </c>
      <c r="R388" s="15" t="s">
        <v>79</v>
      </c>
      <c r="S388" s="15" t="s">
        <v>61</v>
      </c>
      <c r="T388" s="15" t="s">
        <v>228</v>
      </c>
      <c r="U388" s="17" t="s">
        <v>1698</v>
      </c>
      <c r="V388" s="15" t="s">
        <v>38</v>
      </c>
      <c r="W388" t="str">
        <f t="shared" si="24"/>
        <v>Platinum</v>
      </c>
      <c r="X388" s="27" t="str">
        <f t="shared" si="25"/>
        <v>Vikas Mehta</v>
      </c>
      <c r="Y388" s="29" t="str">
        <f t="shared" si="26"/>
        <v>Vik00IDHy</v>
      </c>
      <c r="Z388" s="30" t="str">
        <f t="shared" si="27"/>
        <v>vikas.mehta@company.com</v>
      </c>
    </row>
    <row r="389" spans="1:26">
      <c r="A389" s="18" t="s">
        <v>1699</v>
      </c>
      <c r="B389" s="18" t="s">
        <v>71</v>
      </c>
      <c r="C389" s="18" t="s">
        <v>222</v>
      </c>
      <c r="D389" s="18" t="s">
        <v>1306</v>
      </c>
      <c r="E389" s="18" t="s">
        <v>1700</v>
      </c>
      <c r="F389" s="18" t="s">
        <v>217</v>
      </c>
      <c r="G389" s="18" t="s">
        <v>76</v>
      </c>
      <c r="H389" s="18" t="s">
        <v>1701</v>
      </c>
      <c r="I389" s="18" t="s">
        <v>30</v>
      </c>
      <c r="J389" s="18" t="s">
        <v>31</v>
      </c>
      <c r="K389" s="18" t="s">
        <v>122</v>
      </c>
      <c r="L389" s="18" t="s">
        <v>227</v>
      </c>
      <c r="M389" s="18">
        <v>16</v>
      </c>
      <c r="N389" s="18">
        <v>20</v>
      </c>
      <c r="O389" s="18">
        <v>5</v>
      </c>
      <c r="P389" s="18">
        <v>304</v>
      </c>
      <c r="Q389" s="18">
        <v>1</v>
      </c>
      <c r="R389" s="18" t="s">
        <v>79</v>
      </c>
      <c r="S389" s="18" t="s">
        <v>49</v>
      </c>
      <c r="T389" s="18" t="s">
        <v>80</v>
      </c>
      <c r="U389" s="19" t="s">
        <v>1702</v>
      </c>
      <c r="V389" s="18" t="s">
        <v>38</v>
      </c>
      <c r="W389" t="str">
        <f t="shared" si="24"/>
        <v>Blacklisted</v>
      </c>
      <c r="X389" s="27" t="str">
        <f t="shared" si="25"/>
        <v>Mohit Verma</v>
      </c>
      <c r="Y389" s="29" t="str">
        <f t="shared" si="26"/>
        <v>Moh00IDHy</v>
      </c>
      <c r="Z389" s="30" t="str">
        <f t="shared" si="27"/>
        <v>mohit.verma@company.com</v>
      </c>
    </row>
    <row r="390" spans="1:26">
      <c r="A390" s="15" t="s">
        <v>1703</v>
      </c>
      <c r="B390" s="15" t="s">
        <v>23</v>
      </c>
      <c r="C390" s="15" t="s">
        <v>24</v>
      </c>
      <c r="D390" s="15" t="s">
        <v>1704</v>
      </c>
      <c r="E390" s="15" t="s">
        <v>1705</v>
      </c>
      <c r="F390" s="15" t="s">
        <v>27</v>
      </c>
      <c r="G390" s="15" t="s">
        <v>28</v>
      </c>
      <c r="H390" s="15" t="s">
        <v>1706</v>
      </c>
      <c r="I390" s="15" t="s">
        <v>294</v>
      </c>
      <c r="J390" s="15" t="s">
        <v>295</v>
      </c>
      <c r="K390" s="15" t="s">
        <v>32</v>
      </c>
      <c r="L390" s="15" t="s">
        <v>33</v>
      </c>
      <c r="M390" s="15">
        <v>11</v>
      </c>
      <c r="N390" s="15">
        <v>2200</v>
      </c>
      <c r="O390" s="15">
        <v>15</v>
      </c>
      <c r="P390" s="15">
        <v>20570</v>
      </c>
      <c r="Q390" s="15">
        <v>1</v>
      </c>
      <c r="R390" s="15" t="s">
        <v>48</v>
      </c>
      <c r="S390" s="15" t="s">
        <v>115</v>
      </c>
      <c r="T390" s="15" t="s">
        <v>50</v>
      </c>
      <c r="U390" s="17" t="s">
        <v>1707</v>
      </c>
      <c r="V390" s="15" t="s">
        <v>69</v>
      </c>
      <c r="W390" t="str">
        <f t="shared" si="24"/>
        <v>Blacklisted</v>
      </c>
      <c r="X390" s="27" t="str">
        <f t="shared" si="25"/>
        <v>Kavya Nair</v>
      </c>
      <c r="Y390" s="29" t="str">
        <f t="shared" si="26"/>
        <v>Kav00IDKo</v>
      </c>
      <c r="Z390" s="30" t="str">
        <f t="shared" si="27"/>
        <v>kavya.nair@company.com</v>
      </c>
    </row>
    <row r="391" spans="1:26">
      <c r="A391" s="18" t="s">
        <v>1708</v>
      </c>
      <c r="B391" s="18" t="s">
        <v>100</v>
      </c>
      <c r="C391" s="18" t="s">
        <v>222</v>
      </c>
      <c r="D391" s="18" t="s">
        <v>1069</v>
      </c>
      <c r="E391" s="18" t="s">
        <v>1409</v>
      </c>
      <c r="F391" s="18" t="s">
        <v>103</v>
      </c>
      <c r="G391" s="18" t="s">
        <v>28</v>
      </c>
      <c r="H391" s="18" t="s">
        <v>1709</v>
      </c>
      <c r="I391" s="18" t="s">
        <v>114</v>
      </c>
      <c r="J391" s="18" t="s">
        <v>106</v>
      </c>
      <c r="K391" s="18" t="s">
        <v>122</v>
      </c>
      <c r="L391" s="18" t="s">
        <v>227</v>
      </c>
      <c r="M391" s="18">
        <v>19</v>
      </c>
      <c r="N391" s="18">
        <v>20</v>
      </c>
      <c r="O391" s="18">
        <v>5</v>
      </c>
      <c r="P391" s="18">
        <v>361</v>
      </c>
      <c r="Q391" s="18">
        <v>4</v>
      </c>
      <c r="R391" s="18" t="s">
        <v>88</v>
      </c>
      <c r="S391" s="18" t="s">
        <v>35</v>
      </c>
      <c r="T391" s="18" t="s">
        <v>144</v>
      </c>
      <c r="U391" s="19" t="s">
        <v>1710</v>
      </c>
      <c r="V391" s="18" t="s">
        <v>64</v>
      </c>
      <c r="W391" t="str">
        <f t="shared" si="24"/>
        <v>Blacklisted</v>
      </c>
      <c r="X391" s="27" t="str">
        <f t="shared" si="25"/>
        <v>Priya Patel</v>
      </c>
      <c r="Y391" s="29" t="str">
        <f t="shared" si="26"/>
        <v>Pri00IDPu</v>
      </c>
      <c r="Z391" s="30" t="str">
        <f t="shared" si="27"/>
        <v>priya.patel@company.com</v>
      </c>
    </row>
    <row r="392" spans="1:26">
      <c r="A392" s="15" t="s">
        <v>1711</v>
      </c>
      <c r="B392" s="15" t="s">
        <v>100</v>
      </c>
      <c r="C392" s="15" t="s">
        <v>72</v>
      </c>
      <c r="D392" s="15" t="s">
        <v>1712</v>
      </c>
      <c r="E392" s="15" t="s">
        <v>1713</v>
      </c>
      <c r="F392" s="15" t="s">
        <v>103</v>
      </c>
      <c r="G392" s="15" t="s">
        <v>28</v>
      </c>
      <c r="H392" s="15" t="s">
        <v>1714</v>
      </c>
      <c r="I392" s="15" t="s">
        <v>114</v>
      </c>
      <c r="J392" s="15" t="s">
        <v>106</v>
      </c>
      <c r="K392" s="15" t="s">
        <v>46</v>
      </c>
      <c r="L392" s="15" t="s">
        <v>78</v>
      </c>
      <c r="M392" s="15">
        <v>20</v>
      </c>
      <c r="N392" s="15">
        <v>1200</v>
      </c>
      <c r="O392" s="15">
        <v>15</v>
      </c>
      <c r="P392" s="15">
        <v>20400</v>
      </c>
      <c r="Q392" s="15">
        <v>4</v>
      </c>
      <c r="R392" s="15" t="s">
        <v>79</v>
      </c>
      <c r="S392" s="15" t="s">
        <v>35</v>
      </c>
      <c r="T392" s="15" t="s">
        <v>144</v>
      </c>
      <c r="U392" s="17" t="s">
        <v>1715</v>
      </c>
      <c r="V392" s="15" t="s">
        <v>64</v>
      </c>
      <c r="W392" t="str">
        <f t="shared" si="24"/>
        <v>Blacklisted</v>
      </c>
      <c r="X392" s="27" t="str">
        <f t="shared" si="25"/>
        <v>Priya Patel</v>
      </c>
      <c r="Y392" s="29" t="str">
        <f t="shared" si="26"/>
        <v>Pri00IDPu</v>
      </c>
      <c r="Z392" s="30" t="str">
        <f t="shared" si="27"/>
        <v>priya.patel@company.com</v>
      </c>
    </row>
    <row r="393" spans="1:26">
      <c r="A393" s="18" t="s">
        <v>1716</v>
      </c>
      <c r="B393" s="18" t="s">
        <v>53</v>
      </c>
      <c r="C393" s="18" t="s">
        <v>222</v>
      </c>
      <c r="D393" s="18" t="s">
        <v>1717</v>
      </c>
      <c r="E393" s="18" t="s">
        <v>1718</v>
      </c>
      <c r="F393" s="18" t="s">
        <v>163</v>
      </c>
      <c r="G393" s="18" t="s">
        <v>28</v>
      </c>
      <c r="H393" s="18" t="s">
        <v>1719</v>
      </c>
      <c r="I393" s="18" t="s">
        <v>30</v>
      </c>
      <c r="J393" s="18" t="s">
        <v>31</v>
      </c>
      <c r="K393" s="18" t="s">
        <v>122</v>
      </c>
      <c r="L393" s="18" t="s">
        <v>227</v>
      </c>
      <c r="M393" s="18">
        <v>13</v>
      </c>
      <c r="N393" s="18">
        <v>20</v>
      </c>
      <c r="O393" s="18">
        <v>15</v>
      </c>
      <c r="P393" s="18">
        <v>221</v>
      </c>
      <c r="Q393" s="18">
        <v>4</v>
      </c>
      <c r="R393" s="18" t="s">
        <v>34</v>
      </c>
      <c r="S393" s="18" t="s">
        <v>35</v>
      </c>
      <c r="T393" s="18" t="s">
        <v>62</v>
      </c>
      <c r="U393" s="19" t="s">
        <v>1720</v>
      </c>
      <c r="V393" s="18" t="s">
        <v>64</v>
      </c>
      <c r="W393" t="str">
        <f t="shared" si="24"/>
        <v>Blacklisted</v>
      </c>
      <c r="X393" s="27" t="str">
        <f t="shared" si="25"/>
        <v>Pooja Shah</v>
      </c>
      <c r="Y393" s="29" t="str">
        <f t="shared" si="26"/>
        <v>Poo01IDHy</v>
      </c>
      <c r="Z393" s="30" t="str">
        <f t="shared" si="27"/>
        <v>pooja.shah@company.com</v>
      </c>
    </row>
    <row r="394" spans="1:26">
      <c r="A394" s="15" t="s">
        <v>1721</v>
      </c>
      <c r="B394" s="15" t="s">
        <v>251</v>
      </c>
      <c r="C394" s="15" t="s">
        <v>72</v>
      </c>
      <c r="D394" s="15" t="s">
        <v>205</v>
      </c>
      <c r="E394" s="15" t="s">
        <v>206</v>
      </c>
      <c r="F394" s="15" t="s">
        <v>254</v>
      </c>
      <c r="G394" s="15" t="s">
        <v>28</v>
      </c>
      <c r="H394" s="15" t="s">
        <v>1722</v>
      </c>
      <c r="I394" s="15" t="s">
        <v>44</v>
      </c>
      <c r="J394" s="15" t="s">
        <v>45</v>
      </c>
      <c r="K394" s="15" t="s">
        <v>46</v>
      </c>
      <c r="L394" s="15" t="s">
        <v>78</v>
      </c>
      <c r="M394" s="15">
        <v>12</v>
      </c>
      <c r="N394" s="15">
        <v>1200</v>
      </c>
      <c r="O394" s="15">
        <v>10</v>
      </c>
      <c r="P394" s="15">
        <v>12960</v>
      </c>
      <c r="Q394" s="15">
        <v>3</v>
      </c>
      <c r="R394" s="15" t="s">
        <v>48</v>
      </c>
      <c r="S394" s="15" t="s">
        <v>35</v>
      </c>
      <c r="T394" s="15" t="s">
        <v>256</v>
      </c>
      <c r="U394" s="17" t="s">
        <v>1723</v>
      </c>
      <c r="V394" s="15" t="s">
        <v>64</v>
      </c>
      <c r="W394" t="str">
        <f t="shared" si="24"/>
        <v>Blacklisted</v>
      </c>
      <c r="X394" s="27" t="str">
        <f t="shared" si="25"/>
        <v>Sneha Joshi</v>
      </c>
      <c r="Y394" s="29" t="str">
        <f t="shared" si="26"/>
        <v>Sne00IDDe</v>
      </c>
      <c r="Z394" s="30" t="str">
        <f t="shared" si="27"/>
        <v>sneha.joshi@company.com</v>
      </c>
    </row>
    <row r="395" spans="1:26">
      <c r="A395" s="18" t="s">
        <v>1724</v>
      </c>
      <c r="B395" s="18" t="s">
        <v>100</v>
      </c>
      <c r="C395" s="18" t="s">
        <v>169</v>
      </c>
      <c r="D395" s="18" t="s">
        <v>1705</v>
      </c>
      <c r="E395" s="18" t="s">
        <v>783</v>
      </c>
      <c r="F395" s="18" t="s">
        <v>103</v>
      </c>
      <c r="G395" s="18" t="s">
        <v>28</v>
      </c>
      <c r="H395" s="18" t="s">
        <v>1725</v>
      </c>
      <c r="I395" s="18" t="s">
        <v>294</v>
      </c>
      <c r="J395" s="18" t="s">
        <v>295</v>
      </c>
      <c r="K395" s="18" t="s">
        <v>32</v>
      </c>
      <c r="L395" s="18" t="s">
        <v>174</v>
      </c>
      <c r="M395" s="18">
        <v>6</v>
      </c>
      <c r="N395" s="18">
        <v>8500</v>
      </c>
      <c r="O395" s="18">
        <v>5</v>
      </c>
      <c r="P395" s="18">
        <v>48450</v>
      </c>
      <c r="Q395" s="18">
        <v>5</v>
      </c>
      <c r="R395" s="18" t="s">
        <v>34</v>
      </c>
      <c r="S395" s="18" t="s">
        <v>115</v>
      </c>
      <c r="T395" s="18" t="s">
        <v>144</v>
      </c>
      <c r="U395" s="19" t="s">
        <v>1726</v>
      </c>
      <c r="V395" s="18" t="s">
        <v>69</v>
      </c>
      <c r="W395" t="str">
        <f t="shared" si="24"/>
        <v>Blacklisted</v>
      </c>
      <c r="X395" s="27" t="str">
        <f t="shared" si="25"/>
        <v>Priya Patel</v>
      </c>
      <c r="Y395" s="29" t="str">
        <f t="shared" si="26"/>
        <v>Pri00IDKo</v>
      </c>
      <c r="Z395" s="30" t="str">
        <f t="shared" si="27"/>
        <v>priya.patel@company.com</v>
      </c>
    </row>
    <row r="396" spans="1:26">
      <c r="A396" s="15" t="s">
        <v>1727</v>
      </c>
      <c r="B396" s="15" t="s">
        <v>23</v>
      </c>
      <c r="C396" s="15" t="s">
        <v>169</v>
      </c>
      <c r="D396" s="15" t="s">
        <v>1302</v>
      </c>
      <c r="E396" s="15" t="s">
        <v>1728</v>
      </c>
      <c r="F396" s="15" t="s">
        <v>27</v>
      </c>
      <c r="G396" s="15" t="s">
        <v>28</v>
      </c>
      <c r="H396" s="15" t="s">
        <v>1729</v>
      </c>
      <c r="I396" s="15" t="s">
        <v>138</v>
      </c>
      <c r="J396" s="15" t="s">
        <v>106</v>
      </c>
      <c r="K396" s="15" t="s">
        <v>32</v>
      </c>
      <c r="L396" s="15" t="s">
        <v>174</v>
      </c>
      <c r="M396" s="15">
        <v>15</v>
      </c>
      <c r="N396" s="15">
        <v>8500</v>
      </c>
      <c r="O396" s="15">
        <v>10</v>
      </c>
      <c r="P396" s="15">
        <v>114750</v>
      </c>
      <c r="Q396" s="15">
        <v>1</v>
      </c>
      <c r="R396" s="15" t="s">
        <v>34</v>
      </c>
      <c r="S396" s="15" t="s">
        <v>115</v>
      </c>
      <c r="T396" s="15" t="s">
        <v>50</v>
      </c>
      <c r="U396" s="17" t="s">
        <v>1730</v>
      </c>
      <c r="V396" s="15" t="s">
        <v>38</v>
      </c>
      <c r="W396" t="str">
        <f t="shared" si="24"/>
        <v>Blacklisted</v>
      </c>
      <c r="X396" s="27" t="str">
        <f t="shared" si="25"/>
        <v>Kavya Nair</v>
      </c>
      <c r="Y396" s="29" t="str">
        <f t="shared" si="26"/>
        <v>Kav00IDAh</v>
      </c>
      <c r="Z396" s="30" t="str">
        <f t="shared" si="27"/>
        <v>kavya.nair@company.com</v>
      </c>
    </row>
    <row r="397" spans="1:26">
      <c r="A397" s="18" t="s">
        <v>1731</v>
      </c>
      <c r="B397" s="18" t="s">
        <v>127</v>
      </c>
      <c r="C397" s="18" t="s">
        <v>40</v>
      </c>
      <c r="D397" s="18" t="s">
        <v>1732</v>
      </c>
      <c r="E397" s="18" t="s">
        <v>1733</v>
      </c>
      <c r="F397" s="18" t="s">
        <v>200</v>
      </c>
      <c r="G397" s="18" t="s">
        <v>76</v>
      </c>
      <c r="H397" s="18" t="s">
        <v>1734</v>
      </c>
      <c r="I397" s="18" t="s">
        <v>30</v>
      </c>
      <c r="J397" s="18" t="s">
        <v>31</v>
      </c>
      <c r="K397" s="18" t="s">
        <v>46</v>
      </c>
      <c r="L397" s="18" t="s">
        <v>47</v>
      </c>
      <c r="M397" s="18">
        <v>19</v>
      </c>
      <c r="N397" s="18">
        <v>12000</v>
      </c>
      <c r="O397" s="18">
        <v>20</v>
      </c>
      <c r="P397" s="18">
        <v>182400</v>
      </c>
      <c r="Q397" s="18">
        <v>5</v>
      </c>
      <c r="R397" s="18" t="s">
        <v>34</v>
      </c>
      <c r="S397" s="18" t="s">
        <v>115</v>
      </c>
      <c r="T397" s="18" t="s">
        <v>132</v>
      </c>
      <c r="U397" s="19" t="s">
        <v>1735</v>
      </c>
      <c r="V397" s="18" t="s">
        <v>38</v>
      </c>
      <c r="W397" t="str">
        <f t="shared" si="24"/>
        <v>Blacklisted</v>
      </c>
      <c r="X397" s="27" t="str">
        <f t="shared" si="25"/>
        <v>Rohit Singh</v>
      </c>
      <c r="Y397" s="29" t="str">
        <f t="shared" si="26"/>
        <v>Roh00IDHy</v>
      </c>
      <c r="Z397" s="30" t="str">
        <f t="shared" si="27"/>
        <v>rohit.singh@company.com</v>
      </c>
    </row>
    <row r="398" spans="1:26">
      <c r="A398" s="15" t="s">
        <v>1736</v>
      </c>
      <c r="B398" s="15" t="s">
        <v>83</v>
      </c>
      <c r="C398" s="15" t="s">
        <v>184</v>
      </c>
      <c r="D398" s="15" t="s">
        <v>142</v>
      </c>
      <c r="E398" s="15" t="s">
        <v>1737</v>
      </c>
      <c r="F398" s="15" t="s">
        <v>180</v>
      </c>
      <c r="G398" s="15" t="s">
        <v>76</v>
      </c>
      <c r="H398" s="15" t="s">
        <v>1738</v>
      </c>
      <c r="I398" s="15" t="s">
        <v>44</v>
      </c>
      <c r="J398" s="15" t="s">
        <v>45</v>
      </c>
      <c r="K398" s="15" t="s">
        <v>46</v>
      </c>
      <c r="L398" s="15" t="s">
        <v>189</v>
      </c>
      <c r="M398" s="15">
        <v>5</v>
      </c>
      <c r="N398" s="15">
        <v>700</v>
      </c>
      <c r="O398" s="15">
        <v>0</v>
      </c>
      <c r="P398" s="15">
        <v>3500</v>
      </c>
      <c r="Q398" s="15">
        <v>2</v>
      </c>
      <c r="R398" s="15" t="s">
        <v>79</v>
      </c>
      <c r="S398" s="15" t="s">
        <v>61</v>
      </c>
      <c r="T398" s="15" t="s">
        <v>89</v>
      </c>
      <c r="U398" s="17" t="s">
        <v>1739</v>
      </c>
      <c r="V398" s="15" t="s">
        <v>69</v>
      </c>
      <c r="W398" t="str">
        <f t="shared" si="24"/>
        <v>Blacklisted</v>
      </c>
      <c r="X398" s="27" t="str">
        <f t="shared" si="25"/>
        <v>Arjun Rao</v>
      </c>
      <c r="Y398" s="29" t="str">
        <f t="shared" si="26"/>
        <v>Arj00IDDe</v>
      </c>
      <c r="Z398" s="30" t="str">
        <f t="shared" si="27"/>
        <v>arjun.rao@company.com</v>
      </c>
    </row>
    <row r="399" spans="1:26">
      <c r="A399" s="18" t="s">
        <v>1740</v>
      </c>
      <c r="B399" s="18" t="s">
        <v>83</v>
      </c>
      <c r="C399" s="18" t="s">
        <v>40</v>
      </c>
      <c r="D399" s="18" t="s">
        <v>1654</v>
      </c>
      <c r="E399" s="18" t="s">
        <v>765</v>
      </c>
      <c r="F399" s="18" t="s">
        <v>180</v>
      </c>
      <c r="G399" s="18" t="s">
        <v>76</v>
      </c>
      <c r="H399" s="18" t="s">
        <v>1741</v>
      </c>
      <c r="I399" s="18" t="s">
        <v>294</v>
      </c>
      <c r="J399" s="18" t="s">
        <v>295</v>
      </c>
      <c r="K399" s="18" t="s">
        <v>46</v>
      </c>
      <c r="L399" s="18" t="s">
        <v>47</v>
      </c>
      <c r="M399" s="18">
        <v>19</v>
      </c>
      <c r="N399" s="18">
        <v>12000</v>
      </c>
      <c r="O399" s="18">
        <v>0</v>
      </c>
      <c r="P399" s="18">
        <v>228000</v>
      </c>
      <c r="Q399" s="18">
        <v>4</v>
      </c>
      <c r="R399" s="18" t="s">
        <v>88</v>
      </c>
      <c r="S399" s="18" t="s">
        <v>61</v>
      </c>
      <c r="T399" s="18" t="s">
        <v>89</v>
      </c>
      <c r="U399" s="19" t="s">
        <v>1742</v>
      </c>
      <c r="V399" s="18" t="s">
        <v>64</v>
      </c>
      <c r="W399" t="str">
        <f t="shared" si="24"/>
        <v>Blacklisted</v>
      </c>
      <c r="X399" s="27" t="str">
        <f t="shared" si="25"/>
        <v>Arjun Rao</v>
      </c>
      <c r="Y399" s="29" t="str">
        <f t="shared" si="26"/>
        <v>Arj00IDKo</v>
      </c>
      <c r="Z399" s="30" t="str">
        <f t="shared" si="27"/>
        <v>arjun.rao@company.com</v>
      </c>
    </row>
    <row r="400" spans="1:26">
      <c r="A400" s="15" t="s">
        <v>1743</v>
      </c>
      <c r="B400" s="15" t="s">
        <v>327</v>
      </c>
      <c r="C400" s="15" t="s">
        <v>184</v>
      </c>
      <c r="D400" s="15"/>
      <c r="E400" s="15" t="s">
        <v>1225</v>
      </c>
      <c r="F400" s="15" t="s">
        <v>394</v>
      </c>
      <c r="G400" s="15" t="s">
        <v>76</v>
      </c>
      <c r="H400" s="15" t="s">
        <v>1744</v>
      </c>
      <c r="I400" s="15" t="s">
        <v>59</v>
      </c>
      <c r="J400" s="15" t="s">
        <v>31</v>
      </c>
      <c r="K400" s="15" t="s">
        <v>46</v>
      </c>
      <c r="L400" s="15" t="s">
        <v>189</v>
      </c>
      <c r="M400" s="15">
        <v>12</v>
      </c>
      <c r="N400" s="15">
        <v>700</v>
      </c>
      <c r="O400" s="15">
        <v>15</v>
      </c>
      <c r="P400" s="15">
        <v>7140</v>
      </c>
      <c r="Q400" s="15">
        <v>3</v>
      </c>
      <c r="R400" s="15" t="s">
        <v>79</v>
      </c>
      <c r="S400" s="15" t="s">
        <v>35</v>
      </c>
      <c r="T400" s="15" t="s">
        <v>332</v>
      </c>
      <c r="U400" s="17" t="s">
        <v>1745</v>
      </c>
      <c r="V400" s="15" t="s">
        <v>38</v>
      </c>
      <c r="W400" t="str">
        <f t="shared" si="24"/>
        <v>Silver</v>
      </c>
      <c r="X400" s="27" t="str">
        <f t="shared" si="25"/>
        <v>Amit Sharma</v>
      </c>
      <c r="Y400" s="29" t="str">
        <f t="shared" si="26"/>
        <v>Ami00IDBe</v>
      </c>
      <c r="Z400" s="30" t="str">
        <f t="shared" si="27"/>
        <v>amit.sharma@company.com</v>
      </c>
    </row>
    <row r="401" spans="1:26">
      <c r="A401" s="18" t="s">
        <v>1746</v>
      </c>
      <c r="B401" s="18" t="s">
        <v>23</v>
      </c>
      <c r="C401" s="18" t="s">
        <v>72</v>
      </c>
      <c r="D401" s="18" t="s">
        <v>1747</v>
      </c>
      <c r="E401" s="18" t="s">
        <v>707</v>
      </c>
      <c r="F401" s="18" t="s">
        <v>27</v>
      </c>
      <c r="G401" s="18" t="s">
        <v>28</v>
      </c>
      <c r="H401" s="18" t="s">
        <v>1748</v>
      </c>
      <c r="I401" s="18" t="s">
        <v>44</v>
      </c>
      <c r="J401" s="18" t="s">
        <v>45</v>
      </c>
      <c r="K401" s="18" t="s">
        <v>46</v>
      </c>
      <c r="L401" s="18" t="s">
        <v>78</v>
      </c>
      <c r="M401" s="18">
        <v>16</v>
      </c>
      <c r="N401" s="18">
        <v>1200</v>
      </c>
      <c r="O401" s="18">
        <v>20</v>
      </c>
      <c r="P401" s="18">
        <v>15360</v>
      </c>
      <c r="Q401" s="18">
        <v>1</v>
      </c>
      <c r="R401" s="18" t="s">
        <v>34</v>
      </c>
      <c r="S401" s="18" t="s">
        <v>49</v>
      </c>
      <c r="T401" s="18" t="s">
        <v>50</v>
      </c>
      <c r="U401" s="19" t="s">
        <v>1749</v>
      </c>
      <c r="V401" s="18" t="s">
        <v>64</v>
      </c>
      <c r="W401" t="str">
        <f t="shared" si="24"/>
        <v>Blacklisted</v>
      </c>
      <c r="X401" s="27" t="str">
        <f t="shared" si="25"/>
        <v>Kavya Nair</v>
      </c>
      <c r="Y401" s="29" t="str">
        <f t="shared" si="26"/>
        <v>Kav00IDDe</v>
      </c>
      <c r="Z401" s="30" t="str">
        <f t="shared" si="27"/>
        <v>kavya.nair@company.com</v>
      </c>
    </row>
    <row r="402" spans="1:26">
      <c r="A402" s="15" t="s">
        <v>1750</v>
      </c>
      <c r="B402" s="15" t="s">
        <v>71</v>
      </c>
      <c r="C402" s="15" t="s">
        <v>169</v>
      </c>
      <c r="D402" s="15" t="s">
        <v>1052</v>
      </c>
      <c r="E402" s="15" t="s">
        <v>84</v>
      </c>
      <c r="F402" s="15" t="s">
        <v>217</v>
      </c>
      <c r="G402" s="15" t="s">
        <v>76</v>
      </c>
      <c r="H402" s="15" t="s">
        <v>1751</v>
      </c>
      <c r="I402" s="15" t="s">
        <v>30</v>
      </c>
      <c r="J402" s="15" t="s">
        <v>31</v>
      </c>
      <c r="K402" s="15" t="s">
        <v>32</v>
      </c>
      <c r="L402" s="15" t="s">
        <v>174</v>
      </c>
      <c r="M402" s="15">
        <v>10</v>
      </c>
      <c r="N402" s="15">
        <v>8500</v>
      </c>
      <c r="O402" s="15">
        <v>5</v>
      </c>
      <c r="P402" s="15">
        <v>80750</v>
      </c>
      <c r="Q402" s="15">
        <v>5</v>
      </c>
      <c r="R402" s="15" t="s">
        <v>48</v>
      </c>
      <c r="S402" s="15" t="s">
        <v>35</v>
      </c>
      <c r="T402" s="15" t="s">
        <v>80</v>
      </c>
      <c r="U402" s="17" t="s">
        <v>1752</v>
      </c>
      <c r="V402" s="15" t="s">
        <v>38</v>
      </c>
      <c r="W402" t="str">
        <f t="shared" si="24"/>
        <v>Gold</v>
      </c>
      <c r="X402" s="27" t="str">
        <f t="shared" si="25"/>
        <v>Mohit Verma</v>
      </c>
      <c r="Y402" s="29" t="str">
        <f t="shared" si="26"/>
        <v>Moh00IDHy</v>
      </c>
      <c r="Z402" s="30" t="str">
        <f t="shared" si="27"/>
        <v>mohit.verma@company.com</v>
      </c>
    </row>
    <row r="403" spans="1:26">
      <c r="A403" s="18" t="s">
        <v>1753</v>
      </c>
      <c r="B403" s="18" t="s">
        <v>23</v>
      </c>
      <c r="C403" s="18" t="s">
        <v>222</v>
      </c>
      <c r="D403" s="18" t="s">
        <v>1373</v>
      </c>
      <c r="E403" s="18" t="s">
        <v>386</v>
      </c>
      <c r="F403" s="18" t="s">
        <v>27</v>
      </c>
      <c r="G403" s="18" t="s">
        <v>28</v>
      </c>
      <c r="H403" s="18" t="s">
        <v>1754</v>
      </c>
      <c r="I403" s="18" t="s">
        <v>138</v>
      </c>
      <c r="J403" s="18" t="s">
        <v>106</v>
      </c>
      <c r="K403" s="18" t="s">
        <v>122</v>
      </c>
      <c r="L403" s="18" t="s">
        <v>227</v>
      </c>
      <c r="M403" s="18">
        <v>18</v>
      </c>
      <c r="N403" s="18">
        <v>20</v>
      </c>
      <c r="O403" s="18">
        <v>20</v>
      </c>
      <c r="P403" s="18">
        <v>288</v>
      </c>
      <c r="Q403" s="18">
        <v>1</v>
      </c>
      <c r="R403" s="18" t="s">
        <v>88</v>
      </c>
      <c r="S403" s="18" t="s">
        <v>35</v>
      </c>
      <c r="T403" s="18" t="s">
        <v>50</v>
      </c>
      <c r="U403" s="19" t="s">
        <v>1755</v>
      </c>
      <c r="V403" s="18" t="s">
        <v>64</v>
      </c>
      <c r="W403" t="str">
        <f t="shared" si="24"/>
        <v>Blacklisted</v>
      </c>
      <c r="X403" s="27" t="str">
        <f t="shared" si="25"/>
        <v>Kavya Nair</v>
      </c>
      <c r="Y403" s="29" t="str">
        <f t="shared" si="26"/>
        <v>Kav00IDAh</v>
      </c>
      <c r="Z403" s="30" t="str">
        <f t="shared" si="27"/>
        <v>kavya.nair@company.com</v>
      </c>
    </row>
    <row r="404" spans="1:26">
      <c r="A404" s="15" t="s">
        <v>1756</v>
      </c>
      <c r="B404" s="15" t="s">
        <v>71</v>
      </c>
      <c r="C404" s="15" t="s">
        <v>169</v>
      </c>
      <c r="D404" s="15" t="s">
        <v>241</v>
      </c>
      <c r="E404" s="15" t="s">
        <v>404</v>
      </c>
      <c r="F404" s="15" t="s">
        <v>217</v>
      </c>
      <c r="G404" s="15" t="s">
        <v>76</v>
      </c>
      <c r="H404" s="15" t="s">
        <v>1757</v>
      </c>
      <c r="I404" s="15" t="s">
        <v>105</v>
      </c>
      <c r="J404" s="15" t="s">
        <v>106</v>
      </c>
      <c r="K404" s="15" t="s">
        <v>32</v>
      </c>
      <c r="L404" s="15" t="s">
        <v>174</v>
      </c>
      <c r="M404" s="15">
        <v>9</v>
      </c>
      <c r="N404" s="15">
        <v>8500</v>
      </c>
      <c r="O404" s="15">
        <v>0</v>
      </c>
      <c r="P404" s="15">
        <v>76500</v>
      </c>
      <c r="Q404" s="15">
        <v>2</v>
      </c>
      <c r="R404" s="15" t="s">
        <v>79</v>
      </c>
      <c r="S404" s="15" t="s">
        <v>35</v>
      </c>
      <c r="T404" s="15" t="s">
        <v>80</v>
      </c>
      <c r="U404" s="17" t="s">
        <v>1758</v>
      </c>
      <c r="V404" s="15" t="s">
        <v>64</v>
      </c>
      <c r="W404" t="str">
        <f t="shared" si="24"/>
        <v>Blacklisted</v>
      </c>
      <c r="X404" s="27" t="str">
        <f t="shared" si="25"/>
        <v>Mohit Verma</v>
      </c>
      <c r="Y404" s="29" t="str">
        <f t="shared" si="26"/>
        <v>Moh00IDMu</v>
      </c>
      <c r="Z404" s="30" t="str">
        <f t="shared" si="27"/>
        <v>mohit.verma@company.com</v>
      </c>
    </row>
    <row r="405" spans="1:26">
      <c r="A405" s="18" t="s">
        <v>1759</v>
      </c>
      <c r="B405" s="18" t="s">
        <v>23</v>
      </c>
      <c r="C405" s="18" t="s">
        <v>169</v>
      </c>
      <c r="D405" s="18" t="s">
        <v>1221</v>
      </c>
      <c r="E405" s="18" t="s">
        <v>1760</v>
      </c>
      <c r="F405" s="18" t="s">
        <v>27</v>
      </c>
      <c r="G405" s="18" t="s">
        <v>28</v>
      </c>
      <c r="H405" s="18" t="s">
        <v>1761</v>
      </c>
      <c r="I405" s="18" t="s">
        <v>105</v>
      </c>
      <c r="J405" s="18" t="s">
        <v>106</v>
      </c>
      <c r="K405" s="18" t="s">
        <v>32</v>
      </c>
      <c r="L405" s="18" t="s">
        <v>174</v>
      </c>
      <c r="M405" s="18">
        <v>8</v>
      </c>
      <c r="N405" s="18">
        <v>8500</v>
      </c>
      <c r="O405" s="18">
        <v>10</v>
      </c>
      <c r="P405" s="18">
        <v>61200</v>
      </c>
      <c r="Q405" s="18">
        <v>4</v>
      </c>
      <c r="R405" s="18" t="s">
        <v>34</v>
      </c>
      <c r="S405" s="18" t="s">
        <v>115</v>
      </c>
      <c r="T405" s="18" t="s">
        <v>50</v>
      </c>
      <c r="U405" s="19" t="s">
        <v>1762</v>
      </c>
      <c r="V405" s="18" t="s">
        <v>69</v>
      </c>
      <c r="W405" t="str">
        <f t="shared" si="24"/>
        <v>Blacklisted</v>
      </c>
      <c r="X405" s="27" t="str">
        <f t="shared" si="25"/>
        <v>Kavya Nair</v>
      </c>
      <c r="Y405" s="29" t="str">
        <f t="shared" si="26"/>
        <v>Kav00IDMu</v>
      </c>
      <c r="Z405" s="30" t="str">
        <f t="shared" si="27"/>
        <v>kavya.nair@company.com</v>
      </c>
    </row>
    <row r="406" spans="1:26">
      <c r="A406" s="15" t="s">
        <v>1763</v>
      </c>
      <c r="B406" s="15" t="s">
        <v>53</v>
      </c>
      <c r="C406" s="15" t="s">
        <v>222</v>
      </c>
      <c r="D406" s="15" t="s">
        <v>483</v>
      </c>
      <c r="E406" s="15" t="s">
        <v>1764</v>
      </c>
      <c r="F406" s="15" t="s">
        <v>163</v>
      </c>
      <c r="G406" s="15" t="s">
        <v>28</v>
      </c>
      <c r="H406" s="15" t="s">
        <v>1765</v>
      </c>
      <c r="I406" s="15" t="s">
        <v>114</v>
      </c>
      <c r="J406" s="15" t="s">
        <v>106</v>
      </c>
      <c r="K406" s="15" t="s">
        <v>122</v>
      </c>
      <c r="L406" s="15" t="s">
        <v>227</v>
      </c>
      <c r="M406" s="15">
        <v>3</v>
      </c>
      <c r="N406" s="15">
        <v>20</v>
      </c>
      <c r="O406" s="15">
        <v>10</v>
      </c>
      <c r="P406" s="15">
        <v>54</v>
      </c>
      <c r="Q406" s="15">
        <v>3</v>
      </c>
      <c r="R406" s="15" t="s">
        <v>79</v>
      </c>
      <c r="S406" s="15" t="s">
        <v>151</v>
      </c>
      <c r="T406" s="15" t="s">
        <v>62</v>
      </c>
      <c r="U406" s="17" t="s">
        <v>1766</v>
      </c>
      <c r="V406" s="15" t="s">
        <v>64</v>
      </c>
      <c r="W406" t="str">
        <f t="shared" si="24"/>
        <v>Blacklisted</v>
      </c>
      <c r="X406" s="27" t="str">
        <f t="shared" si="25"/>
        <v>Pooja Shah</v>
      </c>
      <c r="Y406" s="29" t="str">
        <f t="shared" si="26"/>
        <v>Poo01IDPu</v>
      </c>
      <c r="Z406" s="30" t="str">
        <f t="shared" si="27"/>
        <v>pooja.shah@company.com</v>
      </c>
    </row>
    <row r="407" spans="1:26">
      <c r="A407" s="18" t="s">
        <v>1767</v>
      </c>
      <c r="B407" s="18" t="s">
        <v>168</v>
      </c>
      <c r="C407" s="18" t="s">
        <v>169</v>
      </c>
      <c r="D407" s="18" t="s">
        <v>232</v>
      </c>
      <c r="E407" s="18" t="s">
        <v>641</v>
      </c>
      <c r="F407" s="18" t="s">
        <v>361</v>
      </c>
      <c r="G407" s="18" t="s">
        <v>28</v>
      </c>
      <c r="H407" s="18" t="s">
        <v>1768</v>
      </c>
      <c r="I407" s="18" t="s">
        <v>294</v>
      </c>
      <c r="J407" s="18" t="s">
        <v>295</v>
      </c>
      <c r="K407" s="18" t="s">
        <v>32</v>
      </c>
      <c r="L407" s="18" t="s">
        <v>174</v>
      </c>
      <c r="M407" s="18">
        <v>18</v>
      </c>
      <c r="N407" s="18">
        <v>8500</v>
      </c>
      <c r="O407" s="18">
        <v>10</v>
      </c>
      <c r="P407" s="18">
        <v>137700</v>
      </c>
      <c r="Q407" s="18">
        <v>4</v>
      </c>
      <c r="R407" s="18" t="s">
        <v>34</v>
      </c>
      <c r="S407" s="18" t="s">
        <v>49</v>
      </c>
      <c r="T407" s="18" t="s">
        <v>175</v>
      </c>
      <c r="U407" s="19" t="s">
        <v>1769</v>
      </c>
      <c r="V407" s="18" t="s">
        <v>69</v>
      </c>
      <c r="W407" t="str">
        <f t="shared" si="24"/>
        <v>Blacklisted</v>
      </c>
      <c r="X407" s="27" t="str">
        <f t="shared" si="25"/>
        <v>Anita Gupta</v>
      </c>
      <c r="Y407" s="29" t="str">
        <f t="shared" si="26"/>
        <v>Ani00IDKo</v>
      </c>
      <c r="Z407" s="30" t="str">
        <f t="shared" si="27"/>
        <v>anita.gupta@company.com</v>
      </c>
    </row>
    <row r="408" spans="1:26">
      <c r="A408" s="15" t="s">
        <v>1770</v>
      </c>
      <c r="B408" s="15" t="s">
        <v>53</v>
      </c>
      <c r="C408" s="15" t="s">
        <v>259</v>
      </c>
      <c r="D408" s="15" t="s">
        <v>308</v>
      </c>
      <c r="E408" s="15" t="s">
        <v>281</v>
      </c>
      <c r="F408" s="15" t="s">
        <v>163</v>
      </c>
      <c r="G408" s="15" t="s">
        <v>28</v>
      </c>
      <c r="H408" s="15" t="s">
        <v>1771</v>
      </c>
      <c r="I408" s="15" t="s">
        <v>114</v>
      </c>
      <c r="J408" s="15" t="s">
        <v>106</v>
      </c>
      <c r="K408" s="15" t="s">
        <v>122</v>
      </c>
      <c r="L408" s="15" t="s">
        <v>263</v>
      </c>
      <c r="M408" s="15">
        <v>5</v>
      </c>
      <c r="N408" s="15">
        <v>45</v>
      </c>
      <c r="O408" s="15">
        <v>10</v>
      </c>
      <c r="P408" s="15">
        <v>202.5</v>
      </c>
      <c r="Q408" s="15">
        <v>3</v>
      </c>
      <c r="R408" s="15" t="s">
        <v>34</v>
      </c>
      <c r="S408" s="15" t="s">
        <v>115</v>
      </c>
      <c r="T408" s="15" t="s">
        <v>62</v>
      </c>
      <c r="U408" s="17" t="s">
        <v>1772</v>
      </c>
      <c r="V408" s="15" t="s">
        <v>64</v>
      </c>
      <c r="W408" t="str">
        <f t="shared" si="24"/>
        <v>Blacklisted</v>
      </c>
      <c r="X408" s="27" t="str">
        <f t="shared" si="25"/>
        <v>Pooja Shah</v>
      </c>
      <c r="Y408" s="29" t="str">
        <f t="shared" si="26"/>
        <v>Poo01IDPu</v>
      </c>
      <c r="Z408" s="30" t="str">
        <f t="shared" si="27"/>
        <v>pooja.shah@company.com</v>
      </c>
    </row>
    <row r="409" spans="1:26">
      <c r="A409" s="18" t="s">
        <v>1773</v>
      </c>
      <c r="B409" s="18" t="s">
        <v>71</v>
      </c>
      <c r="C409" s="18" t="s">
        <v>259</v>
      </c>
      <c r="D409" s="18" t="s">
        <v>683</v>
      </c>
      <c r="E409" s="18" t="s">
        <v>684</v>
      </c>
      <c r="F409" s="18" t="s">
        <v>217</v>
      </c>
      <c r="G409" s="18" t="s">
        <v>76</v>
      </c>
      <c r="H409" s="18" t="s">
        <v>1774</v>
      </c>
      <c r="I409" s="18" t="s">
        <v>105</v>
      </c>
      <c r="J409" s="18" t="s">
        <v>106</v>
      </c>
      <c r="K409" s="18" t="s">
        <v>122</v>
      </c>
      <c r="L409" s="18" t="s">
        <v>263</v>
      </c>
      <c r="M409" s="18">
        <v>2</v>
      </c>
      <c r="N409" s="18">
        <v>45</v>
      </c>
      <c r="O409" s="18">
        <v>20</v>
      </c>
      <c r="P409" s="18">
        <v>72</v>
      </c>
      <c r="Q409" s="18">
        <v>5</v>
      </c>
      <c r="R409" s="18" t="s">
        <v>88</v>
      </c>
      <c r="S409" s="18" t="s">
        <v>61</v>
      </c>
      <c r="T409" s="18" t="s">
        <v>80</v>
      </c>
      <c r="U409" s="19" t="s">
        <v>1775</v>
      </c>
      <c r="V409" s="18" t="s">
        <v>69</v>
      </c>
      <c r="W409" t="str">
        <f t="shared" si="24"/>
        <v>Blacklisted</v>
      </c>
      <c r="X409" s="27" t="str">
        <f t="shared" si="25"/>
        <v>Mohit Verma</v>
      </c>
      <c r="Y409" s="29" t="str">
        <f t="shared" si="26"/>
        <v>Moh00IDMu</v>
      </c>
      <c r="Z409" s="30" t="str">
        <f t="shared" si="27"/>
        <v>mohit.verma@company.com</v>
      </c>
    </row>
    <row r="410" spans="1:26">
      <c r="A410" s="15" t="s">
        <v>1776</v>
      </c>
      <c r="B410" s="15" t="s">
        <v>100</v>
      </c>
      <c r="C410" s="15" t="s">
        <v>259</v>
      </c>
      <c r="D410" s="15" t="s">
        <v>1379</v>
      </c>
      <c r="E410" s="15" t="s">
        <v>900</v>
      </c>
      <c r="F410" s="15" t="s">
        <v>103</v>
      </c>
      <c r="G410" s="15" t="s">
        <v>28</v>
      </c>
      <c r="H410" s="15" t="s">
        <v>1777</v>
      </c>
      <c r="I410" s="15" t="s">
        <v>30</v>
      </c>
      <c r="J410" s="15" t="s">
        <v>31</v>
      </c>
      <c r="K410" s="15" t="s">
        <v>122</v>
      </c>
      <c r="L410" s="15" t="s">
        <v>263</v>
      </c>
      <c r="M410" s="15">
        <v>18</v>
      </c>
      <c r="N410" s="15">
        <v>45</v>
      </c>
      <c r="O410" s="15">
        <v>10</v>
      </c>
      <c r="P410" s="15">
        <v>729</v>
      </c>
      <c r="Q410" s="15">
        <v>2</v>
      </c>
      <c r="R410" s="15" t="s">
        <v>48</v>
      </c>
      <c r="S410" s="15" t="s">
        <v>115</v>
      </c>
      <c r="T410" s="15" t="s">
        <v>144</v>
      </c>
      <c r="U410" s="17" t="s">
        <v>1778</v>
      </c>
      <c r="V410" s="15" t="s">
        <v>64</v>
      </c>
      <c r="W410" t="str">
        <f t="shared" si="24"/>
        <v>Blacklisted</v>
      </c>
      <c r="X410" s="27" t="str">
        <f t="shared" si="25"/>
        <v>Priya Patel</v>
      </c>
      <c r="Y410" s="29" t="str">
        <f t="shared" si="26"/>
        <v>Pri00IDHy</v>
      </c>
      <c r="Z410" s="30" t="str">
        <f t="shared" si="27"/>
        <v>priya.patel@company.com</v>
      </c>
    </row>
    <row r="411" spans="1:26">
      <c r="A411" s="18" t="s">
        <v>1779</v>
      </c>
      <c r="B411" s="18" t="s">
        <v>127</v>
      </c>
      <c r="C411" s="18" t="s">
        <v>72</v>
      </c>
      <c r="D411" s="18" t="s">
        <v>463</v>
      </c>
      <c r="E411" s="18" t="s">
        <v>216</v>
      </c>
      <c r="F411" s="18" t="s">
        <v>200</v>
      </c>
      <c r="G411" s="18" t="s">
        <v>76</v>
      </c>
      <c r="H411" s="18" t="s">
        <v>1780</v>
      </c>
      <c r="I411" s="18" t="s">
        <v>294</v>
      </c>
      <c r="J411" s="18" t="s">
        <v>295</v>
      </c>
      <c r="K411" s="18" t="s">
        <v>46</v>
      </c>
      <c r="L411" s="18" t="s">
        <v>78</v>
      </c>
      <c r="M411" s="18">
        <v>13</v>
      </c>
      <c r="N411" s="18">
        <v>1200</v>
      </c>
      <c r="O411" s="18">
        <v>5</v>
      </c>
      <c r="P411" s="18">
        <v>14820</v>
      </c>
      <c r="Q411" s="18">
        <v>4</v>
      </c>
      <c r="R411" s="18" t="s">
        <v>79</v>
      </c>
      <c r="S411" s="18" t="s">
        <v>115</v>
      </c>
      <c r="T411" s="18" t="s">
        <v>132</v>
      </c>
      <c r="U411" s="19" t="s">
        <v>1781</v>
      </c>
      <c r="V411" s="18" t="s">
        <v>38</v>
      </c>
      <c r="W411" t="str">
        <f t="shared" si="24"/>
        <v>Silver</v>
      </c>
      <c r="X411" s="27" t="str">
        <f t="shared" si="25"/>
        <v>Rohit Singh</v>
      </c>
      <c r="Y411" s="29" t="str">
        <f t="shared" si="26"/>
        <v>Roh00IDKo</v>
      </c>
      <c r="Z411" s="30" t="str">
        <f t="shared" si="27"/>
        <v>rohit.singh@company.com</v>
      </c>
    </row>
    <row r="412" spans="1:26">
      <c r="A412" s="15" t="s">
        <v>1782</v>
      </c>
      <c r="B412" s="15" t="s">
        <v>23</v>
      </c>
      <c r="C412" s="15" t="s">
        <v>222</v>
      </c>
      <c r="D412" s="15" t="s">
        <v>1344</v>
      </c>
      <c r="E412" s="15" t="s">
        <v>1783</v>
      </c>
      <c r="F412" s="15" t="s">
        <v>27</v>
      </c>
      <c r="G412" s="15" t="s">
        <v>28</v>
      </c>
      <c r="H412" s="15" t="s">
        <v>1784</v>
      </c>
      <c r="I412" s="15" t="s">
        <v>30</v>
      </c>
      <c r="J412" s="15" t="s">
        <v>31</v>
      </c>
      <c r="K412" s="15" t="s">
        <v>122</v>
      </c>
      <c r="L412" s="15" t="s">
        <v>227</v>
      </c>
      <c r="M412" s="15">
        <v>14</v>
      </c>
      <c r="N412" s="15">
        <v>20</v>
      </c>
      <c r="O412" s="15">
        <v>20</v>
      </c>
      <c r="P412" s="15">
        <v>224</v>
      </c>
      <c r="Q412" s="15">
        <v>5</v>
      </c>
      <c r="R412" s="15" t="s">
        <v>88</v>
      </c>
      <c r="S412" s="15" t="s">
        <v>49</v>
      </c>
      <c r="T412" s="15" t="s">
        <v>50</v>
      </c>
      <c r="U412" s="17" t="s">
        <v>1785</v>
      </c>
      <c r="V412" s="15" t="s">
        <v>64</v>
      </c>
      <c r="W412" t="str">
        <f t="shared" si="24"/>
        <v>Blacklisted</v>
      </c>
      <c r="X412" s="27" t="str">
        <f t="shared" si="25"/>
        <v>Kavya Nair</v>
      </c>
      <c r="Y412" s="29" t="str">
        <f t="shared" si="26"/>
        <v>Kav00IDHy</v>
      </c>
      <c r="Z412" s="30" t="str">
        <f t="shared" si="27"/>
        <v>kavya.nair@company.com</v>
      </c>
    </row>
    <row r="413" spans="1:26">
      <c r="A413" s="18" t="s">
        <v>1786</v>
      </c>
      <c r="B413" s="18" t="s">
        <v>100</v>
      </c>
      <c r="C413" s="18" t="s">
        <v>92</v>
      </c>
      <c r="D413" s="18" t="s">
        <v>1787</v>
      </c>
      <c r="E413" s="18" t="s">
        <v>1689</v>
      </c>
      <c r="F413" s="18" t="s">
        <v>103</v>
      </c>
      <c r="G413" s="18" t="s">
        <v>28</v>
      </c>
      <c r="H413" s="18" t="s">
        <v>1788</v>
      </c>
      <c r="I413" s="18" t="s">
        <v>30</v>
      </c>
      <c r="J413" s="18" t="s">
        <v>31</v>
      </c>
      <c r="K413" s="18" t="s">
        <v>32</v>
      </c>
      <c r="L413" s="18" t="s">
        <v>97</v>
      </c>
      <c r="M413" s="18">
        <v>16</v>
      </c>
      <c r="N413" s="18">
        <v>3500</v>
      </c>
      <c r="O413" s="18">
        <v>15</v>
      </c>
      <c r="P413" s="18">
        <v>47600</v>
      </c>
      <c r="Q413" s="18">
        <v>3</v>
      </c>
      <c r="R413" s="18" t="s">
        <v>88</v>
      </c>
      <c r="S413" s="18" t="s">
        <v>61</v>
      </c>
      <c r="T413" s="18" t="s">
        <v>144</v>
      </c>
      <c r="U413" s="19" t="s">
        <v>1789</v>
      </c>
      <c r="V413" s="18" t="s">
        <v>69</v>
      </c>
      <c r="W413" t="str">
        <f t="shared" si="24"/>
        <v>Blacklisted</v>
      </c>
      <c r="X413" s="27" t="str">
        <f t="shared" si="25"/>
        <v>Priya Patel</v>
      </c>
      <c r="Y413" s="29" t="str">
        <f t="shared" si="26"/>
        <v>Pri00IDHy</v>
      </c>
      <c r="Z413" s="30" t="str">
        <f t="shared" si="27"/>
        <v>priya.patel@company.com</v>
      </c>
    </row>
    <row r="414" spans="1:26">
      <c r="A414" s="15" t="s">
        <v>1790</v>
      </c>
      <c r="B414" s="15" t="s">
        <v>251</v>
      </c>
      <c r="C414" s="15" t="s">
        <v>222</v>
      </c>
      <c r="D414" s="15" t="s">
        <v>987</v>
      </c>
      <c r="E414" s="15" t="s">
        <v>1110</v>
      </c>
      <c r="F414" s="15" t="s">
        <v>254</v>
      </c>
      <c r="G414" s="15" t="s">
        <v>28</v>
      </c>
      <c r="H414" s="15" t="s">
        <v>1791</v>
      </c>
      <c r="I414" s="15" t="s">
        <v>59</v>
      </c>
      <c r="J414" s="15" t="s">
        <v>31</v>
      </c>
      <c r="K414" s="15" t="s">
        <v>122</v>
      </c>
      <c r="L414" s="15" t="s">
        <v>227</v>
      </c>
      <c r="M414" s="15">
        <v>20</v>
      </c>
      <c r="N414" s="15">
        <v>20</v>
      </c>
      <c r="O414" s="15">
        <v>15</v>
      </c>
      <c r="P414" s="15">
        <v>340</v>
      </c>
      <c r="Q414" s="15">
        <v>1</v>
      </c>
      <c r="R414" s="15" t="s">
        <v>48</v>
      </c>
      <c r="S414" s="15" t="s">
        <v>61</v>
      </c>
      <c r="T414" s="15" t="s">
        <v>256</v>
      </c>
      <c r="U414" s="17" t="s">
        <v>1792</v>
      </c>
      <c r="V414" s="15" t="s">
        <v>69</v>
      </c>
      <c r="W414" t="str">
        <f t="shared" si="24"/>
        <v>Blacklisted</v>
      </c>
      <c r="X414" s="27" t="str">
        <f t="shared" si="25"/>
        <v>Sneha Joshi</v>
      </c>
      <c r="Y414" s="29" t="str">
        <f t="shared" si="26"/>
        <v>Sne00IDBe</v>
      </c>
      <c r="Z414" s="30" t="str">
        <f t="shared" si="27"/>
        <v>sneha.joshi@company.com</v>
      </c>
    </row>
    <row r="415" spans="1:26">
      <c r="A415" s="18" t="s">
        <v>1793</v>
      </c>
      <c r="B415" s="18" t="s">
        <v>168</v>
      </c>
      <c r="C415" s="18" t="s">
        <v>54</v>
      </c>
      <c r="D415" s="18" t="s">
        <v>652</v>
      </c>
      <c r="E415" s="18" t="s">
        <v>666</v>
      </c>
      <c r="F415" s="18" t="s">
        <v>361</v>
      </c>
      <c r="G415" s="18" t="s">
        <v>28</v>
      </c>
      <c r="H415" s="18" t="s">
        <v>1794</v>
      </c>
      <c r="I415" s="18" t="s">
        <v>138</v>
      </c>
      <c r="J415" s="18" t="s">
        <v>106</v>
      </c>
      <c r="K415" s="18" t="s">
        <v>46</v>
      </c>
      <c r="L415" s="18" t="s">
        <v>60</v>
      </c>
      <c r="M415" s="18">
        <v>1</v>
      </c>
      <c r="N415" s="18">
        <v>55000</v>
      </c>
      <c r="O415" s="18">
        <v>15</v>
      </c>
      <c r="P415" s="18">
        <v>46750</v>
      </c>
      <c r="Q415" s="18">
        <v>2</v>
      </c>
      <c r="R415" s="18" t="s">
        <v>88</v>
      </c>
      <c r="S415" s="18" t="s">
        <v>115</v>
      </c>
      <c r="T415" s="18" t="s">
        <v>175</v>
      </c>
      <c r="U415" s="19" t="s">
        <v>1795</v>
      </c>
      <c r="V415" s="18" t="s">
        <v>69</v>
      </c>
      <c r="W415" t="str">
        <f t="shared" si="24"/>
        <v>Blacklisted</v>
      </c>
      <c r="X415" s="27" t="str">
        <f t="shared" si="25"/>
        <v>Anita Gupta</v>
      </c>
      <c r="Y415" s="29" t="str">
        <f t="shared" si="26"/>
        <v>Ani00IDAh</v>
      </c>
      <c r="Z415" s="30" t="str">
        <f t="shared" si="27"/>
        <v>anita.gupta@company.com</v>
      </c>
    </row>
    <row r="416" spans="1:26">
      <c r="A416" s="15" t="s">
        <v>1796</v>
      </c>
      <c r="B416" s="15" t="s">
        <v>100</v>
      </c>
      <c r="C416" s="15" t="s">
        <v>118</v>
      </c>
      <c r="D416" s="15" t="s">
        <v>142</v>
      </c>
      <c r="E416" s="15" t="s">
        <v>620</v>
      </c>
      <c r="F416" s="15" t="s">
        <v>103</v>
      </c>
      <c r="G416" s="15" t="s">
        <v>28</v>
      </c>
      <c r="H416" s="15" t="s">
        <v>1797</v>
      </c>
      <c r="I416" s="15" t="s">
        <v>138</v>
      </c>
      <c r="J416" s="15" t="s">
        <v>106</v>
      </c>
      <c r="K416" s="15" t="s">
        <v>122</v>
      </c>
      <c r="L416" s="15" t="s">
        <v>123</v>
      </c>
      <c r="M416" s="15">
        <v>15</v>
      </c>
      <c r="N416" s="15">
        <v>60</v>
      </c>
      <c r="O416" s="15">
        <v>5</v>
      </c>
      <c r="P416" s="15">
        <v>855</v>
      </c>
      <c r="Q416" s="15">
        <v>4</v>
      </c>
      <c r="R416" s="15" t="s">
        <v>48</v>
      </c>
      <c r="S416" s="15" t="s">
        <v>61</v>
      </c>
      <c r="T416" s="15" t="s">
        <v>144</v>
      </c>
      <c r="U416" s="17" t="s">
        <v>1798</v>
      </c>
      <c r="V416" s="15" t="s">
        <v>38</v>
      </c>
      <c r="W416" t="str">
        <f t="shared" si="24"/>
        <v>Silver</v>
      </c>
      <c r="X416" s="27" t="str">
        <f t="shared" si="25"/>
        <v>Priya Patel</v>
      </c>
      <c r="Y416" s="29" t="str">
        <f t="shared" si="26"/>
        <v>Pri00IDAh</v>
      </c>
      <c r="Z416" s="30" t="str">
        <f t="shared" si="27"/>
        <v>priya.patel@company.com</v>
      </c>
    </row>
    <row r="417" spans="1:26">
      <c r="A417" s="18" t="s">
        <v>1799</v>
      </c>
      <c r="B417" s="18" t="s">
        <v>83</v>
      </c>
      <c r="C417" s="18" t="s">
        <v>184</v>
      </c>
      <c r="D417" s="18" t="s">
        <v>1800</v>
      </c>
      <c r="E417" s="18" t="s">
        <v>66</v>
      </c>
      <c r="F417" s="18" t="s">
        <v>180</v>
      </c>
      <c r="G417" s="18" t="s">
        <v>76</v>
      </c>
      <c r="H417" s="18" t="s">
        <v>1801</v>
      </c>
      <c r="I417" s="18" t="s">
        <v>105</v>
      </c>
      <c r="J417" s="18" t="s">
        <v>106</v>
      </c>
      <c r="K417" s="18" t="s">
        <v>46</v>
      </c>
      <c r="L417" s="18" t="s">
        <v>189</v>
      </c>
      <c r="M417" s="18">
        <v>15</v>
      </c>
      <c r="N417" s="18">
        <v>700</v>
      </c>
      <c r="O417" s="18">
        <v>0</v>
      </c>
      <c r="P417" s="18">
        <v>10500</v>
      </c>
      <c r="Q417" s="18">
        <v>5</v>
      </c>
      <c r="R417" s="18" t="s">
        <v>48</v>
      </c>
      <c r="S417" s="18" t="s">
        <v>115</v>
      </c>
      <c r="T417" s="18" t="s">
        <v>89</v>
      </c>
      <c r="U417" s="19" t="s">
        <v>1802</v>
      </c>
      <c r="V417" s="18" t="s">
        <v>38</v>
      </c>
      <c r="W417" t="str">
        <f t="shared" si="24"/>
        <v>Silver</v>
      </c>
      <c r="X417" s="27" t="str">
        <f t="shared" si="25"/>
        <v>Arjun Rao</v>
      </c>
      <c r="Y417" s="29" t="str">
        <f t="shared" si="26"/>
        <v>Arj00IDMu</v>
      </c>
      <c r="Z417" s="30" t="str">
        <f t="shared" si="27"/>
        <v>arjun.rao@company.com</v>
      </c>
    </row>
    <row r="418" spans="1:26">
      <c r="A418" s="15" t="s">
        <v>1803</v>
      </c>
      <c r="B418" s="15" t="s">
        <v>221</v>
      </c>
      <c r="C418" s="15" t="s">
        <v>40</v>
      </c>
      <c r="D418" s="15" t="s">
        <v>1199</v>
      </c>
      <c r="E418" s="15" t="s">
        <v>440</v>
      </c>
      <c r="F418" s="15" t="s">
        <v>225</v>
      </c>
      <c r="G418" s="15" t="s">
        <v>76</v>
      </c>
      <c r="H418" s="15" t="s">
        <v>1804</v>
      </c>
      <c r="I418" s="15" t="s">
        <v>294</v>
      </c>
      <c r="J418" s="15" t="s">
        <v>295</v>
      </c>
      <c r="K418" s="15" t="s">
        <v>46</v>
      </c>
      <c r="L418" s="15" t="s">
        <v>47</v>
      </c>
      <c r="M418" s="15">
        <v>13</v>
      </c>
      <c r="N418" s="15">
        <v>12000</v>
      </c>
      <c r="O418" s="15">
        <v>10</v>
      </c>
      <c r="P418" s="15">
        <v>140400</v>
      </c>
      <c r="Q418" s="15">
        <v>1</v>
      </c>
      <c r="R418" s="15" t="s">
        <v>34</v>
      </c>
      <c r="S418" s="15" t="s">
        <v>151</v>
      </c>
      <c r="T418" s="15" t="s">
        <v>228</v>
      </c>
      <c r="U418" s="17" t="s">
        <v>1805</v>
      </c>
      <c r="V418" s="15" t="s">
        <v>69</v>
      </c>
      <c r="W418" t="str">
        <f t="shared" si="24"/>
        <v>Blacklisted</v>
      </c>
      <c r="X418" s="27" t="str">
        <f t="shared" si="25"/>
        <v>Vikas Mehta</v>
      </c>
      <c r="Y418" s="29" t="str">
        <f t="shared" si="26"/>
        <v>Vik00IDKo</v>
      </c>
      <c r="Z418" s="30" t="str">
        <f t="shared" si="27"/>
        <v>vikas.mehta@company.com</v>
      </c>
    </row>
    <row r="419" spans="1:26">
      <c r="A419" s="18" t="s">
        <v>1806</v>
      </c>
      <c r="B419" s="18" t="s">
        <v>83</v>
      </c>
      <c r="C419" s="18" t="s">
        <v>40</v>
      </c>
      <c r="D419" s="18" t="s">
        <v>1807</v>
      </c>
      <c r="E419" s="18" t="s">
        <v>1081</v>
      </c>
      <c r="F419" s="18" t="s">
        <v>180</v>
      </c>
      <c r="G419" s="18" t="s">
        <v>76</v>
      </c>
      <c r="H419" s="18" t="s">
        <v>1808</v>
      </c>
      <c r="I419" s="18" t="s">
        <v>30</v>
      </c>
      <c r="J419" s="18" t="s">
        <v>31</v>
      </c>
      <c r="K419" s="18" t="s">
        <v>46</v>
      </c>
      <c r="L419" s="18" t="s">
        <v>47</v>
      </c>
      <c r="M419" s="18">
        <v>12</v>
      </c>
      <c r="N419" s="18">
        <v>12000</v>
      </c>
      <c r="O419" s="18">
        <v>20</v>
      </c>
      <c r="P419" s="18">
        <v>115200</v>
      </c>
      <c r="Q419" s="18">
        <v>2</v>
      </c>
      <c r="R419" s="18" t="s">
        <v>34</v>
      </c>
      <c r="S419" s="18" t="s">
        <v>35</v>
      </c>
      <c r="T419" s="18" t="s">
        <v>89</v>
      </c>
      <c r="U419" s="19" t="s">
        <v>1809</v>
      </c>
      <c r="V419" s="18" t="s">
        <v>38</v>
      </c>
      <c r="W419" t="str">
        <f t="shared" si="24"/>
        <v>Blacklisted</v>
      </c>
      <c r="X419" s="27" t="str">
        <f t="shared" si="25"/>
        <v>Arjun Rao</v>
      </c>
      <c r="Y419" s="29" t="str">
        <f t="shared" si="26"/>
        <v>Arj00IDHy</v>
      </c>
      <c r="Z419" s="30" t="str">
        <f t="shared" si="27"/>
        <v>arjun.rao@company.com</v>
      </c>
    </row>
    <row r="420" spans="1:26">
      <c r="A420" s="15" t="s">
        <v>1810</v>
      </c>
      <c r="B420" s="15" t="s">
        <v>83</v>
      </c>
      <c r="C420" s="15" t="s">
        <v>259</v>
      </c>
      <c r="D420" s="15" t="s">
        <v>119</v>
      </c>
      <c r="E420" s="15" t="s">
        <v>1298</v>
      </c>
      <c r="F420" s="15" t="s">
        <v>180</v>
      </c>
      <c r="G420" s="15" t="s">
        <v>76</v>
      </c>
      <c r="H420" s="15" t="s">
        <v>1811</v>
      </c>
      <c r="I420" s="15" t="s">
        <v>105</v>
      </c>
      <c r="J420" s="15" t="s">
        <v>106</v>
      </c>
      <c r="K420" s="15" t="s">
        <v>122</v>
      </c>
      <c r="L420" s="15" t="s">
        <v>263</v>
      </c>
      <c r="M420" s="15">
        <v>10</v>
      </c>
      <c r="N420" s="15">
        <v>45</v>
      </c>
      <c r="O420" s="15">
        <v>0</v>
      </c>
      <c r="P420" s="15">
        <v>450</v>
      </c>
      <c r="Q420" s="15">
        <v>5</v>
      </c>
      <c r="R420" s="15" t="s">
        <v>79</v>
      </c>
      <c r="S420" s="15" t="s">
        <v>115</v>
      </c>
      <c r="T420" s="15" t="s">
        <v>89</v>
      </c>
      <c r="U420" s="17" t="s">
        <v>1812</v>
      </c>
      <c r="V420" s="15" t="s">
        <v>69</v>
      </c>
      <c r="W420" t="str">
        <f t="shared" si="24"/>
        <v>Blacklisted</v>
      </c>
      <c r="X420" s="27" t="str">
        <f t="shared" si="25"/>
        <v>Arjun Rao</v>
      </c>
      <c r="Y420" s="29" t="str">
        <f t="shared" si="26"/>
        <v>Arj00IDMu</v>
      </c>
      <c r="Z420" s="30" t="str">
        <f t="shared" si="27"/>
        <v>arjun.rao@company.com</v>
      </c>
    </row>
    <row r="421" spans="1:26">
      <c r="A421" s="18" t="s">
        <v>1813</v>
      </c>
      <c r="B421" s="18" t="s">
        <v>127</v>
      </c>
      <c r="C421" s="18" t="s">
        <v>72</v>
      </c>
      <c r="D421" s="18" t="s">
        <v>41</v>
      </c>
      <c r="E421" s="18" t="s">
        <v>596</v>
      </c>
      <c r="F421" s="18" t="s">
        <v>200</v>
      </c>
      <c r="G421" s="18" t="s">
        <v>76</v>
      </c>
      <c r="H421" s="18" t="s">
        <v>1814</v>
      </c>
      <c r="I421" s="18" t="s">
        <v>105</v>
      </c>
      <c r="J421" s="18" t="s">
        <v>106</v>
      </c>
      <c r="K421" s="18" t="s">
        <v>46</v>
      </c>
      <c r="L421" s="18" t="s">
        <v>78</v>
      </c>
      <c r="M421" s="18">
        <v>20</v>
      </c>
      <c r="N421" s="18">
        <v>1200</v>
      </c>
      <c r="O421" s="18">
        <v>20</v>
      </c>
      <c r="P421" s="18">
        <v>19200</v>
      </c>
      <c r="Q421" s="18">
        <v>5</v>
      </c>
      <c r="R421" s="18" t="s">
        <v>48</v>
      </c>
      <c r="S421" s="18" t="s">
        <v>61</v>
      </c>
      <c r="T421" s="18" t="s">
        <v>132</v>
      </c>
      <c r="U421" s="19" t="s">
        <v>1815</v>
      </c>
      <c r="V421" s="18" t="s">
        <v>69</v>
      </c>
      <c r="W421" t="str">
        <f t="shared" si="24"/>
        <v>Blacklisted</v>
      </c>
      <c r="X421" s="27" t="str">
        <f t="shared" si="25"/>
        <v>Rohit Singh</v>
      </c>
      <c r="Y421" s="29" t="str">
        <f t="shared" si="26"/>
        <v>Roh00IDMu</v>
      </c>
      <c r="Z421" s="30" t="str">
        <f t="shared" si="27"/>
        <v>rohit.singh@company.com</v>
      </c>
    </row>
    <row r="422" spans="1:26">
      <c r="A422" s="15" t="s">
        <v>1816</v>
      </c>
      <c r="B422" s="15" t="s">
        <v>71</v>
      </c>
      <c r="C422" s="15" t="s">
        <v>72</v>
      </c>
      <c r="D422" s="15" t="s">
        <v>128</v>
      </c>
      <c r="E422" s="15" t="s">
        <v>1817</v>
      </c>
      <c r="F422" s="15" t="s">
        <v>217</v>
      </c>
      <c r="G422" s="15" t="s">
        <v>76</v>
      </c>
      <c r="H422" s="15" t="s">
        <v>1818</v>
      </c>
      <c r="I422" s="15" t="s">
        <v>114</v>
      </c>
      <c r="J422" s="15" t="s">
        <v>106</v>
      </c>
      <c r="K422" s="15" t="s">
        <v>46</v>
      </c>
      <c r="L422" s="15" t="s">
        <v>78</v>
      </c>
      <c r="M422" s="15">
        <v>8</v>
      </c>
      <c r="N422" s="15">
        <v>1200</v>
      </c>
      <c r="O422" s="15">
        <v>10</v>
      </c>
      <c r="P422" s="15">
        <v>8640</v>
      </c>
      <c r="Q422" s="15">
        <v>4</v>
      </c>
      <c r="R422" s="15" t="s">
        <v>48</v>
      </c>
      <c r="S422" s="15" t="s">
        <v>61</v>
      </c>
      <c r="T422" s="15" t="s">
        <v>80</v>
      </c>
      <c r="U422" s="17" t="s">
        <v>1819</v>
      </c>
      <c r="V422" s="15" t="s">
        <v>38</v>
      </c>
      <c r="W422" t="str">
        <f t="shared" si="24"/>
        <v>Silver</v>
      </c>
      <c r="X422" s="27" t="str">
        <f t="shared" si="25"/>
        <v>Mohit Verma</v>
      </c>
      <c r="Y422" s="29" t="str">
        <f t="shared" si="26"/>
        <v>Moh00IDPu</v>
      </c>
      <c r="Z422" s="30" t="str">
        <f t="shared" si="27"/>
        <v>mohit.verma@company.com</v>
      </c>
    </row>
    <row r="423" spans="1:26">
      <c r="A423" s="18" t="s">
        <v>1820</v>
      </c>
      <c r="B423" s="18" t="s">
        <v>127</v>
      </c>
      <c r="C423" s="18" t="s">
        <v>72</v>
      </c>
      <c r="D423" s="18" t="s">
        <v>1085</v>
      </c>
      <c r="E423" s="18" t="s">
        <v>1086</v>
      </c>
      <c r="F423" s="18" t="s">
        <v>200</v>
      </c>
      <c r="G423" s="18" t="s">
        <v>76</v>
      </c>
      <c r="H423" s="18" t="s">
        <v>1821</v>
      </c>
      <c r="I423" s="18" t="s">
        <v>212</v>
      </c>
      <c r="J423" s="18" t="s">
        <v>45</v>
      </c>
      <c r="K423" s="18" t="s">
        <v>46</v>
      </c>
      <c r="L423" s="18" t="s">
        <v>78</v>
      </c>
      <c r="M423" s="18">
        <v>8</v>
      </c>
      <c r="N423" s="18">
        <v>1200</v>
      </c>
      <c r="O423" s="18">
        <v>10</v>
      </c>
      <c r="P423" s="18">
        <v>8640</v>
      </c>
      <c r="Q423" s="18">
        <v>5</v>
      </c>
      <c r="R423" s="18" t="s">
        <v>79</v>
      </c>
      <c r="S423" s="18" t="s">
        <v>49</v>
      </c>
      <c r="T423" s="18" t="s">
        <v>132</v>
      </c>
      <c r="U423" s="19" t="s">
        <v>1822</v>
      </c>
      <c r="V423" s="18" t="s">
        <v>69</v>
      </c>
      <c r="W423" t="str">
        <f t="shared" si="24"/>
        <v>Blacklisted</v>
      </c>
      <c r="X423" s="27" t="str">
        <f t="shared" si="25"/>
        <v>Rohit Singh</v>
      </c>
      <c r="Y423" s="29" t="str">
        <f t="shared" si="26"/>
        <v>Roh00IDJa</v>
      </c>
      <c r="Z423" s="30" t="str">
        <f t="shared" si="27"/>
        <v>rohit.singh@company.com</v>
      </c>
    </row>
    <row r="424" spans="1:26">
      <c r="A424" s="15" t="s">
        <v>1823</v>
      </c>
      <c r="B424" s="15" t="s">
        <v>327</v>
      </c>
      <c r="C424" s="15" t="s">
        <v>24</v>
      </c>
      <c r="D424" s="15" t="s">
        <v>1824</v>
      </c>
      <c r="E424" s="15" t="s">
        <v>1444</v>
      </c>
      <c r="F424" s="15" t="s">
        <v>394</v>
      </c>
      <c r="G424" s="15" t="s">
        <v>76</v>
      </c>
      <c r="H424" s="15" t="s">
        <v>1825</v>
      </c>
      <c r="I424" s="15" t="s">
        <v>212</v>
      </c>
      <c r="J424" s="15" t="s">
        <v>45</v>
      </c>
      <c r="K424" s="15" t="s">
        <v>32</v>
      </c>
      <c r="L424" s="15" t="s">
        <v>33</v>
      </c>
      <c r="M424" s="15">
        <v>9</v>
      </c>
      <c r="N424" s="15">
        <v>2200</v>
      </c>
      <c r="O424" s="15">
        <v>20</v>
      </c>
      <c r="P424" s="15">
        <v>15840</v>
      </c>
      <c r="Q424" s="15">
        <v>1</v>
      </c>
      <c r="R424" s="15" t="s">
        <v>48</v>
      </c>
      <c r="S424" s="15" t="s">
        <v>115</v>
      </c>
      <c r="T424" s="15" t="s">
        <v>332</v>
      </c>
      <c r="U424" s="17" t="s">
        <v>1826</v>
      </c>
      <c r="V424" s="15" t="s">
        <v>38</v>
      </c>
      <c r="W424" t="str">
        <f t="shared" si="24"/>
        <v>Blacklisted</v>
      </c>
      <c r="X424" s="27" t="str">
        <f t="shared" si="25"/>
        <v>Amit Sharma</v>
      </c>
      <c r="Y424" s="29" t="str">
        <f t="shared" si="26"/>
        <v>Ami00IDJa</v>
      </c>
      <c r="Z424" s="30" t="str">
        <f t="shared" si="27"/>
        <v>amit.sharma@company.com</v>
      </c>
    </row>
    <row r="425" spans="1:26">
      <c r="A425" s="18" t="s">
        <v>1827</v>
      </c>
      <c r="B425" s="18" t="s">
        <v>127</v>
      </c>
      <c r="C425" s="18" t="s">
        <v>222</v>
      </c>
      <c r="D425" s="18" t="s">
        <v>1268</v>
      </c>
      <c r="E425" s="18" t="s">
        <v>760</v>
      </c>
      <c r="F425" s="18" t="s">
        <v>200</v>
      </c>
      <c r="G425" s="18" t="s">
        <v>76</v>
      </c>
      <c r="H425" s="18" t="s">
        <v>1828</v>
      </c>
      <c r="I425" s="18" t="s">
        <v>294</v>
      </c>
      <c r="J425" s="18" t="s">
        <v>295</v>
      </c>
      <c r="K425" s="18" t="s">
        <v>122</v>
      </c>
      <c r="L425" s="18" t="s">
        <v>227</v>
      </c>
      <c r="M425" s="18">
        <v>8</v>
      </c>
      <c r="N425" s="18">
        <v>20</v>
      </c>
      <c r="O425" s="18">
        <v>20</v>
      </c>
      <c r="P425" s="18">
        <v>128</v>
      </c>
      <c r="Q425" s="18">
        <v>4</v>
      </c>
      <c r="R425" s="18" t="s">
        <v>34</v>
      </c>
      <c r="S425" s="18" t="s">
        <v>35</v>
      </c>
      <c r="T425" s="18" t="s">
        <v>132</v>
      </c>
      <c r="U425" s="19" t="s">
        <v>1829</v>
      </c>
      <c r="V425" s="18" t="s">
        <v>69</v>
      </c>
      <c r="W425" t="str">
        <f t="shared" si="24"/>
        <v>Blacklisted</v>
      </c>
      <c r="X425" s="27" t="str">
        <f t="shared" si="25"/>
        <v>Rohit Singh</v>
      </c>
      <c r="Y425" s="29" t="str">
        <f t="shared" si="26"/>
        <v>Roh00IDKo</v>
      </c>
      <c r="Z425" s="30" t="str">
        <f t="shared" si="27"/>
        <v>rohit.singh@company.com</v>
      </c>
    </row>
    <row r="426" spans="1:26">
      <c r="A426" s="15" t="s">
        <v>1830</v>
      </c>
      <c r="B426" s="15" t="s">
        <v>221</v>
      </c>
      <c r="C426" s="15" t="s">
        <v>54</v>
      </c>
      <c r="D426" s="15" t="s">
        <v>1176</v>
      </c>
      <c r="E426" s="15" t="s">
        <v>1831</v>
      </c>
      <c r="F426" s="15" t="s">
        <v>225</v>
      </c>
      <c r="G426" s="15" t="s">
        <v>76</v>
      </c>
      <c r="H426" s="15" t="s">
        <v>1006</v>
      </c>
      <c r="I426" s="15" t="s">
        <v>114</v>
      </c>
      <c r="J426" s="15" t="s">
        <v>106</v>
      </c>
      <c r="K426" s="15" t="s">
        <v>46</v>
      </c>
      <c r="L426" s="15" t="s">
        <v>60</v>
      </c>
      <c r="M426" s="15">
        <v>5</v>
      </c>
      <c r="N426" s="15">
        <v>55000</v>
      </c>
      <c r="O426" s="15">
        <v>0</v>
      </c>
      <c r="P426" s="15">
        <v>275000</v>
      </c>
      <c r="Q426" s="15">
        <v>1</v>
      </c>
      <c r="R426" s="15" t="s">
        <v>79</v>
      </c>
      <c r="S426" s="15" t="s">
        <v>115</v>
      </c>
      <c r="T426" s="15" t="s">
        <v>228</v>
      </c>
      <c r="U426" s="17" t="s">
        <v>1832</v>
      </c>
      <c r="V426" s="15" t="s">
        <v>38</v>
      </c>
      <c r="W426" t="str">
        <f t="shared" si="24"/>
        <v>Blacklisted</v>
      </c>
      <c r="X426" s="27" t="str">
        <f t="shared" si="25"/>
        <v>Vikas Mehta</v>
      </c>
      <c r="Y426" s="29" t="str">
        <f t="shared" si="26"/>
        <v>Vik00IDPu</v>
      </c>
      <c r="Z426" s="30" t="str">
        <f t="shared" si="27"/>
        <v>vikas.mehta@company.com</v>
      </c>
    </row>
    <row r="427" spans="1:26">
      <c r="A427" s="18" t="s">
        <v>1833</v>
      </c>
      <c r="B427" s="18" t="s">
        <v>100</v>
      </c>
      <c r="C427" s="18" t="s">
        <v>72</v>
      </c>
      <c r="D427" s="18" t="s">
        <v>1834</v>
      </c>
      <c r="E427" s="18" t="s">
        <v>636</v>
      </c>
      <c r="F427" s="18" t="s">
        <v>103</v>
      </c>
      <c r="G427" s="18" t="s">
        <v>28</v>
      </c>
      <c r="H427" s="18" t="s">
        <v>1835</v>
      </c>
      <c r="I427" s="18" t="s">
        <v>105</v>
      </c>
      <c r="J427" s="18" t="s">
        <v>106</v>
      </c>
      <c r="K427" s="18" t="s">
        <v>46</v>
      </c>
      <c r="L427" s="18" t="s">
        <v>78</v>
      </c>
      <c r="M427" s="18">
        <v>13</v>
      </c>
      <c r="N427" s="18">
        <v>1200</v>
      </c>
      <c r="O427" s="18">
        <v>5</v>
      </c>
      <c r="P427" s="18">
        <v>14820</v>
      </c>
      <c r="Q427" s="18">
        <v>2</v>
      </c>
      <c r="R427" s="18" t="s">
        <v>79</v>
      </c>
      <c r="S427" s="18" t="s">
        <v>35</v>
      </c>
      <c r="T427" s="18" t="s">
        <v>144</v>
      </c>
      <c r="U427" s="19" t="s">
        <v>1836</v>
      </c>
      <c r="V427" s="18" t="s">
        <v>69</v>
      </c>
      <c r="W427" t="str">
        <f t="shared" si="24"/>
        <v>Blacklisted</v>
      </c>
      <c r="X427" s="27" t="str">
        <f t="shared" si="25"/>
        <v>Priya Patel</v>
      </c>
      <c r="Y427" s="29" t="str">
        <f t="shared" si="26"/>
        <v>Pri00IDMu</v>
      </c>
      <c r="Z427" s="30" t="str">
        <f t="shared" si="27"/>
        <v>priya.patel@company.com</v>
      </c>
    </row>
    <row r="428" spans="1:26">
      <c r="A428" s="15" t="s">
        <v>1837</v>
      </c>
      <c r="B428" s="15" t="s">
        <v>83</v>
      </c>
      <c r="C428" s="15" t="s">
        <v>169</v>
      </c>
      <c r="D428" s="15" t="s">
        <v>1484</v>
      </c>
      <c r="E428" s="15" t="s">
        <v>1838</v>
      </c>
      <c r="F428" s="15" t="s">
        <v>180</v>
      </c>
      <c r="G428" s="15" t="s">
        <v>76</v>
      </c>
      <c r="H428" s="15" t="s">
        <v>1839</v>
      </c>
      <c r="I428" s="15" t="s">
        <v>212</v>
      </c>
      <c r="J428" s="15" t="s">
        <v>45</v>
      </c>
      <c r="K428" s="15" t="s">
        <v>32</v>
      </c>
      <c r="L428" s="15" t="s">
        <v>174</v>
      </c>
      <c r="M428" s="15">
        <v>13</v>
      </c>
      <c r="N428" s="15">
        <v>8500</v>
      </c>
      <c r="O428" s="15">
        <v>20</v>
      </c>
      <c r="P428" s="15">
        <v>88400</v>
      </c>
      <c r="Q428" s="15">
        <v>5</v>
      </c>
      <c r="R428" s="15" t="s">
        <v>34</v>
      </c>
      <c r="S428" s="15" t="s">
        <v>49</v>
      </c>
      <c r="T428" s="15" t="s">
        <v>89</v>
      </c>
      <c r="U428" s="17" t="s">
        <v>1840</v>
      </c>
      <c r="V428" s="15" t="s">
        <v>64</v>
      </c>
      <c r="W428" t="str">
        <f t="shared" si="24"/>
        <v>Blacklisted</v>
      </c>
      <c r="X428" s="27" t="str">
        <f t="shared" si="25"/>
        <v>Arjun Rao</v>
      </c>
      <c r="Y428" s="29" t="str">
        <f t="shared" si="26"/>
        <v>Arj00IDJa</v>
      </c>
      <c r="Z428" s="30" t="str">
        <f t="shared" si="27"/>
        <v>arjun.rao@company.com</v>
      </c>
    </row>
    <row r="429" spans="1:26">
      <c r="A429" s="18" t="s">
        <v>1841</v>
      </c>
      <c r="B429" s="18" t="s">
        <v>71</v>
      </c>
      <c r="C429" s="18" t="s">
        <v>118</v>
      </c>
      <c r="D429" s="18" t="s">
        <v>765</v>
      </c>
      <c r="E429" s="18" t="s">
        <v>1842</v>
      </c>
      <c r="F429" s="18" t="s">
        <v>217</v>
      </c>
      <c r="G429" s="18" t="s">
        <v>76</v>
      </c>
      <c r="H429" s="18" t="s">
        <v>1843</v>
      </c>
      <c r="I429" s="18" t="s">
        <v>114</v>
      </c>
      <c r="J429" s="18" t="s">
        <v>106</v>
      </c>
      <c r="K429" s="18" t="s">
        <v>122</v>
      </c>
      <c r="L429" s="18" t="s">
        <v>123</v>
      </c>
      <c r="M429" s="18">
        <v>14</v>
      </c>
      <c r="N429" s="18">
        <v>60</v>
      </c>
      <c r="O429" s="18">
        <v>10</v>
      </c>
      <c r="P429" s="18">
        <v>756</v>
      </c>
      <c r="Q429" s="18">
        <v>1</v>
      </c>
      <c r="R429" s="18" t="s">
        <v>34</v>
      </c>
      <c r="S429" s="18" t="s">
        <v>61</v>
      </c>
      <c r="T429" s="18" t="s">
        <v>80</v>
      </c>
      <c r="U429" s="19" t="s">
        <v>1844</v>
      </c>
      <c r="V429" s="18" t="s">
        <v>69</v>
      </c>
      <c r="W429" t="str">
        <f t="shared" si="24"/>
        <v>Blacklisted</v>
      </c>
      <c r="X429" s="27" t="str">
        <f t="shared" si="25"/>
        <v>Mohit Verma</v>
      </c>
      <c r="Y429" s="29" t="str">
        <f t="shared" si="26"/>
        <v>Moh00IDPu</v>
      </c>
      <c r="Z429" s="30" t="str">
        <f t="shared" si="27"/>
        <v>mohit.verma@company.com</v>
      </c>
    </row>
    <row r="430" spans="1:26">
      <c r="A430" s="15" t="s">
        <v>1845</v>
      </c>
      <c r="B430" s="15" t="s">
        <v>251</v>
      </c>
      <c r="C430" s="15" t="s">
        <v>24</v>
      </c>
      <c r="D430" s="15" t="s">
        <v>336</v>
      </c>
      <c r="E430" s="15" t="s">
        <v>606</v>
      </c>
      <c r="F430" s="15" t="s">
        <v>254</v>
      </c>
      <c r="G430" s="15" t="s">
        <v>28</v>
      </c>
      <c r="H430" s="15" t="s">
        <v>1846</v>
      </c>
      <c r="I430" s="15" t="s">
        <v>59</v>
      </c>
      <c r="J430" s="15" t="s">
        <v>31</v>
      </c>
      <c r="K430" s="15" t="s">
        <v>32</v>
      </c>
      <c r="L430" s="15" t="s">
        <v>33</v>
      </c>
      <c r="M430" s="15">
        <v>15</v>
      </c>
      <c r="N430" s="15">
        <v>2200</v>
      </c>
      <c r="O430" s="15">
        <v>0</v>
      </c>
      <c r="P430" s="15">
        <v>33000</v>
      </c>
      <c r="Q430" s="15">
        <v>1</v>
      </c>
      <c r="R430" s="15" t="s">
        <v>34</v>
      </c>
      <c r="S430" s="15" t="s">
        <v>61</v>
      </c>
      <c r="T430" s="15" t="s">
        <v>256</v>
      </c>
      <c r="U430" s="17" t="s">
        <v>1847</v>
      </c>
      <c r="V430" s="15" t="s">
        <v>38</v>
      </c>
      <c r="W430" t="str">
        <f t="shared" si="24"/>
        <v>Blacklisted</v>
      </c>
      <c r="X430" s="27" t="str">
        <f t="shared" si="25"/>
        <v>Sneha Joshi</v>
      </c>
      <c r="Y430" s="29" t="str">
        <f t="shared" si="26"/>
        <v>Sne00IDBe</v>
      </c>
      <c r="Z430" s="30" t="str">
        <f t="shared" si="27"/>
        <v>sneha.joshi@company.com</v>
      </c>
    </row>
    <row r="431" spans="1:26">
      <c r="A431" s="18" t="s">
        <v>1848</v>
      </c>
      <c r="B431" s="18" t="s">
        <v>83</v>
      </c>
      <c r="C431" s="18" t="s">
        <v>118</v>
      </c>
      <c r="D431" s="18" t="s">
        <v>1849</v>
      </c>
      <c r="E431" s="18" t="s">
        <v>1850</v>
      </c>
      <c r="F431" s="18" t="s">
        <v>180</v>
      </c>
      <c r="G431" s="18" t="s">
        <v>76</v>
      </c>
      <c r="H431" s="18" t="s">
        <v>1851</v>
      </c>
      <c r="I431" s="18" t="s">
        <v>212</v>
      </c>
      <c r="J431" s="18" t="s">
        <v>45</v>
      </c>
      <c r="K431" s="18" t="s">
        <v>122</v>
      </c>
      <c r="L431" s="18" t="s">
        <v>123</v>
      </c>
      <c r="M431" s="18">
        <v>19</v>
      </c>
      <c r="N431" s="18">
        <v>60</v>
      </c>
      <c r="O431" s="18">
        <v>20</v>
      </c>
      <c r="P431" s="18">
        <v>912</v>
      </c>
      <c r="Q431" s="18">
        <v>3</v>
      </c>
      <c r="R431" s="18" t="s">
        <v>34</v>
      </c>
      <c r="S431" s="18" t="s">
        <v>151</v>
      </c>
      <c r="T431" s="18" t="s">
        <v>89</v>
      </c>
      <c r="U431" s="19" t="s">
        <v>1852</v>
      </c>
      <c r="V431" s="18" t="s">
        <v>64</v>
      </c>
      <c r="W431" t="str">
        <f t="shared" si="24"/>
        <v>Blacklisted</v>
      </c>
      <c r="X431" s="27" t="str">
        <f t="shared" si="25"/>
        <v>Arjun Rao</v>
      </c>
      <c r="Y431" s="29" t="str">
        <f t="shared" si="26"/>
        <v>Arj00IDJa</v>
      </c>
      <c r="Z431" s="30" t="str">
        <f t="shared" si="27"/>
        <v>arjun.rao@company.com</v>
      </c>
    </row>
    <row r="432" spans="1:26">
      <c r="A432" s="15" t="s">
        <v>1853</v>
      </c>
      <c r="B432" s="15" t="s">
        <v>53</v>
      </c>
      <c r="C432" s="15" t="s">
        <v>259</v>
      </c>
      <c r="D432" s="15" t="s">
        <v>1760</v>
      </c>
      <c r="E432" s="15" t="s">
        <v>341</v>
      </c>
      <c r="F432" s="15" t="s">
        <v>163</v>
      </c>
      <c r="G432" s="15" t="s">
        <v>28</v>
      </c>
      <c r="H432" s="15" t="s">
        <v>1854</v>
      </c>
      <c r="I432" s="15" t="s">
        <v>212</v>
      </c>
      <c r="J432" s="15" t="s">
        <v>45</v>
      </c>
      <c r="K432" s="15" t="s">
        <v>122</v>
      </c>
      <c r="L432" s="15" t="s">
        <v>263</v>
      </c>
      <c r="M432" s="15">
        <v>13</v>
      </c>
      <c r="N432" s="15">
        <v>45</v>
      </c>
      <c r="O432" s="15">
        <v>15</v>
      </c>
      <c r="P432" s="15">
        <v>497.25</v>
      </c>
      <c r="Q432" s="15">
        <v>2</v>
      </c>
      <c r="R432" s="15" t="s">
        <v>34</v>
      </c>
      <c r="S432" s="15" t="s">
        <v>49</v>
      </c>
      <c r="T432" s="15" t="s">
        <v>62</v>
      </c>
      <c r="U432" s="17" t="s">
        <v>1855</v>
      </c>
      <c r="V432" s="15" t="s">
        <v>38</v>
      </c>
      <c r="W432" t="str">
        <f t="shared" si="24"/>
        <v>Blacklisted</v>
      </c>
      <c r="X432" s="27" t="str">
        <f t="shared" si="25"/>
        <v>Pooja Shah</v>
      </c>
      <c r="Y432" s="29" t="str">
        <f t="shared" si="26"/>
        <v>Poo01IDJa</v>
      </c>
      <c r="Z432" s="30" t="str">
        <f t="shared" si="27"/>
        <v>pooja.shah@company.com</v>
      </c>
    </row>
    <row r="433" spans="1:26">
      <c r="A433" s="18" t="s">
        <v>1856</v>
      </c>
      <c r="B433" s="18" t="s">
        <v>251</v>
      </c>
      <c r="C433" s="18" t="s">
        <v>40</v>
      </c>
      <c r="D433" s="18" t="s">
        <v>998</v>
      </c>
      <c r="E433" s="18" t="s">
        <v>1128</v>
      </c>
      <c r="F433" s="18" t="s">
        <v>254</v>
      </c>
      <c r="G433" s="18" t="s">
        <v>28</v>
      </c>
      <c r="H433" s="18" t="s">
        <v>1857</v>
      </c>
      <c r="I433" s="18" t="s">
        <v>105</v>
      </c>
      <c r="J433" s="18" t="s">
        <v>106</v>
      </c>
      <c r="K433" s="18" t="s">
        <v>46</v>
      </c>
      <c r="L433" s="18" t="s">
        <v>47</v>
      </c>
      <c r="M433" s="18">
        <v>7</v>
      </c>
      <c r="N433" s="18">
        <v>12000</v>
      </c>
      <c r="O433" s="18">
        <v>5</v>
      </c>
      <c r="P433" s="18">
        <v>79800</v>
      </c>
      <c r="Q433" s="18">
        <v>4</v>
      </c>
      <c r="R433" s="18" t="s">
        <v>79</v>
      </c>
      <c r="S433" s="18" t="s">
        <v>151</v>
      </c>
      <c r="T433" s="18" t="s">
        <v>256</v>
      </c>
      <c r="U433" s="19" t="s">
        <v>1858</v>
      </c>
      <c r="V433" s="18" t="s">
        <v>69</v>
      </c>
      <c r="W433" t="str">
        <f t="shared" si="24"/>
        <v>Blacklisted</v>
      </c>
      <c r="X433" s="27" t="str">
        <f t="shared" si="25"/>
        <v>Sneha Joshi</v>
      </c>
      <c r="Y433" s="29" t="str">
        <f t="shared" si="26"/>
        <v>Sne00IDMu</v>
      </c>
      <c r="Z433" s="30" t="str">
        <f t="shared" si="27"/>
        <v>sneha.joshi@company.com</v>
      </c>
    </row>
    <row r="434" spans="1:26">
      <c r="A434" s="15" t="s">
        <v>1859</v>
      </c>
      <c r="B434" s="15" t="s">
        <v>327</v>
      </c>
      <c r="C434" s="15" t="s">
        <v>222</v>
      </c>
      <c r="D434" s="15" t="s">
        <v>601</v>
      </c>
      <c r="E434" s="15"/>
      <c r="F434" s="15" t="s">
        <v>394</v>
      </c>
      <c r="G434" s="15" t="s">
        <v>76</v>
      </c>
      <c r="H434" s="15" t="s">
        <v>1860</v>
      </c>
      <c r="I434" s="15" t="s">
        <v>294</v>
      </c>
      <c r="J434" s="15" t="s">
        <v>295</v>
      </c>
      <c r="K434" s="15" t="s">
        <v>122</v>
      </c>
      <c r="L434" s="15" t="s">
        <v>227</v>
      </c>
      <c r="M434" s="15">
        <v>8</v>
      </c>
      <c r="N434" s="15">
        <v>20</v>
      </c>
      <c r="O434" s="15">
        <v>0</v>
      </c>
      <c r="P434" s="15">
        <v>160</v>
      </c>
      <c r="Q434" s="15">
        <v>4</v>
      </c>
      <c r="R434" s="15" t="s">
        <v>79</v>
      </c>
      <c r="S434" s="15" t="s">
        <v>61</v>
      </c>
      <c r="T434" s="15" t="s">
        <v>332</v>
      </c>
      <c r="U434" s="17" t="s">
        <v>1861</v>
      </c>
      <c r="V434" s="15" t="s">
        <v>64</v>
      </c>
      <c r="W434" t="str">
        <f t="shared" si="24"/>
        <v>Blacklisted</v>
      </c>
      <c r="X434" s="27" t="str">
        <f t="shared" si="25"/>
        <v>Amit Sharma</v>
      </c>
      <c r="Y434" s="29" t="str">
        <f t="shared" si="26"/>
        <v>Ami00IDKo</v>
      </c>
      <c r="Z434" s="30" t="str">
        <f t="shared" si="27"/>
        <v>amit.sharma@company.com</v>
      </c>
    </row>
    <row r="435" spans="1:26">
      <c r="A435" s="18" t="s">
        <v>1862</v>
      </c>
      <c r="B435" s="18" t="s">
        <v>23</v>
      </c>
      <c r="C435" s="18" t="s">
        <v>92</v>
      </c>
      <c r="D435" s="18" t="s">
        <v>1863</v>
      </c>
      <c r="E435" s="18" t="s">
        <v>900</v>
      </c>
      <c r="F435" s="18" t="s">
        <v>27</v>
      </c>
      <c r="G435" s="18" t="s">
        <v>28</v>
      </c>
      <c r="H435" s="18" t="s">
        <v>1864</v>
      </c>
      <c r="I435" s="18" t="s">
        <v>294</v>
      </c>
      <c r="J435" s="18" t="s">
        <v>295</v>
      </c>
      <c r="K435" s="18" t="s">
        <v>32</v>
      </c>
      <c r="L435" s="18" t="s">
        <v>97</v>
      </c>
      <c r="M435" s="18">
        <v>16</v>
      </c>
      <c r="N435" s="18">
        <v>3500</v>
      </c>
      <c r="O435" s="18">
        <v>5</v>
      </c>
      <c r="P435" s="18">
        <v>53200</v>
      </c>
      <c r="Q435" s="18">
        <v>1</v>
      </c>
      <c r="R435" s="18" t="s">
        <v>79</v>
      </c>
      <c r="S435" s="18" t="s">
        <v>61</v>
      </c>
      <c r="T435" s="18" t="s">
        <v>50</v>
      </c>
      <c r="U435" s="19" t="s">
        <v>1865</v>
      </c>
      <c r="V435" s="18" t="s">
        <v>69</v>
      </c>
      <c r="W435" t="str">
        <f t="shared" si="24"/>
        <v>Blacklisted</v>
      </c>
      <c r="X435" s="27" t="str">
        <f t="shared" si="25"/>
        <v>Kavya Nair</v>
      </c>
      <c r="Y435" s="29" t="str">
        <f t="shared" si="26"/>
        <v>Kav00IDKo</v>
      </c>
      <c r="Z435" s="30" t="str">
        <f t="shared" si="27"/>
        <v>kavya.nair@company.com</v>
      </c>
    </row>
    <row r="436" spans="1:26">
      <c r="A436" s="15" t="s">
        <v>1866</v>
      </c>
      <c r="B436" s="15" t="s">
        <v>327</v>
      </c>
      <c r="C436" s="15" t="s">
        <v>169</v>
      </c>
      <c r="D436" s="15" t="s">
        <v>1867</v>
      </c>
      <c r="E436" s="15" t="s">
        <v>1157</v>
      </c>
      <c r="F436" s="15" t="s">
        <v>394</v>
      </c>
      <c r="G436" s="15" t="s">
        <v>76</v>
      </c>
      <c r="H436" s="15" t="s">
        <v>1868</v>
      </c>
      <c r="I436" s="15" t="s">
        <v>105</v>
      </c>
      <c r="J436" s="15" t="s">
        <v>106</v>
      </c>
      <c r="K436" s="15" t="s">
        <v>32</v>
      </c>
      <c r="L436" s="15" t="s">
        <v>174</v>
      </c>
      <c r="M436" s="15">
        <v>12</v>
      </c>
      <c r="N436" s="15">
        <v>8500</v>
      </c>
      <c r="O436" s="15">
        <v>10</v>
      </c>
      <c r="P436" s="15">
        <v>91800</v>
      </c>
      <c r="Q436" s="15">
        <v>3</v>
      </c>
      <c r="R436" s="15" t="s">
        <v>79</v>
      </c>
      <c r="S436" s="15" t="s">
        <v>35</v>
      </c>
      <c r="T436" s="15" t="s">
        <v>332</v>
      </c>
      <c r="U436" s="17" t="s">
        <v>1869</v>
      </c>
      <c r="V436" s="15" t="s">
        <v>38</v>
      </c>
      <c r="W436" t="str">
        <f t="shared" si="24"/>
        <v>Gold</v>
      </c>
      <c r="X436" s="27" t="str">
        <f t="shared" si="25"/>
        <v>Amit Sharma</v>
      </c>
      <c r="Y436" s="29" t="str">
        <f t="shared" si="26"/>
        <v>Ami00IDMu</v>
      </c>
      <c r="Z436" s="30" t="str">
        <f t="shared" si="27"/>
        <v>amit.sharma@company.com</v>
      </c>
    </row>
    <row r="437" spans="1:26">
      <c r="A437" s="18" t="s">
        <v>1870</v>
      </c>
      <c r="B437" s="18" t="s">
        <v>23</v>
      </c>
      <c r="C437" s="18" t="s">
        <v>118</v>
      </c>
      <c r="D437" s="18" t="s">
        <v>539</v>
      </c>
      <c r="E437" s="18" t="s">
        <v>1114</v>
      </c>
      <c r="F437" s="18" t="s">
        <v>27</v>
      </c>
      <c r="G437" s="18" t="s">
        <v>28</v>
      </c>
      <c r="H437" s="18" t="s">
        <v>1871</v>
      </c>
      <c r="I437" s="18" t="s">
        <v>138</v>
      </c>
      <c r="J437" s="18" t="s">
        <v>106</v>
      </c>
      <c r="K437" s="18" t="s">
        <v>122</v>
      </c>
      <c r="L437" s="18" t="s">
        <v>123</v>
      </c>
      <c r="M437" s="18">
        <v>1</v>
      </c>
      <c r="N437" s="18">
        <v>60</v>
      </c>
      <c r="O437" s="18">
        <v>20</v>
      </c>
      <c r="P437" s="18">
        <v>48</v>
      </c>
      <c r="Q437" s="18">
        <v>2</v>
      </c>
      <c r="R437" s="18" t="s">
        <v>79</v>
      </c>
      <c r="S437" s="18" t="s">
        <v>151</v>
      </c>
      <c r="T437" s="18" t="s">
        <v>50</v>
      </c>
      <c r="U437" s="19" t="s">
        <v>1872</v>
      </c>
      <c r="V437" s="18" t="s">
        <v>38</v>
      </c>
      <c r="W437" t="str">
        <f t="shared" si="24"/>
        <v>Blacklisted</v>
      </c>
      <c r="X437" s="27" t="str">
        <f t="shared" si="25"/>
        <v>Kavya Nair</v>
      </c>
      <c r="Y437" s="29" t="str">
        <f t="shared" si="26"/>
        <v>Kav00IDAh</v>
      </c>
      <c r="Z437" s="30" t="str">
        <f t="shared" si="27"/>
        <v>kavya.nair@company.com</v>
      </c>
    </row>
    <row r="438" spans="1:26">
      <c r="A438" s="15" t="s">
        <v>1873</v>
      </c>
      <c r="B438" s="15" t="s">
        <v>127</v>
      </c>
      <c r="C438" s="15" t="s">
        <v>118</v>
      </c>
      <c r="D438" s="15" t="s">
        <v>507</v>
      </c>
      <c r="E438" s="15" t="s">
        <v>535</v>
      </c>
      <c r="F438" s="15" t="s">
        <v>200</v>
      </c>
      <c r="G438" s="15" t="s">
        <v>76</v>
      </c>
      <c r="H438" s="15" t="s">
        <v>1874</v>
      </c>
      <c r="I438" s="15" t="s">
        <v>30</v>
      </c>
      <c r="J438" s="15" t="s">
        <v>31</v>
      </c>
      <c r="K438" s="15" t="s">
        <v>122</v>
      </c>
      <c r="L438" s="15" t="s">
        <v>123</v>
      </c>
      <c r="M438" s="15">
        <v>3</v>
      </c>
      <c r="N438" s="15">
        <v>60</v>
      </c>
      <c r="O438" s="15">
        <v>15</v>
      </c>
      <c r="P438" s="15">
        <v>153</v>
      </c>
      <c r="Q438" s="15">
        <v>4</v>
      </c>
      <c r="R438" s="15" t="s">
        <v>79</v>
      </c>
      <c r="S438" s="15" t="s">
        <v>35</v>
      </c>
      <c r="T438" s="15" t="s">
        <v>132</v>
      </c>
      <c r="U438" s="17" t="s">
        <v>1875</v>
      </c>
      <c r="V438" s="15" t="s">
        <v>38</v>
      </c>
      <c r="W438" t="str">
        <f t="shared" si="24"/>
        <v>Silver</v>
      </c>
      <c r="X438" s="27" t="str">
        <f t="shared" si="25"/>
        <v>Rohit Singh</v>
      </c>
      <c r="Y438" s="29" t="str">
        <f t="shared" si="26"/>
        <v>Roh00IDHy</v>
      </c>
      <c r="Z438" s="30" t="str">
        <f t="shared" si="27"/>
        <v>rohit.singh@company.com</v>
      </c>
    </row>
    <row r="439" spans="1:26">
      <c r="A439" s="18" t="s">
        <v>1876</v>
      </c>
      <c r="B439" s="18" t="s">
        <v>100</v>
      </c>
      <c r="C439" s="18" t="s">
        <v>184</v>
      </c>
      <c r="D439" s="18" t="s">
        <v>568</v>
      </c>
      <c r="E439" s="18" t="s">
        <v>119</v>
      </c>
      <c r="F439" s="18" t="s">
        <v>103</v>
      </c>
      <c r="G439" s="18" t="s">
        <v>28</v>
      </c>
      <c r="H439" s="18" t="s">
        <v>1877</v>
      </c>
      <c r="I439" s="18" t="s">
        <v>294</v>
      </c>
      <c r="J439" s="18" t="s">
        <v>295</v>
      </c>
      <c r="K439" s="18" t="s">
        <v>46</v>
      </c>
      <c r="L439" s="18" t="s">
        <v>189</v>
      </c>
      <c r="M439" s="18">
        <v>10</v>
      </c>
      <c r="N439" s="18">
        <v>700</v>
      </c>
      <c r="O439" s="18">
        <v>15</v>
      </c>
      <c r="P439" s="18">
        <v>5950</v>
      </c>
      <c r="Q439" s="18">
        <v>3</v>
      </c>
      <c r="R439" s="18" t="s">
        <v>48</v>
      </c>
      <c r="S439" s="18" t="s">
        <v>35</v>
      </c>
      <c r="T439" s="18" t="s">
        <v>144</v>
      </c>
      <c r="U439" s="19" t="s">
        <v>1878</v>
      </c>
      <c r="V439" s="18" t="s">
        <v>64</v>
      </c>
      <c r="W439" t="str">
        <f t="shared" si="24"/>
        <v>Blacklisted</v>
      </c>
      <c r="X439" s="27" t="str">
        <f t="shared" si="25"/>
        <v>Priya Patel</v>
      </c>
      <c r="Y439" s="29" t="str">
        <f t="shared" si="26"/>
        <v>Pri00IDKo</v>
      </c>
      <c r="Z439" s="30" t="str">
        <f t="shared" si="27"/>
        <v>priya.patel@company.com</v>
      </c>
    </row>
    <row r="440" spans="1:26">
      <c r="A440" s="15" t="s">
        <v>1879</v>
      </c>
      <c r="B440" s="15" t="s">
        <v>83</v>
      </c>
      <c r="C440" s="15" t="s">
        <v>222</v>
      </c>
      <c r="D440" s="15" t="s">
        <v>1880</v>
      </c>
      <c r="E440" s="15" t="s">
        <v>1881</v>
      </c>
      <c r="F440" s="15" t="s">
        <v>180</v>
      </c>
      <c r="G440" s="15" t="s">
        <v>76</v>
      </c>
      <c r="H440" s="15" t="s">
        <v>1882</v>
      </c>
      <c r="I440" s="15" t="s">
        <v>138</v>
      </c>
      <c r="J440" s="15" t="s">
        <v>106</v>
      </c>
      <c r="K440" s="15" t="s">
        <v>122</v>
      </c>
      <c r="L440" s="15" t="s">
        <v>227</v>
      </c>
      <c r="M440" s="15">
        <v>2</v>
      </c>
      <c r="N440" s="15">
        <v>20</v>
      </c>
      <c r="O440" s="15">
        <v>10</v>
      </c>
      <c r="P440" s="15">
        <v>36</v>
      </c>
      <c r="Q440" s="15">
        <v>2</v>
      </c>
      <c r="R440" s="15" t="s">
        <v>88</v>
      </c>
      <c r="S440" s="15" t="s">
        <v>61</v>
      </c>
      <c r="T440" s="15" t="s">
        <v>89</v>
      </c>
      <c r="U440" s="17" t="s">
        <v>1883</v>
      </c>
      <c r="V440" s="15" t="s">
        <v>38</v>
      </c>
      <c r="W440" t="str">
        <f t="shared" si="24"/>
        <v>Blacklisted</v>
      </c>
      <c r="X440" s="27" t="str">
        <f t="shared" si="25"/>
        <v>Arjun Rao</v>
      </c>
      <c r="Y440" s="29" t="str">
        <f t="shared" si="26"/>
        <v>Arj00IDAh</v>
      </c>
      <c r="Z440" s="30" t="str">
        <f t="shared" si="27"/>
        <v>arjun.rao@company.com</v>
      </c>
    </row>
    <row r="441" spans="1:26">
      <c r="A441" s="18" t="s">
        <v>1884</v>
      </c>
      <c r="B441" s="18" t="s">
        <v>83</v>
      </c>
      <c r="C441" s="18" t="s">
        <v>222</v>
      </c>
      <c r="D441" s="18" t="s">
        <v>1885</v>
      </c>
      <c r="E441" s="18" t="s">
        <v>1199</v>
      </c>
      <c r="F441" s="18" t="s">
        <v>180</v>
      </c>
      <c r="G441" s="18" t="s">
        <v>76</v>
      </c>
      <c r="H441" s="18" t="s">
        <v>1886</v>
      </c>
      <c r="I441" s="18" t="s">
        <v>44</v>
      </c>
      <c r="J441" s="18" t="s">
        <v>45</v>
      </c>
      <c r="K441" s="18" t="s">
        <v>122</v>
      </c>
      <c r="L441" s="18" t="s">
        <v>227</v>
      </c>
      <c r="M441" s="18">
        <v>14</v>
      </c>
      <c r="N441" s="18">
        <v>20</v>
      </c>
      <c r="O441" s="18">
        <v>20</v>
      </c>
      <c r="P441" s="18">
        <v>224</v>
      </c>
      <c r="Q441" s="18">
        <v>5</v>
      </c>
      <c r="R441" s="18" t="s">
        <v>34</v>
      </c>
      <c r="S441" s="18" t="s">
        <v>151</v>
      </c>
      <c r="T441" s="18" t="s">
        <v>89</v>
      </c>
      <c r="U441" s="19" t="s">
        <v>1887</v>
      </c>
      <c r="V441" s="18" t="s">
        <v>64</v>
      </c>
      <c r="W441" t="str">
        <f t="shared" si="24"/>
        <v>Blacklisted</v>
      </c>
      <c r="X441" s="27" t="str">
        <f t="shared" si="25"/>
        <v>Arjun Rao</v>
      </c>
      <c r="Y441" s="29" t="str">
        <f t="shared" si="26"/>
        <v>Arj00IDDe</v>
      </c>
      <c r="Z441" s="30" t="str">
        <f t="shared" si="27"/>
        <v>arjun.rao@company.com</v>
      </c>
    </row>
    <row r="442" spans="1:26">
      <c r="A442" s="15" t="s">
        <v>1888</v>
      </c>
      <c r="B442" s="15" t="s">
        <v>327</v>
      </c>
      <c r="C442" s="15" t="s">
        <v>92</v>
      </c>
      <c r="D442" s="15" t="s">
        <v>1713</v>
      </c>
      <c r="E442" s="15" t="s">
        <v>193</v>
      </c>
      <c r="F442" s="15" t="s">
        <v>394</v>
      </c>
      <c r="G442" s="15" t="s">
        <v>76</v>
      </c>
      <c r="H442" s="15" t="s">
        <v>1889</v>
      </c>
      <c r="I442" s="15" t="s">
        <v>138</v>
      </c>
      <c r="J442" s="15" t="s">
        <v>106</v>
      </c>
      <c r="K442" s="15" t="s">
        <v>32</v>
      </c>
      <c r="L442" s="15" t="s">
        <v>97</v>
      </c>
      <c r="M442" s="15">
        <v>4</v>
      </c>
      <c r="N442" s="15">
        <v>3500</v>
      </c>
      <c r="O442" s="15">
        <v>0</v>
      </c>
      <c r="P442" s="15">
        <v>14000</v>
      </c>
      <c r="Q442" s="15">
        <v>2</v>
      </c>
      <c r="R442" s="15" t="s">
        <v>88</v>
      </c>
      <c r="S442" s="15" t="s">
        <v>35</v>
      </c>
      <c r="T442" s="15" t="s">
        <v>332</v>
      </c>
      <c r="U442" s="17" t="s">
        <v>1890</v>
      </c>
      <c r="V442" s="15" t="s">
        <v>69</v>
      </c>
      <c r="W442" t="str">
        <f t="shared" si="24"/>
        <v>Blacklisted</v>
      </c>
      <c r="X442" s="27" t="str">
        <f t="shared" si="25"/>
        <v>Amit Sharma</v>
      </c>
      <c r="Y442" s="29" t="str">
        <f t="shared" si="26"/>
        <v>Ami00IDAh</v>
      </c>
      <c r="Z442" s="30" t="str">
        <f t="shared" si="27"/>
        <v>amit.sharma@company.com</v>
      </c>
    </row>
    <row r="443" spans="1:26">
      <c r="A443" s="18" t="s">
        <v>1891</v>
      </c>
      <c r="B443" s="18" t="s">
        <v>83</v>
      </c>
      <c r="C443" s="18" t="s">
        <v>92</v>
      </c>
      <c r="D443" s="18" t="s">
        <v>318</v>
      </c>
      <c r="E443" s="18" t="s">
        <v>1119</v>
      </c>
      <c r="F443" s="18" t="s">
        <v>180</v>
      </c>
      <c r="G443" s="18" t="s">
        <v>76</v>
      </c>
      <c r="H443" s="18" t="s">
        <v>1892</v>
      </c>
      <c r="I443" s="18" t="s">
        <v>212</v>
      </c>
      <c r="J443" s="18" t="s">
        <v>45</v>
      </c>
      <c r="K443" s="18" t="s">
        <v>32</v>
      </c>
      <c r="L443" s="18" t="s">
        <v>97</v>
      </c>
      <c r="M443" s="18">
        <v>9</v>
      </c>
      <c r="N443" s="18">
        <v>3500</v>
      </c>
      <c r="O443" s="18">
        <v>5</v>
      </c>
      <c r="P443" s="18">
        <v>29925</v>
      </c>
      <c r="Q443" s="18">
        <v>3</v>
      </c>
      <c r="R443" s="18" t="s">
        <v>79</v>
      </c>
      <c r="S443" s="18" t="s">
        <v>61</v>
      </c>
      <c r="T443" s="18" t="s">
        <v>89</v>
      </c>
      <c r="U443" s="19" t="s">
        <v>1893</v>
      </c>
      <c r="V443" s="18" t="s">
        <v>38</v>
      </c>
      <c r="W443" t="str">
        <f t="shared" si="24"/>
        <v>Silver</v>
      </c>
      <c r="X443" s="27" t="str">
        <f t="shared" si="25"/>
        <v>Arjun Rao</v>
      </c>
      <c r="Y443" s="29" t="str">
        <f t="shared" si="26"/>
        <v>Arj00IDJa</v>
      </c>
      <c r="Z443" s="30" t="str">
        <f t="shared" si="27"/>
        <v>arjun.rao@company.com</v>
      </c>
    </row>
    <row r="444" spans="1:26">
      <c r="A444" s="15" t="s">
        <v>1894</v>
      </c>
      <c r="B444" s="15" t="s">
        <v>127</v>
      </c>
      <c r="C444" s="15" t="s">
        <v>118</v>
      </c>
      <c r="D444" s="15" t="s">
        <v>683</v>
      </c>
      <c r="E444" s="15" t="s">
        <v>1465</v>
      </c>
      <c r="F444" s="15" t="s">
        <v>200</v>
      </c>
      <c r="G444" s="15" t="s">
        <v>76</v>
      </c>
      <c r="H444" s="15" t="s">
        <v>1895</v>
      </c>
      <c r="I444" s="15" t="s">
        <v>105</v>
      </c>
      <c r="J444" s="15" t="s">
        <v>106</v>
      </c>
      <c r="K444" s="15" t="s">
        <v>122</v>
      </c>
      <c r="L444" s="15" t="s">
        <v>123</v>
      </c>
      <c r="M444" s="15">
        <v>9</v>
      </c>
      <c r="N444" s="15">
        <v>60</v>
      </c>
      <c r="O444" s="15">
        <v>0</v>
      </c>
      <c r="P444" s="15">
        <v>540</v>
      </c>
      <c r="Q444" s="15">
        <v>3</v>
      </c>
      <c r="R444" s="15" t="s">
        <v>88</v>
      </c>
      <c r="S444" s="15" t="s">
        <v>35</v>
      </c>
      <c r="T444" s="15" t="s">
        <v>132</v>
      </c>
      <c r="U444" s="17" t="s">
        <v>1896</v>
      </c>
      <c r="V444" s="15" t="s">
        <v>64</v>
      </c>
      <c r="W444" t="str">
        <f t="shared" si="24"/>
        <v>Blacklisted</v>
      </c>
      <c r="X444" s="27" t="str">
        <f t="shared" si="25"/>
        <v>Rohit Singh</v>
      </c>
      <c r="Y444" s="29" t="str">
        <f t="shared" si="26"/>
        <v>Roh00IDMu</v>
      </c>
      <c r="Z444" s="30" t="str">
        <f t="shared" si="27"/>
        <v>rohit.singh@company.com</v>
      </c>
    </row>
    <row r="445" spans="1:26">
      <c r="A445" s="18" t="s">
        <v>1897</v>
      </c>
      <c r="B445" s="18" t="s">
        <v>168</v>
      </c>
      <c r="C445" s="18" t="s">
        <v>72</v>
      </c>
      <c r="D445" s="18" t="s">
        <v>1898</v>
      </c>
      <c r="E445" s="18" t="s">
        <v>1263</v>
      </c>
      <c r="F445" s="18" t="s">
        <v>361</v>
      </c>
      <c r="G445" s="18" t="s">
        <v>28</v>
      </c>
      <c r="H445" s="18" t="s">
        <v>1899</v>
      </c>
      <c r="I445" s="18" t="s">
        <v>138</v>
      </c>
      <c r="J445" s="18" t="s">
        <v>106</v>
      </c>
      <c r="K445" s="18" t="s">
        <v>46</v>
      </c>
      <c r="L445" s="18" t="s">
        <v>78</v>
      </c>
      <c r="M445" s="18">
        <v>4</v>
      </c>
      <c r="N445" s="18">
        <v>1200</v>
      </c>
      <c r="O445" s="18">
        <v>0</v>
      </c>
      <c r="P445" s="18">
        <v>4800</v>
      </c>
      <c r="Q445" s="18">
        <v>1</v>
      </c>
      <c r="R445" s="18" t="s">
        <v>48</v>
      </c>
      <c r="S445" s="18" t="s">
        <v>61</v>
      </c>
      <c r="T445" s="18" t="s">
        <v>175</v>
      </c>
      <c r="U445" s="19" t="s">
        <v>1900</v>
      </c>
      <c r="V445" s="18" t="s">
        <v>38</v>
      </c>
      <c r="W445" t="str">
        <f t="shared" si="24"/>
        <v>Blacklisted</v>
      </c>
      <c r="X445" s="27" t="str">
        <f t="shared" si="25"/>
        <v>Anita Gupta</v>
      </c>
      <c r="Y445" s="29" t="str">
        <f t="shared" si="26"/>
        <v>Ani00IDAh</v>
      </c>
      <c r="Z445" s="30" t="str">
        <f t="shared" si="27"/>
        <v>anita.gupta@company.com</v>
      </c>
    </row>
    <row r="446" spans="1:26">
      <c r="A446" s="15" t="s">
        <v>1901</v>
      </c>
      <c r="B446" s="15" t="s">
        <v>53</v>
      </c>
      <c r="C446" s="15" t="s">
        <v>54</v>
      </c>
      <c r="D446" s="15" t="s">
        <v>1620</v>
      </c>
      <c r="E446" s="15" t="s">
        <v>302</v>
      </c>
      <c r="F446" s="15" t="s">
        <v>163</v>
      </c>
      <c r="G446" s="15" t="s">
        <v>28</v>
      </c>
      <c r="H446" s="15" t="s">
        <v>1902</v>
      </c>
      <c r="I446" s="15" t="s">
        <v>30</v>
      </c>
      <c r="J446" s="15" t="s">
        <v>31</v>
      </c>
      <c r="K446" s="15" t="s">
        <v>46</v>
      </c>
      <c r="L446" s="15" t="s">
        <v>60</v>
      </c>
      <c r="M446" s="15">
        <v>10</v>
      </c>
      <c r="N446" s="15">
        <v>55000</v>
      </c>
      <c r="O446" s="15">
        <v>5</v>
      </c>
      <c r="P446" s="15">
        <v>522500</v>
      </c>
      <c r="Q446" s="15">
        <v>5</v>
      </c>
      <c r="R446" s="15" t="s">
        <v>88</v>
      </c>
      <c r="S446" s="15" t="s">
        <v>115</v>
      </c>
      <c r="T446" s="15" t="s">
        <v>62</v>
      </c>
      <c r="U446" s="17" t="s">
        <v>1903</v>
      </c>
      <c r="V446" s="15" t="s">
        <v>38</v>
      </c>
      <c r="W446" t="str">
        <f t="shared" si="24"/>
        <v>Platinum</v>
      </c>
      <c r="X446" s="27" t="str">
        <f t="shared" si="25"/>
        <v>Pooja Shah</v>
      </c>
      <c r="Y446" s="29" t="str">
        <f t="shared" si="26"/>
        <v>Poo01IDHy</v>
      </c>
      <c r="Z446" s="30" t="str">
        <f t="shared" si="27"/>
        <v>pooja.shah@company.com</v>
      </c>
    </row>
    <row r="447" spans="1:26">
      <c r="A447" s="18" t="s">
        <v>1904</v>
      </c>
      <c r="B447" s="18" t="s">
        <v>221</v>
      </c>
      <c r="C447" s="18" t="s">
        <v>259</v>
      </c>
      <c r="D447" s="18" t="s">
        <v>1905</v>
      </c>
      <c r="E447" s="18" t="s">
        <v>881</v>
      </c>
      <c r="F447" s="18" t="s">
        <v>225</v>
      </c>
      <c r="G447" s="18" t="s">
        <v>76</v>
      </c>
      <c r="H447" s="18" t="s">
        <v>1906</v>
      </c>
      <c r="I447" s="18" t="s">
        <v>30</v>
      </c>
      <c r="J447" s="18" t="s">
        <v>31</v>
      </c>
      <c r="K447" s="18" t="s">
        <v>122</v>
      </c>
      <c r="L447" s="18" t="s">
        <v>263</v>
      </c>
      <c r="M447" s="18">
        <v>20</v>
      </c>
      <c r="N447" s="18">
        <v>45</v>
      </c>
      <c r="O447" s="18">
        <v>15</v>
      </c>
      <c r="P447" s="18">
        <v>765</v>
      </c>
      <c r="Q447" s="18">
        <v>2</v>
      </c>
      <c r="R447" s="18" t="s">
        <v>79</v>
      </c>
      <c r="S447" s="18" t="s">
        <v>35</v>
      </c>
      <c r="T447" s="18" t="s">
        <v>228</v>
      </c>
      <c r="U447" s="19" t="s">
        <v>1907</v>
      </c>
      <c r="V447" s="18" t="s">
        <v>69</v>
      </c>
      <c r="W447" t="str">
        <f t="shared" si="24"/>
        <v>Blacklisted</v>
      </c>
      <c r="X447" s="27" t="str">
        <f t="shared" si="25"/>
        <v>Vikas Mehta</v>
      </c>
      <c r="Y447" s="29" t="str">
        <f t="shared" si="26"/>
        <v>Vik00IDHy</v>
      </c>
      <c r="Z447" s="30" t="str">
        <f t="shared" si="27"/>
        <v>vikas.mehta@company.com</v>
      </c>
    </row>
    <row r="448" spans="1:26">
      <c r="A448" s="15" t="s">
        <v>1908</v>
      </c>
      <c r="B448" s="15" t="s">
        <v>23</v>
      </c>
      <c r="C448" s="15" t="s">
        <v>222</v>
      </c>
      <c r="D448" s="15" t="s">
        <v>314</v>
      </c>
      <c r="E448" s="15" t="s">
        <v>170</v>
      </c>
      <c r="F448" s="15" t="s">
        <v>27</v>
      </c>
      <c r="G448" s="15" t="s">
        <v>28</v>
      </c>
      <c r="H448" s="15" t="s">
        <v>1909</v>
      </c>
      <c r="I448" s="15" t="s">
        <v>105</v>
      </c>
      <c r="J448" s="15" t="s">
        <v>106</v>
      </c>
      <c r="K448" s="15" t="s">
        <v>122</v>
      </c>
      <c r="L448" s="15" t="s">
        <v>227</v>
      </c>
      <c r="M448" s="15">
        <v>9</v>
      </c>
      <c r="N448" s="15">
        <v>20</v>
      </c>
      <c r="O448" s="15">
        <v>20</v>
      </c>
      <c r="P448" s="15">
        <v>144</v>
      </c>
      <c r="Q448" s="15">
        <v>3</v>
      </c>
      <c r="R448" s="15" t="s">
        <v>79</v>
      </c>
      <c r="S448" s="15" t="s">
        <v>61</v>
      </c>
      <c r="T448" s="15" t="s">
        <v>50</v>
      </c>
      <c r="U448" s="17" t="s">
        <v>1910</v>
      </c>
      <c r="V448" s="15" t="s">
        <v>38</v>
      </c>
      <c r="W448" t="str">
        <f t="shared" si="24"/>
        <v>Silver</v>
      </c>
      <c r="X448" s="27" t="str">
        <f t="shared" si="25"/>
        <v>Kavya Nair</v>
      </c>
      <c r="Y448" s="29" t="str">
        <f t="shared" si="26"/>
        <v>Kav00IDMu</v>
      </c>
      <c r="Z448" s="30" t="str">
        <f t="shared" si="27"/>
        <v>kavya.nair@company.com</v>
      </c>
    </row>
    <row r="449" spans="1:26">
      <c r="A449" s="18" t="s">
        <v>1911</v>
      </c>
      <c r="B449" s="18" t="s">
        <v>23</v>
      </c>
      <c r="C449" s="18" t="s">
        <v>54</v>
      </c>
      <c r="D449" s="18" t="s">
        <v>1912</v>
      </c>
      <c r="E449" s="18" t="s">
        <v>910</v>
      </c>
      <c r="F449" s="18" t="s">
        <v>27</v>
      </c>
      <c r="G449" s="18" t="s">
        <v>28</v>
      </c>
      <c r="H449" s="18" t="s">
        <v>1913</v>
      </c>
      <c r="I449" s="18" t="s">
        <v>114</v>
      </c>
      <c r="J449" s="18" t="s">
        <v>106</v>
      </c>
      <c r="K449" s="18" t="s">
        <v>46</v>
      </c>
      <c r="L449" s="18" t="s">
        <v>60</v>
      </c>
      <c r="M449" s="18">
        <v>8</v>
      </c>
      <c r="N449" s="18">
        <v>55000</v>
      </c>
      <c r="O449" s="18">
        <v>0</v>
      </c>
      <c r="P449" s="18">
        <v>440000</v>
      </c>
      <c r="Q449" s="18">
        <v>4</v>
      </c>
      <c r="R449" s="18" t="s">
        <v>34</v>
      </c>
      <c r="S449" s="18" t="s">
        <v>115</v>
      </c>
      <c r="T449" s="18" t="s">
        <v>50</v>
      </c>
      <c r="U449" s="19" t="s">
        <v>1914</v>
      </c>
      <c r="V449" s="18" t="s">
        <v>38</v>
      </c>
      <c r="W449" t="str">
        <f t="shared" si="24"/>
        <v>Platinum</v>
      </c>
      <c r="X449" s="27" t="str">
        <f t="shared" si="25"/>
        <v>Kavya Nair</v>
      </c>
      <c r="Y449" s="29" t="str">
        <f t="shared" si="26"/>
        <v>Kav00IDPu</v>
      </c>
      <c r="Z449" s="30" t="str">
        <f t="shared" si="27"/>
        <v>kavya.nair@company.com</v>
      </c>
    </row>
    <row r="450" spans="1:26">
      <c r="A450" s="15" t="s">
        <v>1915</v>
      </c>
      <c r="B450" s="15" t="s">
        <v>327</v>
      </c>
      <c r="C450" s="15" t="s">
        <v>72</v>
      </c>
      <c r="D450" s="15" t="s">
        <v>1916</v>
      </c>
      <c r="E450" s="15" t="s">
        <v>1430</v>
      </c>
      <c r="F450" s="15" t="s">
        <v>394</v>
      </c>
      <c r="G450" s="15" t="s">
        <v>76</v>
      </c>
      <c r="H450" s="15" t="s">
        <v>1917</v>
      </c>
      <c r="I450" s="15" t="s">
        <v>138</v>
      </c>
      <c r="J450" s="15" t="s">
        <v>106</v>
      </c>
      <c r="K450" s="15" t="s">
        <v>46</v>
      </c>
      <c r="L450" s="15" t="s">
        <v>78</v>
      </c>
      <c r="M450" s="15">
        <v>4</v>
      </c>
      <c r="N450" s="15">
        <v>1200</v>
      </c>
      <c r="O450" s="15">
        <v>10</v>
      </c>
      <c r="P450" s="15">
        <v>4320</v>
      </c>
      <c r="Q450" s="15">
        <v>4</v>
      </c>
      <c r="R450" s="15" t="s">
        <v>88</v>
      </c>
      <c r="S450" s="15" t="s">
        <v>35</v>
      </c>
      <c r="T450" s="16" t="s">
        <v>1918</v>
      </c>
      <c r="U450" s="17" t="s">
        <v>1919</v>
      </c>
      <c r="V450" s="15" t="s">
        <v>69</v>
      </c>
      <c r="W450" t="str">
        <f t="shared" si="24"/>
        <v>Blacklisted</v>
      </c>
      <c r="X450" s="27" t="str">
        <f t="shared" si="25"/>
        <v>Amit Sharma</v>
      </c>
      <c r="Y450" s="29" t="str">
        <f t="shared" si="26"/>
        <v>Ami00IDAh</v>
      </c>
      <c r="Z450" s="30" t="str">
        <f t="shared" si="27"/>
        <v>amit.sharma@company.com</v>
      </c>
    </row>
    <row r="451" spans="1:26">
      <c r="A451" s="18" t="s">
        <v>1920</v>
      </c>
      <c r="B451" s="18" t="s">
        <v>327</v>
      </c>
      <c r="C451" s="18" t="s">
        <v>169</v>
      </c>
      <c r="D451" s="18" t="s">
        <v>518</v>
      </c>
      <c r="E451" s="18" t="s">
        <v>426</v>
      </c>
      <c r="F451" s="18" t="s">
        <v>394</v>
      </c>
      <c r="G451" s="18" t="s">
        <v>76</v>
      </c>
      <c r="H451" s="18" t="s">
        <v>1921</v>
      </c>
      <c r="I451" s="18" t="s">
        <v>294</v>
      </c>
      <c r="J451" s="18" t="s">
        <v>295</v>
      </c>
      <c r="K451" s="18" t="s">
        <v>32</v>
      </c>
      <c r="L451" s="18" t="s">
        <v>174</v>
      </c>
      <c r="M451" s="18">
        <v>14</v>
      </c>
      <c r="N451" s="18">
        <v>8500</v>
      </c>
      <c r="O451" s="18">
        <v>10</v>
      </c>
      <c r="P451" s="18">
        <v>107100</v>
      </c>
      <c r="Q451" s="18">
        <v>4</v>
      </c>
      <c r="R451" s="18" t="s">
        <v>34</v>
      </c>
      <c r="S451" s="18" t="s">
        <v>35</v>
      </c>
      <c r="T451" s="18" t="s">
        <v>332</v>
      </c>
      <c r="U451" s="19" t="s">
        <v>1922</v>
      </c>
      <c r="V451" s="18" t="s">
        <v>38</v>
      </c>
      <c r="W451" t="str">
        <f t="shared" ref="W451:W501" si="28">IF(OR(Q451&lt;=2,V451="Cancelled"),"Blacklisted",IF(AND(P451&gt;=100000,Q451&gt;=4,O451&lt;10,V451="Completed"),"Platinum",IF(AND(P451&gt;=50000,P451&lt;=99999,Q451&gt;=3,V451="Completed"),"Gold",IF(AND(P451&lt;50000,V451="Completed"),"Silver","Blacklisted"))))</f>
        <v>Blacklisted</v>
      </c>
      <c r="X451" s="27" t="str">
        <f t="shared" ref="X451:X501" si="29">PROPER(TRIM(F451))</f>
        <v>Amit Sharma</v>
      </c>
      <c r="Y451" s="29" t="str">
        <f t="shared" ref="Y451:Y501" si="30">LEFT(X451,3)&amp;MID(B451,2,2)&amp;"ID"&amp;LEFT(I451,2)</f>
        <v>Ami00IDKo</v>
      </c>
      <c r="Z451" s="30" t="str">
        <f t="shared" ref="Z451:Z501" si="31">IF(ISNUMBER(SEARCH("@",T451)),LOWER(TRIM(T451)),"Invalid Email")</f>
        <v>amit.sharma@company.com</v>
      </c>
    </row>
    <row r="452" spans="1:26">
      <c r="A452" s="15" t="s">
        <v>1923</v>
      </c>
      <c r="B452" s="15" t="s">
        <v>71</v>
      </c>
      <c r="C452" s="15" t="s">
        <v>259</v>
      </c>
      <c r="D452" s="15" t="s">
        <v>683</v>
      </c>
      <c r="E452" s="15" t="s">
        <v>1924</v>
      </c>
      <c r="F452" s="15" t="s">
        <v>217</v>
      </c>
      <c r="G452" s="15" t="s">
        <v>76</v>
      </c>
      <c r="H452" s="15" t="s">
        <v>1925</v>
      </c>
      <c r="I452" s="15" t="s">
        <v>30</v>
      </c>
      <c r="J452" s="15" t="s">
        <v>31</v>
      </c>
      <c r="K452" s="15" t="s">
        <v>122</v>
      </c>
      <c r="L452" s="15" t="s">
        <v>263</v>
      </c>
      <c r="M452" s="15">
        <v>1</v>
      </c>
      <c r="N452" s="15">
        <v>45</v>
      </c>
      <c r="O452" s="15">
        <v>0</v>
      </c>
      <c r="P452" s="15">
        <v>45</v>
      </c>
      <c r="Q452" s="15">
        <v>3</v>
      </c>
      <c r="R452" s="15" t="s">
        <v>88</v>
      </c>
      <c r="S452" s="15" t="s">
        <v>151</v>
      </c>
      <c r="T452" s="15" t="s">
        <v>80</v>
      </c>
      <c r="U452" s="17" t="s">
        <v>1926</v>
      </c>
      <c r="V452" s="15" t="s">
        <v>69</v>
      </c>
      <c r="W452" t="str">
        <f t="shared" si="28"/>
        <v>Blacklisted</v>
      </c>
      <c r="X452" s="27" t="str">
        <f t="shared" si="29"/>
        <v>Mohit Verma</v>
      </c>
      <c r="Y452" s="29" t="str">
        <f t="shared" si="30"/>
        <v>Moh00IDHy</v>
      </c>
      <c r="Z452" s="30" t="str">
        <f t="shared" si="31"/>
        <v>mohit.verma@company.com</v>
      </c>
    </row>
    <row r="453" spans="1:26">
      <c r="A453" s="18" t="s">
        <v>1927</v>
      </c>
      <c r="B453" s="18" t="s">
        <v>71</v>
      </c>
      <c r="C453" s="18" t="s">
        <v>54</v>
      </c>
      <c r="D453" s="18" t="s">
        <v>901</v>
      </c>
      <c r="E453" s="18" t="s">
        <v>1069</v>
      </c>
      <c r="F453" s="18" t="s">
        <v>217</v>
      </c>
      <c r="G453" s="18" t="s">
        <v>76</v>
      </c>
      <c r="H453" s="18" t="s">
        <v>1928</v>
      </c>
      <c r="I453" s="18" t="s">
        <v>44</v>
      </c>
      <c r="J453" s="18" t="s">
        <v>45</v>
      </c>
      <c r="K453" s="18" t="s">
        <v>46</v>
      </c>
      <c r="L453" s="18" t="s">
        <v>60</v>
      </c>
      <c r="M453" s="18">
        <v>16</v>
      </c>
      <c r="N453" s="18">
        <v>55000</v>
      </c>
      <c r="O453" s="18">
        <v>15</v>
      </c>
      <c r="P453" s="18">
        <v>748000</v>
      </c>
      <c r="Q453" s="18">
        <v>1</v>
      </c>
      <c r="R453" s="18" t="s">
        <v>79</v>
      </c>
      <c r="S453" s="18" t="s">
        <v>151</v>
      </c>
      <c r="T453" s="18" t="s">
        <v>80</v>
      </c>
      <c r="U453" s="19" t="s">
        <v>1929</v>
      </c>
      <c r="V453" s="18" t="s">
        <v>69</v>
      </c>
      <c r="W453" t="str">
        <f t="shared" si="28"/>
        <v>Blacklisted</v>
      </c>
      <c r="X453" s="27" t="str">
        <f t="shared" si="29"/>
        <v>Mohit Verma</v>
      </c>
      <c r="Y453" s="29" t="str">
        <f t="shared" si="30"/>
        <v>Moh00IDDe</v>
      </c>
      <c r="Z453" s="30" t="str">
        <f t="shared" si="31"/>
        <v>mohit.verma@company.com</v>
      </c>
    </row>
    <row r="454" spans="1:26">
      <c r="A454" s="15" t="s">
        <v>1930</v>
      </c>
      <c r="B454" s="15" t="s">
        <v>53</v>
      </c>
      <c r="C454" s="15" t="s">
        <v>184</v>
      </c>
      <c r="D454" s="15" t="s">
        <v>1931</v>
      </c>
      <c r="E454" s="15" t="s">
        <v>1932</v>
      </c>
      <c r="F454" s="15" t="s">
        <v>163</v>
      </c>
      <c r="G454" s="15" t="s">
        <v>28</v>
      </c>
      <c r="H454" s="15" t="s">
        <v>1933</v>
      </c>
      <c r="I454" s="15" t="s">
        <v>138</v>
      </c>
      <c r="J454" s="15" t="s">
        <v>106</v>
      </c>
      <c r="K454" s="15" t="s">
        <v>46</v>
      </c>
      <c r="L454" s="15" t="s">
        <v>189</v>
      </c>
      <c r="M454" s="15">
        <v>8</v>
      </c>
      <c r="N454" s="15">
        <v>700</v>
      </c>
      <c r="O454" s="15">
        <v>0</v>
      </c>
      <c r="P454" s="15">
        <v>5600</v>
      </c>
      <c r="Q454" s="15">
        <v>3</v>
      </c>
      <c r="R454" s="15" t="s">
        <v>34</v>
      </c>
      <c r="S454" s="15" t="s">
        <v>49</v>
      </c>
      <c r="T454" s="15" t="s">
        <v>62</v>
      </c>
      <c r="U454" s="17" t="s">
        <v>1934</v>
      </c>
      <c r="V454" s="15" t="s">
        <v>38</v>
      </c>
      <c r="W454" t="str">
        <f t="shared" si="28"/>
        <v>Silver</v>
      </c>
      <c r="X454" s="27" t="str">
        <f t="shared" si="29"/>
        <v>Pooja Shah</v>
      </c>
      <c r="Y454" s="29" t="str">
        <f t="shared" si="30"/>
        <v>Poo01IDAh</v>
      </c>
      <c r="Z454" s="30" t="str">
        <f t="shared" si="31"/>
        <v>pooja.shah@company.com</v>
      </c>
    </row>
    <row r="455" spans="1:26">
      <c r="A455" s="18" t="s">
        <v>1935</v>
      </c>
      <c r="B455" s="18" t="s">
        <v>251</v>
      </c>
      <c r="C455" s="18" t="s">
        <v>72</v>
      </c>
      <c r="D455" s="18" t="s">
        <v>66</v>
      </c>
      <c r="E455" s="18" t="s">
        <v>1936</v>
      </c>
      <c r="F455" s="18" t="s">
        <v>254</v>
      </c>
      <c r="G455" s="18" t="s">
        <v>28</v>
      </c>
      <c r="H455" s="18" t="s">
        <v>1937</v>
      </c>
      <c r="I455" s="18" t="s">
        <v>138</v>
      </c>
      <c r="J455" s="18" t="s">
        <v>106</v>
      </c>
      <c r="K455" s="18" t="s">
        <v>46</v>
      </c>
      <c r="L455" s="18" t="s">
        <v>78</v>
      </c>
      <c r="M455" s="18">
        <v>3</v>
      </c>
      <c r="N455" s="18">
        <v>1200</v>
      </c>
      <c r="O455" s="18">
        <v>0</v>
      </c>
      <c r="P455" s="18">
        <v>3600</v>
      </c>
      <c r="Q455" s="18">
        <v>1</v>
      </c>
      <c r="R455" s="18" t="s">
        <v>79</v>
      </c>
      <c r="S455" s="18" t="s">
        <v>49</v>
      </c>
      <c r="T455" s="18" t="s">
        <v>256</v>
      </c>
      <c r="U455" s="19" t="s">
        <v>1938</v>
      </c>
      <c r="V455" s="18" t="s">
        <v>69</v>
      </c>
      <c r="W455" t="str">
        <f t="shared" si="28"/>
        <v>Blacklisted</v>
      </c>
      <c r="X455" s="27" t="str">
        <f t="shared" si="29"/>
        <v>Sneha Joshi</v>
      </c>
      <c r="Y455" s="29" t="str">
        <f t="shared" si="30"/>
        <v>Sne00IDAh</v>
      </c>
      <c r="Z455" s="30" t="str">
        <f t="shared" si="31"/>
        <v>sneha.joshi@company.com</v>
      </c>
    </row>
    <row r="456" spans="1:26">
      <c r="A456" s="15" t="s">
        <v>1939</v>
      </c>
      <c r="B456" s="15" t="s">
        <v>71</v>
      </c>
      <c r="C456" s="15" t="s">
        <v>92</v>
      </c>
      <c r="D456" s="15" t="s">
        <v>988</v>
      </c>
      <c r="E456" s="15" t="s">
        <v>387</v>
      </c>
      <c r="F456" s="15" t="s">
        <v>217</v>
      </c>
      <c r="G456" s="15" t="s">
        <v>76</v>
      </c>
      <c r="H456" s="15" t="s">
        <v>1940</v>
      </c>
      <c r="I456" s="15" t="s">
        <v>294</v>
      </c>
      <c r="J456" s="15" t="s">
        <v>295</v>
      </c>
      <c r="K456" s="15" t="s">
        <v>32</v>
      </c>
      <c r="L456" s="15" t="s">
        <v>97</v>
      </c>
      <c r="M456" s="15">
        <v>7</v>
      </c>
      <c r="N456" s="15">
        <v>3500</v>
      </c>
      <c r="O456" s="15">
        <v>15</v>
      </c>
      <c r="P456" s="15">
        <v>20825</v>
      </c>
      <c r="Q456" s="15">
        <v>4</v>
      </c>
      <c r="R456" s="15" t="s">
        <v>79</v>
      </c>
      <c r="S456" s="15" t="s">
        <v>61</v>
      </c>
      <c r="T456" s="15" t="s">
        <v>80</v>
      </c>
      <c r="U456" s="17" t="s">
        <v>1941</v>
      </c>
      <c r="V456" s="15" t="s">
        <v>64</v>
      </c>
      <c r="W456" t="str">
        <f t="shared" si="28"/>
        <v>Blacklisted</v>
      </c>
      <c r="X456" s="27" t="str">
        <f t="shared" si="29"/>
        <v>Mohit Verma</v>
      </c>
      <c r="Y456" s="29" t="str">
        <f t="shared" si="30"/>
        <v>Moh00IDKo</v>
      </c>
      <c r="Z456" s="30" t="str">
        <f t="shared" si="31"/>
        <v>mohit.verma@company.com</v>
      </c>
    </row>
    <row r="457" spans="1:26">
      <c r="A457" s="18" t="s">
        <v>1942</v>
      </c>
      <c r="B457" s="18" t="s">
        <v>53</v>
      </c>
      <c r="C457" s="18" t="s">
        <v>54</v>
      </c>
      <c r="D457" s="18" t="s">
        <v>1932</v>
      </c>
      <c r="E457" s="18" t="s">
        <v>740</v>
      </c>
      <c r="F457" s="18" t="s">
        <v>163</v>
      </c>
      <c r="G457" s="18" t="s">
        <v>28</v>
      </c>
      <c r="H457" s="18" t="s">
        <v>1943</v>
      </c>
      <c r="I457" s="18" t="s">
        <v>114</v>
      </c>
      <c r="J457" s="18" t="s">
        <v>106</v>
      </c>
      <c r="K457" s="18" t="s">
        <v>46</v>
      </c>
      <c r="L457" s="18" t="s">
        <v>60</v>
      </c>
      <c r="M457" s="18">
        <v>9</v>
      </c>
      <c r="N457" s="18">
        <v>55000</v>
      </c>
      <c r="O457" s="18">
        <v>15</v>
      </c>
      <c r="P457" s="18">
        <v>420750</v>
      </c>
      <c r="Q457" s="18">
        <v>3</v>
      </c>
      <c r="R457" s="18" t="s">
        <v>88</v>
      </c>
      <c r="S457" s="18" t="s">
        <v>35</v>
      </c>
      <c r="T457" s="18" t="s">
        <v>62</v>
      </c>
      <c r="U457" s="19" t="s">
        <v>1944</v>
      </c>
      <c r="V457" s="18" t="s">
        <v>69</v>
      </c>
      <c r="W457" t="str">
        <f t="shared" si="28"/>
        <v>Blacklisted</v>
      </c>
      <c r="X457" s="27" t="str">
        <f t="shared" si="29"/>
        <v>Pooja Shah</v>
      </c>
      <c r="Y457" s="29" t="str">
        <f t="shared" si="30"/>
        <v>Poo01IDPu</v>
      </c>
      <c r="Z457" s="30" t="str">
        <f t="shared" si="31"/>
        <v>pooja.shah@company.com</v>
      </c>
    </row>
    <row r="458" spans="1:26">
      <c r="A458" s="15" t="s">
        <v>1945</v>
      </c>
      <c r="B458" s="15" t="s">
        <v>327</v>
      </c>
      <c r="C458" s="15" t="s">
        <v>40</v>
      </c>
      <c r="D458" s="15" t="s">
        <v>185</v>
      </c>
      <c r="E458" s="15" t="s">
        <v>918</v>
      </c>
      <c r="F458" s="15" t="s">
        <v>394</v>
      </c>
      <c r="G458" s="15" t="s">
        <v>76</v>
      </c>
      <c r="H458" s="15" t="s">
        <v>1946</v>
      </c>
      <c r="I458" s="15" t="s">
        <v>59</v>
      </c>
      <c r="J458" s="15" t="s">
        <v>31</v>
      </c>
      <c r="K458" s="15" t="s">
        <v>46</v>
      </c>
      <c r="L458" s="15" t="s">
        <v>47</v>
      </c>
      <c r="M458" s="15">
        <v>12</v>
      </c>
      <c r="N458" s="15">
        <v>12000</v>
      </c>
      <c r="O458" s="15">
        <v>0</v>
      </c>
      <c r="P458" s="15">
        <v>144000</v>
      </c>
      <c r="Q458" s="15">
        <v>3</v>
      </c>
      <c r="R458" s="15" t="s">
        <v>79</v>
      </c>
      <c r="S458" s="15" t="s">
        <v>151</v>
      </c>
      <c r="T458" s="15" t="s">
        <v>332</v>
      </c>
      <c r="U458" s="17" t="s">
        <v>1947</v>
      </c>
      <c r="V458" s="15" t="s">
        <v>69</v>
      </c>
      <c r="W458" t="str">
        <f t="shared" si="28"/>
        <v>Blacklisted</v>
      </c>
      <c r="X458" s="27" t="str">
        <f t="shared" si="29"/>
        <v>Amit Sharma</v>
      </c>
      <c r="Y458" s="29" t="str">
        <f t="shared" si="30"/>
        <v>Ami00IDBe</v>
      </c>
      <c r="Z458" s="30" t="str">
        <f t="shared" si="31"/>
        <v>amit.sharma@company.com</v>
      </c>
    </row>
    <row r="459" spans="1:26">
      <c r="A459" s="18" t="s">
        <v>1948</v>
      </c>
      <c r="B459" s="18" t="s">
        <v>100</v>
      </c>
      <c r="C459" s="18" t="s">
        <v>118</v>
      </c>
      <c r="D459" s="18" t="s">
        <v>42</v>
      </c>
      <c r="E459" s="18" t="s">
        <v>597</v>
      </c>
      <c r="F459" s="18" t="s">
        <v>103</v>
      </c>
      <c r="G459" s="18" t="s">
        <v>28</v>
      </c>
      <c r="H459" s="18" t="s">
        <v>1949</v>
      </c>
      <c r="I459" s="18" t="s">
        <v>138</v>
      </c>
      <c r="J459" s="18" t="s">
        <v>106</v>
      </c>
      <c r="K459" s="18" t="s">
        <v>122</v>
      </c>
      <c r="L459" s="18" t="s">
        <v>123</v>
      </c>
      <c r="M459" s="18">
        <v>7</v>
      </c>
      <c r="N459" s="18">
        <v>60</v>
      </c>
      <c r="O459" s="18">
        <v>10</v>
      </c>
      <c r="P459" s="18">
        <v>378</v>
      </c>
      <c r="Q459" s="18">
        <v>4</v>
      </c>
      <c r="R459" s="18" t="s">
        <v>34</v>
      </c>
      <c r="S459" s="18" t="s">
        <v>49</v>
      </c>
      <c r="T459" s="18" t="s">
        <v>144</v>
      </c>
      <c r="U459" s="19" t="s">
        <v>1950</v>
      </c>
      <c r="V459" s="18" t="s">
        <v>69</v>
      </c>
      <c r="W459" t="str">
        <f t="shared" si="28"/>
        <v>Blacklisted</v>
      </c>
      <c r="X459" s="27" t="str">
        <f t="shared" si="29"/>
        <v>Priya Patel</v>
      </c>
      <c r="Y459" s="29" t="str">
        <f t="shared" si="30"/>
        <v>Pri00IDAh</v>
      </c>
      <c r="Z459" s="30" t="str">
        <f t="shared" si="31"/>
        <v>priya.patel@company.com</v>
      </c>
    </row>
    <row r="460" spans="1:26">
      <c r="A460" s="15" t="s">
        <v>1951</v>
      </c>
      <c r="B460" s="15" t="s">
        <v>221</v>
      </c>
      <c r="C460" s="15" t="s">
        <v>24</v>
      </c>
      <c r="D460" s="15" t="s">
        <v>377</v>
      </c>
      <c r="E460" s="15" t="s">
        <v>674</v>
      </c>
      <c r="F460" s="15" t="s">
        <v>225</v>
      </c>
      <c r="G460" s="15" t="s">
        <v>76</v>
      </c>
      <c r="H460" s="15" t="s">
        <v>1952</v>
      </c>
      <c r="I460" s="15" t="s">
        <v>105</v>
      </c>
      <c r="J460" s="15" t="s">
        <v>106</v>
      </c>
      <c r="K460" s="15" t="s">
        <v>32</v>
      </c>
      <c r="L460" s="15" t="s">
        <v>33</v>
      </c>
      <c r="M460" s="15">
        <v>17</v>
      </c>
      <c r="N460" s="15">
        <v>2200</v>
      </c>
      <c r="O460" s="15">
        <v>15</v>
      </c>
      <c r="P460" s="15">
        <v>31790</v>
      </c>
      <c r="Q460" s="15">
        <v>3</v>
      </c>
      <c r="R460" s="15" t="s">
        <v>88</v>
      </c>
      <c r="S460" s="15" t="s">
        <v>151</v>
      </c>
      <c r="T460" s="15" t="s">
        <v>228</v>
      </c>
      <c r="U460" s="17" t="s">
        <v>1953</v>
      </c>
      <c r="V460" s="15" t="s">
        <v>64</v>
      </c>
      <c r="W460" t="str">
        <f t="shared" si="28"/>
        <v>Blacklisted</v>
      </c>
      <c r="X460" s="27" t="str">
        <f t="shared" si="29"/>
        <v>Vikas Mehta</v>
      </c>
      <c r="Y460" s="29" t="str">
        <f t="shared" si="30"/>
        <v>Vik00IDMu</v>
      </c>
      <c r="Z460" s="30" t="str">
        <f t="shared" si="31"/>
        <v>vikas.mehta@company.com</v>
      </c>
    </row>
    <row r="461" spans="1:26">
      <c r="A461" s="18" t="s">
        <v>1954</v>
      </c>
      <c r="B461" s="18" t="s">
        <v>327</v>
      </c>
      <c r="C461" s="18" t="s">
        <v>184</v>
      </c>
      <c r="D461" s="18" t="s">
        <v>351</v>
      </c>
      <c r="E461" s="18" t="s">
        <v>1537</v>
      </c>
      <c r="F461" s="18" t="s">
        <v>394</v>
      </c>
      <c r="G461" s="18" t="s">
        <v>76</v>
      </c>
      <c r="H461" s="18" t="s">
        <v>1955</v>
      </c>
      <c r="I461" s="18" t="s">
        <v>59</v>
      </c>
      <c r="J461" s="18" t="s">
        <v>31</v>
      </c>
      <c r="K461" s="18" t="s">
        <v>46</v>
      </c>
      <c r="L461" s="18" t="s">
        <v>189</v>
      </c>
      <c r="M461" s="18">
        <v>17</v>
      </c>
      <c r="N461" s="18">
        <v>700</v>
      </c>
      <c r="O461" s="18">
        <v>10</v>
      </c>
      <c r="P461" s="18">
        <v>10710</v>
      </c>
      <c r="Q461" s="18">
        <v>2</v>
      </c>
      <c r="R461" s="18" t="s">
        <v>34</v>
      </c>
      <c r="S461" s="18" t="s">
        <v>61</v>
      </c>
      <c r="T461" s="18" t="s">
        <v>332</v>
      </c>
      <c r="U461" s="19" t="s">
        <v>1956</v>
      </c>
      <c r="V461" s="18" t="s">
        <v>64</v>
      </c>
      <c r="W461" t="str">
        <f t="shared" si="28"/>
        <v>Blacklisted</v>
      </c>
      <c r="X461" s="27" t="str">
        <f t="shared" si="29"/>
        <v>Amit Sharma</v>
      </c>
      <c r="Y461" s="29" t="str">
        <f t="shared" si="30"/>
        <v>Ami00IDBe</v>
      </c>
      <c r="Z461" s="30" t="str">
        <f t="shared" si="31"/>
        <v>amit.sharma@company.com</v>
      </c>
    </row>
    <row r="462" spans="1:26">
      <c r="A462" s="15" t="s">
        <v>1957</v>
      </c>
      <c r="B462" s="15" t="s">
        <v>327</v>
      </c>
      <c r="C462" s="15" t="s">
        <v>54</v>
      </c>
      <c r="D462" s="15" t="s">
        <v>1958</v>
      </c>
      <c r="E462" s="15" t="s">
        <v>1188</v>
      </c>
      <c r="F462" s="15" t="s">
        <v>394</v>
      </c>
      <c r="G462" s="15" t="s">
        <v>76</v>
      </c>
      <c r="H462" s="15" t="s">
        <v>1959</v>
      </c>
      <c r="I462" s="15" t="s">
        <v>44</v>
      </c>
      <c r="J462" s="15" t="s">
        <v>45</v>
      </c>
      <c r="K462" s="15" t="s">
        <v>46</v>
      </c>
      <c r="L462" s="15" t="s">
        <v>60</v>
      </c>
      <c r="M462" s="15">
        <v>19</v>
      </c>
      <c r="N462" s="15">
        <v>55000</v>
      </c>
      <c r="O462" s="15">
        <v>20</v>
      </c>
      <c r="P462" s="15">
        <v>836000</v>
      </c>
      <c r="Q462" s="15">
        <v>5</v>
      </c>
      <c r="R462" s="15" t="s">
        <v>48</v>
      </c>
      <c r="S462" s="15" t="s">
        <v>61</v>
      </c>
      <c r="T462" s="15" t="s">
        <v>332</v>
      </c>
      <c r="U462" s="17" t="s">
        <v>1960</v>
      </c>
      <c r="V462" s="15" t="s">
        <v>38</v>
      </c>
      <c r="W462" t="str">
        <f t="shared" si="28"/>
        <v>Blacklisted</v>
      </c>
      <c r="X462" s="27" t="str">
        <f t="shared" si="29"/>
        <v>Amit Sharma</v>
      </c>
      <c r="Y462" s="29" t="str">
        <f t="shared" si="30"/>
        <v>Ami00IDDe</v>
      </c>
      <c r="Z462" s="30" t="str">
        <f t="shared" si="31"/>
        <v>amit.sharma@company.com</v>
      </c>
    </row>
    <row r="463" spans="1:26">
      <c r="A463" s="18" t="s">
        <v>1961</v>
      </c>
      <c r="B463" s="18" t="s">
        <v>127</v>
      </c>
      <c r="C463" s="18" t="s">
        <v>118</v>
      </c>
      <c r="D463" s="18" t="s">
        <v>1172</v>
      </c>
      <c r="E463" s="18" t="s">
        <v>128</v>
      </c>
      <c r="F463" s="18" t="s">
        <v>200</v>
      </c>
      <c r="G463" s="18" t="s">
        <v>76</v>
      </c>
      <c r="H463" s="18" t="s">
        <v>1962</v>
      </c>
      <c r="I463" s="18" t="s">
        <v>44</v>
      </c>
      <c r="J463" s="18" t="s">
        <v>45</v>
      </c>
      <c r="K463" s="18" t="s">
        <v>122</v>
      </c>
      <c r="L463" s="18" t="s">
        <v>123</v>
      </c>
      <c r="M463" s="18">
        <v>1</v>
      </c>
      <c r="N463" s="18">
        <v>60</v>
      </c>
      <c r="O463" s="18">
        <v>10</v>
      </c>
      <c r="P463" s="18">
        <v>54</v>
      </c>
      <c r="Q463" s="18">
        <v>4</v>
      </c>
      <c r="R463" s="18" t="s">
        <v>48</v>
      </c>
      <c r="S463" s="18"/>
      <c r="T463" s="20" t="s">
        <v>1963</v>
      </c>
      <c r="U463" s="19" t="s">
        <v>1964</v>
      </c>
      <c r="V463" s="18" t="s">
        <v>69</v>
      </c>
      <c r="W463" t="str">
        <f t="shared" si="28"/>
        <v>Blacklisted</v>
      </c>
      <c r="X463" s="27" t="str">
        <f t="shared" si="29"/>
        <v>Rohit Singh</v>
      </c>
      <c r="Y463" s="29" t="str">
        <f t="shared" si="30"/>
        <v>Roh00IDDe</v>
      </c>
      <c r="Z463" s="30" t="str">
        <f t="shared" si="31"/>
        <v>rohit.singh@company.com</v>
      </c>
    </row>
    <row r="464" spans="1:26">
      <c r="A464" s="15" t="s">
        <v>1965</v>
      </c>
      <c r="B464" s="15" t="s">
        <v>71</v>
      </c>
      <c r="C464" s="15" t="s">
        <v>92</v>
      </c>
      <c r="D464" s="15" t="s">
        <v>1142</v>
      </c>
      <c r="E464" s="15" t="s">
        <v>554</v>
      </c>
      <c r="F464" s="15" t="s">
        <v>217</v>
      </c>
      <c r="G464" s="15" t="s">
        <v>76</v>
      </c>
      <c r="H464" s="15" t="s">
        <v>1966</v>
      </c>
      <c r="I464" s="15" t="s">
        <v>30</v>
      </c>
      <c r="J464" s="15" t="s">
        <v>31</v>
      </c>
      <c r="K464" s="15" t="s">
        <v>32</v>
      </c>
      <c r="L464" s="15" t="s">
        <v>97</v>
      </c>
      <c r="M464" s="15">
        <v>16</v>
      </c>
      <c r="N464" s="15">
        <v>3500</v>
      </c>
      <c r="O464" s="15">
        <v>0</v>
      </c>
      <c r="P464" s="15">
        <v>56000</v>
      </c>
      <c r="Q464" s="15">
        <v>4</v>
      </c>
      <c r="R464" s="15" t="s">
        <v>48</v>
      </c>
      <c r="S464" s="15" t="s">
        <v>35</v>
      </c>
      <c r="T464" s="15" t="s">
        <v>80</v>
      </c>
      <c r="U464" s="17" t="s">
        <v>1967</v>
      </c>
      <c r="V464" s="15" t="s">
        <v>64</v>
      </c>
      <c r="W464" t="str">
        <f t="shared" si="28"/>
        <v>Blacklisted</v>
      </c>
      <c r="X464" s="27" t="str">
        <f t="shared" si="29"/>
        <v>Mohit Verma</v>
      </c>
      <c r="Y464" s="29" t="str">
        <f t="shared" si="30"/>
        <v>Moh00IDHy</v>
      </c>
      <c r="Z464" s="30" t="str">
        <f t="shared" si="31"/>
        <v>mohit.verma@company.com</v>
      </c>
    </row>
    <row r="465" spans="1:26">
      <c r="A465" s="18" t="s">
        <v>1968</v>
      </c>
      <c r="B465" s="18" t="s">
        <v>127</v>
      </c>
      <c r="C465" s="18" t="s">
        <v>222</v>
      </c>
      <c r="D465" s="18" t="s">
        <v>957</v>
      </c>
      <c r="E465" s="18" t="s">
        <v>766</v>
      </c>
      <c r="F465" s="18" t="s">
        <v>200</v>
      </c>
      <c r="G465" s="18" t="s">
        <v>76</v>
      </c>
      <c r="H465" s="18" t="s">
        <v>1295</v>
      </c>
      <c r="I465" s="18" t="s">
        <v>114</v>
      </c>
      <c r="J465" s="18" t="s">
        <v>106</v>
      </c>
      <c r="K465" s="18" t="s">
        <v>122</v>
      </c>
      <c r="L465" s="18" t="s">
        <v>227</v>
      </c>
      <c r="M465" s="18">
        <v>14</v>
      </c>
      <c r="N465" s="18">
        <v>20</v>
      </c>
      <c r="O465" s="18">
        <v>10</v>
      </c>
      <c r="P465" s="18">
        <v>252</v>
      </c>
      <c r="Q465" s="18">
        <v>1</v>
      </c>
      <c r="R465" s="18" t="s">
        <v>48</v>
      </c>
      <c r="S465" s="18" t="s">
        <v>61</v>
      </c>
      <c r="T465" s="18" t="s">
        <v>132</v>
      </c>
      <c r="U465" s="19" t="s">
        <v>1969</v>
      </c>
      <c r="V465" s="18" t="s">
        <v>64</v>
      </c>
      <c r="W465" t="str">
        <f t="shared" si="28"/>
        <v>Blacklisted</v>
      </c>
      <c r="X465" s="27" t="str">
        <f t="shared" si="29"/>
        <v>Rohit Singh</v>
      </c>
      <c r="Y465" s="29" t="str">
        <f t="shared" si="30"/>
        <v>Roh00IDPu</v>
      </c>
      <c r="Z465" s="30" t="str">
        <f t="shared" si="31"/>
        <v>rohit.singh@company.com</v>
      </c>
    </row>
    <row r="466" spans="1:26">
      <c r="A466" s="15" t="s">
        <v>1970</v>
      </c>
      <c r="B466" s="15" t="s">
        <v>71</v>
      </c>
      <c r="C466" s="15" t="s">
        <v>24</v>
      </c>
      <c r="D466" s="15" t="s">
        <v>473</v>
      </c>
      <c r="E466" s="15" t="s">
        <v>454</v>
      </c>
      <c r="F466" s="15" t="s">
        <v>217</v>
      </c>
      <c r="G466" s="15" t="s">
        <v>76</v>
      </c>
      <c r="H466" s="15" t="s">
        <v>1971</v>
      </c>
      <c r="I466" s="15" t="s">
        <v>59</v>
      </c>
      <c r="J466" s="15" t="s">
        <v>31</v>
      </c>
      <c r="K466" s="15" t="s">
        <v>32</v>
      </c>
      <c r="L466" s="15" t="s">
        <v>33</v>
      </c>
      <c r="M466" s="15">
        <v>11</v>
      </c>
      <c r="N466" s="15">
        <v>2200</v>
      </c>
      <c r="O466" s="15">
        <v>15</v>
      </c>
      <c r="P466" s="15">
        <v>20570</v>
      </c>
      <c r="Q466" s="15">
        <v>4</v>
      </c>
      <c r="R466" s="15" t="s">
        <v>48</v>
      </c>
      <c r="S466" s="15" t="s">
        <v>49</v>
      </c>
      <c r="T466" s="15" t="s">
        <v>80</v>
      </c>
      <c r="U466" s="17" t="s">
        <v>1972</v>
      </c>
      <c r="V466" s="15" t="s">
        <v>69</v>
      </c>
      <c r="W466" t="str">
        <f t="shared" si="28"/>
        <v>Blacklisted</v>
      </c>
      <c r="X466" s="27" t="str">
        <f t="shared" si="29"/>
        <v>Mohit Verma</v>
      </c>
      <c r="Y466" s="29" t="str">
        <f t="shared" si="30"/>
        <v>Moh00IDBe</v>
      </c>
      <c r="Z466" s="30" t="str">
        <f t="shared" si="31"/>
        <v>mohit.verma@company.com</v>
      </c>
    </row>
    <row r="467" spans="1:26">
      <c r="A467" s="18" t="s">
        <v>1973</v>
      </c>
      <c r="B467" s="18" t="s">
        <v>83</v>
      </c>
      <c r="C467" s="18" t="s">
        <v>54</v>
      </c>
      <c r="D467" s="18" t="s">
        <v>756</v>
      </c>
      <c r="E467" s="18" t="s">
        <v>1282</v>
      </c>
      <c r="F467" s="18" t="s">
        <v>180</v>
      </c>
      <c r="G467" s="18" t="s">
        <v>76</v>
      </c>
      <c r="H467" s="18" t="s">
        <v>1974</v>
      </c>
      <c r="I467" s="18" t="s">
        <v>212</v>
      </c>
      <c r="J467" s="18" t="s">
        <v>45</v>
      </c>
      <c r="K467" s="18" t="s">
        <v>46</v>
      </c>
      <c r="L467" s="18" t="s">
        <v>60</v>
      </c>
      <c r="M467" s="18">
        <v>2</v>
      </c>
      <c r="N467" s="18">
        <v>55000</v>
      </c>
      <c r="O467" s="18">
        <v>0</v>
      </c>
      <c r="P467" s="18">
        <v>110000</v>
      </c>
      <c r="Q467" s="18">
        <v>4</v>
      </c>
      <c r="R467" s="18" t="s">
        <v>48</v>
      </c>
      <c r="S467" s="18" t="s">
        <v>49</v>
      </c>
      <c r="T467" s="18" t="s">
        <v>89</v>
      </c>
      <c r="U467" s="19" t="s">
        <v>1975</v>
      </c>
      <c r="V467" s="18" t="s">
        <v>69</v>
      </c>
      <c r="W467" t="str">
        <f t="shared" si="28"/>
        <v>Blacklisted</v>
      </c>
      <c r="X467" s="27" t="str">
        <f t="shared" si="29"/>
        <v>Arjun Rao</v>
      </c>
      <c r="Y467" s="29" t="str">
        <f t="shared" si="30"/>
        <v>Arj00IDJa</v>
      </c>
      <c r="Z467" s="30" t="str">
        <f t="shared" si="31"/>
        <v>arjun.rao@company.com</v>
      </c>
    </row>
    <row r="468" spans="1:26">
      <c r="A468" s="15" t="s">
        <v>1976</v>
      </c>
      <c r="B468" s="15" t="s">
        <v>53</v>
      </c>
      <c r="C468" s="15" t="s">
        <v>24</v>
      </c>
      <c r="D468" s="15" t="s">
        <v>512</v>
      </c>
      <c r="E468" s="15" t="s">
        <v>513</v>
      </c>
      <c r="F468" s="15" t="s">
        <v>163</v>
      </c>
      <c r="G468" s="15" t="s">
        <v>28</v>
      </c>
      <c r="H468" s="15" t="s">
        <v>1977</v>
      </c>
      <c r="I468" s="15" t="s">
        <v>114</v>
      </c>
      <c r="J468" s="15" t="s">
        <v>106</v>
      </c>
      <c r="K468" s="15" t="s">
        <v>32</v>
      </c>
      <c r="L468" s="15" t="s">
        <v>33</v>
      </c>
      <c r="M468" s="15">
        <v>7</v>
      </c>
      <c r="N468" s="15">
        <v>2200</v>
      </c>
      <c r="O468" s="15">
        <v>5</v>
      </c>
      <c r="P468" s="15">
        <v>14630</v>
      </c>
      <c r="Q468" s="15">
        <v>4</v>
      </c>
      <c r="R468" s="15" t="s">
        <v>79</v>
      </c>
      <c r="S468" s="15" t="s">
        <v>115</v>
      </c>
      <c r="T468" s="15" t="s">
        <v>62</v>
      </c>
      <c r="U468" s="17" t="s">
        <v>1978</v>
      </c>
      <c r="V468" s="15" t="s">
        <v>69</v>
      </c>
      <c r="W468" t="str">
        <f t="shared" si="28"/>
        <v>Blacklisted</v>
      </c>
      <c r="X468" s="27" t="str">
        <f t="shared" si="29"/>
        <v>Pooja Shah</v>
      </c>
      <c r="Y468" s="29" t="str">
        <f t="shared" si="30"/>
        <v>Poo01IDPu</v>
      </c>
      <c r="Z468" s="30" t="str">
        <f t="shared" si="31"/>
        <v>pooja.shah@company.com</v>
      </c>
    </row>
    <row r="469" spans="1:26">
      <c r="A469" s="18" t="s">
        <v>1979</v>
      </c>
      <c r="B469" s="18" t="s">
        <v>23</v>
      </c>
      <c r="C469" s="18" t="s">
        <v>259</v>
      </c>
      <c r="D469" s="18" t="s">
        <v>1507</v>
      </c>
      <c r="E469" s="18" t="s">
        <v>577</v>
      </c>
      <c r="F469" s="18" t="s">
        <v>27</v>
      </c>
      <c r="G469" s="18" t="s">
        <v>28</v>
      </c>
      <c r="H469" s="18" t="s">
        <v>1980</v>
      </c>
      <c r="I469" s="18" t="s">
        <v>138</v>
      </c>
      <c r="J469" s="18" t="s">
        <v>106</v>
      </c>
      <c r="K469" s="18" t="s">
        <v>122</v>
      </c>
      <c r="L469" s="18" t="s">
        <v>263</v>
      </c>
      <c r="M469" s="18">
        <v>11</v>
      </c>
      <c r="N469" s="18">
        <v>45</v>
      </c>
      <c r="O469" s="18">
        <v>15</v>
      </c>
      <c r="P469" s="18">
        <v>420.75</v>
      </c>
      <c r="Q469" s="18">
        <v>4</v>
      </c>
      <c r="R469" s="18" t="s">
        <v>79</v>
      </c>
      <c r="S469" s="18" t="s">
        <v>61</v>
      </c>
      <c r="T469" s="18" t="s">
        <v>50</v>
      </c>
      <c r="U469" s="19" t="s">
        <v>1981</v>
      </c>
      <c r="V469" s="18" t="s">
        <v>64</v>
      </c>
      <c r="W469" t="str">
        <f t="shared" si="28"/>
        <v>Blacklisted</v>
      </c>
      <c r="X469" s="27" t="str">
        <f t="shared" si="29"/>
        <v>Kavya Nair</v>
      </c>
      <c r="Y469" s="29" t="str">
        <f t="shared" si="30"/>
        <v>Kav00IDAh</v>
      </c>
      <c r="Z469" s="30" t="str">
        <f t="shared" si="31"/>
        <v>kavya.nair@company.com</v>
      </c>
    </row>
    <row r="470" spans="1:26">
      <c r="A470" s="15" t="s">
        <v>1982</v>
      </c>
      <c r="B470" s="15" t="s">
        <v>100</v>
      </c>
      <c r="C470" s="15" t="s">
        <v>118</v>
      </c>
      <c r="D470" s="15" t="s">
        <v>1114</v>
      </c>
      <c r="E470" s="15" t="s">
        <v>210</v>
      </c>
      <c r="F470" s="15" t="s">
        <v>103</v>
      </c>
      <c r="G470" s="15" t="s">
        <v>28</v>
      </c>
      <c r="H470" s="15" t="s">
        <v>1983</v>
      </c>
      <c r="I470" s="15" t="s">
        <v>105</v>
      </c>
      <c r="J470" s="15" t="s">
        <v>106</v>
      </c>
      <c r="K470" s="15" t="s">
        <v>122</v>
      </c>
      <c r="L470" s="15" t="s">
        <v>123</v>
      </c>
      <c r="M470" s="15">
        <v>16</v>
      </c>
      <c r="N470" s="15">
        <v>60</v>
      </c>
      <c r="O470" s="15">
        <v>5</v>
      </c>
      <c r="P470" s="15">
        <v>912</v>
      </c>
      <c r="Q470" s="15">
        <v>2</v>
      </c>
      <c r="R470" s="15" t="s">
        <v>34</v>
      </c>
      <c r="S470" s="15" t="s">
        <v>115</v>
      </c>
      <c r="T470" s="15" t="s">
        <v>144</v>
      </c>
      <c r="U470" s="17" t="s">
        <v>1984</v>
      </c>
      <c r="V470" s="15" t="s">
        <v>69</v>
      </c>
      <c r="W470" t="str">
        <f t="shared" si="28"/>
        <v>Blacklisted</v>
      </c>
      <c r="X470" s="27" t="str">
        <f t="shared" si="29"/>
        <v>Priya Patel</v>
      </c>
      <c r="Y470" s="29" t="str">
        <f t="shared" si="30"/>
        <v>Pri00IDMu</v>
      </c>
      <c r="Z470" s="30" t="str">
        <f t="shared" si="31"/>
        <v>priya.patel@company.com</v>
      </c>
    </row>
    <row r="471" spans="1:26">
      <c r="A471" s="18" t="s">
        <v>1985</v>
      </c>
      <c r="B471" s="18" t="s">
        <v>327</v>
      </c>
      <c r="C471" s="18" t="s">
        <v>54</v>
      </c>
      <c r="D471" s="18" t="s">
        <v>1102</v>
      </c>
      <c r="E471" s="18" t="s">
        <v>864</v>
      </c>
      <c r="F471" s="18" t="s">
        <v>394</v>
      </c>
      <c r="G471" s="18" t="s">
        <v>76</v>
      </c>
      <c r="H471" s="18" t="s">
        <v>1986</v>
      </c>
      <c r="I471" s="18" t="s">
        <v>114</v>
      </c>
      <c r="J471" s="18" t="s">
        <v>106</v>
      </c>
      <c r="K471" s="18" t="s">
        <v>46</v>
      </c>
      <c r="L471" s="18" t="s">
        <v>60</v>
      </c>
      <c r="M471" s="18">
        <v>18</v>
      </c>
      <c r="N471" s="18">
        <v>55000</v>
      </c>
      <c r="O471" s="18">
        <v>0</v>
      </c>
      <c r="P471" s="18">
        <v>990000</v>
      </c>
      <c r="Q471" s="18">
        <v>5</v>
      </c>
      <c r="R471" s="18" t="s">
        <v>48</v>
      </c>
      <c r="S471" s="18" t="s">
        <v>49</v>
      </c>
      <c r="T471" s="18" t="s">
        <v>332</v>
      </c>
      <c r="U471" s="19" t="s">
        <v>1987</v>
      </c>
      <c r="V471" s="18" t="s">
        <v>64</v>
      </c>
      <c r="W471" t="str">
        <f t="shared" si="28"/>
        <v>Blacklisted</v>
      </c>
      <c r="X471" s="27" t="str">
        <f t="shared" si="29"/>
        <v>Amit Sharma</v>
      </c>
      <c r="Y471" s="29" t="str">
        <f t="shared" si="30"/>
        <v>Ami00IDPu</v>
      </c>
      <c r="Z471" s="30" t="str">
        <f t="shared" si="31"/>
        <v>amit.sharma@company.com</v>
      </c>
    </row>
    <row r="472" spans="1:26">
      <c r="A472" s="15" t="s">
        <v>1988</v>
      </c>
      <c r="B472" s="15" t="s">
        <v>23</v>
      </c>
      <c r="C472" s="15" t="s">
        <v>72</v>
      </c>
      <c r="D472" s="15" t="s">
        <v>1989</v>
      </c>
      <c r="E472" s="15" t="s">
        <v>1880</v>
      </c>
      <c r="F472" s="15" t="s">
        <v>27</v>
      </c>
      <c r="G472" s="15" t="s">
        <v>28</v>
      </c>
      <c r="H472" s="15" t="s">
        <v>1990</v>
      </c>
      <c r="I472" s="15" t="s">
        <v>59</v>
      </c>
      <c r="J472" s="15" t="s">
        <v>31</v>
      </c>
      <c r="K472" s="15" t="s">
        <v>46</v>
      </c>
      <c r="L472" s="15" t="s">
        <v>78</v>
      </c>
      <c r="M472" s="15">
        <v>17</v>
      </c>
      <c r="N472" s="15">
        <v>1200</v>
      </c>
      <c r="O472" s="15">
        <v>5</v>
      </c>
      <c r="P472" s="15">
        <v>19380</v>
      </c>
      <c r="Q472" s="15">
        <v>1</v>
      </c>
      <c r="R472" s="15" t="s">
        <v>48</v>
      </c>
      <c r="S472" s="15" t="s">
        <v>35</v>
      </c>
      <c r="T472" s="15" t="s">
        <v>50</v>
      </c>
      <c r="U472" s="17" t="s">
        <v>1991</v>
      </c>
      <c r="V472" s="15" t="s">
        <v>64</v>
      </c>
      <c r="W472" t="str">
        <f t="shared" si="28"/>
        <v>Blacklisted</v>
      </c>
      <c r="X472" s="27" t="str">
        <f t="shared" si="29"/>
        <v>Kavya Nair</v>
      </c>
      <c r="Y472" s="29" t="str">
        <f t="shared" si="30"/>
        <v>Kav00IDBe</v>
      </c>
      <c r="Z472" s="30" t="str">
        <f t="shared" si="31"/>
        <v>kavya.nair@company.com</v>
      </c>
    </row>
    <row r="473" spans="1:26">
      <c r="A473" s="18" t="s">
        <v>1992</v>
      </c>
      <c r="B473" s="18" t="s">
        <v>53</v>
      </c>
      <c r="C473" s="18" t="s">
        <v>54</v>
      </c>
      <c r="D473" s="18" t="s">
        <v>41</v>
      </c>
      <c r="E473" s="18" t="s">
        <v>199</v>
      </c>
      <c r="F473" s="18" t="s">
        <v>163</v>
      </c>
      <c r="G473" s="18" t="s">
        <v>28</v>
      </c>
      <c r="H473" s="18" t="s">
        <v>1993</v>
      </c>
      <c r="I473" s="18" t="s">
        <v>114</v>
      </c>
      <c r="J473" s="18" t="s">
        <v>106</v>
      </c>
      <c r="K473" s="18" t="s">
        <v>46</v>
      </c>
      <c r="L473" s="18" t="s">
        <v>60</v>
      </c>
      <c r="M473" s="18">
        <v>11</v>
      </c>
      <c r="N473" s="18">
        <v>55000</v>
      </c>
      <c r="O473" s="18">
        <v>0</v>
      </c>
      <c r="P473" s="18">
        <v>605000</v>
      </c>
      <c r="Q473" s="18">
        <v>2</v>
      </c>
      <c r="R473" s="18" t="s">
        <v>34</v>
      </c>
      <c r="S473" s="18" t="s">
        <v>61</v>
      </c>
      <c r="T473" s="18" t="s">
        <v>62</v>
      </c>
      <c r="U473" s="19" t="s">
        <v>1994</v>
      </c>
      <c r="V473" s="18" t="s">
        <v>64</v>
      </c>
      <c r="W473" t="str">
        <f t="shared" si="28"/>
        <v>Blacklisted</v>
      </c>
      <c r="X473" s="27" t="str">
        <f t="shared" si="29"/>
        <v>Pooja Shah</v>
      </c>
      <c r="Y473" s="29" t="str">
        <f t="shared" si="30"/>
        <v>Poo01IDPu</v>
      </c>
      <c r="Z473" s="30" t="str">
        <f t="shared" si="31"/>
        <v>pooja.shah@company.com</v>
      </c>
    </row>
    <row r="474" spans="1:26">
      <c r="A474" s="15" t="s">
        <v>1995</v>
      </c>
      <c r="B474" s="15" t="s">
        <v>251</v>
      </c>
      <c r="C474" s="15" t="s">
        <v>184</v>
      </c>
      <c r="D474" s="15" t="s">
        <v>236</v>
      </c>
      <c r="E474" s="15" t="s">
        <v>678</v>
      </c>
      <c r="F474" s="15" t="s">
        <v>254</v>
      </c>
      <c r="G474" s="15" t="s">
        <v>28</v>
      </c>
      <c r="H474" s="15" t="s">
        <v>1996</v>
      </c>
      <c r="I474" s="15" t="s">
        <v>44</v>
      </c>
      <c r="J474" s="15" t="s">
        <v>45</v>
      </c>
      <c r="K474" s="15" t="s">
        <v>46</v>
      </c>
      <c r="L474" s="15" t="s">
        <v>189</v>
      </c>
      <c r="M474" s="15">
        <v>20</v>
      </c>
      <c r="N474" s="15">
        <v>700</v>
      </c>
      <c r="O474" s="15">
        <v>20</v>
      </c>
      <c r="P474" s="15">
        <v>11200</v>
      </c>
      <c r="Q474" s="15">
        <v>5</v>
      </c>
      <c r="R474" s="15" t="s">
        <v>48</v>
      </c>
      <c r="S474" s="15" t="s">
        <v>61</v>
      </c>
      <c r="T474" s="15" t="s">
        <v>256</v>
      </c>
      <c r="U474" s="17" t="s">
        <v>1997</v>
      </c>
      <c r="V474" s="15" t="s">
        <v>38</v>
      </c>
      <c r="W474" t="str">
        <f t="shared" si="28"/>
        <v>Silver</v>
      </c>
      <c r="X474" s="27" t="str">
        <f t="shared" si="29"/>
        <v>Sneha Joshi</v>
      </c>
      <c r="Y474" s="29" t="str">
        <f t="shared" si="30"/>
        <v>Sne00IDDe</v>
      </c>
      <c r="Z474" s="30" t="str">
        <f t="shared" si="31"/>
        <v>sneha.joshi@company.com</v>
      </c>
    </row>
    <row r="475" spans="1:26">
      <c r="A475" s="18" t="s">
        <v>1998</v>
      </c>
      <c r="B475" s="18" t="s">
        <v>71</v>
      </c>
      <c r="C475" s="18" t="s">
        <v>222</v>
      </c>
      <c r="D475" s="18" t="s">
        <v>484</v>
      </c>
      <c r="E475" s="18" t="s">
        <v>322</v>
      </c>
      <c r="F475" s="18" t="s">
        <v>217</v>
      </c>
      <c r="G475" s="18" t="s">
        <v>76</v>
      </c>
      <c r="H475" s="18" t="s">
        <v>1999</v>
      </c>
      <c r="I475" s="18" t="s">
        <v>44</v>
      </c>
      <c r="J475" s="18" t="s">
        <v>45</v>
      </c>
      <c r="K475" s="18" t="s">
        <v>122</v>
      </c>
      <c r="L475" s="18" t="s">
        <v>227</v>
      </c>
      <c r="M475" s="18">
        <v>5</v>
      </c>
      <c r="N475" s="18">
        <v>20</v>
      </c>
      <c r="O475" s="18">
        <v>5</v>
      </c>
      <c r="P475" s="18">
        <v>95</v>
      </c>
      <c r="Q475" s="18">
        <v>4</v>
      </c>
      <c r="R475" s="18" t="s">
        <v>34</v>
      </c>
      <c r="S475" s="18" t="s">
        <v>49</v>
      </c>
      <c r="T475" s="18" t="s">
        <v>80</v>
      </c>
      <c r="U475" s="19" t="s">
        <v>2000</v>
      </c>
      <c r="V475" s="18" t="s">
        <v>69</v>
      </c>
      <c r="W475" t="str">
        <f t="shared" si="28"/>
        <v>Blacklisted</v>
      </c>
      <c r="X475" s="27" t="str">
        <f t="shared" si="29"/>
        <v>Mohit Verma</v>
      </c>
      <c r="Y475" s="29" t="str">
        <f t="shared" si="30"/>
        <v>Moh00IDDe</v>
      </c>
      <c r="Z475" s="30" t="str">
        <f t="shared" si="31"/>
        <v>mohit.verma@company.com</v>
      </c>
    </row>
    <row r="476" spans="1:26">
      <c r="A476" s="15" t="s">
        <v>2001</v>
      </c>
      <c r="B476" s="15" t="s">
        <v>327</v>
      </c>
      <c r="C476" s="15" t="s">
        <v>54</v>
      </c>
      <c r="D476" s="15" t="s">
        <v>765</v>
      </c>
      <c r="E476" s="15" t="s">
        <v>1373</v>
      </c>
      <c r="F476" s="15" t="s">
        <v>394</v>
      </c>
      <c r="G476" s="15" t="s">
        <v>76</v>
      </c>
      <c r="H476" s="15" t="s">
        <v>2002</v>
      </c>
      <c r="I476" s="15" t="s">
        <v>105</v>
      </c>
      <c r="J476" s="15" t="s">
        <v>106</v>
      </c>
      <c r="K476" s="15" t="s">
        <v>46</v>
      </c>
      <c r="L476" s="15" t="s">
        <v>60</v>
      </c>
      <c r="M476" s="15">
        <v>13</v>
      </c>
      <c r="N476" s="15">
        <v>55000</v>
      </c>
      <c r="O476" s="15">
        <v>5</v>
      </c>
      <c r="P476" s="15">
        <v>679250</v>
      </c>
      <c r="Q476" s="15">
        <v>1</v>
      </c>
      <c r="R476" s="15" t="s">
        <v>48</v>
      </c>
      <c r="S476" s="15" t="s">
        <v>49</v>
      </c>
      <c r="T476" s="15" t="s">
        <v>332</v>
      </c>
      <c r="U476" s="17" t="s">
        <v>2003</v>
      </c>
      <c r="V476" s="15" t="s">
        <v>64</v>
      </c>
      <c r="W476" t="str">
        <f t="shared" si="28"/>
        <v>Blacklisted</v>
      </c>
      <c r="X476" s="27" t="str">
        <f t="shared" si="29"/>
        <v>Amit Sharma</v>
      </c>
      <c r="Y476" s="29" t="str">
        <f t="shared" si="30"/>
        <v>Ami00IDMu</v>
      </c>
      <c r="Z476" s="30" t="str">
        <f t="shared" si="31"/>
        <v>amit.sharma@company.com</v>
      </c>
    </row>
    <row r="477" spans="1:26">
      <c r="A477" s="18" t="s">
        <v>2004</v>
      </c>
      <c r="B477" s="18" t="s">
        <v>127</v>
      </c>
      <c r="C477" s="18" t="s">
        <v>54</v>
      </c>
      <c r="D477" s="18" t="s">
        <v>102</v>
      </c>
      <c r="E477" s="18" t="s">
        <v>1114</v>
      </c>
      <c r="F477" s="18" t="s">
        <v>200</v>
      </c>
      <c r="G477" s="18" t="s">
        <v>76</v>
      </c>
      <c r="H477" s="18" t="s">
        <v>2005</v>
      </c>
      <c r="I477" s="18" t="s">
        <v>294</v>
      </c>
      <c r="J477" s="18" t="s">
        <v>295</v>
      </c>
      <c r="K477" s="18" t="s">
        <v>46</v>
      </c>
      <c r="L477" s="18" t="s">
        <v>60</v>
      </c>
      <c r="M477" s="18">
        <v>12</v>
      </c>
      <c r="N477" s="18">
        <v>55000</v>
      </c>
      <c r="O477" s="18">
        <v>5</v>
      </c>
      <c r="P477" s="18">
        <v>627000</v>
      </c>
      <c r="Q477" s="18">
        <v>1</v>
      </c>
      <c r="R477" s="18" t="s">
        <v>48</v>
      </c>
      <c r="S477" s="18" t="s">
        <v>115</v>
      </c>
      <c r="T477" s="18" t="s">
        <v>132</v>
      </c>
      <c r="U477" s="19" t="s">
        <v>2006</v>
      </c>
      <c r="V477" s="18" t="s">
        <v>69</v>
      </c>
      <c r="W477" t="str">
        <f t="shared" si="28"/>
        <v>Blacklisted</v>
      </c>
      <c r="X477" s="27" t="str">
        <f t="shared" si="29"/>
        <v>Rohit Singh</v>
      </c>
      <c r="Y477" s="29" t="str">
        <f t="shared" si="30"/>
        <v>Roh00IDKo</v>
      </c>
      <c r="Z477" s="30" t="str">
        <f t="shared" si="31"/>
        <v>rohit.singh@company.com</v>
      </c>
    </row>
    <row r="478" spans="1:26">
      <c r="A478" s="15" t="s">
        <v>2007</v>
      </c>
      <c r="B478" s="15" t="s">
        <v>53</v>
      </c>
      <c r="C478" s="15" t="s">
        <v>259</v>
      </c>
      <c r="D478" s="15" t="s">
        <v>761</v>
      </c>
      <c r="E478" s="15" t="s">
        <v>1705</v>
      </c>
      <c r="F478" s="15" t="s">
        <v>163</v>
      </c>
      <c r="G478" s="15" t="s">
        <v>28</v>
      </c>
      <c r="H478" s="15" t="s">
        <v>2008</v>
      </c>
      <c r="I478" s="15" t="s">
        <v>105</v>
      </c>
      <c r="J478" s="15" t="s">
        <v>106</v>
      </c>
      <c r="K478" s="15" t="s">
        <v>122</v>
      </c>
      <c r="L478" s="15" t="s">
        <v>263</v>
      </c>
      <c r="M478" s="15">
        <v>16</v>
      </c>
      <c r="N478" s="15">
        <v>45</v>
      </c>
      <c r="O478" s="15">
        <v>20</v>
      </c>
      <c r="P478" s="15">
        <v>576</v>
      </c>
      <c r="Q478" s="15">
        <v>2</v>
      </c>
      <c r="R478" s="15" t="s">
        <v>34</v>
      </c>
      <c r="S478" s="15" t="s">
        <v>49</v>
      </c>
      <c r="T478" s="15" t="s">
        <v>62</v>
      </c>
      <c r="U478" s="17" t="s">
        <v>2009</v>
      </c>
      <c r="V478" s="15" t="s">
        <v>64</v>
      </c>
      <c r="W478" t="str">
        <f t="shared" si="28"/>
        <v>Blacklisted</v>
      </c>
      <c r="X478" s="27" t="str">
        <f t="shared" si="29"/>
        <v>Pooja Shah</v>
      </c>
      <c r="Y478" s="29" t="str">
        <f t="shared" si="30"/>
        <v>Poo01IDMu</v>
      </c>
      <c r="Z478" s="30" t="str">
        <f t="shared" si="31"/>
        <v>pooja.shah@company.com</v>
      </c>
    </row>
    <row r="479" spans="1:26">
      <c r="A479" s="18" t="s">
        <v>2010</v>
      </c>
      <c r="B479" s="18" t="s">
        <v>23</v>
      </c>
      <c r="C479" s="18" t="s">
        <v>72</v>
      </c>
      <c r="D479" s="18" t="s">
        <v>25</v>
      </c>
      <c r="E479" s="18" t="s">
        <v>73</v>
      </c>
      <c r="F479" s="18" t="s">
        <v>27</v>
      </c>
      <c r="G479" s="18" t="s">
        <v>28</v>
      </c>
      <c r="H479" s="18" t="s">
        <v>2011</v>
      </c>
      <c r="I479" s="18" t="s">
        <v>59</v>
      </c>
      <c r="J479" s="18" t="s">
        <v>31</v>
      </c>
      <c r="K479" s="18" t="s">
        <v>46</v>
      </c>
      <c r="L479" s="18" t="s">
        <v>78</v>
      </c>
      <c r="M479" s="18">
        <v>5</v>
      </c>
      <c r="N479" s="18">
        <v>1200</v>
      </c>
      <c r="O479" s="18">
        <v>10</v>
      </c>
      <c r="P479" s="18">
        <v>5400</v>
      </c>
      <c r="Q479" s="18">
        <v>1</v>
      </c>
      <c r="R479" s="18" t="s">
        <v>34</v>
      </c>
      <c r="S479" s="18"/>
      <c r="T479" s="20" t="s">
        <v>2012</v>
      </c>
      <c r="U479" s="19" t="s">
        <v>2013</v>
      </c>
      <c r="V479" s="18" t="s">
        <v>38</v>
      </c>
      <c r="W479" t="str">
        <f t="shared" si="28"/>
        <v>Blacklisted</v>
      </c>
      <c r="X479" s="27" t="str">
        <f t="shared" si="29"/>
        <v>Kavya Nair</v>
      </c>
      <c r="Y479" s="29" t="str">
        <f t="shared" si="30"/>
        <v>Kav00IDBe</v>
      </c>
      <c r="Z479" s="30" t="str">
        <f t="shared" si="31"/>
        <v>kavya.nair@company.com</v>
      </c>
    </row>
    <row r="480" spans="1:26">
      <c r="A480" s="15" t="s">
        <v>2014</v>
      </c>
      <c r="B480" s="15" t="s">
        <v>168</v>
      </c>
      <c r="C480" s="15" t="s">
        <v>259</v>
      </c>
      <c r="D480" s="15" t="s">
        <v>282</v>
      </c>
      <c r="E480" s="15" t="s">
        <v>702</v>
      </c>
      <c r="F480" s="15" t="s">
        <v>2015</v>
      </c>
      <c r="G480" s="15" t="s">
        <v>28</v>
      </c>
      <c r="H480" s="15" t="s">
        <v>2016</v>
      </c>
      <c r="I480" s="15" t="s">
        <v>294</v>
      </c>
      <c r="J480" s="15" t="s">
        <v>295</v>
      </c>
      <c r="K480" s="15" t="s">
        <v>122</v>
      </c>
      <c r="L480" s="15" t="s">
        <v>263</v>
      </c>
      <c r="M480" s="15">
        <v>2</v>
      </c>
      <c r="N480" s="15">
        <v>45</v>
      </c>
      <c r="O480" s="15">
        <v>10</v>
      </c>
      <c r="P480" s="15">
        <v>81</v>
      </c>
      <c r="Q480" s="15">
        <v>4</v>
      </c>
      <c r="R480" s="15" t="s">
        <v>88</v>
      </c>
      <c r="S480" s="15" t="s">
        <v>49</v>
      </c>
      <c r="T480" s="15" t="s">
        <v>175</v>
      </c>
      <c r="U480" s="17" t="s">
        <v>2017</v>
      </c>
      <c r="V480" s="15" t="s">
        <v>64</v>
      </c>
      <c r="W480" t="str">
        <f t="shared" si="28"/>
        <v>Blacklisted</v>
      </c>
      <c r="X480" s="27" t="str">
        <f t="shared" si="29"/>
        <v>Anita Gupta</v>
      </c>
      <c r="Y480" s="29" t="str">
        <f t="shared" si="30"/>
        <v>Ani00IDKo</v>
      </c>
      <c r="Z480" s="30" t="str">
        <f t="shared" si="31"/>
        <v>anita.gupta@company.com</v>
      </c>
    </row>
    <row r="481" spans="1:26">
      <c r="A481" s="18" t="s">
        <v>2018</v>
      </c>
      <c r="B481" s="18" t="s">
        <v>127</v>
      </c>
      <c r="C481" s="18" t="s">
        <v>40</v>
      </c>
      <c r="D481" s="18" t="s">
        <v>85</v>
      </c>
      <c r="E481" s="18" t="s">
        <v>587</v>
      </c>
      <c r="F481" s="18" t="s">
        <v>200</v>
      </c>
      <c r="G481" s="18" t="s">
        <v>76</v>
      </c>
      <c r="H481" s="18" t="s">
        <v>2019</v>
      </c>
      <c r="I481" s="18" t="s">
        <v>138</v>
      </c>
      <c r="J481" s="18" t="s">
        <v>106</v>
      </c>
      <c r="K481" s="18" t="s">
        <v>46</v>
      </c>
      <c r="L481" s="18" t="s">
        <v>47</v>
      </c>
      <c r="M481" s="18">
        <v>3</v>
      </c>
      <c r="N481" s="18">
        <v>12000</v>
      </c>
      <c r="O481" s="18">
        <v>0</v>
      </c>
      <c r="P481" s="18">
        <v>36000</v>
      </c>
      <c r="Q481" s="18">
        <v>2</v>
      </c>
      <c r="R481" s="18" t="s">
        <v>88</v>
      </c>
      <c r="S481" s="18" t="s">
        <v>151</v>
      </c>
      <c r="T481" s="18" t="s">
        <v>132</v>
      </c>
      <c r="U481" s="19" t="s">
        <v>2020</v>
      </c>
      <c r="V481" s="18" t="s">
        <v>64</v>
      </c>
      <c r="W481" t="str">
        <f t="shared" si="28"/>
        <v>Blacklisted</v>
      </c>
      <c r="X481" s="27" t="str">
        <f t="shared" si="29"/>
        <v>Rohit Singh</v>
      </c>
      <c r="Y481" s="29" t="str">
        <f t="shared" si="30"/>
        <v>Roh00IDAh</v>
      </c>
      <c r="Z481" s="30" t="str">
        <f t="shared" si="31"/>
        <v>rohit.singh@company.com</v>
      </c>
    </row>
    <row r="482" spans="1:26">
      <c r="A482" s="15" t="s">
        <v>2021</v>
      </c>
      <c r="B482" s="15" t="s">
        <v>23</v>
      </c>
      <c r="C482" s="15" t="s">
        <v>40</v>
      </c>
      <c r="D482" s="15" t="s">
        <v>2022</v>
      </c>
      <c r="E482" s="15" t="s">
        <v>1863</v>
      </c>
      <c r="F482" s="15" t="s">
        <v>95</v>
      </c>
      <c r="G482" s="15" t="s">
        <v>28</v>
      </c>
      <c r="H482" s="15" t="s">
        <v>2023</v>
      </c>
      <c r="I482" s="15" t="s">
        <v>59</v>
      </c>
      <c r="J482" s="15" t="s">
        <v>31</v>
      </c>
      <c r="K482" s="15" t="s">
        <v>46</v>
      </c>
      <c r="L482" s="15" t="s">
        <v>47</v>
      </c>
      <c r="M482" s="15">
        <v>3</v>
      </c>
      <c r="N482" s="15">
        <v>12000</v>
      </c>
      <c r="O482" s="15">
        <v>20</v>
      </c>
      <c r="P482" s="15">
        <v>28800</v>
      </c>
      <c r="Q482" s="15">
        <v>3</v>
      </c>
      <c r="R482" s="15" t="s">
        <v>88</v>
      </c>
      <c r="S482" s="15" t="s">
        <v>115</v>
      </c>
      <c r="T482" s="15" t="s">
        <v>50</v>
      </c>
      <c r="U482" s="17" t="s">
        <v>2024</v>
      </c>
      <c r="V482" s="15" t="s">
        <v>38</v>
      </c>
      <c r="W482" t="str">
        <f t="shared" si="28"/>
        <v>Silver</v>
      </c>
      <c r="X482" s="27" t="str">
        <f t="shared" si="29"/>
        <v>Kavya Nair</v>
      </c>
      <c r="Y482" s="29" t="str">
        <f t="shared" si="30"/>
        <v>Kav00IDBe</v>
      </c>
      <c r="Z482" s="30" t="str">
        <f t="shared" si="31"/>
        <v>kavya.nair@company.com</v>
      </c>
    </row>
    <row r="483" spans="1:26">
      <c r="A483" s="18" t="s">
        <v>2025</v>
      </c>
      <c r="B483" s="18" t="s">
        <v>127</v>
      </c>
      <c r="C483" s="18" t="s">
        <v>169</v>
      </c>
      <c r="D483" s="18" t="s">
        <v>892</v>
      </c>
      <c r="E483" s="18" t="s">
        <v>161</v>
      </c>
      <c r="F483" s="18" t="s">
        <v>200</v>
      </c>
      <c r="G483" s="18" t="s">
        <v>76</v>
      </c>
      <c r="H483" s="18" t="s">
        <v>2026</v>
      </c>
      <c r="I483" s="18" t="s">
        <v>294</v>
      </c>
      <c r="J483" s="18" t="s">
        <v>295</v>
      </c>
      <c r="K483" s="18" t="s">
        <v>32</v>
      </c>
      <c r="L483" s="18" t="s">
        <v>174</v>
      </c>
      <c r="M483" s="18">
        <v>9</v>
      </c>
      <c r="N483" s="18">
        <v>8500</v>
      </c>
      <c r="O483" s="18">
        <v>15</v>
      </c>
      <c r="P483" s="18">
        <v>65025</v>
      </c>
      <c r="Q483" s="18">
        <v>5</v>
      </c>
      <c r="R483" s="18" t="s">
        <v>34</v>
      </c>
      <c r="S483" s="18" t="s">
        <v>49</v>
      </c>
      <c r="T483" s="18" t="s">
        <v>132</v>
      </c>
      <c r="U483" s="19" t="s">
        <v>2027</v>
      </c>
      <c r="V483" s="18" t="s">
        <v>64</v>
      </c>
      <c r="W483" t="str">
        <f t="shared" si="28"/>
        <v>Blacklisted</v>
      </c>
      <c r="X483" s="27" t="str">
        <f t="shared" si="29"/>
        <v>Rohit Singh</v>
      </c>
      <c r="Y483" s="29" t="str">
        <f t="shared" si="30"/>
        <v>Roh00IDKo</v>
      </c>
      <c r="Z483" s="30" t="str">
        <f t="shared" si="31"/>
        <v>rohit.singh@company.com</v>
      </c>
    </row>
    <row r="484" spans="1:26">
      <c r="A484" s="15" t="s">
        <v>2028</v>
      </c>
      <c r="B484" s="15" t="s">
        <v>71</v>
      </c>
      <c r="C484" s="15" t="s">
        <v>184</v>
      </c>
      <c r="D484" s="15" t="s">
        <v>261</v>
      </c>
      <c r="E484" s="15" t="s">
        <v>881</v>
      </c>
      <c r="F484" s="15" t="s">
        <v>2029</v>
      </c>
      <c r="G484" s="15" t="s">
        <v>76</v>
      </c>
      <c r="H484" s="15" t="s">
        <v>2030</v>
      </c>
      <c r="I484" s="15" t="s">
        <v>294</v>
      </c>
      <c r="J484" s="15" t="s">
        <v>295</v>
      </c>
      <c r="K484" s="15" t="s">
        <v>46</v>
      </c>
      <c r="L484" s="15" t="s">
        <v>189</v>
      </c>
      <c r="M484" s="15">
        <v>17</v>
      </c>
      <c r="N484" s="15">
        <v>700</v>
      </c>
      <c r="O484" s="15">
        <v>0</v>
      </c>
      <c r="P484" s="15">
        <v>11900</v>
      </c>
      <c r="Q484" s="15">
        <v>2</v>
      </c>
      <c r="R484" s="15" t="s">
        <v>34</v>
      </c>
      <c r="S484" s="15" t="s">
        <v>61</v>
      </c>
      <c r="T484" s="15" t="s">
        <v>80</v>
      </c>
      <c r="U484" s="17" t="s">
        <v>2031</v>
      </c>
      <c r="V484" s="15" t="s">
        <v>69</v>
      </c>
      <c r="W484" t="str">
        <f t="shared" si="28"/>
        <v>Blacklisted</v>
      </c>
      <c r="X484" s="27" t="str">
        <f t="shared" si="29"/>
        <v>Mohit Verma</v>
      </c>
      <c r="Y484" s="29" t="str">
        <f t="shared" si="30"/>
        <v>Moh00IDKo</v>
      </c>
      <c r="Z484" s="30" t="str">
        <f t="shared" si="31"/>
        <v>mohit.verma@company.com</v>
      </c>
    </row>
    <row r="485" spans="1:26">
      <c r="A485" s="18" t="s">
        <v>2032</v>
      </c>
      <c r="B485" s="18" t="s">
        <v>23</v>
      </c>
      <c r="C485" s="18" t="s">
        <v>184</v>
      </c>
      <c r="D485" s="18" t="s">
        <v>1249</v>
      </c>
      <c r="E485" s="18" t="s">
        <v>1572</v>
      </c>
      <c r="F485" s="18" t="s">
        <v>27</v>
      </c>
      <c r="G485" s="18" t="s">
        <v>28</v>
      </c>
      <c r="H485" s="18" t="s">
        <v>2033</v>
      </c>
      <c r="I485" s="18" t="s">
        <v>30</v>
      </c>
      <c r="J485" s="18" t="s">
        <v>31</v>
      </c>
      <c r="K485" s="18" t="s">
        <v>46</v>
      </c>
      <c r="L485" s="18" t="s">
        <v>189</v>
      </c>
      <c r="M485" s="18">
        <v>20</v>
      </c>
      <c r="N485" s="18">
        <v>700</v>
      </c>
      <c r="O485" s="18">
        <v>5</v>
      </c>
      <c r="P485" s="18">
        <v>13300</v>
      </c>
      <c r="Q485" s="18">
        <v>2</v>
      </c>
      <c r="R485" s="18" t="s">
        <v>88</v>
      </c>
      <c r="S485" s="18" t="s">
        <v>35</v>
      </c>
      <c r="T485" s="18" t="s">
        <v>50</v>
      </c>
      <c r="U485" s="19" t="s">
        <v>2034</v>
      </c>
      <c r="V485" s="18" t="s">
        <v>38</v>
      </c>
      <c r="W485" t="str">
        <f t="shared" si="28"/>
        <v>Blacklisted</v>
      </c>
      <c r="X485" s="27" t="str">
        <f t="shared" si="29"/>
        <v>Kavya Nair</v>
      </c>
      <c r="Y485" s="29" t="str">
        <f t="shared" si="30"/>
        <v>Kav00IDHy</v>
      </c>
      <c r="Z485" s="30" t="str">
        <f t="shared" si="31"/>
        <v>kavya.nair@company.com</v>
      </c>
    </row>
    <row r="486" spans="1:26">
      <c r="A486" s="15" t="s">
        <v>2035</v>
      </c>
      <c r="B486" s="15" t="s">
        <v>327</v>
      </c>
      <c r="C486" s="15" t="s">
        <v>72</v>
      </c>
      <c r="D486" s="15" t="s">
        <v>554</v>
      </c>
      <c r="E486" s="15" t="s">
        <v>65</v>
      </c>
      <c r="F486" s="15" t="s">
        <v>2036</v>
      </c>
      <c r="G486" s="15" t="s">
        <v>76</v>
      </c>
      <c r="H486" s="15" t="s">
        <v>2037</v>
      </c>
      <c r="I486" s="15" t="s">
        <v>138</v>
      </c>
      <c r="J486" s="15" t="s">
        <v>106</v>
      </c>
      <c r="K486" s="15" t="s">
        <v>46</v>
      </c>
      <c r="L486" s="15" t="s">
        <v>78</v>
      </c>
      <c r="M486" s="15">
        <v>13</v>
      </c>
      <c r="N486" s="15">
        <v>1200</v>
      </c>
      <c r="O486" s="15">
        <v>20</v>
      </c>
      <c r="P486" s="15">
        <v>12480</v>
      </c>
      <c r="Q486" s="15">
        <v>5</v>
      </c>
      <c r="R486" s="15" t="s">
        <v>79</v>
      </c>
      <c r="S486" s="15" t="s">
        <v>115</v>
      </c>
      <c r="T486" s="15" t="s">
        <v>332</v>
      </c>
      <c r="U486" s="17" t="s">
        <v>2038</v>
      </c>
      <c r="V486" s="15" t="s">
        <v>38</v>
      </c>
      <c r="W486" t="str">
        <f t="shared" si="28"/>
        <v>Silver</v>
      </c>
      <c r="X486" s="27" t="str">
        <f t="shared" si="29"/>
        <v>Amit Sharma</v>
      </c>
      <c r="Y486" s="29" t="str">
        <f t="shared" si="30"/>
        <v>Ami00IDAh</v>
      </c>
      <c r="Z486" s="30" t="str">
        <f t="shared" si="31"/>
        <v>amit.sharma@company.com</v>
      </c>
    </row>
    <row r="487" spans="1:26">
      <c r="A487" s="18" t="s">
        <v>2039</v>
      </c>
      <c r="B487" s="18" t="s">
        <v>100</v>
      </c>
      <c r="C487" s="18" t="s">
        <v>54</v>
      </c>
      <c r="D487" s="18" t="s">
        <v>2040</v>
      </c>
      <c r="E487" s="18" t="s">
        <v>1932</v>
      </c>
      <c r="F487" s="18" t="s">
        <v>103</v>
      </c>
      <c r="G487" s="18" t="s">
        <v>28</v>
      </c>
      <c r="H487" s="18" t="s">
        <v>1082</v>
      </c>
      <c r="I487" s="18" t="s">
        <v>212</v>
      </c>
      <c r="J487" s="18" t="s">
        <v>45</v>
      </c>
      <c r="K487" s="18" t="s">
        <v>46</v>
      </c>
      <c r="L487" s="18" t="s">
        <v>60</v>
      </c>
      <c r="M487" s="18">
        <v>20</v>
      </c>
      <c r="N487" s="18">
        <v>55000</v>
      </c>
      <c r="O487" s="18">
        <v>10</v>
      </c>
      <c r="P487" s="18">
        <v>990000</v>
      </c>
      <c r="Q487" s="18">
        <v>1</v>
      </c>
      <c r="R487" s="18" t="s">
        <v>88</v>
      </c>
      <c r="S487" s="18" t="s">
        <v>35</v>
      </c>
      <c r="T487" s="18" t="s">
        <v>144</v>
      </c>
      <c r="U487" s="19" t="s">
        <v>2041</v>
      </c>
      <c r="V487" s="18" t="s">
        <v>64</v>
      </c>
      <c r="W487" t="str">
        <f t="shared" si="28"/>
        <v>Blacklisted</v>
      </c>
      <c r="X487" s="27" t="str">
        <f t="shared" si="29"/>
        <v>Priya Patel</v>
      </c>
      <c r="Y487" s="29" t="str">
        <f t="shared" si="30"/>
        <v>Pri00IDJa</v>
      </c>
      <c r="Z487" s="30" t="str">
        <f t="shared" si="31"/>
        <v>priya.patel@company.com</v>
      </c>
    </row>
    <row r="488" spans="1:26">
      <c r="A488" s="15" t="s">
        <v>2042</v>
      </c>
      <c r="B488" s="15" t="s">
        <v>251</v>
      </c>
      <c r="C488" s="15" t="s">
        <v>72</v>
      </c>
      <c r="D488" s="15" t="s">
        <v>531</v>
      </c>
      <c r="E488" s="15" t="s">
        <v>291</v>
      </c>
      <c r="F488" s="15" t="s">
        <v>254</v>
      </c>
      <c r="G488" s="15" t="s">
        <v>28</v>
      </c>
      <c r="H488" s="15" t="s">
        <v>2043</v>
      </c>
      <c r="I488" s="15" t="s">
        <v>294</v>
      </c>
      <c r="J488" s="15" t="s">
        <v>295</v>
      </c>
      <c r="K488" s="15" t="s">
        <v>46</v>
      </c>
      <c r="L488" s="15" t="s">
        <v>78</v>
      </c>
      <c r="M488" s="15">
        <v>8</v>
      </c>
      <c r="N488" s="15">
        <v>1200</v>
      </c>
      <c r="O488" s="15">
        <v>0</v>
      </c>
      <c r="P488" s="15">
        <v>9600</v>
      </c>
      <c r="Q488" s="15">
        <v>2</v>
      </c>
      <c r="R488" s="15" t="s">
        <v>48</v>
      </c>
      <c r="S488" s="15" t="s">
        <v>151</v>
      </c>
      <c r="T488" s="15" t="s">
        <v>256</v>
      </c>
      <c r="U488" s="17" t="s">
        <v>2044</v>
      </c>
      <c r="V488" s="15" t="s">
        <v>38</v>
      </c>
      <c r="W488" t="str">
        <f t="shared" si="28"/>
        <v>Blacklisted</v>
      </c>
      <c r="X488" s="27" t="str">
        <f t="shared" si="29"/>
        <v>Sneha Joshi</v>
      </c>
      <c r="Y488" s="29" t="str">
        <f t="shared" si="30"/>
        <v>Sne00IDKo</v>
      </c>
      <c r="Z488" s="30" t="str">
        <f t="shared" si="31"/>
        <v>sneha.joshi@company.com</v>
      </c>
    </row>
    <row r="489" spans="1:26">
      <c r="A489" s="18" t="s">
        <v>2045</v>
      </c>
      <c r="B489" s="18" t="s">
        <v>53</v>
      </c>
      <c r="C489" s="18" t="s">
        <v>222</v>
      </c>
      <c r="D489" s="18" t="s">
        <v>2046</v>
      </c>
      <c r="E489" s="18" t="s">
        <v>1238</v>
      </c>
      <c r="F489" s="18" t="s">
        <v>163</v>
      </c>
      <c r="G489" s="18" t="s">
        <v>28</v>
      </c>
      <c r="H489" s="18" t="s">
        <v>2047</v>
      </c>
      <c r="I489" s="18" t="s">
        <v>294</v>
      </c>
      <c r="J489" s="18" t="s">
        <v>295</v>
      </c>
      <c r="K489" s="18" t="s">
        <v>122</v>
      </c>
      <c r="L489" s="18" t="s">
        <v>227</v>
      </c>
      <c r="M489" s="18">
        <v>18</v>
      </c>
      <c r="N489" s="18">
        <v>20</v>
      </c>
      <c r="O489" s="18">
        <v>10</v>
      </c>
      <c r="P489" s="18">
        <v>324</v>
      </c>
      <c r="Q489" s="18">
        <v>5</v>
      </c>
      <c r="R489" s="18" t="s">
        <v>79</v>
      </c>
      <c r="S489" s="18"/>
      <c r="T489" s="20" t="s">
        <v>2048</v>
      </c>
      <c r="U489" s="19" t="s">
        <v>2049</v>
      </c>
      <c r="V489" s="18" t="s">
        <v>64</v>
      </c>
      <c r="W489" t="str">
        <f t="shared" si="28"/>
        <v>Blacklisted</v>
      </c>
      <c r="X489" s="27" t="str">
        <f t="shared" si="29"/>
        <v>Pooja Shah</v>
      </c>
      <c r="Y489" s="29" t="str">
        <f t="shared" si="30"/>
        <v>Poo01IDKo</v>
      </c>
      <c r="Z489" s="30" t="str">
        <f t="shared" si="31"/>
        <v>pooja.shah@company.com</v>
      </c>
    </row>
    <row r="490" spans="1:26">
      <c r="A490" s="15" t="s">
        <v>2050</v>
      </c>
      <c r="B490" s="15" t="s">
        <v>168</v>
      </c>
      <c r="C490" s="15" t="s">
        <v>40</v>
      </c>
      <c r="D490" s="15" t="s">
        <v>2051</v>
      </c>
      <c r="E490" s="15" t="s">
        <v>272</v>
      </c>
      <c r="F490" s="15" t="s">
        <v>361</v>
      </c>
      <c r="G490" s="15" t="s">
        <v>28</v>
      </c>
      <c r="H490" s="15" t="s">
        <v>2052</v>
      </c>
      <c r="I490" s="15" t="s">
        <v>114</v>
      </c>
      <c r="J490" s="15" t="s">
        <v>106</v>
      </c>
      <c r="K490" s="15" t="s">
        <v>46</v>
      </c>
      <c r="L490" s="15" t="s">
        <v>47</v>
      </c>
      <c r="M490" s="15">
        <v>11</v>
      </c>
      <c r="N490" s="15">
        <v>12000</v>
      </c>
      <c r="O490" s="15">
        <v>10</v>
      </c>
      <c r="P490" s="15">
        <v>118800</v>
      </c>
      <c r="Q490" s="15">
        <v>1</v>
      </c>
      <c r="R490" s="15" t="s">
        <v>79</v>
      </c>
      <c r="S490" s="15" t="s">
        <v>49</v>
      </c>
      <c r="T490" s="15" t="s">
        <v>175</v>
      </c>
      <c r="U490" s="17" t="s">
        <v>2053</v>
      </c>
      <c r="V490" s="15" t="s">
        <v>69</v>
      </c>
      <c r="W490" t="str">
        <f t="shared" si="28"/>
        <v>Blacklisted</v>
      </c>
      <c r="X490" s="27" t="str">
        <f t="shared" si="29"/>
        <v>Anita Gupta</v>
      </c>
      <c r="Y490" s="29" t="str">
        <f t="shared" si="30"/>
        <v>Ani00IDPu</v>
      </c>
      <c r="Z490" s="30" t="str">
        <f t="shared" si="31"/>
        <v>anita.gupta@company.com</v>
      </c>
    </row>
    <row r="491" spans="1:26">
      <c r="A491" s="18" t="s">
        <v>2054</v>
      </c>
      <c r="B491" s="18" t="s">
        <v>327</v>
      </c>
      <c r="C491" s="18" t="s">
        <v>169</v>
      </c>
      <c r="D491" s="18" t="s">
        <v>142</v>
      </c>
      <c r="E491" s="18" t="s">
        <v>1378</v>
      </c>
      <c r="F491" s="18" t="s">
        <v>394</v>
      </c>
      <c r="G491" s="18" t="s">
        <v>76</v>
      </c>
      <c r="H491" s="18" t="s">
        <v>2055</v>
      </c>
      <c r="I491" s="18" t="s">
        <v>30</v>
      </c>
      <c r="J491" s="18" t="s">
        <v>31</v>
      </c>
      <c r="K491" s="18" t="s">
        <v>32</v>
      </c>
      <c r="L491" s="18" t="s">
        <v>174</v>
      </c>
      <c r="M491" s="18">
        <v>2</v>
      </c>
      <c r="N491" s="18">
        <v>8500</v>
      </c>
      <c r="O491" s="18">
        <v>5</v>
      </c>
      <c r="P491" s="18">
        <v>16150</v>
      </c>
      <c r="Q491" s="18">
        <v>1</v>
      </c>
      <c r="R491" s="18" t="s">
        <v>79</v>
      </c>
      <c r="S491" s="18" t="s">
        <v>61</v>
      </c>
      <c r="T491" s="18" t="s">
        <v>332</v>
      </c>
      <c r="U491" s="19" t="s">
        <v>2056</v>
      </c>
      <c r="V491" s="18" t="s">
        <v>38</v>
      </c>
      <c r="W491" t="str">
        <f t="shared" si="28"/>
        <v>Blacklisted</v>
      </c>
      <c r="X491" s="27" t="str">
        <f t="shared" si="29"/>
        <v>Amit Sharma</v>
      </c>
      <c r="Y491" s="29" t="str">
        <f t="shared" si="30"/>
        <v>Ami00IDHy</v>
      </c>
      <c r="Z491" s="30" t="str">
        <f t="shared" si="31"/>
        <v>amit.sharma@company.com</v>
      </c>
    </row>
    <row r="492" spans="1:26">
      <c r="A492" s="15" t="s">
        <v>2057</v>
      </c>
      <c r="B492" s="15" t="s">
        <v>100</v>
      </c>
      <c r="C492" s="15" t="s">
        <v>24</v>
      </c>
      <c r="D492" s="15" t="s">
        <v>328</v>
      </c>
      <c r="E492" s="15" t="s">
        <v>1507</v>
      </c>
      <c r="F492" s="15" t="s">
        <v>2058</v>
      </c>
      <c r="G492" s="15" t="s">
        <v>28</v>
      </c>
      <c r="H492" s="15" t="s">
        <v>2059</v>
      </c>
      <c r="I492" s="15" t="s">
        <v>114</v>
      </c>
      <c r="J492" s="15" t="s">
        <v>106</v>
      </c>
      <c r="K492" s="15" t="s">
        <v>32</v>
      </c>
      <c r="L492" s="15" t="s">
        <v>33</v>
      </c>
      <c r="M492" s="15">
        <v>7</v>
      </c>
      <c r="N492" s="15">
        <v>2200</v>
      </c>
      <c r="O492" s="15">
        <v>0</v>
      </c>
      <c r="P492" s="15">
        <v>15400</v>
      </c>
      <c r="Q492" s="15">
        <v>5</v>
      </c>
      <c r="R492" s="15" t="s">
        <v>48</v>
      </c>
      <c r="S492" s="15" t="s">
        <v>35</v>
      </c>
      <c r="T492" s="15" t="s">
        <v>144</v>
      </c>
      <c r="U492" s="17" t="s">
        <v>2060</v>
      </c>
      <c r="V492" s="15" t="s">
        <v>64</v>
      </c>
      <c r="W492" t="str">
        <f t="shared" si="28"/>
        <v>Blacklisted</v>
      </c>
      <c r="X492" s="27" t="str">
        <f t="shared" si="29"/>
        <v>Priya Patel</v>
      </c>
      <c r="Y492" s="29" t="str">
        <f t="shared" si="30"/>
        <v>Pri00IDPu</v>
      </c>
      <c r="Z492" s="30" t="str">
        <f t="shared" si="31"/>
        <v>priya.patel@company.com</v>
      </c>
    </row>
    <row r="493" spans="1:26">
      <c r="A493" s="18" t="s">
        <v>2061</v>
      </c>
      <c r="B493" s="18" t="s">
        <v>83</v>
      </c>
      <c r="C493" s="18" t="s">
        <v>169</v>
      </c>
      <c r="D493" s="18" t="s">
        <v>1916</v>
      </c>
      <c r="E493" s="18" t="s">
        <v>1098</v>
      </c>
      <c r="F493" s="18" t="s">
        <v>180</v>
      </c>
      <c r="G493" s="18" t="s">
        <v>76</v>
      </c>
      <c r="H493" s="18" t="s">
        <v>2062</v>
      </c>
      <c r="I493" s="18" t="s">
        <v>44</v>
      </c>
      <c r="J493" s="18" t="s">
        <v>45</v>
      </c>
      <c r="K493" s="18" t="s">
        <v>32</v>
      </c>
      <c r="L493" s="18" t="s">
        <v>174</v>
      </c>
      <c r="M493" s="18">
        <v>20</v>
      </c>
      <c r="N493" s="18">
        <v>8500</v>
      </c>
      <c r="O493" s="18">
        <v>0</v>
      </c>
      <c r="P493" s="18">
        <v>170000</v>
      </c>
      <c r="Q493" s="18">
        <v>3</v>
      </c>
      <c r="R493" s="18" t="s">
        <v>48</v>
      </c>
      <c r="S493" s="18" t="s">
        <v>49</v>
      </c>
      <c r="T493" s="18" t="s">
        <v>89</v>
      </c>
      <c r="U493" s="19" t="s">
        <v>2063</v>
      </c>
      <c r="V493" s="18" t="s">
        <v>38</v>
      </c>
      <c r="W493" t="str">
        <f t="shared" si="28"/>
        <v>Blacklisted</v>
      </c>
      <c r="X493" s="27" t="str">
        <f t="shared" si="29"/>
        <v>Arjun Rao</v>
      </c>
      <c r="Y493" s="29" t="str">
        <f t="shared" si="30"/>
        <v>Arj00IDDe</v>
      </c>
      <c r="Z493" s="30" t="str">
        <f t="shared" si="31"/>
        <v>arjun.rao@company.com</v>
      </c>
    </row>
    <row r="494" spans="1:26">
      <c r="A494" s="15" t="s">
        <v>2064</v>
      </c>
      <c r="B494" s="15" t="s">
        <v>127</v>
      </c>
      <c r="C494" s="15" t="s">
        <v>72</v>
      </c>
      <c r="D494" s="15" t="s">
        <v>1106</v>
      </c>
      <c r="E494" s="15" t="s">
        <v>839</v>
      </c>
      <c r="F494" s="15" t="s">
        <v>2065</v>
      </c>
      <c r="G494" s="15" t="s">
        <v>76</v>
      </c>
      <c r="H494" s="15" t="s">
        <v>2066</v>
      </c>
      <c r="I494" s="15" t="s">
        <v>30</v>
      </c>
      <c r="J494" s="15" t="s">
        <v>31</v>
      </c>
      <c r="K494" s="15" t="s">
        <v>46</v>
      </c>
      <c r="L494" s="15" t="s">
        <v>78</v>
      </c>
      <c r="M494" s="15">
        <v>11</v>
      </c>
      <c r="N494" s="15">
        <v>1200</v>
      </c>
      <c r="O494" s="15">
        <v>5</v>
      </c>
      <c r="P494" s="15">
        <v>12540</v>
      </c>
      <c r="Q494" s="15">
        <v>2</v>
      </c>
      <c r="R494" s="15" t="s">
        <v>34</v>
      </c>
      <c r="S494" s="15" t="s">
        <v>35</v>
      </c>
      <c r="T494" s="15" t="s">
        <v>132</v>
      </c>
      <c r="U494" s="17" t="s">
        <v>2067</v>
      </c>
      <c r="V494" s="15" t="s">
        <v>64</v>
      </c>
      <c r="W494" t="str">
        <f t="shared" si="28"/>
        <v>Blacklisted</v>
      </c>
      <c r="X494" s="27" t="str">
        <f t="shared" si="29"/>
        <v>Rohit Singh</v>
      </c>
      <c r="Y494" s="29" t="str">
        <f t="shared" si="30"/>
        <v>Roh00IDHy</v>
      </c>
      <c r="Z494" s="30" t="str">
        <f t="shared" si="31"/>
        <v>rohit.singh@company.com</v>
      </c>
    </row>
    <row r="495" spans="1:26">
      <c r="A495" s="18" t="s">
        <v>2068</v>
      </c>
      <c r="B495" s="18" t="s">
        <v>83</v>
      </c>
      <c r="C495" s="18" t="s">
        <v>184</v>
      </c>
      <c r="D495" s="18" t="s">
        <v>839</v>
      </c>
      <c r="E495" s="18" t="s">
        <v>756</v>
      </c>
      <c r="F495" s="18" t="s">
        <v>180</v>
      </c>
      <c r="G495" s="18" t="s">
        <v>76</v>
      </c>
      <c r="H495" s="18" t="s">
        <v>2069</v>
      </c>
      <c r="I495" s="18" t="s">
        <v>138</v>
      </c>
      <c r="J495" s="18" t="s">
        <v>106</v>
      </c>
      <c r="K495" s="18" t="s">
        <v>46</v>
      </c>
      <c r="L495" s="18" t="s">
        <v>189</v>
      </c>
      <c r="M495" s="18">
        <v>14</v>
      </c>
      <c r="N495" s="18">
        <v>700</v>
      </c>
      <c r="O495" s="18">
        <v>0</v>
      </c>
      <c r="P495" s="18">
        <v>9800</v>
      </c>
      <c r="Q495" s="18">
        <v>2</v>
      </c>
      <c r="R495" s="18" t="s">
        <v>79</v>
      </c>
      <c r="S495" s="18" t="s">
        <v>151</v>
      </c>
      <c r="T495" s="18" t="s">
        <v>89</v>
      </c>
      <c r="U495" s="19" t="s">
        <v>2070</v>
      </c>
      <c r="V495" s="18" t="s">
        <v>69</v>
      </c>
      <c r="W495" t="str">
        <f t="shared" si="28"/>
        <v>Blacklisted</v>
      </c>
      <c r="X495" s="27" t="str">
        <f t="shared" si="29"/>
        <v>Arjun Rao</v>
      </c>
      <c r="Y495" s="29" t="str">
        <f t="shared" si="30"/>
        <v>Arj00IDAh</v>
      </c>
      <c r="Z495" s="30" t="str">
        <f t="shared" si="31"/>
        <v>arjun.rao@company.com</v>
      </c>
    </row>
    <row r="496" spans="1:26">
      <c r="A496" s="15" t="s">
        <v>2071</v>
      </c>
      <c r="B496" s="15" t="s">
        <v>71</v>
      </c>
      <c r="C496" s="15" t="s">
        <v>72</v>
      </c>
      <c r="D496" s="15" t="s">
        <v>793</v>
      </c>
      <c r="E496" s="15" t="s">
        <v>1650</v>
      </c>
      <c r="F496" s="15" t="s">
        <v>217</v>
      </c>
      <c r="G496" s="15" t="s">
        <v>76</v>
      </c>
      <c r="H496" s="15" t="s">
        <v>2072</v>
      </c>
      <c r="I496" s="15" t="s">
        <v>114</v>
      </c>
      <c r="J496" s="15" t="s">
        <v>106</v>
      </c>
      <c r="K496" s="15" t="s">
        <v>46</v>
      </c>
      <c r="L496" s="15" t="s">
        <v>78</v>
      </c>
      <c r="M496" s="15">
        <v>16</v>
      </c>
      <c r="N496" s="15">
        <v>1200</v>
      </c>
      <c r="O496" s="15">
        <v>15</v>
      </c>
      <c r="P496" s="15">
        <v>16320</v>
      </c>
      <c r="Q496" s="15">
        <v>4</v>
      </c>
      <c r="R496" s="15" t="s">
        <v>34</v>
      </c>
      <c r="S496" s="15" t="s">
        <v>151</v>
      </c>
      <c r="T496" s="15" t="s">
        <v>80</v>
      </c>
      <c r="U496" s="17" t="s">
        <v>2073</v>
      </c>
      <c r="V496" s="15" t="s">
        <v>64</v>
      </c>
      <c r="W496" t="str">
        <f t="shared" si="28"/>
        <v>Blacklisted</v>
      </c>
      <c r="X496" s="27" t="str">
        <f t="shared" si="29"/>
        <v>Mohit Verma</v>
      </c>
      <c r="Y496" s="29" t="str">
        <f t="shared" si="30"/>
        <v>Moh00IDPu</v>
      </c>
      <c r="Z496" s="30" t="str">
        <f t="shared" si="31"/>
        <v>mohit.verma@company.com</v>
      </c>
    </row>
    <row r="497" spans="1:26">
      <c r="A497" s="18" t="s">
        <v>2074</v>
      </c>
      <c r="B497" s="18" t="s">
        <v>168</v>
      </c>
      <c r="C497" s="18" t="s">
        <v>24</v>
      </c>
      <c r="D497" s="18" t="s">
        <v>493</v>
      </c>
      <c r="E497" s="18" t="s">
        <v>1932</v>
      </c>
      <c r="F497" s="18" t="s">
        <v>2075</v>
      </c>
      <c r="G497" s="18" t="s">
        <v>28</v>
      </c>
      <c r="H497" s="18" t="s">
        <v>2076</v>
      </c>
      <c r="I497" s="18" t="s">
        <v>212</v>
      </c>
      <c r="J497" s="18" t="s">
        <v>45</v>
      </c>
      <c r="K497" s="18" t="s">
        <v>32</v>
      </c>
      <c r="L497" s="18" t="s">
        <v>33</v>
      </c>
      <c r="M497" s="18">
        <v>20</v>
      </c>
      <c r="N497" s="18">
        <v>2200</v>
      </c>
      <c r="O497" s="18">
        <v>0</v>
      </c>
      <c r="P497" s="18">
        <v>44000</v>
      </c>
      <c r="Q497" s="18">
        <v>5</v>
      </c>
      <c r="R497" s="18" t="s">
        <v>34</v>
      </c>
      <c r="S497" s="18" t="s">
        <v>35</v>
      </c>
      <c r="T497" s="18" t="s">
        <v>175</v>
      </c>
      <c r="U497" s="19" t="s">
        <v>2077</v>
      </c>
      <c r="V497" s="18" t="s">
        <v>69</v>
      </c>
      <c r="W497" t="str">
        <f t="shared" si="28"/>
        <v>Blacklisted</v>
      </c>
      <c r="X497" s="27" t="str">
        <f t="shared" si="29"/>
        <v>Anita Gupta</v>
      </c>
      <c r="Y497" s="29" t="str">
        <f t="shared" si="30"/>
        <v>Ani00IDJa</v>
      </c>
      <c r="Z497" s="30" t="str">
        <f t="shared" si="31"/>
        <v>anita.gupta@company.com</v>
      </c>
    </row>
    <row r="498" spans="1:26">
      <c r="A498" s="15" t="s">
        <v>2078</v>
      </c>
      <c r="B498" s="15" t="s">
        <v>83</v>
      </c>
      <c r="C498" s="15" t="s">
        <v>40</v>
      </c>
      <c r="D498" s="15" t="s">
        <v>2051</v>
      </c>
      <c r="E498" s="15" t="s">
        <v>272</v>
      </c>
      <c r="F498" s="15" t="s">
        <v>180</v>
      </c>
      <c r="G498" s="15" t="s">
        <v>76</v>
      </c>
      <c r="H498" s="15" t="s">
        <v>2079</v>
      </c>
      <c r="I498" s="15" t="s">
        <v>212</v>
      </c>
      <c r="J498" s="15" t="s">
        <v>45</v>
      </c>
      <c r="K498" s="15" t="s">
        <v>46</v>
      </c>
      <c r="L498" s="15" t="s">
        <v>47</v>
      </c>
      <c r="M498" s="15">
        <v>12</v>
      </c>
      <c r="N498" s="15">
        <v>12000</v>
      </c>
      <c r="O498" s="15">
        <v>15</v>
      </c>
      <c r="P498" s="15">
        <v>122400</v>
      </c>
      <c r="Q498" s="15">
        <v>5</v>
      </c>
      <c r="R498" s="15" t="s">
        <v>34</v>
      </c>
      <c r="S498" s="15" t="s">
        <v>151</v>
      </c>
      <c r="T498" s="15" t="s">
        <v>89</v>
      </c>
      <c r="U498" s="17" t="s">
        <v>2080</v>
      </c>
      <c r="V498" s="15" t="s">
        <v>38</v>
      </c>
      <c r="W498" t="str">
        <f t="shared" si="28"/>
        <v>Blacklisted</v>
      </c>
      <c r="X498" s="27" t="str">
        <f t="shared" si="29"/>
        <v>Arjun Rao</v>
      </c>
      <c r="Y498" s="29" t="str">
        <f t="shared" si="30"/>
        <v>Arj00IDJa</v>
      </c>
      <c r="Z498" s="30" t="str">
        <f t="shared" si="31"/>
        <v>arjun.rao@company.com</v>
      </c>
    </row>
    <row r="499" spans="1:26">
      <c r="A499" s="18" t="s">
        <v>2081</v>
      </c>
      <c r="B499" s="18" t="s">
        <v>221</v>
      </c>
      <c r="C499" s="18" t="s">
        <v>72</v>
      </c>
      <c r="D499" s="18" t="s">
        <v>610</v>
      </c>
      <c r="E499" s="18" t="s">
        <v>611</v>
      </c>
      <c r="F499" s="18" t="s">
        <v>225</v>
      </c>
      <c r="G499" s="18" t="s">
        <v>76</v>
      </c>
      <c r="H499" s="18" t="s">
        <v>2082</v>
      </c>
      <c r="I499" s="18" t="s">
        <v>44</v>
      </c>
      <c r="J499" s="18" t="s">
        <v>45</v>
      </c>
      <c r="K499" s="18" t="s">
        <v>46</v>
      </c>
      <c r="L499" s="18" t="s">
        <v>78</v>
      </c>
      <c r="M499" s="18">
        <v>3</v>
      </c>
      <c r="N499" s="18">
        <v>1200</v>
      </c>
      <c r="O499" s="18">
        <v>20</v>
      </c>
      <c r="P499" s="18">
        <v>2880</v>
      </c>
      <c r="Q499" s="18">
        <v>2</v>
      </c>
      <c r="R499" s="18" t="s">
        <v>48</v>
      </c>
      <c r="S499" s="18" t="s">
        <v>115</v>
      </c>
      <c r="T499" s="18" t="s">
        <v>907</v>
      </c>
      <c r="U499" s="19" t="s">
        <v>2083</v>
      </c>
      <c r="V499" s="18" t="s">
        <v>64</v>
      </c>
      <c r="W499" t="str">
        <f t="shared" si="28"/>
        <v>Blacklisted</v>
      </c>
      <c r="X499" s="27" t="str">
        <f t="shared" si="29"/>
        <v>Vikas Mehta</v>
      </c>
      <c r="Y499" s="29" t="str">
        <f t="shared" si="30"/>
        <v>Vik00IDDe</v>
      </c>
      <c r="Z499" s="30" t="str">
        <f t="shared" si="31"/>
        <v>Invalid Email</v>
      </c>
    </row>
    <row r="500" spans="1:26">
      <c r="A500" s="15" t="s">
        <v>2084</v>
      </c>
      <c r="B500" s="15" t="s">
        <v>100</v>
      </c>
      <c r="C500" s="15" t="s">
        <v>54</v>
      </c>
      <c r="D500" s="15" t="s">
        <v>276</v>
      </c>
      <c r="E500" s="15" t="s">
        <v>2085</v>
      </c>
      <c r="F500" s="15" t="s">
        <v>103</v>
      </c>
      <c r="G500" s="15" t="s">
        <v>28</v>
      </c>
      <c r="H500" s="15" t="s">
        <v>2086</v>
      </c>
      <c r="I500" s="15" t="s">
        <v>105</v>
      </c>
      <c r="J500" s="15" t="s">
        <v>106</v>
      </c>
      <c r="K500" s="15" t="s">
        <v>46</v>
      </c>
      <c r="L500" s="15" t="s">
        <v>2087</v>
      </c>
      <c r="M500" s="15">
        <v>6</v>
      </c>
      <c r="N500" s="15">
        <v>55000</v>
      </c>
      <c r="O500" s="15">
        <v>20</v>
      </c>
      <c r="P500" s="15">
        <v>264000</v>
      </c>
      <c r="Q500" s="15">
        <v>3</v>
      </c>
      <c r="R500" s="15" t="s">
        <v>34</v>
      </c>
      <c r="S500" s="15" t="s">
        <v>151</v>
      </c>
      <c r="T500" s="15" t="s">
        <v>144</v>
      </c>
      <c r="U500" s="17" t="s">
        <v>2088</v>
      </c>
      <c r="V500" s="15" t="s">
        <v>38</v>
      </c>
      <c r="W500" t="str">
        <f t="shared" si="28"/>
        <v>Blacklisted</v>
      </c>
      <c r="X500" s="27" t="str">
        <f t="shared" si="29"/>
        <v>Priya Patel</v>
      </c>
      <c r="Y500" s="29" t="str">
        <f t="shared" si="30"/>
        <v>Pri00IDMu</v>
      </c>
      <c r="Z500" s="30" t="str">
        <f t="shared" si="31"/>
        <v>priya.patel@company.com</v>
      </c>
    </row>
    <row r="501" spans="1:26">
      <c r="A501" s="18" t="s">
        <v>2089</v>
      </c>
      <c r="B501" s="18" t="s">
        <v>100</v>
      </c>
      <c r="C501" s="18" t="s">
        <v>92</v>
      </c>
      <c r="D501" s="18" t="s">
        <v>2090</v>
      </c>
      <c r="E501" s="18" t="s">
        <v>129</v>
      </c>
      <c r="F501" s="18" t="s">
        <v>103</v>
      </c>
      <c r="G501" s="18" t="s">
        <v>28</v>
      </c>
      <c r="H501" s="18" t="s">
        <v>2091</v>
      </c>
      <c r="I501" s="18" t="s">
        <v>59</v>
      </c>
      <c r="J501" s="18" t="s">
        <v>31</v>
      </c>
      <c r="K501" s="18" t="s">
        <v>32</v>
      </c>
      <c r="L501" s="18" t="s">
        <v>97</v>
      </c>
      <c r="M501" s="18">
        <v>20</v>
      </c>
      <c r="N501" s="18">
        <v>3500</v>
      </c>
      <c r="O501" s="18">
        <v>0</v>
      </c>
      <c r="P501" s="18">
        <v>70000</v>
      </c>
      <c r="Q501" s="18">
        <v>1</v>
      </c>
      <c r="R501" s="18" t="s">
        <v>48</v>
      </c>
      <c r="S501" s="18" t="s">
        <v>151</v>
      </c>
      <c r="T501" s="18" t="s">
        <v>144</v>
      </c>
      <c r="U501" s="19" t="s">
        <v>2092</v>
      </c>
      <c r="V501" s="18" t="s">
        <v>64</v>
      </c>
      <c r="W501" t="str">
        <f t="shared" si="28"/>
        <v>Blacklisted</v>
      </c>
      <c r="X501" s="27" t="str">
        <f t="shared" si="29"/>
        <v>Priya Patel</v>
      </c>
      <c r="Y501" s="29" t="str">
        <f t="shared" si="30"/>
        <v>Pri00IDBe</v>
      </c>
      <c r="Z501" s="30" t="str">
        <f t="shared" si="31"/>
        <v>priya.patel@company.com</v>
      </c>
    </row>
  </sheetData>
  <hyperlinks>
    <hyperlink ref="T2" r:id="rId1" xr:uid="{FDDAA98C-7C89-4E32-B0BD-C6AFE3DFEC52}"/>
    <hyperlink ref="T5" r:id="rId2" xr:uid="{73C793AD-5A42-40D2-9847-3D618AE4632B}"/>
    <hyperlink ref="T9" r:id="rId3" xr:uid="{AFDEBB3C-A789-4463-98DE-EADD4BEBB8BF}"/>
    <hyperlink ref="T11" r:id="rId4" xr:uid="{1F5856E2-F671-46B8-AC50-0ED2AB7832E0}"/>
    <hyperlink ref="T16" r:id="rId5" xr:uid="{3A435F2F-24F7-461B-A2D8-334EB3A9A534}"/>
    <hyperlink ref="T15" r:id="rId6" xr:uid="{5DB1E132-524A-443C-931F-2C584EE7F996}"/>
    <hyperlink ref="T20" r:id="rId7" xr:uid="{6559C966-1A7D-47F7-8ECA-5F16678C2B1A}"/>
    <hyperlink ref="T61" r:id="rId8" xr:uid="{F0CB47BF-012F-480F-B50A-886BE8F82539}"/>
    <hyperlink ref="T72" r:id="rId9" xr:uid="{70F34AA3-F9BB-4269-93AD-2458C84BAFDB}"/>
    <hyperlink ref="T294" r:id="rId10" xr:uid="{A08D1859-CF2C-4B97-803A-02CBB4D4EF6E}"/>
    <hyperlink ref="T489" r:id="rId11" xr:uid="{433B0F6C-DB23-4006-8637-89860D28C411}"/>
    <hyperlink ref="T479" r:id="rId12" xr:uid="{D3E28641-C1AE-456B-866B-9EA122ED259A}"/>
    <hyperlink ref="T463" r:id="rId13" xr:uid="{EE7884C7-F26B-4A20-B33B-50DC51B7C2DF}"/>
    <hyperlink ref="T450" r:id="rId14" xr:uid="{1C9E93EB-A851-46AA-B1F6-C2E5324F9EE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A91EA-2355-4E6B-8C61-AC446EF33B4E}">
  <dimension ref="A1:AC501"/>
  <sheetViews>
    <sheetView topLeftCell="Z1" zoomScale="103" workbookViewId="0">
      <selection activeCell="AD1" sqref="AD1"/>
    </sheetView>
  </sheetViews>
  <sheetFormatPr defaultRowHeight="14.4"/>
  <cols>
    <col min="26" max="26" width="25.109375" bestFit="1" customWidth="1"/>
    <col min="27" max="27" width="12.77734375" bestFit="1" customWidth="1"/>
  </cols>
  <sheetData>
    <row r="1" spans="1:29">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4" t="s">
        <v>17</v>
      </c>
      <c r="S1" s="14" t="s">
        <v>18</v>
      </c>
      <c r="T1" s="14" t="s">
        <v>19</v>
      </c>
      <c r="U1" s="14" t="s">
        <v>20</v>
      </c>
      <c r="V1" s="14" t="s">
        <v>21</v>
      </c>
      <c r="W1" s="25" t="s">
        <v>2110</v>
      </c>
      <c r="X1" s="21" t="s">
        <v>2111</v>
      </c>
      <c r="Y1" s="21" t="s">
        <v>2112</v>
      </c>
      <c r="Z1" s="31" t="s">
        <v>2113</v>
      </c>
      <c r="AA1" s="22" t="s">
        <v>2114</v>
      </c>
      <c r="AB1" s="22" t="s">
        <v>2115</v>
      </c>
      <c r="AC1" s="22" t="s">
        <v>2116</v>
      </c>
    </row>
    <row r="2" spans="1:29">
      <c r="A2" s="15" t="s">
        <v>22</v>
      </c>
      <c r="B2" s="15" t="s">
        <v>23</v>
      </c>
      <c r="C2" s="15" t="s">
        <v>24</v>
      </c>
      <c r="D2" s="15" t="s">
        <v>25</v>
      </c>
      <c r="E2" s="15" t="s">
        <v>26</v>
      </c>
      <c r="F2" s="15" t="s">
        <v>27</v>
      </c>
      <c r="G2" s="15" t="s">
        <v>28</v>
      </c>
      <c r="H2" s="15" t="s">
        <v>29</v>
      </c>
      <c r="I2" s="15" t="s">
        <v>30</v>
      </c>
      <c r="J2" s="15" t="s">
        <v>31</v>
      </c>
      <c r="K2" s="15" t="s">
        <v>32</v>
      </c>
      <c r="L2" s="15" t="s">
        <v>33</v>
      </c>
      <c r="M2" s="15">
        <v>4</v>
      </c>
      <c r="N2" s="15">
        <v>2200</v>
      </c>
      <c r="O2" s="15">
        <v>10</v>
      </c>
      <c r="P2" s="15">
        <v>7920</v>
      </c>
      <c r="Q2" s="15">
        <v>4</v>
      </c>
      <c r="R2" s="15" t="s">
        <v>34</v>
      </c>
      <c r="S2" s="15" t="s">
        <v>35</v>
      </c>
      <c r="T2" s="16" t="s">
        <v>36</v>
      </c>
      <c r="U2" s="17" t="s">
        <v>37</v>
      </c>
      <c r="V2" s="15" t="s">
        <v>38</v>
      </c>
      <c r="W2" t="str">
        <f>IF(OR(Q2&lt;=2,V2="Cancelled"),"Blacklisted",IF(AND(P2&gt;=100000,Q2&gt;=4,O2&lt;10,V2="Completed"),"Platinum",IF(AND(P2&gt;=50000,P2&lt;=99999,Q2&gt;=3,V2="Completed"),"Gold",IF(AND(P2&lt;50000,V2="Completed"),"Silver","Blacklisted"))))</f>
        <v>Silver</v>
      </c>
      <c r="X2" s="27" t="str">
        <f>PROPER(TRIM(F2))</f>
        <v>Kavya Nair</v>
      </c>
      <c r="Y2" s="29" t="str">
        <f>LEFT(X2,3)&amp;MID(B2,2,2)&amp;"ID"&amp;LEFT(I2,2)</f>
        <v>Kav00IDHy</v>
      </c>
      <c r="Z2" s="30" t="str">
        <f>IF(ISNUMBER(SEARCH("@",T2)),LOWER(TRIM(T2)),"Invalid Email")</f>
        <v>kavya.nair@company.com</v>
      </c>
      <c r="AA2" s="32">
        <f ca="1">DATEDIF(H2,TODAY(),"Y")</f>
        <v>50</v>
      </c>
      <c r="AB2" s="33">
        <f>IF(E2="","",E2-D2)</f>
        <v>4</v>
      </c>
      <c r="AC2" s="34" t="str">
        <f>IF(E2="","Pending",IF(AB2&lt;=5,"On Time","Delayed"))</f>
        <v>On Time</v>
      </c>
    </row>
    <row r="3" spans="1:29">
      <c r="A3" s="18" t="s">
        <v>39</v>
      </c>
      <c r="B3" s="18" t="s">
        <v>23</v>
      </c>
      <c r="C3" s="18" t="s">
        <v>40</v>
      </c>
      <c r="D3" s="18" t="s">
        <v>41</v>
      </c>
      <c r="E3" s="18" t="s">
        <v>42</v>
      </c>
      <c r="F3" s="18" t="s">
        <v>27</v>
      </c>
      <c r="G3" s="18" t="s">
        <v>28</v>
      </c>
      <c r="H3" s="18" t="s">
        <v>43</v>
      </c>
      <c r="I3" s="18" t="s">
        <v>44</v>
      </c>
      <c r="J3" s="18" t="s">
        <v>45</v>
      </c>
      <c r="K3" s="18" t="s">
        <v>46</v>
      </c>
      <c r="L3" s="18" t="s">
        <v>47</v>
      </c>
      <c r="M3" s="18">
        <v>17</v>
      </c>
      <c r="N3" s="18">
        <v>12000</v>
      </c>
      <c r="O3" s="18">
        <v>10</v>
      </c>
      <c r="P3" s="18">
        <v>183600</v>
      </c>
      <c r="Q3" s="18">
        <v>1</v>
      </c>
      <c r="R3" s="18" t="s">
        <v>48</v>
      </c>
      <c r="S3" s="18" t="s">
        <v>49</v>
      </c>
      <c r="T3" s="18" t="s">
        <v>50</v>
      </c>
      <c r="U3" s="19" t="s">
        <v>51</v>
      </c>
      <c r="V3" s="18" t="s">
        <v>38</v>
      </c>
      <c r="W3" t="str">
        <f t="shared" ref="W3:W66" si="0">IF(OR(Q3&lt;=2,V3="Cancelled"),"Blacklisted",IF(AND(P3&gt;=100000,Q3&gt;=4,O3&lt;10,V3="Completed"),"Platinum",IF(AND(P3&gt;=50000,P3&lt;=99999,Q3&gt;=3,V3="Completed"),"Gold",IF(AND(P3&lt;50000,V3="Completed"),"Silver","Blacklisted"))))</f>
        <v>Blacklisted</v>
      </c>
      <c r="X3" s="27" t="str">
        <f t="shared" ref="X3:X66" si="1">PROPER(TRIM(F3))</f>
        <v>Kavya Nair</v>
      </c>
      <c r="Y3" s="29" t="str">
        <f t="shared" ref="Y3:Y66" si="2">LEFT(X3,3)&amp;MID(B3,2,2)&amp;"ID"&amp;LEFT(I3,2)</f>
        <v>Kav00IDDe</v>
      </c>
      <c r="Z3" s="30" t="str">
        <f t="shared" ref="Z3:Z66" si="3">IF(ISNUMBER(SEARCH("@",T3)),LOWER(TRIM(T3)),"Invalid Email")</f>
        <v>kavya.nair@company.com</v>
      </c>
      <c r="AA3" s="32">
        <f t="shared" ref="AA3:AA66" ca="1" si="4">DATEDIF(H3,TODAY(),"Y")</f>
        <v>25</v>
      </c>
      <c r="AB3" s="33">
        <f t="shared" ref="AB3:AB66" si="5">IF(E3="","",E3-D3)</f>
        <v>7</v>
      </c>
      <c r="AC3" s="34" t="str">
        <f t="shared" ref="AC3:AC66" si="6">IF(E3="","Pending",IF(AB3&lt;=5,"On Time","Delayed"))</f>
        <v>Delayed</v>
      </c>
    </row>
    <row r="4" spans="1:29">
      <c r="A4" s="15" t="s">
        <v>52</v>
      </c>
      <c r="B4" s="15" t="s">
        <v>53</v>
      </c>
      <c r="C4" s="15" t="s">
        <v>54</v>
      </c>
      <c r="D4" s="15" t="s">
        <v>55</v>
      </c>
      <c r="E4" s="15" t="s">
        <v>56</v>
      </c>
      <c r="F4" s="15" t="s">
        <v>57</v>
      </c>
      <c r="G4" s="15" t="s">
        <v>28</v>
      </c>
      <c r="H4" s="15" t="s">
        <v>58</v>
      </c>
      <c r="I4" s="15" t="s">
        <v>59</v>
      </c>
      <c r="J4" s="15" t="s">
        <v>31</v>
      </c>
      <c r="K4" s="15" t="s">
        <v>46</v>
      </c>
      <c r="L4" s="15" t="s">
        <v>60</v>
      </c>
      <c r="M4" s="15">
        <v>5</v>
      </c>
      <c r="N4" s="15">
        <v>55000</v>
      </c>
      <c r="O4" s="15">
        <v>5</v>
      </c>
      <c r="P4" s="15">
        <v>261250</v>
      </c>
      <c r="Q4" s="15">
        <v>3</v>
      </c>
      <c r="R4" s="15" t="s">
        <v>48</v>
      </c>
      <c r="S4" s="15" t="s">
        <v>61</v>
      </c>
      <c r="T4" s="15" t="s">
        <v>62</v>
      </c>
      <c r="U4" s="17" t="s">
        <v>63</v>
      </c>
      <c r="V4" s="15" t="s">
        <v>64</v>
      </c>
      <c r="W4" t="str">
        <f t="shared" si="0"/>
        <v>Blacklisted</v>
      </c>
      <c r="X4" s="27" t="str">
        <f t="shared" si="1"/>
        <v>Pooja Shah</v>
      </c>
      <c r="Y4" s="29" t="str">
        <f t="shared" si="2"/>
        <v>Poo01IDBe</v>
      </c>
      <c r="Z4" s="30" t="str">
        <f t="shared" si="3"/>
        <v>pooja.shah@company.com</v>
      </c>
      <c r="AA4" s="32">
        <f t="shared" ca="1" si="4"/>
        <v>32</v>
      </c>
      <c r="AB4" s="33">
        <f t="shared" si="5"/>
        <v>11</v>
      </c>
      <c r="AC4" s="34" t="str">
        <f t="shared" si="6"/>
        <v>Delayed</v>
      </c>
    </row>
    <row r="5" spans="1:29">
      <c r="A5" s="18" t="s">
        <v>39</v>
      </c>
      <c r="B5" s="18" t="s">
        <v>23</v>
      </c>
      <c r="C5" s="18" t="s">
        <v>24</v>
      </c>
      <c r="D5" s="18" t="s">
        <v>65</v>
      </c>
      <c r="E5" s="18" t="s">
        <v>66</v>
      </c>
      <c r="F5" s="18" t="s">
        <v>27</v>
      </c>
      <c r="G5" s="18" t="s">
        <v>28</v>
      </c>
      <c r="H5" s="18" t="s">
        <v>67</v>
      </c>
      <c r="I5" s="18" t="s">
        <v>59</v>
      </c>
      <c r="J5" s="18" t="s">
        <v>31</v>
      </c>
      <c r="K5" s="18" t="s">
        <v>32</v>
      </c>
      <c r="L5" s="18" t="s">
        <v>33</v>
      </c>
      <c r="M5" s="18">
        <v>5</v>
      </c>
      <c r="N5" s="18">
        <v>2200</v>
      </c>
      <c r="O5" s="18">
        <v>5</v>
      </c>
      <c r="P5" s="18">
        <v>10450</v>
      </c>
      <c r="Q5" s="18">
        <v>5</v>
      </c>
      <c r="R5" s="18" t="s">
        <v>48</v>
      </c>
      <c r="S5" s="18" t="s">
        <v>61</v>
      </c>
      <c r="T5" s="20" t="s">
        <v>50</v>
      </c>
      <c r="U5" s="19" t="s">
        <v>68</v>
      </c>
      <c r="V5" s="18" t="s">
        <v>69</v>
      </c>
      <c r="W5" t="str">
        <f t="shared" si="0"/>
        <v>Blacklisted</v>
      </c>
      <c r="X5" s="27" t="str">
        <f t="shared" si="1"/>
        <v>Kavya Nair</v>
      </c>
      <c r="Y5" s="29" t="str">
        <f t="shared" si="2"/>
        <v>Kav00IDBe</v>
      </c>
      <c r="Z5" s="30" t="str">
        <f t="shared" si="3"/>
        <v>kavya.nair@company.com</v>
      </c>
      <c r="AA5" s="32">
        <f t="shared" ca="1" si="4"/>
        <v>22</v>
      </c>
      <c r="AB5" s="33">
        <f t="shared" si="5"/>
        <v>12</v>
      </c>
      <c r="AC5" s="34" t="str">
        <f t="shared" si="6"/>
        <v>Delayed</v>
      </c>
    </row>
    <row r="6" spans="1:29">
      <c r="A6" s="15" t="s">
        <v>70</v>
      </c>
      <c r="B6" s="15" t="s">
        <v>71</v>
      </c>
      <c r="C6" s="15" t="s">
        <v>72</v>
      </c>
      <c r="D6" s="15" t="s">
        <v>73</v>
      </c>
      <c r="E6" s="15" t="s">
        <v>74</v>
      </c>
      <c r="F6" s="15" t="s">
        <v>75</v>
      </c>
      <c r="G6" s="15" t="s">
        <v>76</v>
      </c>
      <c r="H6" s="15" t="s">
        <v>77</v>
      </c>
      <c r="I6" s="15" t="s">
        <v>44</v>
      </c>
      <c r="J6" s="15" t="s">
        <v>45</v>
      </c>
      <c r="K6" s="15" t="s">
        <v>46</v>
      </c>
      <c r="L6" s="15" t="s">
        <v>78</v>
      </c>
      <c r="M6" s="15">
        <v>8</v>
      </c>
      <c r="N6" s="15">
        <v>1200</v>
      </c>
      <c r="O6" s="15">
        <v>5</v>
      </c>
      <c r="P6" s="15">
        <v>9120</v>
      </c>
      <c r="Q6" s="15">
        <v>2</v>
      </c>
      <c r="R6" s="15" t="s">
        <v>79</v>
      </c>
      <c r="S6" s="15" t="s">
        <v>61</v>
      </c>
      <c r="T6" s="15" t="s">
        <v>80</v>
      </c>
      <c r="U6" s="17" t="s">
        <v>81</v>
      </c>
      <c r="V6" s="15" t="s">
        <v>64</v>
      </c>
      <c r="W6" t="str">
        <f t="shared" si="0"/>
        <v>Blacklisted</v>
      </c>
      <c r="X6" s="27" t="str">
        <f t="shared" si="1"/>
        <v>Mohit Verma</v>
      </c>
      <c r="Y6" s="29" t="str">
        <f t="shared" si="2"/>
        <v>Moh00IDDe</v>
      </c>
      <c r="Z6" s="30" t="str">
        <f t="shared" si="3"/>
        <v>mohit.verma@company.com</v>
      </c>
      <c r="AA6" s="32">
        <f t="shared" ca="1" si="4"/>
        <v>50</v>
      </c>
      <c r="AB6" s="33">
        <f t="shared" si="5"/>
        <v>10</v>
      </c>
      <c r="AC6" s="34" t="str">
        <f t="shared" si="6"/>
        <v>Delayed</v>
      </c>
    </row>
    <row r="7" spans="1:29">
      <c r="A7" s="18" t="s">
        <v>82</v>
      </c>
      <c r="B7" s="18" t="s">
        <v>83</v>
      </c>
      <c r="C7" s="18" t="s">
        <v>24</v>
      </c>
      <c r="D7" s="18" t="s">
        <v>84</v>
      </c>
      <c r="E7" s="18" t="s">
        <v>85</v>
      </c>
      <c r="F7" s="18" t="s">
        <v>86</v>
      </c>
      <c r="G7" s="18" t="s">
        <v>76</v>
      </c>
      <c r="H7" s="18" t="s">
        <v>87</v>
      </c>
      <c r="I7" s="18" t="s">
        <v>30</v>
      </c>
      <c r="J7" s="18" t="s">
        <v>31</v>
      </c>
      <c r="K7" s="18" t="s">
        <v>32</v>
      </c>
      <c r="L7" s="18" t="s">
        <v>33</v>
      </c>
      <c r="M7" s="18">
        <v>4</v>
      </c>
      <c r="N7" s="18">
        <v>2200</v>
      </c>
      <c r="O7" s="18">
        <v>0</v>
      </c>
      <c r="P7" s="18">
        <v>8800</v>
      </c>
      <c r="Q7" s="18">
        <v>1</v>
      </c>
      <c r="R7" s="18" t="s">
        <v>88</v>
      </c>
      <c r="S7" s="18" t="s">
        <v>35</v>
      </c>
      <c r="T7" s="18" t="s">
        <v>89</v>
      </c>
      <c r="U7" s="19" t="s">
        <v>90</v>
      </c>
      <c r="V7" s="18" t="s">
        <v>38</v>
      </c>
      <c r="W7" t="str">
        <f t="shared" si="0"/>
        <v>Blacklisted</v>
      </c>
      <c r="X7" s="27" t="str">
        <f t="shared" si="1"/>
        <v>Arjun Rao</v>
      </c>
      <c r="Y7" s="29" t="str">
        <f t="shared" si="2"/>
        <v>Arj00IDHy</v>
      </c>
      <c r="Z7" s="30" t="str">
        <f t="shared" si="3"/>
        <v>arjun.rao@company.com</v>
      </c>
      <c r="AA7" s="32">
        <f t="shared" ca="1" si="4"/>
        <v>38</v>
      </c>
      <c r="AB7" s="33">
        <f t="shared" si="5"/>
        <v>8</v>
      </c>
      <c r="AC7" s="34" t="str">
        <f t="shared" si="6"/>
        <v>Delayed</v>
      </c>
    </row>
    <row r="8" spans="1:29">
      <c r="A8" s="15" t="s">
        <v>91</v>
      </c>
      <c r="B8" s="15" t="s">
        <v>23</v>
      </c>
      <c r="C8" s="15" t="s">
        <v>92</v>
      </c>
      <c r="D8" s="15" t="s">
        <v>93</v>
      </c>
      <c r="E8" s="15" t="s">
        <v>94</v>
      </c>
      <c r="F8" s="15" t="s">
        <v>95</v>
      </c>
      <c r="G8" s="15" t="s">
        <v>28</v>
      </c>
      <c r="H8" s="15" t="s">
        <v>96</v>
      </c>
      <c r="I8" s="15" t="s">
        <v>30</v>
      </c>
      <c r="J8" s="15" t="s">
        <v>31</v>
      </c>
      <c r="K8" s="15" t="s">
        <v>32</v>
      </c>
      <c r="L8" s="15" t="s">
        <v>97</v>
      </c>
      <c r="M8" s="15">
        <v>2</v>
      </c>
      <c r="N8" s="15">
        <v>3500</v>
      </c>
      <c r="O8" s="15">
        <v>5</v>
      </c>
      <c r="P8" s="15">
        <v>6650</v>
      </c>
      <c r="Q8" s="15">
        <v>1</v>
      </c>
      <c r="R8" s="15" t="s">
        <v>88</v>
      </c>
      <c r="S8" s="15" t="s">
        <v>35</v>
      </c>
      <c r="T8" s="15" t="s">
        <v>50</v>
      </c>
      <c r="U8" s="17" t="s">
        <v>98</v>
      </c>
      <c r="V8" s="15" t="s">
        <v>38</v>
      </c>
      <c r="W8" t="str">
        <f t="shared" si="0"/>
        <v>Blacklisted</v>
      </c>
      <c r="X8" s="27" t="str">
        <f t="shared" si="1"/>
        <v>Kavya Nair</v>
      </c>
      <c r="Y8" s="29" t="str">
        <f t="shared" si="2"/>
        <v>Kav00IDHy</v>
      </c>
      <c r="Z8" s="30" t="str">
        <f t="shared" si="3"/>
        <v>kavya.nair@company.com</v>
      </c>
      <c r="AA8" s="32">
        <f t="shared" ca="1" si="4"/>
        <v>23</v>
      </c>
      <c r="AB8" s="33" t="e">
        <f>IF(E8="","",E8-D8)</f>
        <v>#VALUE!</v>
      </c>
      <c r="AC8" s="34" t="e">
        <f t="shared" si="6"/>
        <v>#VALUE!</v>
      </c>
    </row>
    <row r="9" spans="1:29">
      <c r="A9" s="18" t="s">
        <v>99</v>
      </c>
      <c r="B9" s="18" t="s">
        <v>100</v>
      </c>
      <c r="C9" s="18" t="s">
        <v>40</v>
      </c>
      <c r="D9" s="18" t="s">
        <v>101</v>
      </c>
      <c r="E9" s="18" t="s">
        <v>102</v>
      </c>
      <c r="F9" s="18" t="s">
        <v>103</v>
      </c>
      <c r="G9" s="18" t="s">
        <v>28</v>
      </c>
      <c r="H9" s="18" t="s">
        <v>104</v>
      </c>
      <c r="I9" s="18" t="s">
        <v>105</v>
      </c>
      <c r="J9" s="18" t="s">
        <v>106</v>
      </c>
      <c r="K9" s="18" t="s">
        <v>46</v>
      </c>
      <c r="L9" s="18" t="s">
        <v>47</v>
      </c>
      <c r="M9" s="18">
        <v>14</v>
      </c>
      <c r="N9" s="18">
        <v>12000</v>
      </c>
      <c r="O9" s="18">
        <v>15</v>
      </c>
      <c r="P9" s="18">
        <v>142800</v>
      </c>
      <c r="Q9" s="18">
        <v>4</v>
      </c>
      <c r="R9" s="18" t="s">
        <v>48</v>
      </c>
      <c r="S9" s="18" t="s">
        <v>35</v>
      </c>
      <c r="T9" s="20" t="s">
        <v>107</v>
      </c>
      <c r="U9" s="19" t="s">
        <v>108</v>
      </c>
      <c r="V9" s="18" t="s">
        <v>38</v>
      </c>
      <c r="W9" t="str">
        <f t="shared" si="0"/>
        <v>Blacklisted</v>
      </c>
      <c r="X9" s="27" t="str">
        <f t="shared" si="1"/>
        <v>Priya Patel</v>
      </c>
      <c r="Y9" s="29" t="str">
        <f t="shared" si="2"/>
        <v>Pri00IDMu</v>
      </c>
      <c r="Z9" s="30" t="str">
        <f t="shared" si="3"/>
        <v>priya.patel@company.com</v>
      </c>
      <c r="AA9" s="32">
        <f t="shared" ca="1" si="4"/>
        <v>31</v>
      </c>
      <c r="AB9" s="33">
        <f t="shared" si="5"/>
        <v>6</v>
      </c>
      <c r="AC9" s="34" t="str">
        <f t="shared" si="6"/>
        <v>Delayed</v>
      </c>
    </row>
    <row r="10" spans="1:29">
      <c r="A10" s="15" t="s">
        <v>109</v>
      </c>
      <c r="B10" s="15" t="s">
        <v>23</v>
      </c>
      <c r="C10" s="15" t="s">
        <v>40</v>
      </c>
      <c r="D10" s="15" t="s">
        <v>110</v>
      </c>
      <c r="E10" s="15" t="s">
        <v>111</v>
      </c>
      <c r="F10" s="15" t="s">
        <v>112</v>
      </c>
      <c r="G10" s="15" t="s">
        <v>28</v>
      </c>
      <c r="H10" s="15" t="s">
        <v>113</v>
      </c>
      <c r="I10" s="15" t="s">
        <v>114</v>
      </c>
      <c r="J10" s="15" t="s">
        <v>106</v>
      </c>
      <c r="K10" s="15" t="s">
        <v>46</v>
      </c>
      <c r="L10" s="15" t="s">
        <v>47</v>
      </c>
      <c r="M10" s="15">
        <v>4</v>
      </c>
      <c r="N10" s="15">
        <v>12000</v>
      </c>
      <c r="O10" s="15">
        <v>15</v>
      </c>
      <c r="P10" s="15">
        <v>40800</v>
      </c>
      <c r="Q10" s="15">
        <v>4</v>
      </c>
      <c r="R10" s="15" t="s">
        <v>88</v>
      </c>
      <c r="S10" s="15" t="s">
        <v>115</v>
      </c>
      <c r="T10" s="15" t="s">
        <v>50</v>
      </c>
      <c r="U10" s="17" t="s">
        <v>116</v>
      </c>
      <c r="V10" s="15" t="s">
        <v>38</v>
      </c>
      <c r="W10" t="str">
        <f t="shared" si="0"/>
        <v>Silver</v>
      </c>
      <c r="X10" s="27" t="str">
        <f t="shared" si="1"/>
        <v>Kavya Nair</v>
      </c>
      <c r="Y10" s="29" t="str">
        <f t="shared" si="2"/>
        <v>Kav00IDPu</v>
      </c>
      <c r="Z10" s="30" t="str">
        <f t="shared" si="3"/>
        <v>kavya.nair@company.com</v>
      </c>
      <c r="AA10" s="32">
        <f t="shared" ca="1" si="4"/>
        <v>29</v>
      </c>
      <c r="AB10" s="33">
        <f t="shared" si="5"/>
        <v>2</v>
      </c>
      <c r="AC10" s="34" t="str">
        <f t="shared" si="6"/>
        <v>On Time</v>
      </c>
    </row>
    <row r="11" spans="1:29">
      <c r="A11" s="18" t="s">
        <v>117</v>
      </c>
      <c r="B11" s="18" t="s">
        <v>100</v>
      </c>
      <c r="C11" s="18" t="s">
        <v>118</v>
      </c>
      <c r="D11" s="18" t="s">
        <v>119</v>
      </c>
      <c r="E11" s="18" t="s">
        <v>120</v>
      </c>
      <c r="F11" s="18" t="s">
        <v>103</v>
      </c>
      <c r="G11" s="18" t="s">
        <v>28</v>
      </c>
      <c r="H11" s="18" t="s">
        <v>121</v>
      </c>
      <c r="I11" s="18" t="s">
        <v>105</v>
      </c>
      <c r="J11" s="18" t="s">
        <v>106</v>
      </c>
      <c r="K11" s="18" t="s">
        <v>122</v>
      </c>
      <c r="L11" s="18" t="s">
        <v>123</v>
      </c>
      <c r="M11" s="18">
        <v>6</v>
      </c>
      <c r="N11" s="18">
        <v>60</v>
      </c>
      <c r="O11" s="18">
        <v>0</v>
      </c>
      <c r="P11" s="18">
        <v>360</v>
      </c>
      <c r="Q11" s="18">
        <v>4</v>
      </c>
      <c r="R11" s="18" t="s">
        <v>79</v>
      </c>
      <c r="S11" s="18" t="s">
        <v>115</v>
      </c>
      <c r="T11" s="20" t="s">
        <v>124</v>
      </c>
      <c r="U11" s="19" t="s">
        <v>125</v>
      </c>
      <c r="V11" s="18" t="s">
        <v>38</v>
      </c>
      <c r="W11" t="str">
        <f t="shared" si="0"/>
        <v>Silver</v>
      </c>
      <c r="X11" s="27" t="str">
        <f t="shared" si="1"/>
        <v>Priya Patel</v>
      </c>
      <c r="Y11" s="29" t="str">
        <f t="shared" si="2"/>
        <v>Pri00IDMu</v>
      </c>
      <c r="Z11" s="30" t="str">
        <f t="shared" si="3"/>
        <v>priya.patel@company.com</v>
      </c>
      <c r="AA11" s="32">
        <f t="shared" ca="1" si="4"/>
        <v>36</v>
      </c>
      <c r="AB11" s="33">
        <f t="shared" si="5"/>
        <v>2</v>
      </c>
      <c r="AC11" s="34" t="str">
        <f t="shared" si="6"/>
        <v>On Time</v>
      </c>
    </row>
    <row r="12" spans="1:29">
      <c r="A12" s="15" t="s">
        <v>126</v>
      </c>
      <c r="B12" s="15" t="s">
        <v>127</v>
      </c>
      <c r="C12" s="15" t="s">
        <v>24</v>
      </c>
      <c r="D12" s="15" t="s">
        <v>128</v>
      </c>
      <c r="E12" s="15" t="s">
        <v>129</v>
      </c>
      <c r="F12" s="15" t="s">
        <v>130</v>
      </c>
      <c r="G12" s="15" t="s">
        <v>76</v>
      </c>
      <c r="H12" s="15" t="s">
        <v>131</v>
      </c>
      <c r="I12" s="15" t="s">
        <v>44</v>
      </c>
      <c r="J12" s="15" t="s">
        <v>45</v>
      </c>
      <c r="K12" s="15" t="s">
        <v>32</v>
      </c>
      <c r="L12" s="15" t="s">
        <v>33</v>
      </c>
      <c r="M12" s="15">
        <v>-3</v>
      </c>
      <c r="N12" s="15">
        <v>2200</v>
      </c>
      <c r="O12" s="15">
        <v>0</v>
      </c>
      <c r="P12" s="15">
        <v>35200</v>
      </c>
      <c r="Q12" s="15">
        <v>2</v>
      </c>
      <c r="R12" s="15" t="s">
        <v>79</v>
      </c>
      <c r="S12" s="15" t="s">
        <v>49</v>
      </c>
      <c r="T12" s="15" t="s">
        <v>132</v>
      </c>
      <c r="U12" s="17" t="s">
        <v>133</v>
      </c>
      <c r="V12" s="15" t="s">
        <v>64</v>
      </c>
      <c r="W12" t="str">
        <f t="shared" si="0"/>
        <v>Blacklisted</v>
      </c>
      <c r="X12" s="27" t="str">
        <f t="shared" si="1"/>
        <v>Rohit Singh</v>
      </c>
      <c r="Y12" s="29" t="str">
        <f t="shared" si="2"/>
        <v>Roh00IDDe</v>
      </c>
      <c r="Z12" s="30" t="str">
        <f t="shared" si="3"/>
        <v>rohit.singh@company.com</v>
      </c>
      <c r="AA12" s="32">
        <f t="shared" ca="1" si="4"/>
        <v>44</v>
      </c>
      <c r="AB12" s="33">
        <f t="shared" si="5"/>
        <v>4</v>
      </c>
      <c r="AC12" s="34" t="str">
        <f t="shared" si="6"/>
        <v>On Time</v>
      </c>
    </row>
    <row r="13" spans="1:29">
      <c r="A13" s="18" t="s">
        <v>134</v>
      </c>
      <c r="B13" s="18" t="s">
        <v>23</v>
      </c>
      <c r="C13" s="18" t="s">
        <v>92</v>
      </c>
      <c r="D13" s="18" t="s">
        <v>135</v>
      </c>
      <c r="E13" s="18" t="s">
        <v>136</v>
      </c>
      <c r="F13" s="18" t="s">
        <v>27</v>
      </c>
      <c r="G13" s="18" t="s">
        <v>28</v>
      </c>
      <c r="H13" s="18" t="s">
        <v>137</v>
      </c>
      <c r="I13" s="18" t="s">
        <v>138</v>
      </c>
      <c r="J13" s="18" t="s">
        <v>106</v>
      </c>
      <c r="K13" s="18" t="s">
        <v>32</v>
      </c>
      <c r="L13" s="18" t="s">
        <v>97</v>
      </c>
      <c r="M13" s="18">
        <v>10</v>
      </c>
      <c r="N13" s="18">
        <v>3500</v>
      </c>
      <c r="O13" s="18">
        <v>5</v>
      </c>
      <c r="P13" s="18">
        <v>33250</v>
      </c>
      <c r="Q13" s="18">
        <v>5</v>
      </c>
      <c r="R13" s="18" t="s">
        <v>79</v>
      </c>
      <c r="S13" s="18" t="s">
        <v>61</v>
      </c>
      <c r="T13" s="18" t="s">
        <v>50</v>
      </c>
      <c r="U13" s="19" t="s">
        <v>139</v>
      </c>
      <c r="V13" s="18" t="s">
        <v>69</v>
      </c>
      <c r="W13" t="str">
        <f t="shared" si="0"/>
        <v>Blacklisted</v>
      </c>
      <c r="X13" s="27" t="str">
        <f t="shared" si="1"/>
        <v>Kavya Nair</v>
      </c>
      <c r="Y13" s="29" t="str">
        <f t="shared" si="2"/>
        <v>Kav00IDAh</v>
      </c>
      <c r="Z13" s="30" t="str">
        <f t="shared" si="3"/>
        <v>kavya.nair@company.com</v>
      </c>
      <c r="AA13" s="32">
        <f t="shared" ca="1" si="4"/>
        <v>44</v>
      </c>
      <c r="AB13" s="33">
        <f t="shared" si="5"/>
        <v>7</v>
      </c>
      <c r="AC13" s="34" t="str">
        <f t="shared" si="6"/>
        <v>Delayed</v>
      </c>
    </row>
    <row r="14" spans="1:29">
      <c r="A14" s="15" t="s">
        <v>140</v>
      </c>
      <c r="B14" s="15" t="s">
        <v>100</v>
      </c>
      <c r="C14" s="15" t="s">
        <v>24</v>
      </c>
      <c r="D14" s="15" t="s">
        <v>141</v>
      </c>
      <c r="E14" s="15" t="s">
        <v>142</v>
      </c>
      <c r="F14" s="15" t="s">
        <v>103</v>
      </c>
      <c r="G14" s="15" t="s">
        <v>28</v>
      </c>
      <c r="H14" s="15" t="s">
        <v>143</v>
      </c>
      <c r="I14" s="15" t="s">
        <v>114</v>
      </c>
      <c r="J14" s="15" t="s">
        <v>106</v>
      </c>
      <c r="K14" s="15" t="s">
        <v>32</v>
      </c>
      <c r="L14" s="15" t="s">
        <v>33</v>
      </c>
      <c r="M14" s="15">
        <v>15</v>
      </c>
      <c r="N14" s="15">
        <v>2200</v>
      </c>
      <c r="O14" s="15">
        <v>10</v>
      </c>
      <c r="P14" s="15">
        <v>29700</v>
      </c>
      <c r="Q14" s="15">
        <v>1</v>
      </c>
      <c r="R14" s="15" t="s">
        <v>88</v>
      </c>
      <c r="S14" s="15" t="s">
        <v>115</v>
      </c>
      <c r="T14" s="15" t="s">
        <v>144</v>
      </c>
      <c r="U14" s="17" t="s">
        <v>145</v>
      </c>
      <c r="V14" s="15" t="s">
        <v>64</v>
      </c>
      <c r="W14" t="str">
        <f t="shared" si="0"/>
        <v>Blacklisted</v>
      </c>
      <c r="X14" s="27" t="str">
        <f t="shared" si="1"/>
        <v>Priya Patel</v>
      </c>
      <c r="Y14" s="29" t="str">
        <f t="shared" si="2"/>
        <v>Pri00IDPu</v>
      </c>
      <c r="Z14" s="30" t="str">
        <f t="shared" si="3"/>
        <v>priya.patel@company.com</v>
      </c>
      <c r="AA14" s="32">
        <f t="shared" ca="1" si="4"/>
        <v>34</v>
      </c>
      <c r="AB14" s="33">
        <f t="shared" si="5"/>
        <v>5</v>
      </c>
      <c r="AC14" s="34" t="str">
        <f t="shared" si="6"/>
        <v>On Time</v>
      </c>
    </row>
    <row r="15" spans="1:29">
      <c r="A15" s="18" t="s">
        <v>146</v>
      </c>
      <c r="B15" s="18" t="s">
        <v>127</v>
      </c>
      <c r="C15" s="18" t="s">
        <v>24</v>
      </c>
      <c r="D15" s="18" t="s">
        <v>147</v>
      </c>
      <c r="E15" s="18" t="s">
        <v>148</v>
      </c>
      <c r="F15" s="18" t="s">
        <v>149</v>
      </c>
      <c r="G15" s="18" t="s">
        <v>76</v>
      </c>
      <c r="H15" s="18" t="s">
        <v>150</v>
      </c>
      <c r="I15" s="18" t="s">
        <v>105</v>
      </c>
      <c r="J15" s="18" t="s">
        <v>106</v>
      </c>
      <c r="K15" s="18" t="s">
        <v>32</v>
      </c>
      <c r="L15" s="18" t="s">
        <v>33</v>
      </c>
      <c r="M15" s="18">
        <v>17</v>
      </c>
      <c r="N15" s="18">
        <v>2200</v>
      </c>
      <c r="O15" s="18">
        <v>5</v>
      </c>
      <c r="P15" s="18">
        <v>35530</v>
      </c>
      <c r="Q15" s="18">
        <v>1</v>
      </c>
      <c r="R15" s="18" t="s">
        <v>34</v>
      </c>
      <c r="S15" s="18" t="s">
        <v>151</v>
      </c>
      <c r="T15" s="20" t="s">
        <v>152</v>
      </c>
      <c r="U15" s="19" t="s">
        <v>153</v>
      </c>
      <c r="V15" s="18" t="s">
        <v>38</v>
      </c>
      <c r="W15" t="str">
        <f t="shared" si="0"/>
        <v>Blacklisted</v>
      </c>
      <c r="X15" s="27" t="str">
        <f t="shared" si="1"/>
        <v>Rohit Singh</v>
      </c>
      <c r="Y15" s="29" t="str">
        <f t="shared" si="2"/>
        <v>Roh00IDMu</v>
      </c>
      <c r="Z15" s="30" t="str">
        <f t="shared" si="3"/>
        <v>rohit.singh@company.com</v>
      </c>
      <c r="AA15" s="32">
        <f t="shared" ca="1" si="4"/>
        <v>24</v>
      </c>
      <c r="AB15" s="33">
        <f t="shared" si="5"/>
        <v>4</v>
      </c>
      <c r="AC15" s="34" t="str">
        <f t="shared" si="6"/>
        <v>On Time</v>
      </c>
    </row>
    <row r="16" spans="1:29">
      <c r="A16" s="15" t="s">
        <v>154</v>
      </c>
      <c r="B16" s="15" t="s">
        <v>23</v>
      </c>
      <c r="C16" s="15" t="s">
        <v>92</v>
      </c>
      <c r="D16" s="15" t="s">
        <v>155</v>
      </c>
      <c r="E16" s="15" t="s">
        <v>156</v>
      </c>
      <c r="F16" s="15" t="s">
        <v>157</v>
      </c>
      <c r="G16" s="15" t="s">
        <v>28</v>
      </c>
      <c r="H16" s="15" t="s">
        <v>158</v>
      </c>
      <c r="I16" s="15" t="s">
        <v>105</v>
      </c>
      <c r="J16" s="15" t="s">
        <v>106</v>
      </c>
      <c r="K16" s="15" t="s">
        <v>32</v>
      </c>
      <c r="L16" s="15" t="s">
        <v>97</v>
      </c>
      <c r="M16" s="15">
        <v>15</v>
      </c>
      <c r="N16" s="15">
        <v>3500</v>
      </c>
      <c r="O16" s="15">
        <v>15</v>
      </c>
      <c r="P16" s="15">
        <v>44625</v>
      </c>
      <c r="Q16" s="15">
        <v>2</v>
      </c>
      <c r="R16" s="15" t="s">
        <v>34</v>
      </c>
      <c r="S16" s="15" t="s">
        <v>115</v>
      </c>
      <c r="T16" s="16" t="s">
        <v>50</v>
      </c>
      <c r="U16" s="17" t="s">
        <v>159</v>
      </c>
      <c r="V16" s="15" t="s">
        <v>69</v>
      </c>
      <c r="W16" t="str">
        <f t="shared" si="0"/>
        <v>Blacklisted</v>
      </c>
      <c r="X16" s="27" t="str">
        <f t="shared" si="1"/>
        <v>Kavya Nair</v>
      </c>
      <c r="Y16" s="29" t="str">
        <f t="shared" si="2"/>
        <v>Kav00IDMu</v>
      </c>
      <c r="Z16" s="30" t="str">
        <f t="shared" si="3"/>
        <v>kavya.nair@company.com</v>
      </c>
      <c r="AA16" s="32">
        <f t="shared" ca="1" si="4"/>
        <v>25</v>
      </c>
      <c r="AB16" s="33">
        <f t="shared" si="5"/>
        <v>12</v>
      </c>
      <c r="AC16" s="34" t="str">
        <f t="shared" si="6"/>
        <v>Delayed</v>
      </c>
    </row>
    <row r="17" spans="1:29">
      <c r="A17" s="18" t="s">
        <v>160</v>
      </c>
      <c r="B17" s="18" t="s">
        <v>53</v>
      </c>
      <c r="C17" s="18" t="s">
        <v>72</v>
      </c>
      <c r="D17" s="18" t="s">
        <v>161</v>
      </c>
      <c r="E17" s="18" t="s">
        <v>162</v>
      </c>
      <c r="F17" s="18" t="s">
        <v>163</v>
      </c>
      <c r="G17" s="18" t="s">
        <v>28</v>
      </c>
      <c r="H17" s="18" t="s">
        <v>164</v>
      </c>
      <c r="I17" s="18" t="s">
        <v>30</v>
      </c>
      <c r="J17" s="18" t="s">
        <v>31</v>
      </c>
      <c r="K17" s="18" t="s">
        <v>46</v>
      </c>
      <c r="L17" s="18" t="s">
        <v>78</v>
      </c>
      <c r="M17" s="18">
        <v>3</v>
      </c>
      <c r="N17" s="18">
        <v>1200</v>
      </c>
      <c r="O17" s="18">
        <v>5</v>
      </c>
      <c r="P17" s="18">
        <v>3420</v>
      </c>
      <c r="Q17" s="18">
        <v>5</v>
      </c>
      <c r="R17" s="18" t="s">
        <v>88</v>
      </c>
      <c r="S17" s="18" t="s">
        <v>35</v>
      </c>
      <c r="T17" s="18" t="s">
        <v>165</v>
      </c>
      <c r="U17" s="19" t="s">
        <v>166</v>
      </c>
      <c r="V17" s="18" t="s">
        <v>38</v>
      </c>
      <c r="W17" t="str">
        <f t="shared" si="0"/>
        <v>Silver</v>
      </c>
      <c r="X17" s="27" t="str">
        <f t="shared" si="1"/>
        <v>Pooja Shah</v>
      </c>
      <c r="Y17" s="29" t="str">
        <f t="shared" si="2"/>
        <v>Poo01IDHy</v>
      </c>
      <c r="Z17" s="30" t="str">
        <f t="shared" si="3"/>
        <v>Invalid Email</v>
      </c>
      <c r="AA17" s="32">
        <f t="shared" ca="1" si="4"/>
        <v>24</v>
      </c>
      <c r="AB17" s="33">
        <f t="shared" si="5"/>
        <v>3</v>
      </c>
      <c r="AC17" s="34" t="str">
        <f t="shared" si="6"/>
        <v>On Time</v>
      </c>
    </row>
    <row r="18" spans="1:29">
      <c r="A18" s="15" t="s">
        <v>167</v>
      </c>
      <c r="B18" s="15" t="s">
        <v>168</v>
      </c>
      <c r="C18" s="15" t="s">
        <v>169</v>
      </c>
      <c r="D18" s="15" t="s">
        <v>170</v>
      </c>
      <c r="E18" s="15" t="s">
        <v>171</v>
      </c>
      <c r="F18" s="15" t="s">
        <v>172</v>
      </c>
      <c r="G18" s="15" t="s">
        <v>28</v>
      </c>
      <c r="H18" s="15" t="s">
        <v>173</v>
      </c>
      <c r="I18" s="15" t="s">
        <v>114</v>
      </c>
      <c r="J18" s="15" t="s">
        <v>106</v>
      </c>
      <c r="K18" s="15" t="s">
        <v>32</v>
      </c>
      <c r="L18" s="15" t="s">
        <v>174</v>
      </c>
      <c r="M18" s="15">
        <v>13</v>
      </c>
      <c r="N18" s="15">
        <v>8500</v>
      </c>
      <c r="O18" s="15">
        <v>20</v>
      </c>
      <c r="P18" s="15">
        <v>88400</v>
      </c>
      <c r="Q18" s="15">
        <v>4</v>
      </c>
      <c r="R18" s="15" t="s">
        <v>79</v>
      </c>
      <c r="S18" s="15" t="s">
        <v>49</v>
      </c>
      <c r="T18" s="15" t="s">
        <v>175</v>
      </c>
      <c r="U18" s="17" t="s">
        <v>176</v>
      </c>
      <c r="V18" s="15" t="s">
        <v>64</v>
      </c>
      <c r="W18" t="str">
        <f t="shared" si="0"/>
        <v>Blacklisted</v>
      </c>
      <c r="X18" s="27" t="str">
        <f t="shared" si="1"/>
        <v>Amit Sharma</v>
      </c>
      <c r="Y18" s="29" t="str">
        <f t="shared" si="2"/>
        <v>Ami00IDPu</v>
      </c>
      <c r="Z18" s="30" t="str">
        <f t="shared" si="3"/>
        <v>anita.gupta@company.com</v>
      </c>
      <c r="AA18" s="32">
        <f t="shared" ca="1" si="4"/>
        <v>24</v>
      </c>
      <c r="AB18" s="33">
        <f t="shared" si="5"/>
        <v>9</v>
      </c>
      <c r="AC18" s="34" t="str">
        <f t="shared" si="6"/>
        <v>Delayed</v>
      </c>
    </row>
    <row r="19" spans="1:29">
      <c r="A19" s="18" t="s">
        <v>177</v>
      </c>
      <c r="B19" s="18" t="s">
        <v>83</v>
      </c>
      <c r="C19" s="18" t="s">
        <v>169</v>
      </c>
      <c r="D19" s="18" t="s">
        <v>178</v>
      </c>
      <c r="E19" s="18" t="s">
        <v>179</v>
      </c>
      <c r="F19" s="18" t="s">
        <v>180</v>
      </c>
      <c r="G19" s="18" t="s">
        <v>76</v>
      </c>
      <c r="H19" s="18" t="s">
        <v>181</v>
      </c>
      <c r="I19" s="18" t="s">
        <v>138</v>
      </c>
      <c r="J19" s="18" t="s">
        <v>106</v>
      </c>
      <c r="K19" s="18" t="s">
        <v>32</v>
      </c>
      <c r="L19" s="18" t="s">
        <v>174</v>
      </c>
      <c r="M19" s="18">
        <v>4</v>
      </c>
      <c r="N19" s="18">
        <v>8500</v>
      </c>
      <c r="O19" s="18">
        <v>20</v>
      </c>
      <c r="P19" s="18">
        <v>27200</v>
      </c>
      <c r="Q19" s="18">
        <v>5</v>
      </c>
      <c r="R19" s="18" t="s">
        <v>79</v>
      </c>
      <c r="S19" s="18" t="s">
        <v>61</v>
      </c>
      <c r="T19" s="18" t="s">
        <v>89</v>
      </c>
      <c r="U19" s="19" t="s">
        <v>182</v>
      </c>
      <c r="V19" s="18" t="s">
        <v>64</v>
      </c>
      <c r="W19" t="str">
        <f t="shared" si="0"/>
        <v>Blacklisted</v>
      </c>
      <c r="X19" s="27" t="str">
        <f t="shared" si="1"/>
        <v>Arjun Rao</v>
      </c>
      <c r="Y19" s="29" t="str">
        <f t="shared" si="2"/>
        <v>Arj00IDAh</v>
      </c>
      <c r="Z19" s="30" t="str">
        <f t="shared" si="3"/>
        <v>arjun.rao@company.com</v>
      </c>
      <c r="AA19" s="32">
        <f t="shared" ca="1" si="4"/>
        <v>36</v>
      </c>
      <c r="AB19" s="33">
        <f t="shared" si="5"/>
        <v>5</v>
      </c>
      <c r="AC19" s="34" t="str">
        <f t="shared" si="6"/>
        <v>On Time</v>
      </c>
    </row>
    <row r="20" spans="1:29">
      <c r="A20" s="15" t="s">
        <v>183</v>
      </c>
      <c r="B20" s="15" t="s">
        <v>83</v>
      </c>
      <c r="C20" s="15" t="s">
        <v>184</v>
      </c>
      <c r="D20" s="15" t="s">
        <v>185</v>
      </c>
      <c r="E20" s="15" t="s">
        <v>186</v>
      </c>
      <c r="F20" s="15" t="s">
        <v>187</v>
      </c>
      <c r="G20" s="15" t="s">
        <v>76</v>
      </c>
      <c r="H20" s="15" t="s">
        <v>188</v>
      </c>
      <c r="I20" s="15" t="s">
        <v>105</v>
      </c>
      <c r="J20" s="15" t="s">
        <v>106</v>
      </c>
      <c r="K20" s="15" t="s">
        <v>46</v>
      </c>
      <c r="L20" s="15" t="s">
        <v>189</v>
      </c>
      <c r="M20" s="15">
        <v>9</v>
      </c>
      <c r="N20" s="15">
        <v>700</v>
      </c>
      <c r="O20" s="15">
        <v>5</v>
      </c>
      <c r="P20" s="15">
        <v>5985</v>
      </c>
      <c r="Q20" s="15">
        <v>3</v>
      </c>
      <c r="R20" s="15" t="s">
        <v>88</v>
      </c>
      <c r="S20" s="15" t="s">
        <v>35</v>
      </c>
      <c r="T20" s="16" t="s">
        <v>190</v>
      </c>
      <c r="U20" s="17" t="s">
        <v>191</v>
      </c>
      <c r="V20" s="15" t="s">
        <v>64</v>
      </c>
      <c r="W20" t="str">
        <f t="shared" si="0"/>
        <v>Blacklisted</v>
      </c>
      <c r="X20" s="27" t="str">
        <f t="shared" si="1"/>
        <v>Arjun Rao</v>
      </c>
      <c r="Y20" s="29" t="str">
        <f t="shared" si="2"/>
        <v>Arj00IDMu</v>
      </c>
      <c r="Z20" s="30" t="str">
        <f t="shared" si="3"/>
        <v>arjun.rao@company.com</v>
      </c>
      <c r="AA20" s="32">
        <f t="shared" ca="1" si="4"/>
        <v>34</v>
      </c>
      <c r="AB20" s="33">
        <f t="shared" si="5"/>
        <v>3</v>
      </c>
      <c r="AC20" s="34" t="str">
        <f t="shared" si="6"/>
        <v>On Time</v>
      </c>
    </row>
    <row r="21" spans="1:29">
      <c r="A21" s="18" t="s">
        <v>192</v>
      </c>
      <c r="B21" s="18" t="s">
        <v>23</v>
      </c>
      <c r="C21" s="18" t="s">
        <v>54</v>
      </c>
      <c r="D21" s="18" t="s">
        <v>193</v>
      </c>
      <c r="E21" s="18" t="s">
        <v>194</v>
      </c>
      <c r="F21" s="18" t="s">
        <v>27</v>
      </c>
      <c r="G21" s="18" t="s">
        <v>28</v>
      </c>
      <c r="H21" s="18" t="s">
        <v>195</v>
      </c>
      <c r="I21" s="18" t="s">
        <v>138</v>
      </c>
      <c r="J21" s="18" t="s">
        <v>106</v>
      </c>
      <c r="K21" s="18" t="s">
        <v>46</v>
      </c>
      <c r="L21" s="18" t="s">
        <v>60</v>
      </c>
      <c r="M21" s="18">
        <v>8</v>
      </c>
      <c r="N21" s="18">
        <v>55000</v>
      </c>
      <c r="O21" s="18">
        <v>20</v>
      </c>
      <c r="P21" s="18">
        <v>352000</v>
      </c>
      <c r="Q21" s="18">
        <v>1</v>
      </c>
      <c r="R21" s="18" t="s">
        <v>34</v>
      </c>
      <c r="S21" s="18" t="s">
        <v>151</v>
      </c>
      <c r="T21" s="18" t="s">
        <v>50</v>
      </c>
      <c r="U21" s="19" t="s">
        <v>196</v>
      </c>
      <c r="V21" s="18" t="s">
        <v>38</v>
      </c>
      <c r="W21" t="str">
        <f t="shared" si="0"/>
        <v>Blacklisted</v>
      </c>
      <c r="X21" s="27" t="str">
        <f t="shared" si="1"/>
        <v>Kavya Nair</v>
      </c>
      <c r="Y21" s="29" t="str">
        <f t="shared" si="2"/>
        <v>Kav00IDAh</v>
      </c>
      <c r="Z21" s="30" t="str">
        <f t="shared" si="3"/>
        <v>kavya.nair@company.com</v>
      </c>
      <c r="AA21" s="32">
        <f t="shared" ca="1" si="4"/>
        <v>36</v>
      </c>
      <c r="AB21" s="33">
        <f t="shared" si="5"/>
        <v>8</v>
      </c>
      <c r="AC21" s="34" t="str">
        <f t="shared" si="6"/>
        <v>Delayed</v>
      </c>
    </row>
    <row r="22" spans="1:29">
      <c r="A22" s="15" t="s">
        <v>197</v>
      </c>
      <c r="B22" s="15" t="s">
        <v>127</v>
      </c>
      <c r="C22" s="15" t="s">
        <v>184</v>
      </c>
      <c r="D22" s="15" t="s">
        <v>198</v>
      </c>
      <c r="E22" s="15" t="s">
        <v>199</v>
      </c>
      <c r="F22" s="15" t="s">
        <v>200</v>
      </c>
      <c r="G22" s="15" t="s">
        <v>76</v>
      </c>
      <c r="H22" s="15" t="s">
        <v>201</v>
      </c>
      <c r="I22" s="15" t="s">
        <v>44</v>
      </c>
      <c r="J22" s="15" t="s">
        <v>45</v>
      </c>
      <c r="K22" s="15" t="s">
        <v>202</v>
      </c>
      <c r="L22" s="15" t="s">
        <v>189</v>
      </c>
      <c r="M22" s="15">
        <v>10</v>
      </c>
      <c r="N22" s="15">
        <v>700</v>
      </c>
      <c r="O22" s="15">
        <v>20</v>
      </c>
      <c r="P22" s="15">
        <v>5600</v>
      </c>
      <c r="Q22" s="15">
        <v>4</v>
      </c>
      <c r="R22" s="15" t="s">
        <v>79</v>
      </c>
      <c r="S22" s="15" t="s">
        <v>61</v>
      </c>
      <c r="T22" s="15" t="s">
        <v>132</v>
      </c>
      <c r="U22" s="17" t="s">
        <v>203</v>
      </c>
      <c r="V22" s="15" t="s">
        <v>69</v>
      </c>
      <c r="W22" t="str">
        <f t="shared" si="0"/>
        <v>Blacklisted</v>
      </c>
      <c r="X22" s="27" t="str">
        <f t="shared" si="1"/>
        <v>Rohit Singh</v>
      </c>
      <c r="Y22" s="29" t="str">
        <f t="shared" si="2"/>
        <v>Roh00IDDe</v>
      </c>
      <c r="Z22" s="30" t="str">
        <f t="shared" si="3"/>
        <v>rohit.singh@company.com</v>
      </c>
      <c r="AA22" s="32">
        <f t="shared" ca="1" si="4"/>
        <v>24</v>
      </c>
      <c r="AB22" s="33">
        <f t="shared" si="5"/>
        <v>9</v>
      </c>
      <c r="AC22" s="34" t="str">
        <f t="shared" si="6"/>
        <v>Delayed</v>
      </c>
    </row>
    <row r="23" spans="1:29">
      <c r="A23" s="18" t="s">
        <v>204</v>
      </c>
      <c r="B23" s="18" t="s">
        <v>23</v>
      </c>
      <c r="C23" s="18" t="s">
        <v>92</v>
      </c>
      <c r="D23" s="18" t="s">
        <v>205</v>
      </c>
      <c r="E23" s="18" t="s">
        <v>206</v>
      </c>
      <c r="F23" s="18" t="s">
        <v>112</v>
      </c>
      <c r="G23" s="18" t="s">
        <v>28</v>
      </c>
      <c r="H23" s="18" t="s">
        <v>207</v>
      </c>
      <c r="I23" s="18" t="s">
        <v>59</v>
      </c>
      <c r="J23" s="18" t="s">
        <v>31</v>
      </c>
      <c r="K23" s="18" t="s">
        <v>32</v>
      </c>
      <c r="L23" s="18" t="s">
        <v>97</v>
      </c>
      <c r="M23" s="18">
        <v>1</v>
      </c>
      <c r="N23" s="18">
        <v>3500</v>
      </c>
      <c r="O23" s="18">
        <v>5</v>
      </c>
      <c r="P23" s="18">
        <v>3325</v>
      </c>
      <c r="Q23" s="18">
        <v>3</v>
      </c>
      <c r="R23" s="18" t="s">
        <v>88</v>
      </c>
      <c r="S23" s="18" t="s">
        <v>115</v>
      </c>
      <c r="T23" s="18" t="s">
        <v>50</v>
      </c>
      <c r="U23" s="19" t="s">
        <v>208</v>
      </c>
      <c r="V23" s="18" t="s">
        <v>69</v>
      </c>
      <c r="W23" t="str">
        <f t="shared" si="0"/>
        <v>Blacklisted</v>
      </c>
      <c r="X23" s="27" t="str">
        <f t="shared" si="1"/>
        <v>Kavya Nair</v>
      </c>
      <c r="Y23" s="29" t="str">
        <f t="shared" si="2"/>
        <v>Kav00IDBe</v>
      </c>
      <c r="Z23" s="30" t="str">
        <f t="shared" si="3"/>
        <v>kavya.nair@company.com</v>
      </c>
      <c r="AA23" s="32">
        <f t="shared" ca="1" si="4"/>
        <v>21</v>
      </c>
      <c r="AB23" s="33">
        <f t="shared" si="5"/>
        <v>5</v>
      </c>
      <c r="AC23" s="34" t="str">
        <f t="shared" si="6"/>
        <v>On Time</v>
      </c>
    </row>
    <row r="24" spans="1:29">
      <c r="A24" s="15" t="s">
        <v>209</v>
      </c>
      <c r="B24" s="15" t="s">
        <v>100</v>
      </c>
      <c r="C24" s="15" t="s">
        <v>184</v>
      </c>
      <c r="D24" s="15" t="s">
        <v>102</v>
      </c>
      <c r="E24" s="15" t="s">
        <v>210</v>
      </c>
      <c r="F24" s="15" t="s">
        <v>103</v>
      </c>
      <c r="G24" s="15" t="s">
        <v>28</v>
      </c>
      <c r="H24" s="15" t="s">
        <v>211</v>
      </c>
      <c r="I24" s="15" t="s">
        <v>212</v>
      </c>
      <c r="J24" s="15" t="s">
        <v>45</v>
      </c>
      <c r="K24" s="15" t="s">
        <v>46</v>
      </c>
      <c r="L24" s="15" t="s">
        <v>189</v>
      </c>
      <c r="M24" s="15">
        <v>19</v>
      </c>
      <c r="N24" s="15">
        <v>700</v>
      </c>
      <c r="O24" s="15">
        <v>15</v>
      </c>
      <c r="P24" s="15">
        <v>11305</v>
      </c>
      <c r="Q24" s="15">
        <v>3</v>
      </c>
      <c r="R24" s="15" t="s">
        <v>48</v>
      </c>
      <c r="S24" s="15" t="s">
        <v>151</v>
      </c>
      <c r="T24" s="15" t="s">
        <v>144</v>
      </c>
      <c r="U24" s="17" t="s">
        <v>213</v>
      </c>
      <c r="V24" s="15" t="s">
        <v>64</v>
      </c>
      <c r="W24" t="str">
        <f t="shared" si="0"/>
        <v>Blacklisted</v>
      </c>
      <c r="X24" s="27" t="str">
        <f t="shared" si="1"/>
        <v>Priya Patel</v>
      </c>
      <c r="Y24" s="29" t="str">
        <f t="shared" si="2"/>
        <v>Pri00IDJa</v>
      </c>
      <c r="Z24" s="30" t="str">
        <f t="shared" si="3"/>
        <v>priya.patel@company.com</v>
      </c>
      <c r="AA24" s="32">
        <f t="shared" ca="1" si="4"/>
        <v>42</v>
      </c>
      <c r="AB24" s="33">
        <f t="shared" si="5"/>
        <v>11</v>
      </c>
      <c r="AC24" s="34" t="str">
        <f t="shared" si="6"/>
        <v>Delayed</v>
      </c>
    </row>
    <row r="25" spans="1:29">
      <c r="A25" s="18" t="s">
        <v>214</v>
      </c>
      <c r="B25" s="18" t="s">
        <v>71</v>
      </c>
      <c r="C25" s="18" t="s">
        <v>54</v>
      </c>
      <c r="D25" s="18" t="s">
        <v>215</v>
      </c>
      <c r="E25" s="18" t="s">
        <v>216</v>
      </c>
      <c r="F25" s="18" t="s">
        <v>217</v>
      </c>
      <c r="G25" s="18" t="s">
        <v>76</v>
      </c>
      <c r="H25" s="18" t="s">
        <v>218</v>
      </c>
      <c r="I25" s="18" t="s">
        <v>59</v>
      </c>
      <c r="J25" s="18" t="s">
        <v>31</v>
      </c>
      <c r="K25" s="18" t="s">
        <v>46</v>
      </c>
      <c r="L25" s="18" t="s">
        <v>60</v>
      </c>
      <c r="M25" s="18">
        <v>12</v>
      </c>
      <c r="N25" s="18">
        <v>55000</v>
      </c>
      <c r="O25" s="18">
        <v>0</v>
      </c>
      <c r="P25" s="18">
        <v>660000</v>
      </c>
      <c r="Q25" s="18">
        <v>1</v>
      </c>
      <c r="R25" s="18" t="s">
        <v>79</v>
      </c>
      <c r="S25" s="18" t="s">
        <v>49</v>
      </c>
      <c r="T25" s="18" t="s">
        <v>80</v>
      </c>
      <c r="U25" s="19" t="s">
        <v>219</v>
      </c>
      <c r="V25" s="18" t="s">
        <v>64</v>
      </c>
      <c r="W25" t="str">
        <f t="shared" si="0"/>
        <v>Blacklisted</v>
      </c>
      <c r="X25" s="27" t="str">
        <f t="shared" si="1"/>
        <v>Mohit Verma</v>
      </c>
      <c r="Y25" s="29" t="str">
        <f t="shared" si="2"/>
        <v>Moh00IDBe</v>
      </c>
      <c r="Z25" s="30" t="str">
        <f t="shared" si="3"/>
        <v>mohit.verma@company.com</v>
      </c>
      <c r="AA25" s="32">
        <f t="shared" ca="1" si="4"/>
        <v>48</v>
      </c>
      <c r="AB25" s="33">
        <f t="shared" si="5"/>
        <v>10</v>
      </c>
      <c r="AC25" s="34" t="str">
        <f t="shared" si="6"/>
        <v>Delayed</v>
      </c>
    </row>
    <row r="26" spans="1:29">
      <c r="A26" s="15" t="s">
        <v>220</v>
      </c>
      <c r="B26" s="15" t="s">
        <v>221</v>
      </c>
      <c r="C26" s="15" t="s">
        <v>222</v>
      </c>
      <c r="D26" s="15" t="s">
        <v>223</v>
      </c>
      <c r="E26" s="15" t="s">
        <v>224</v>
      </c>
      <c r="F26" s="15" t="s">
        <v>225</v>
      </c>
      <c r="G26" s="15" t="s">
        <v>76</v>
      </c>
      <c r="H26" s="15" t="s">
        <v>226</v>
      </c>
      <c r="I26" s="15" t="s">
        <v>105</v>
      </c>
      <c r="J26" s="15" t="s">
        <v>106</v>
      </c>
      <c r="K26" s="15" t="s">
        <v>122</v>
      </c>
      <c r="L26" s="15" t="s">
        <v>227</v>
      </c>
      <c r="M26" s="15">
        <v>1</v>
      </c>
      <c r="N26" s="15">
        <v>20</v>
      </c>
      <c r="O26" s="15">
        <v>5</v>
      </c>
      <c r="P26" s="15">
        <v>19</v>
      </c>
      <c r="Q26" s="15">
        <v>5</v>
      </c>
      <c r="R26" s="15" t="s">
        <v>79</v>
      </c>
      <c r="S26" s="15" t="s">
        <v>35</v>
      </c>
      <c r="T26" s="15" t="s">
        <v>228</v>
      </c>
      <c r="U26" s="17" t="s">
        <v>229</v>
      </c>
      <c r="V26" s="15" t="s">
        <v>69</v>
      </c>
      <c r="W26" t="str">
        <f t="shared" si="0"/>
        <v>Blacklisted</v>
      </c>
      <c r="X26" s="27" t="str">
        <f t="shared" si="1"/>
        <v>Vikas Mehta</v>
      </c>
      <c r="Y26" s="29" t="str">
        <f t="shared" si="2"/>
        <v>Vik00IDMu</v>
      </c>
      <c r="Z26" s="30" t="str">
        <f t="shared" si="3"/>
        <v>vikas.mehta@company.com</v>
      </c>
      <c r="AA26" s="32">
        <f t="shared" ca="1" si="4"/>
        <v>35</v>
      </c>
      <c r="AB26" s="33">
        <f t="shared" si="5"/>
        <v>11</v>
      </c>
      <c r="AC26" s="34" t="str">
        <f t="shared" si="6"/>
        <v>Delayed</v>
      </c>
    </row>
    <row r="27" spans="1:29">
      <c r="A27" s="18" t="s">
        <v>230</v>
      </c>
      <c r="B27" s="18" t="s">
        <v>83</v>
      </c>
      <c r="C27" s="18" t="s">
        <v>222</v>
      </c>
      <c r="D27" s="18" t="s">
        <v>231</v>
      </c>
      <c r="E27" s="18" t="s">
        <v>232</v>
      </c>
      <c r="F27" s="18" t="s">
        <v>180</v>
      </c>
      <c r="G27" s="18" t="s">
        <v>76</v>
      </c>
      <c r="H27" s="18" t="s">
        <v>233</v>
      </c>
      <c r="I27" s="18" t="s">
        <v>105</v>
      </c>
      <c r="J27" s="18" t="s">
        <v>106</v>
      </c>
      <c r="K27" s="18" t="s">
        <v>122</v>
      </c>
      <c r="L27" s="18" t="s">
        <v>227</v>
      </c>
      <c r="M27" s="18">
        <v>2</v>
      </c>
      <c r="N27" s="18">
        <v>20</v>
      </c>
      <c r="O27" s="18">
        <v>15</v>
      </c>
      <c r="P27" s="18">
        <v>34</v>
      </c>
      <c r="Q27" s="18">
        <v>1</v>
      </c>
      <c r="R27" s="18" t="s">
        <v>88</v>
      </c>
      <c r="S27" s="18" t="s">
        <v>35</v>
      </c>
      <c r="T27" s="18" t="s">
        <v>89</v>
      </c>
      <c r="U27" s="19" t="s">
        <v>234</v>
      </c>
      <c r="V27" s="18" t="s">
        <v>64</v>
      </c>
      <c r="W27" t="str">
        <f t="shared" si="0"/>
        <v>Blacklisted</v>
      </c>
      <c r="X27" s="27" t="str">
        <f t="shared" si="1"/>
        <v>Arjun Rao</v>
      </c>
      <c r="Y27" s="29" t="str">
        <f t="shared" si="2"/>
        <v>Arj00IDMu</v>
      </c>
      <c r="Z27" s="30" t="str">
        <f t="shared" si="3"/>
        <v>arjun.rao@company.com</v>
      </c>
      <c r="AA27" s="32">
        <f t="shared" ca="1" si="4"/>
        <v>48</v>
      </c>
      <c r="AB27" s="33">
        <f t="shared" si="5"/>
        <v>8</v>
      </c>
      <c r="AC27" s="34" t="str">
        <f t="shared" si="6"/>
        <v>Delayed</v>
      </c>
    </row>
    <row r="28" spans="1:29">
      <c r="A28" s="15" t="s">
        <v>235</v>
      </c>
      <c r="B28" s="15" t="s">
        <v>71</v>
      </c>
      <c r="C28" s="15" t="s">
        <v>92</v>
      </c>
      <c r="D28" s="15" t="s">
        <v>236</v>
      </c>
      <c r="E28" s="15" t="s">
        <v>237</v>
      </c>
      <c r="F28" s="15" t="s">
        <v>217</v>
      </c>
      <c r="G28" s="15" t="s">
        <v>76</v>
      </c>
      <c r="H28" s="15" t="s">
        <v>238</v>
      </c>
      <c r="I28" s="15" t="s">
        <v>138</v>
      </c>
      <c r="J28" s="15" t="s">
        <v>106</v>
      </c>
      <c r="K28" s="15" t="s">
        <v>32</v>
      </c>
      <c r="L28" s="15" t="s">
        <v>97</v>
      </c>
      <c r="M28" s="15">
        <v>12</v>
      </c>
      <c r="N28" s="15">
        <v>3500</v>
      </c>
      <c r="O28" s="15">
        <v>15</v>
      </c>
      <c r="P28" s="15">
        <v>35700</v>
      </c>
      <c r="Q28" s="15">
        <v>4</v>
      </c>
      <c r="R28" s="15" t="s">
        <v>34</v>
      </c>
      <c r="S28" s="15" t="s">
        <v>49</v>
      </c>
      <c r="T28" s="15" t="s">
        <v>80</v>
      </c>
      <c r="U28" s="17" t="s">
        <v>239</v>
      </c>
      <c r="V28" s="15" t="s">
        <v>69</v>
      </c>
      <c r="W28" t="str">
        <f t="shared" si="0"/>
        <v>Blacklisted</v>
      </c>
      <c r="X28" s="27" t="str">
        <f t="shared" si="1"/>
        <v>Mohit Verma</v>
      </c>
      <c r="Y28" s="29" t="str">
        <f t="shared" si="2"/>
        <v>Moh00IDAh</v>
      </c>
      <c r="Z28" s="30" t="str">
        <f t="shared" si="3"/>
        <v>mohit.verma@company.com</v>
      </c>
      <c r="AA28" s="32">
        <f t="shared" ca="1" si="4"/>
        <v>34</v>
      </c>
      <c r="AB28" s="33">
        <f t="shared" si="5"/>
        <v>3</v>
      </c>
      <c r="AC28" s="34" t="str">
        <f t="shared" si="6"/>
        <v>On Time</v>
      </c>
    </row>
    <row r="29" spans="1:29">
      <c r="A29" s="18" t="s">
        <v>240</v>
      </c>
      <c r="B29" s="18" t="s">
        <v>23</v>
      </c>
      <c r="C29" s="18" t="s">
        <v>72</v>
      </c>
      <c r="D29" s="18" t="s">
        <v>241</v>
      </c>
      <c r="E29" s="18" t="s">
        <v>242</v>
      </c>
      <c r="F29" s="18" t="s">
        <v>27</v>
      </c>
      <c r="G29" s="18" t="s">
        <v>28</v>
      </c>
      <c r="H29" s="18" t="s">
        <v>243</v>
      </c>
      <c r="I29" s="18" t="s">
        <v>138</v>
      </c>
      <c r="J29" s="18" t="s">
        <v>106</v>
      </c>
      <c r="K29" s="18" t="s">
        <v>46</v>
      </c>
      <c r="L29" s="18" t="s">
        <v>78</v>
      </c>
      <c r="M29" s="18">
        <v>11</v>
      </c>
      <c r="N29" s="18">
        <v>1200</v>
      </c>
      <c r="O29" s="18">
        <v>0</v>
      </c>
      <c r="P29" s="18">
        <v>13200</v>
      </c>
      <c r="Q29" s="18">
        <v>2</v>
      </c>
      <c r="R29" s="18" t="s">
        <v>88</v>
      </c>
      <c r="S29" s="18" t="s">
        <v>151</v>
      </c>
      <c r="T29" s="18" t="s">
        <v>50</v>
      </c>
      <c r="U29" s="19" t="s">
        <v>244</v>
      </c>
      <c r="V29" s="18" t="s">
        <v>38</v>
      </c>
      <c r="W29" t="str">
        <f t="shared" si="0"/>
        <v>Blacklisted</v>
      </c>
      <c r="X29" s="27" t="str">
        <f t="shared" si="1"/>
        <v>Kavya Nair</v>
      </c>
      <c r="Y29" s="29" t="str">
        <f t="shared" si="2"/>
        <v>Kav00IDAh</v>
      </c>
      <c r="Z29" s="30" t="str">
        <f t="shared" si="3"/>
        <v>kavya.nair@company.com</v>
      </c>
      <c r="AA29" s="32">
        <f t="shared" ca="1" si="4"/>
        <v>22</v>
      </c>
      <c r="AB29" s="33">
        <f t="shared" si="5"/>
        <v>7</v>
      </c>
      <c r="AC29" s="34" t="str">
        <f t="shared" si="6"/>
        <v>Delayed</v>
      </c>
    </row>
    <row r="30" spans="1:29">
      <c r="A30" s="15" t="s">
        <v>245</v>
      </c>
      <c r="B30" s="15" t="s">
        <v>127</v>
      </c>
      <c r="C30" s="15" t="s">
        <v>169</v>
      </c>
      <c r="D30" s="15" t="s">
        <v>246</v>
      </c>
      <c r="E30" s="15" t="s">
        <v>247</v>
      </c>
      <c r="F30" s="15" t="s">
        <v>200</v>
      </c>
      <c r="G30" s="15" t="s">
        <v>76</v>
      </c>
      <c r="H30" s="15" t="s">
        <v>248</v>
      </c>
      <c r="I30" s="15" t="s">
        <v>114</v>
      </c>
      <c r="J30" s="15" t="s">
        <v>106</v>
      </c>
      <c r="K30" s="15" t="s">
        <v>32</v>
      </c>
      <c r="L30" s="15" t="s">
        <v>174</v>
      </c>
      <c r="M30" s="15">
        <v>6</v>
      </c>
      <c r="N30" s="15">
        <v>8500</v>
      </c>
      <c r="O30" s="15">
        <v>65</v>
      </c>
      <c r="P30" s="15">
        <v>51000</v>
      </c>
      <c r="Q30" s="15">
        <v>1</v>
      </c>
      <c r="R30" s="15" t="s">
        <v>79</v>
      </c>
      <c r="S30" s="15" t="s">
        <v>61</v>
      </c>
      <c r="T30" s="15" t="s">
        <v>132</v>
      </c>
      <c r="U30" s="17" t="s">
        <v>249</v>
      </c>
      <c r="V30" s="15" t="s">
        <v>38</v>
      </c>
      <c r="W30" t="str">
        <f t="shared" si="0"/>
        <v>Blacklisted</v>
      </c>
      <c r="X30" s="27" t="str">
        <f t="shared" si="1"/>
        <v>Rohit Singh</v>
      </c>
      <c r="Y30" s="29" t="str">
        <f t="shared" si="2"/>
        <v>Roh00IDPu</v>
      </c>
      <c r="Z30" s="30" t="str">
        <f t="shared" si="3"/>
        <v>rohit.singh@company.com</v>
      </c>
      <c r="AA30" s="32">
        <f t="shared" ca="1" si="4"/>
        <v>25</v>
      </c>
      <c r="AB30" s="33">
        <f t="shared" si="5"/>
        <v>12</v>
      </c>
      <c r="AC30" s="34" t="str">
        <f t="shared" si="6"/>
        <v>Delayed</v>
      </c>
    </row>
    <row r="31" spans="1:29">
      <c r="A31" s="18" t="s">
        <v>250</v>
      </c>
      <c r="B31" s="18" t="s">
        <v>251</v>
      </c>
      <c r="C31" s="18" t="s">
        <v>118</v>
      </c>
      <c r="D31" s="18" t="s">
        <v>252</v>
      </c>
      <c r="E31" s="18" t="s">
        <v>253</v>
      </c>
      <c r="F31" s="18" t="s">
        <v>254</v>
      </c>
      <c r="G31" s="18" t="s">
        <v>28</v>
      </c>
      <c r="H31" s="18" t="s">
        <v>255</v>
      </c>
      <c r="I31" s="18" t="s">
        <v>114</v>
      </c>
      <c r="J31" s="18" t="s">
        <v>106</v>
      </c>
      <c r="K31" s="18" t="s">
        <v>122</v>
      </c>
      <c r="L31" s="18" t="s">
        <v>123</v>
      </c>
      <c r="M31" s="18">
        <v>2</v>
      </c>
      <c r="N31" s="18">
        <v>60</v>
      </c>
      <c r="O31" s="18">
        <v>5</v>
      </c>
      <c r="P31" s="18">
        <v>114</v>
      </c>
      <c r="Q31" s="18">
        <v>3</v>
      </c>
      <c r="R31" s="18" t="s">
        <v>34</v>
      </c>
      <c r="S31" s="18" t="s">
        <v>151</v>
      </c>
      <c r="T31" s="18" t="s">
        <v>256</v>
      </c>
      <c r="U31" s="19" t="s">
        <v>257</v>
      </c>
      <c r="V31" s="18" t="s">
        <v>69</v>
      </c>
      <c r="W31" t="str">
        <f t="shared" si="0"/>
        <v>Blacklisted</v>
      </c>
      <c r="X31" s="27" t="str">
        <f t="shared" si="1"/>
        <v>Sneha Joshi</v>
      </c>
      <c r="Y31" s="29" t="str">
        <f t="shared" si="2"/>
        <v>Sne00IDPu</v>
      </c>
      <c r="Z31" s="30" t="str">
        <f t="shared" si="3"/>
        <v>sneha.joshi@company.com</v>
      </c>
      <c r="AA31" s="32">
        <f t="shared" ca="1" si="4"/>
        <v>45</v>
      </c>
      <c r="AB31" s="33">
        <f t="shared" si="5"/>
        <v>5</v>
      </c>
      <c r="AC31" s="34" t="str">
        <f t="shared" si="6"/>
        <v>On Time</v>
      </c>
    </row>
    <row r="32" spans="1:29">
      <c r="A32" s="15" t="s">
        <v>258</v>
      </c>
      <c r="B32" s="15" t="s">
        <v>23</v>
      </c>
      <c r="C32" s="15" t="s">
        <v>259</v>
      </c>
      <c r="D32" s="15" t="s">
        <v>260</v>
      </c>
      <c r="E32" s="15" t="s">
        <v>261</v>
      </c>
      <c r="F32" s="15" t="s">
        <v>27</v>
      </c>
      <c r="G32" s="15" t="s">
        <v>28</v>
      </c>
      <c r="H32" s="15" t="s">
        <v>262</v>
      </c>
      <c r="I32" s="15" t="s">
        <v>59</v>
      </c>
      <c r="J32" s="15" t="s">
        <v>31</v>
      </c>
      <c r="K32" s="15" t="s">
        <v>122</v>
      </c>
      <c r="L32" s="15" t="s">
        <v>263</v>
      </c>
      <c r="M32" s="15">
        <v>19</v>
      </c>
      <c r="N32" s="15">
        <v>45</v>
      </c>
      <c r="O32" s="15">
        <v>20</v>
      </c>
      <c r="P32" s="15">
        <v>684</v>
      </c>
      <c r="Q32" s="15">
        <v>4</v>
      </c>
      <c r="R32" s="15" t="s">
        <v>48</v>
      </c>
      <c r="S32" s="15" t="s">
        <v>61</v>
      </c>
      <c r="T32" s="15" t="s">
        <v>50</v>
      </c>
      <c r="U32" s="17" t="s">
        <v>264</v>
      </c>
      <c r="V32" s="15" t="s">
        <v>69</v>
      </c>
      <c r="W32" t="str">
        <f t="shared" si="0"/>
        <v>Blacklisted</v>
      </c>
      <c r="X32" s="27" t="str">
        <f t="shared" si="1"/>
        <v>Kavya Nair</v>
      </c>
      <c r="Y32" s="29" t="str">
        <f t="shared" si="2"/>
        <v>Kav00IDBe</v>
      </c>
      <c r="Z32" s="30" t="str">
        <f t="shared" si="3"/>
        <v>kavya.nair@company.com</v>
      </c>
      <c r="AA32" s="32">
        <f t="shared" ca="1" si="4"/>
        <v>30</v>
      </c>
      <c r="AB32" s="33">
        <f t="shared" si="5"/>
        <v>10</v>
      </c>
      <c r="AC32" s="34" t="str">
        <f t="shared" si="6"/>
        <v>Delayed</v>
      </c>
    </row>
    <row r="33" spans="1:29">
      <c r="A33" s="18" t="s">
        <v>265</v>
      </c>
      <c r="B33" s="18" t="s">
        <v>100</v>
      </c>
      <c r="C33" s="18" t="s">
        <v>40</v>
      </c>
      <c r="D33" s="18" t="s">
        <v>266</v>
      </c>
      <c r="E33" s="18" t="s">
        <v>267</v>
      </c>
      <c r="F33" s="18" t="s">
        <v>268</v>
      </c>
      <c r="G33" s="18" t="s">
        <v>28</v>
      </c>
      <c r="H33" s="18" t="s">
        <v>269</v>
      </c>
      <c r="I33" s="18" t="s">
        <v>138</v>
      </c>
      <c r="J33" s="18" t="s">
        <v>106</v>
      </c>
      <c r="K33" s="18" t="s">
        <v>46</v>
      </c>
      <c r="L33" s="18" t="s">
        <v>47</v>
      </c>
      <c r="M33" s="18">
        <v>11</v>
      </c>
      <c r="N33" s="18">
        <v>12000</v>
      </c>
      <c r="O33" s="18">
        <v>0</v>
      </c>
      <c r="P33" s="18">
        <v>132000</v>
      </c>
      <c r="Q33" s="18">
        <v>3</v>
      </c>
      <c r="R33" s="18" t="s">
        <v>88</v>
      </c>
      <c r="S33" s="18" t="s">
        <v>35</v>
      </c>
      <c r="T33" s="18" t="s">
        <v>144</v>
      </c>
      <c r="U33" s="19" t="s">
        <v>270</v>
      </c>
      <c r="V33" s="18" t="s">
        <v>64</v>
      </c>
      <c r="W33" t="str">
        <f t="shared" si="0"/>
        <v>Blacklisted</v>
      </c>
      <c r="X33" s="27" t="str">
        <f t="shared" si="1"/>
        <v>Priya Patel</v>
      </c>
      <c r="Y33" s="29" t="str">
        <f t="shared" si="2"/>
        <v>Pri00IDAh</v>
      </c>
      <c r="Z33" s="30" t="str">
        <f t="shared" si="3"/>
        <v>priya.patel@company.com</v>
      </c>
      <c r="AA33" s="32">
        <f t="shared" ca="1" si="4"/>
        <v>49</v>
      </c>
      <c r="AB33" s="33">
        <f t="shared" si="5"/>
        <v>12</v>
      </c>
      <c r="AC33" s="34" t="str">
        <f t="shared" si="6"/>
        <v>Delayed</v>
      </c>
    </row>
    <row r="34" spans="1:29">
      <c r="A34" s="15" t="s">
        <v>271</v>
      </c>
      <c r="B34" s="15" t="s">
        <v>251</v>
      </c>
      <c r="C34" s="15" t="s">
        <v>24</v>
      </c>
      <c r="D34" s="15" t="s">
        <v>272</v>
      </c>
      <c r="E34" s="15" t="s">
        <v>136</v>
      </c>
      <c r="F34" s="15" t="s">
        <v>254</v>
      </c>
      <c r="G34" s="15" t="s">
        <v>28</v>
      </c>
      <c r="H34" s="15" t="s">
        <v>273</v>
      </c>
      <c r="I34" s="15" t="s">
        <v>59</v>
      </c>
      <c r="J34" s="15" t="s">
        <v>31</v>
      </c>
      <c r="K34" s="15" t="s">
        <v>32</v>
      </c>
      <c r="L34" s="15" t="s">
        <v>33</v>
      </c>
      <c r="M34" s="15">
        <v>20</v>
      </c>
      <c r="N34" s="15">
        <v>2200</v>
      </c>
      <c r="O34" s="15">
        <v>5</v>
      </c>
      <c r="P34" s="15">
        <v>41800</v>
      </c>
      <c r="Q34" s="15">
        <v>1</v>
      </c>
      <c r="R34" s="15" t="s">
        <v>34</v>
      </c>
      <c r="S34" s="15" t="s">
        <v>49</v>
      </c>
      <c r="T34" s="15" t="s">
        <v>256</v>
      </c>
      <c r="U34" s="17" t="s">
        <v>274</v>
      </c>
      <c r="V34" s="15" t="s">
        <v>64</v>
      </c>
      <c r="W34" t="str">
        <f t="shared" si="0"/>
        <v>Blacklisted</v>
      </c>
      <c r="X34" s="27" t="str">
        <f t="shared" si="1"/>
        <v>Sneha Joshi</v>
      </c>
      <c r="Y34" s="29" t="str">
        <f t="shared" si="2"/>
        <v>Sne00IDBe</v>
      </c>
      <c r="Z34" s="30" t="str">
        <f t="shared" si="3"/>
        <v>sneha.joshi@company.com</v>
      </c>
      <c r="AA34" s="32">
        <f t="shared" ca="1" si="4"/>
        <v>37</v>
      </c>
      <c r="AB34" s="33">
        <f t="shared" si="5"/>
        <v>8</v>
      </c>
      <c r="AC34" s="34" t="str">
        <f t="shared" si="6"/>
        <v>Delayed</v>
      </c>
    </row>
    <row r="35" spans="1:29">
      <c r="A35" s="18" t="s">
        <v>275</v>
      </c>
      <c r="B35" s="18" t="s">
        <v>83</v>
      </c>
      <c r="C35" s="18" t="s">
        <v>222</v>
      </c>
      <c r="D35" s="18" t="s">
        <v>231</v>
      </c>
      <c r="E35" s="18" t="s">
        <v>276</v>
      </c>
      <c r="F35" s="18" t="s">
        <v>180</v>
      </c>
      <c r="G35" s="18" t="s">
        <v>76</v>
      </c>
      <c r="H35" s="18" t="s">
        <v>277</v>
      </c>
      <c r="I35" s="18" t="s">
        <v>138</v>
      </c>
      <c r="J35" s="18" t="s">
        <v>106</v>
      </c>
      <c r="K35" s="18" t="s">
        <v>122</v>
      </c>
      <c r="L35" s="18" t="s">
        <v>227</v>
      </c>
      <c r="M35" s="18">
        <v>3</v>
      </c>
      <c r="N35" s="18">
        <v>20</v>
      </c>
      <c r="O35" s="18">
        <v>0</v>
      </c>
      <c r="P35" s="18">
        <v>60</v>
      </c>
      <c r="Q35" s="18">
        <v>2</v>
      </c>
      <c r="R35" s="18" t="s">
        <v>79</v>
      </c>
      <c r="S35" s="18" t="s">
        <v>35</v>
      </c>
      <c r="T35" s="18" t="s">
        <v>278</v>
      </c>
      <c r="U35" s="19" t="s">
        <v>279</v>
      </c>
      <c r="V35" s="18" t="s">
        <v>69</v>
      </c>
      <c r="W35" t="str">
        <f t="shared" si="0"/>
        <v>Blacklisted</v>
      </c>
      <c r="X35" s="27" t="str">
        <f t="shared" si="1"/>
        <v>Arjun Rao</v>
      </c>
      <c r="Y35" s="29" t="str">
        <f t="shared" si="2"/>
        <v>Arj00IDAh</v>
      </c>
      <c r="Z35" s="30" t="str">
        <f t="shared" si="3"/>
        <v>Invalid Email</v>
      </c>
      <c r="AA35" s="32">
        <f t="shared" ca="1" si="4"/>
        <v>22</v>
      </c>
      <c r="AB35" s="33">
        <f t="shared" si="5"/>
        <v>10</v>
      </c>
      <c r="AC35" s="34" t="str">
        <f t="shared" si="6"/>
        <v>Delayed</v>
      </c>
    </row>
    <row r="36" spans="1:29">
      <c r="A36" s="15" t="s">
        <v>280</v>
      </c>
      <c r="B36" s="15" t="s">
        <v>127</v>
      </c>
      <c r="C36" s="15" t="s">
        <v>259</v>
      </c>
      <c r="D36" s="15" t="s">
        <v>281</v>
      </c>
      <c r="E36" s="15" t="s">
        <v>282</v>
      </c>
      <c r="F36" s="15" t="s">
        <v>200</v>
      </c>
      <c r="G36" s="15" t="s">
        <v>76</v>
      </c>
      <c r="H36" s="15" t="s">
        <v>283</v>
      </c>
      <c r="I36" s="15" t="s">
        <v>114</v>
      </c>
      <c r="J36" s="15" t="s">
        <v>106</v>
      </c>
      <c r="K36" s="15" t="s">
        <v>122</v>
      </c>
      <c r="L36" s="15" t="s">
        <v>263</v>
      </c>
      <c r="M36" s="15">
        <v>18</v>
      </c>
      <c r="N36" s="15">
        <v>45</v>
      </c>
      <c r="O36" s="15">
        <v>20</v>
      </c>
      <c r="P36" s="15">
        <v>648</v>
      </c>
      <c r="Q36" s="15">
        <v>4</v>
      </c>
      <c r="R36" s="15" t="s">
        <v>48</v>
      </c>
      <c r="S36" s="15" t="s">
        <v>35</v>
      </c>
      <c r="T36" s="15" t="s">
        <v>132</v>
      </c>
      <c r="U36" s="17" t="s">
        <v>284</v>
      </c>
      <c r="V36" s="15" t="s">
        <v>69</v>
      </c>
      <c r="W36" t="str">
        <f t="shared" si="0"/>
        <v>Blacklisted</v>
      </c>
      <c r="X36" s="27" t="str">
        <f t="shared" si="1"/>
        <v>Rohit Singh</v>
      </c>
      <c r="Y36" s="29" t="str">
        <f t="shared" si="2"/>
        <v>Roh00IDPu</v>
      </c>
      <c r="Z36" s="30" t="str">
        <f t="shared" si="3"/>
        <v>rohit.singh@company.com</v>
      </c>
      <c r="AA36" s="32">
        <f t="shared" ca="1" si="4"/>
        <v>30</v>
      </c>
      <c r="AB36" s="33">
        <f t="shared" si="5"/>
        <v>10</v>
      </c>
      <c r="AC36" s="34" t="str">
        <f t="shared" si="6"/>
        <v>Delayed</v>
      </c>
    </row>
    <row r="37" spans="1:29">
      <c r="A37" s="18" t="s">
        <v>285</v>
      </c>
      <c r="B37" s="18" t="s">
        <v>127</v>
      </c>
      <c r="C37" s="18" t="s">
        <v>72</v>
      </c>
      <c r="D37" s="18" t="s">
        <v>286</v>
      </c>
      <c r="E37" s="18" t="s">
        <v>287</v>
      </c>
      <c r="F37" s="18" t="s">
        <v>200</v>
      </c>
      <c r="G37" s="18" t="s">
        <v>76</v>
      </c>
      <c r="H37" s="18" t="s">
        <v>288</v>
      </c>
      <c r="I37" s="18" t="s">
        <v>59</v>
      </c>
      <c r="J37" s="18" t="s">
        <v>31</v>
      </c>
      <c r="K37" s="18" t="s">
        <v>46</v>
      </c>
      <c r="L37" s="18" t="s">
        <v>78</v>
      </c>
      <c r="M37" s="18">
        <v>4</v>
      </c>
      <c r="N37" s="18">
        <v>1200</v>
      </c>
      <c r="O37" s="18">
        <v>20</v>
      </c>
      <c r="P37" s="18">
        <v>3840</v>
      </c>
      <c r="Q37" s="18">
        <v>3</v>
      </c>
      <c r="R37" s="18" t="s">
        <v>48</v>
      </c>
      <c r="S37" s="18" t="s">
        <v>61</v>
      </c>
      <c r="T37" s="18" t="s">
        <v>132</v>
      </c>
      <c r="U37" s="19" t="s">
        <v>289</v>
      </c>
      <c r="V37" s="18" t="s">
        <v>38</v>
      </c>
      <c r="W37" t="str">
        <f t="shared" si="0"/>
        <v>Silver</v>
      </c>
      <c r="X37" s="27" t="str">
        <f t="shared" si="1"/>
        <v>Rohit Singh</v>
      </c>
      <c r="Y37" s="29" t="str">
        <f t="shared" si="2"/>
        <v>Roh00IDBe</v>
      </c>
      <c r="Z37" s="30" t="str">
        <f t="shared" si="3"/>
        <v>rohit.singh@company.com</v>
      </c>
      <c r="AA37" s="32">
        <f t="shared" ca="1" si="4"/>
        <v>47</v>
      </c>
      <c r="AB37" s="33">
        <f t="shared" si="5"/>
        <v>7</v>
      </c>
      <c r="AC37" s="34" t="str">
        <f t="shared" si="6"/>
        <v>Delayed</v>
      </c>
    </row>
    <row r="38" spans="1:29">
      <c r="A38" s="15" t="s">
        <v>290</v>
      </c>
      <c r="B38" s="15" t="s">
        <v>71</v>
      </c>
      <c r="C38" s="15" t="s">
        <v>54</v>
      </c>
      <c r="D38" s="15" t="s">
        <v>291</v>
      </c>
      <c r="E38" s="15" t="s">
        <v>292</v>
      </c>
      <c r="F38" s="15" t="s">
        <v>217</v>
      </c>
      <c r="G38" s="15" t="s">
        <v>76</v>
      </c>
      <c r="H38" s="15" t="s">
        <v>293</v>
      </c>
      <c r="I38" s="15" t="s">
        <v>294</v>
      </c>
      <c r="J38" s="15" t="s">
        <v>295</v>
      </c>
      <c r="K38" s="15" t="s">
        <v>46</v>
      </c>
      <c r="L38" s="15" t="s">
        <v>60</v>
      </c>
      <c r="M38" s="15">
        <v>10</v>
      </c>
      <c r="N38" s="15">
        <v>55000</v>
      </c>
      <c r="O38" s="15">
        <v>0</v>
      </c>
      <c r="P38" s="15">
        <v>550000</v>
      </c>
      <c r="Q38" s="15">
        <v>1</v>
      </c>
      <c r="R38" s="15" t="s">
        <v>88</v>
      </c>
      <c r="S38" s="15" t="s">
        <v>49</v>
      </c>
      <c r="T38" s="15" t="s">
        <v>80</v>
      </c>
      <c r="U38" s="17" t="s">
        <v>296</v>
      </c>
      <c r="V38" s="15" t="s">
        <v>69</v>
      </c>
      <c r="W38" t="str">
        <f t="shared" si="0"/>
        <v>Blacklisted</v>
      </c>
      <c r="X38" s="27" t="str">
        <f t="shared" si="1"/>
        <v>Mohit Verma</v>
      </c>
      <c r="Y38" s="29" t="str">
        <f t="shared" si="2"/>
        <v>Moh00IDKo</v>
      </c>
      <c r="Z38" s="30" t="str">
        <f t="shared" si="3"/>
        <v>mohit.verma@company.com</v>
      </c>
      <c r="AA38" s="32">
        <f t="shared" ca="1" si="4"/>
        <v>46</v>
      </c>
      <c r="AB38" s="33">
        <f t="shared" si="5"/>
        <v>9</v>
      </c>
      <c r="AC38" s="34" t="str">
        <f t="shared" si="6"/>
        <v>Delayed</v>
      </c>
    </row>
    <row r="39" spans="1:29">
      <c r="A39" s="18" t="s">
        <v>297</v>
      </c>
      <c r="B39" s="18" t="s">
        <v>251</v>
      </c>
      <c r="C39" s="18" t="s">
        <v>92</v>
      </c>
      <c r="D39" s="18" t="s">
        <v>298</v>
      </c>
      <c r="E39" s="18" t="s">
        <v>242</v>
      </c>
      <c r="F39" s="18" t="s">
        <v>254</v>
      </c>
      <c r="G39" s="18" t="s">
        <v>28</v>
      </c>
      <c r="H39" s="18" t="s">
        <v>299</v>
      </c>
      <c r="I39" s="18" t="s">
        <v>44</v>
      </c>
      <c r="J39" s="18" t="s">
        <v>45</v>
      </c>
      <c r="K39" s="18" t="s">
        <v>32</v>
      </c>
      <c r="L39" s="18" t="s">
        <v>97</v>
      </c>
      <c r="M39" s="18">
        <v>20</v>
      </c>
      <c r="N39" s="18">
        <v>3500</v>
      </c>
      <c r="O39" s="18">
        <v>10</v>
      </c>
      <c r="P39" s="18">
        <v>63000</v>
      </c>
      <c r="Q39" s="18">
        <v>3</v>
      </c>
      <c r="R39" s="18" t="s">
        <v>79</v>
      </c>
      <c r="S39" s="18" t="s">
        <v>49</v>
      </c>
      <c r="T39" s="18" t="s">
        <v>256</v>
      </c>
      <c r="U39" s="19" t="s">
        <v>300</v>
      </c>
      <c r="V39" s="18" t="s">
        <v>69</v>
      </c>
      <c r="W39" t="str">
        <f t="shared" si="0"/>
        <v>Blacklisted</v>
      </c>
      <c r="X39" s="27" t="str">
        <f t="shared" si="1"/>
        <v>Sneha Joshi</v>
      </c>
      <c r="Y39" s="29" t="str">
        <f t="shared" si="2"/>
        <v>Sne00IDDe</v>
      </c>
      <c r="Z39" s="30" t="str">
        <f t="shared" si="3"/>
        <v>sneha.joshi@company.com</v>
      </c>
      <c r="AA39" s="32">
        <f t="shared" ca="1" si="4"/>
        <v>46</v>
      </c>
      <c r="AB39" s="33">
        <f t="shared" si="5"/>
        <v>12</v>
      </c>
      <c r="AC39" s="34" t="str">
        <f t="shared" si="6"/>
        <v>Delayed</v>
      </c>
    </row>
    <row r="40" spans="1:29">
      <c r="A40" s="15" t="s">
        <v>301</v>
      </c>
      <c r="B40" s="15" t="s">
        <v>23</v>
      </c>
      <c r="C40" s="15" t="s">
        <v>222</v>
      </c>
      <c r="D40" s="15" t="s">
        <v>302</v>
      </c>
      <c r="E40" s="15" t="s">
        <v>303</v>
      </c>
      <c r="F40" s="15" t="s">
        <v>27</v>
      </c>
      <c r="G40" s="15" t="s">
        <v>28</v>
      </c>
      <c r="H40" s="15" t="s">
        <v>304</v>
      </c>
      <c r="I40" s="15" t="s">
        <v>114</v>
      </c>
      <c r="J40" s="15" t="s">
        <v>106</v>
      </c>
      <c r="K40" s="15" t="s">
        <v>122</v>
      </c>
      <c r="L40" s="15" t="s">
        <v>227</v>
      </c>
      <c r="M40" s="15">
        <v>5</v>
      </c>
      <c r="N40" s="15" t="s">
        <v>305</v>
      </c>
      <c r="O40" s="15">
        <v>0</v>
      </c>
      <c r="P40" s="15">
        <v>100</v>
      </c>
      <c r="Q40" s="15">
        <v>1</v>
      </c>
      <c r="R40" s="15" t="s">
        <v>34</v>
      </c>
      <c r="S40" s="15" t="s">
        <v>49</v>
      </c>
      <c r="T40" s="15" t="s">
        <v>50</v>
      </c>
      <c r="U40" s="17" t="s">
        <v>306</v>
      </c>
      <c r="V40" s="15" t="s">
        <v>69</v>
      </c>
      <c r="W40" t="str">
        <f t="shared" si="0"/>
        <v>Blacklisted</v>
      </c>
      <c r="X40" s="27" t="str">
        <f t="shared" si="1"/>
        <v>Kavya Nair</v>
      </c>
      <c r="Y40" s="29" t="str">
        <f t="shared" si="2"/>
        <v>Kav00IDPu</v>
      </c>
      <c r="Z40" s="30" t="str">
        <f t="shared" si="3"/>
        <v>kavya.nair@company.com</v>
      </c>
      <c r="AA40" s="32">
        <f t="shared" ca="1" si="4"/>
        <v>47</v>
      </c>
      <c r="AB40" s="33">
        <f t="shared" si="5"/>
        <v>6</v>
      </c>
      <c r="AC40" s="34" t="str">
        <f t="shared" si="6"/>
        <v>Delayed</v>
      </c>
    </row>
    <row r="41" spans="1:29">
      <c r="A41" s="18" t="s">
        <v>307</v>
      </c>
      <c r="B41" s="18" t="s">
        <v>53</v>
      </c>
      <c r="C41" s="18" t="s">
        <v>169</v>
      </c>
      <c r="D41" s="18" t="s">
        <v>308</v>
      </c>
      <c r="E41" s="18" t="s">
        <v>309</v>
      </c>
      <c r="F41" s="18" t="s">
        <v>163</v>
      </c>
      <c r="G41" s="18" t="s">
        <v>28</v>
      </c>
      <c r="H41" s="18" t="s">
        <v>310</v>
      </c>
      <c r="I41" s="18" t="s">
        <v>105</v>
      </c>
      <c r="J41" s="18" t="s">
        <v>106</v>
      </c>
      <c r="K41" s="18" t="s">
        <v>32</v>
      </c>
      <c r="L41" s="18" t="s">
        <v>174</v>
      </c>
      <c r="M41" s="18">
        <v>20</v>
      </c>
      <c r="N41" s="18">
        <v>8500</v>
      </c>
      <c r="O41" s="18">
        <v>0</v>
      </c>
      <c r="P41" s="18">
        <v>170000</v>
      </c>
      <c r="Q41" s="18">
        <v>1</v>
      </c>
      <c r="R41" s="18" t="s">
        <v>88</v>
      </c>
      <c r="S41" s="18" t="s">
        <v>115</v>
      </c>
      <c r="T41" s="18" t="s">
        <v>62</v>
      </c>
      <c r="U41" s="19" t="s">
        <v>311</v>
      </c>
      <c r="V41" s="18" t="s">
        <v>69</v>
      </c>
      <c r="W41" t="str">
        <f t="shared" si="0"/>
        <v>Blacklisted</v>
      </c>
      <c r="X41" s="27" t="str">
        <f t="shared" si="1"/>
        <v>Pooja Shah</v>
      </c>
      <c r="Y41" s="29" t="str">
        <f t="shared" si="2"/>
        <v>Poo01IDMu</v>
      </c>
      <c r="Z41" s="30" t="str">
        <f t="shared" si="3"/>
        <v>pooja.shah@company.com</v>
      </c>
      <c r="AA41" s="32">
        <f t="shared" ca="1" si="4"/>
        <v>34</v>
      </c>
      <c r="AB41" s="33">
        <f t="shared" si="5"/>
        <v>10</v>
      </c>
      <c r="AC41" s="34" t="str">
        <f t="shared" si="6"/>
        <v>Delayed</v>
      </c>
    </row>
    <row r="42" spans="1:29">
      <c r="A42" s="15" t="s">
        <v>312</v>
      </c>
      <c r="B42" s="15" t="s">
        <v>83</v>
      </c>
      <c r="C42" s="15" t="s">
        <v>118</v>
      </c>
      <c r="D42" s="15" t="s">
        <v>313</v>
      </c>
      <c r="E42" s="15" t="s">
        <v>314</v>
      </c>
      <c r="F42" s="15" t="s">
        <v>180</v>
      </c>
      <c r="G42" s="15" t="s">
        <v>76</v>
      </c>
      <c r="H42" s="15" t="s">
        <v>315</v>
      </c>
      <c r="I42" s="15" t="s">
        <v>59</v>
      </c>
      <c r="J42" s="15" t="s">
        <v>31</v>
      </c>
      <c r="K42" s="15" t="s">
        <v>122</v>
      </c>
      <c r="L42" s="15" t="s">
        <v>123</v>
      </c>
      <c r="M42" s="15">
        <v>8</v>
      </c>
      <c r="N42" s="15">
        <v>60</v>
      </c>
      <c r="O42" s="15">
        <v>15</v>
      </c>
      <c r="P42" s="15">
        <v>408</v>
      </c>
      <c r="Q42" s="15">
        <v>5</v>
      </c>
      <c r="R42" s="15" t="s">
        <v>88</v>
      </c>
      <c r="S42" s="15" t="s">
        <v>49</v>
      </c>
      <c r="T42" s="15" t="s">
        <v>89</v>
      </c>
      <c r="U42" s="17" t="s">
        <v>316</v>
      </c>
      <c r="V42" s="15" t="s">
        <v>64</v>
      </c>
      <c r="W42" t="str">
        <f t="shared" si="0"/>
        <v>Blacklisted</v>
      </c>
      <c r="X42" s="27" t="str">
        <f t="shared" si="1"/>
        <v>Arjun Rao</v>
      </c>
      <c r="Y42" s="29" t="str">
        <f t="shared" si="2"/>
        <v>Arj00IDBe</v>
      </c>
      <c r="Z42" s="30" t="str">
        <f t="shared" si="3"/>
        <v>arjun.rao@company.com</v>
      </c>
      <c r="AA42" s="32">
        <f t="shared" ca="1" si="4"/>
        <v>32</v>
      </c>
      <c r="AB42" s="33">
        <f t="shared" si="5"/>
        <v>2</v>
      </c>
      <c r="AC42" s="34" t="str">
        <f t="shared" si="6"/>
        <v>On Time</v>
      </c>
    </row>
    <row r="43" spans="1:29">
      <c r="A43" s="18" t="s">
        <v>317</v>
      </c>
      <c r="B43" s="18" t="s">
        <v>53</v>
      </c>
      <c r="C43" s="18" t="s">
        <v>92</v>
      </c>
      <c r="D43" s="18" t="s">
        <v>318</v>
      </c>
      <c r="E43" s="18" t="s">
        <v>260</v>
      </c>
      <c r="F43" s="18" t="s">
        <v>163</v>
      </c>
      <c r="G43" s="18" t="s">
        <v>28</v>
      </c>
      <c r="H43" s="18" t="s">
        <v>319</v>
      </c>
      <c r="I43" s="18" t="s">
        <v>114</v>
      </c>
      <c r="J43" s="18" t="s">
        <v>106</v>
      </c>
      <c r="K43" s="18" t="s">
        <v>32</v>
      </c>
      <c r="L43" s="18" t="s">
        <v>97</v>
      </c>
      <c r="M43" s="18">
        <v>8</v>
      </c>
      <c r="N43" s="18">
        <v>3500</v>
      </c>
      <c r="O43" s="18">
        <v>5</v>
      </c>
      <c r="P43" s="18">
        <v>26600</v>
      </c>
      <c r="Q43" s="18">
        <v>1</v>
      </c>
      <c r="R43" s="18" t="s">
        <v>79</v>
      </c>
      <c r="S43" s="18" t="s">
        <v>115</v>
      </c>
      <c r="T43" s="18" t="s">
        <v>62</v>
      </c>
      <c r="U43" s="19" t="s">
        <v>320</v>
      </c>
      <c r="V43" s="18" t="s">
        <v>64</v>
      </c>
      <c r="W43" t="str">
        <f t="shared" si="0"/>
        <v>Blacklisted</v>
      </c>
      <c r="X43" s="27" t="str">
        <f t="shared" si="1"/>
        <v>Pooja Shah</v>
      </c>
      <c r="Y43" s="29" t="str">
        <f t="shared" si="2"/>
        <v>Poo01IDPu</v>
      </c>
      <c r="Z43" s="30" t="str">
        <f t="shared" si="3"/>
        <v>pooja.shah@company.com</v>
      </c>
      <c r="AA43" s="32">
        <f t="shared" ca="1" si="4"/>
        <v>38</v>
      </c>
      <c r="AB43" s="33">
        <f t="shared" si="5"/>
        <v>12</v>
      </c>
      <c r="AC43" s="34" t="str">
        <f t="shared" si="6"/>
        <v>Delayed</v>
      </c>
    </row>
    <row r="44" spans="1:29">
      <c r="A44" s="15" t="s">
        <v>321</v>
      </c>
      <c r="B44" s="15" t="s">
        <v>71</v>
      </c>
      <c r="C44" s="15" t="s">
        <v>169</v>
      </c>
      <c r="D44" s="15" t="s">
        <v>322</v>
      </c>
      <c r="E44" s="15" t="s">
        <v>323</v>
      </c>
      <c r="F44" s="15" t="s">
        <v>217</v>
      </c>
      <c r="G44" s="15" t="s">
        <v>76</v>
      </c>
      <c r="H44" s="15" t="s">
        <v>324</v>
      </c>
      <c r="I44" s="15" t="s">
        <v>212</v>
      </c>
      <c r="J44" s="15" t="s">
        <v>45</v>
      </c>
      <c r="K44" s="15" t="s">
        <v>32</v>
      </c>
      <c r="L44" s="15" t="s">
        <v>174</v>
      </c>
      <c r="M44" s="15">
        <v>1</v>
      </c>
      <c r="N44" s="15">
        <v>8500</v>
      </c>
      <c r="O44" s="15">
        <v>0</v>
      </c>
      <c r="P44" s="15">
        <v>8500</v>
      </c>
      <c r="Q44" s="15">
        <v>2</v>
      </c>
      <c r="R44" s="15" t="s">
        <v>79</v>
      </c>
      <c r="S44" s="15" t="s">
        <v>115</v>
      </c>
      <c r="T44" s="15" t="s">
        <v>80</v>
      </c>
      <c r="U44" s="17" t="s">
        <v>325</v>
      </c>
      <c r="V44" s="15" t="s">
        <v>64</v>
      </c>
      <c r="W44" t="str">
        <f t="shared" si="0"/>
        <v>Blacklisted</v>
      </c>
      <c r="X44" s="27" t="str">
        <f t="shared" si="1"/>
        <v>Mohit Verma</v>
      </c>
      <c r="Y44" s="29" t="str">
        <f t="shared" si="2"/>
        <v>Moh00IDJa</v>
      </c>
      <c r="Z44" s="30" t="str">
        <f t="shared" si="3"/>
        <v>mohit.verma@company.com</v>
      </c>
      <c r="AA44" s="32">
        <f t="shared" ca="1" si="4"/>
        <v>25</v>
      </c>
      <c r="AB44" s="33">
        <f t="shared" si="5"/>
        <v>6</v>
      </c>
      <c r="AC44" s="34" t="str">
        <f t="shared" si="6"/>
        <v>Delayed</v>
      </c>
    </row>
    <row r="45" spans="1:29">
      <c r="A45" s="18" t="s">
        <v>326</v>
      </c>
      <c r="B45" s="18" t="s">
        <v>327</v>
      </c>
      <c r="C45" s="18" t="s">
        <v>259</v>
      </c>
      <c r="D45" s="18" t="s">
        <v>328</v>
      </c>
      <c r="E45" s="18" t="s">
        <v>329</v>
      </c>
      <c r="F45" s="18" t="s">
        <v>330</v>
      </c>
      <c r="G45" s="18" t="s">
        <v>76</v>
      </c>
      <c r="H45" s="18" t="s">
        <v>331</v>
      </c>
      <c r="I45" s="18" t="s">
        <v>114</v>
      </c>
      <c r="J45" s="18" t="s">
        <v>106</v>
      </c>
      <c r="K45" s="18" t="s">
        <v>122</v>
      </c>
      <c r="L45" s="18" t="s">
        <v>263</v>
      </c>
      <c r="M45" s="18">
        <v>8</v>
      </c>
      <c r="N45" s="18">
        <v>45</v>
      </c>
      <c r="O45" s="18">
        <v>15</v>
      </c>
      <c r="P45" s="18">
        <v>306</v>
      </c>
      <c r="Q45" s="18">
        <v>2</v>
      </c>
      <c r="R45" s="18" t="s">
        <v>79</v>
      </c>
      <c r="S45" s="18" t="s">
        <v>61</v>
      </c>
      <c r="T45" s="18" t="s">
        <v>332</v>
      </c>
      <c r="U45" s="19" t="s">
        <v>333</v>
      </c>
      <c r="V45" s="18" t="s">
        <v>38</v>
      </c>
      <c r="W45" t="str">
        <f t="shared" si="0"/>
        <v>Blacklisted</v>
      </c>
      <c r="X45" s="27" t="str">
        <f t="shared" si="1"/>
        <v>Amit Sharma</v>
      </c>
      <c r="Y45" s="29" t="str">
        <f t="shared" si="2"/>
        <v>Ami00IDPu</v>
      </c>
      <c r="Z45" s="30" t="str">
        <f t="shared" si="3"/>
        <v>amit.sharma@company.com</v>
      </c>
      <c r="AA45" s="32">
        <f t="shared" ca="1" si="4"/>
        <v>35</v>
      </c>
      <c r="AB45" s="33">
        <f t="shared" si="5"/>
        <v>1</v>
      </c>
      <c r="AC45" s="34" t="str">
        <f t="shared" si="6"/>
        <v>On Time</v>
      </c>
    </row>
    <row r="46" spans="1:29">
      <c r="A46" s="15" t="s">
        <v>334</v>
      </c>
      <c r="B46" s="15" t="s">
        <v>251</v>
      </c>
      <c r="C46" s="15" t="s">
        <v>24</v>
      </c>
      <c r="D46" s="15" t="s">
        <v>335</v>
      </c>
      <c r="E46" s="15" t="s">
        <v>336</v>
      </c>
      <c r="F46" s="15" t="s">
        <v>254</v>
      </c>
      <c r="G46" s="15" t="s">
        <v>28</v>
      </c>
      <c r="H46" s="15" t="s">
        <v>337</v>
      </c>
      <c r="I46" s="15" t="s">
        <v>114</v>
      </c>
      <c r="J46" s="15" t="s">
        <v>106</v>
      </c>
      <c r="K46" s="15" t="s">
        <v>32</v>
      </c>
      <c r="L46" s="15" t="s">
        <v>33</v>
      </c>
      <c r="M46" s="15">
        <v>16</v>
      </c>
      <c r="N46" s="15">
        <v>2200</v>
      </c>
      <c r="O46" s="15">
        <v>5</v>
      </c>
      <c r="P46" s="15">
        <v>33440</v>
      </c>
      <c r="Q46" s="15">
        <v>5</v>
      </c>
      <c r="R46" s="15" t="s">
        <v>79</v>
      </c>
      <c r="S46" s="15" t="s">
        <v>61</v>
      </c>
      <c r="T46" s="15" t="s">
        <v>256</v>
      </c>
      <c r="U46" s="17" t="s">
        <v>338</v>
      </c>
      <c r="V46" s="15" t="s">
        <v>69</v>
      </c>
      <c r="W46" t="str">
        <f t="shared" si="0"/>
        <v>Blacklisted</v>
      </c>
      <c r="X46" s="27" t="str">
        <f t="shared" si="1"/>
        <v>Sneha Joshi</v>
      </c>
      <c r="Y46" s="29" t="str">
        <f t="shared" si="2"/>
        <v>Sne00IDPu</v>
      </c>
      <c r="Z46" s="30" t="str">
        <f t="shared" si="3"/>
        <v>sneha.joshi@company.com</v>
      </c>
      <c r="AA46" s="32">
        <f t="shared" ca="1" si="4"/>
        <v>37</v>
      </c>
      <c r="AB46" s="33">
        <f t="shared" si="5"/>
        <v>3</v>
      </c>
      <c r="AC46" s="34" t="str">
        <f t="shared" si="6"/>
        <v>On Time</v>
      </c>
    </row>
    <row r="47" spans="1:29">
      <c r="A47" s="18" t="s">
        <v>339</v>
      </c>
      <c r="B47" s="18" t="s">
        <v>71</v>
      </c>
      <c r="C47" s="18" t="s">
        <v>92</v>
      </c>
      <c r="D47" s="18" t="s">
        <v>340</v>
      </c>
      <c r="E47" s="18" t="s">
        <v>341</v>
      </c>
      <c r="F47" s="18" t="s">
        <v>217</v>
      </c>
      <c r="G47" s="18" t="s">
        <v>76</v>
      </c>
      <c r="H47" s="18" t="s">
        <v>342</v>
      </c>
      <c r="I47" s="18" t="s">
        <v>59</v>
      </c>
      <c r="J47" s="18" t="s">
        <v>31</v>
      </c>
      <c r="K47" s="18" t="s">
        <v>32</v>
      </c>
      <c r="L47" s="18" t="s">
        <v>97</v>
      </c>
      <c r="M47" s="18">
        <v>19</v>
      </c>
      <c r="N47" s="18">
        <v>3500</v>
      </c>
      <c r="O47" s="18">
        <v>20</v>
      </c>
      <c r="P47" s="18">
        <v>53200</v>
      </c>
      <c r="Q47" s="18">
        <v>3</v>
      </c>
      <c r="R47" s="18" t="s">
        <v>34</v>
      </c>
      <c r="S47" s="18" t="s">
        <v>151</v>
      </c>
      <c r="T47" s="18" t="s">
        <v>80</v>
      </c>
      <c r="U47" s="19" t="s">
        <v>343</v>
      </c>
      <c r="V47" s="18" t="s">
        <v>69</v>
      </c>
      <c r="W47" t="str">
        <f t="shared" si="0"/>
        <v>Blacklisted</v>
      </c>
      <c r="X47" s="27" t="str">
        <f t="shared" si="1"/>
        <v>Mohit Verma</v>
      </c>
      <c r="Y47" s="29" t="str">
        <f t="shared" si="2"/>
        <v>Moh00IDBe</v>
      </c>
      <c r="Z47" s="30" t="str">
        <f t="shared" si="3"/>
        <v>mohit.verma@company.com</v>
      </c>
      <c r="AA47" s="32">
        <f t="shared" ca="1" si="4"/>
        <v>23</v>
      </c>
      <c r="AB47" s="33">
        <f t="shared" si="5"/>
        <v>10</v>
      </c>
      <c r="AC47" s="34" t="str">
        <f t="shared" si="6"/>
        <v>Delayed</v>
      </c>
    </row>
    <row r="48" spans="1:29">
      <c r="A48" s="15" t="s">
        <v>344</v>
      </c>
      <c r="B48" s="15" t="s">
        <v>251</v>
      </c>
      <c r="C48" s="15" t="s">
        <v>184</v>
      </c>
      <c r="D48" s="15" t="s">
        <v>345</v>
      </c>
      <c r="E48" s="15" t="s">
        <v>346</v>
      </c>
      <c r="F48" s="15" t="s">
        <v>254</v>
      </c>
      <c r="G48" s="15" t="s">
        <v>28</v>
      </c>
      <c r="H48" s="15" t="s">
        <v>347</v>
      </c>
      <c r="I48" s="15" t="s">
        <v>114</v>
      </c>
      <c r="J48" s="15" t="s">
        <v>106</v>
      </c>
      <c r="K48" s="15" t="s">
        <v>46</v>
      </c>
      <c r="L48" s="15" t="s">
        <v>189</v>
      </c>
      <c r="M48" s="15">
        <v>15</v>
      </c>
      <c r="N48" s="15">
        <v>700</v>
      </c>
      <c r="O48" s="15">
        <v>15</v>
      </c>
      <c r="P48" s="15">
        <v>8925</v>
      </c>
      <c r="Q48" s="15">
        <v>4</v>
      </c>
      <c r="R48" s="15" t="s">
        <v>88</v>
      </c>
      <c r="S48" s="15" t="s">
        <v>115</v>
      </c>
      <c r="T48" s="15" t="s">
        <v>348</v>
      </c>
      <c r="U48" s="17" t="s">
        <v>349</v>
      </c>
      <c r="V48" s="15" t="s">
        <v>38</v>
      </c>
      <c r="W48" t="str">
        <f t="shared" si="0"/>
        <v>Silver</v>
      </c>
      <c r="X48" s="27" t="str">
        <f t="shared" si="1"/>
        <v>Sneha Joshi</v>
      </c>
      <c r="Y48" s="29" t="str">
        <f t="shared" si="2"/>
        <v>Sne00IDPu</v>
      </c>
      <c r="Z48" s="30" t="str">
        <f t="shared" si="3"/>
        <v>Invalid Email</v>
      </c>
      <c r="AA48" s="32">
        <f t="shared" ca="1" si="4"/>
        <v>26</v>
      </c>
      <c r="AB48" s="33">
        <f t="shared" si="5"/>
        <v>3</v>
      </c>
      <c r="AC48" s="34" t="str">
        <f t="shared" si="6"/>
        <v>On Time</v>
      </c>
    </row>
    <row r="49" spans="1:29">
      <c r="A49" s="18" t="s">
        <v>350</v>
      </c>
      <c r="B49" s="18" t="s">
        <v>251</v>
      </c>
      <c r="C49" s="18" t="s">
        <v>184</v>
      </c>
      <c r="D49" s="18" t="s">
        <v>351</v>
      </c>
      <c r="E49" s="18" t="s">
        <v>352</v>
      </c>
      <c r="F49" s="18" t="s">
        <v>254</v>
      </c>
      <c r="G49" s="18" t="s">
        <v>28</v>
      </c>
      <c r="H49" s="18" t="s">
        <v>353</v>
      </c>
      <c r="I49" s="18" t="s">
        <v>212</v>
      </c>
      <c r="J49" s="18" t="s">
        <v>45</v>
      </c>
      <c r="K49" s="18" t="s">
        <v>46</v>
      </c>
      <c r="L49" s="18" t="s">
        <v>189</v>
      </c>
      <c r="M49" s="18">
        <v>19</v>
      </c>
      <c r="N49" s="18">
        <v>700</v>
      </c>
      <c r="O49" s="18">
        <v>20</v>
      </c>
      <c r="P49" s="18">
        <v>10640</v>
      </c>
      <c r="Q49" s="18">
        <v>1</v>
      </c>
      <c r="R49" s="18" t="s">
        <v>34</v>
      </c>
      <c r="S49" s="18" t="s">
        <v>115</v>
      </c>
      <c r="T49" s="18" t="s">
        <v>256</v>
      </c>
      <c r="U49" s="19" t="s">
        <v>354</v>
      </c>
      <c r="V49" s="18" t="s">
        <v>38</v>
      </c>
      <c r="W49" t="str">
        <f t="shared" si="0"/>
        <v>Blacklisted</v>
      </c>
      <c r="X49" s="27" t="str">
        <f t="shared" si="1"/>
        <v>Sneha Joshi</v>
      </c>
      <c r="Y49" s="29" t="str">
        <f t="shared" si="2"/>
        <v>Sne00IDJa</v>
      </c>
      <c r="Z49" s="30" t="str">
        <f t="shared" si="3"/>
        <v>sneha.joshi@company.com</v>
      </c>
      <c r="AA49" s="32">
        <f t="shared" ca="1" si="4"/>
        <v>27</v>
      </c>
      <c r="AB49" s="33">
        <f t="shared" si="5"/>
        <v>6</v>
      </c>
      <c r="AC49" s="34" t="str">
        <f t="shared" si="6"/>
        <v>Delayed</v>
      </c>
    </row>
    <row r="50" spans="1:29">
      <c r="A50" s="15" t="s">
        <v>355</v>
      </c>
      <c r="B50" s="15" t="s">
        <v>71</v>
      </c>
      <c r="C50" s="15" t="s">
        <v>40</v>
      </c>
      <c r="D50" s="15" t="s">
        <v>356</v>
      </c>
      <c r="E50" s="15"/>
      <c r="F50" s="15" t="s">
        <v>217</v>
      </c>
      <c r="G50" s="15" t="s">
        <v>76</v>
      </c>
      <c r="H50" s="15" t="s">
        <v>357</v>
      </c>
      <c r="I50" s="15" t="s">
        <v>44</v>
      </c>
      <c r="J50" s="15" t="s">
        <v>45</v>
      </c>
      <c r="K50" s="15" t="s">
        <v>46</v>
      </c>
      <c r="L50" s="15" t="s">
        <v>47</v>
      </c>
      <c r="M50" s="15">
        <v>19</v>
      </c>
      <c r="N50" s="15">
        <v>12000</v>
      </c>
      <c r="O50" s="15">
        <v>0</v>
      </c>
      <c r="P50" s="15">
        <v>228000</v>
      </c>
      <c r="Q50" s="15">
        <v>1</v>
      </c>
      <c r="R50" s="15" t="s">
        <v>48</v>
      </c>
      <c r="S50" s="15" t="s">
        <v>61</v>
      </c>
      <c r="T50" s="15" t="s">
        <v>80</v>
      </c>
      <c r="U50" s="17" t="s">
        <v>358</v>
      </c>
      <c r="V50" s="15" t="s">
        <v>38</v>
      </c>
      <c r="W50" t="str">
        <f t="shared" si="0"/>
        <v>Blacklisted</v>
      </c>
      <c r="X50" s="27" t="str">
        <f t="shared" si="1"/>
        <v>Mohit Verma</v>
      </c>
      <c r="Y50" s="29" t="str">
        <f t="shared" si="2"/>
        <v>Moh00IDDe</v>
      </c>
      <c r="Z50" s="30" t="str">
        <f t="shared" si="3"/>
        <v>mohit.verma@company.com</v>
      </c>
      <c r="AA50" s="32">
        <f t="shared" ca="1" si="4"/>
        <v>30</v>
      </c>
      <c r="AB50" s="33" t="str">
        <f t="shared" si="5"/>
        <v/>
      </c>
      <c r="AC50" s="34" t="str">
        <f t="shared" si="6"/>
        <v>Pending</v>
      </c>
    </row>
    <row r="51" spans="1:29">
      <c r="A51" s="18" t="s">
        <v>359</v>
      </c>
      <c r="B51" s="18" t="s">
        <v>168</v>
      </c>
      <c r="C51" s="18" t="s">
        <v>72</v>
      </c>
      <c r="D51" s="18" t="s">
        <v>356</v>
      </c>
      <c r="E51" s="18" t="s">
        <v>360</v>
      </c>
      <c r="F51" s="18" t="s">
        <v>361</v>
      </c>
      <c r="G51" s="18" t="s">
        <v>28</v>
      </c>
      <c r="H51" s="18" t="s">
        <v>362</v>
      </c>
      <c r="I51" s="18" t="s">
        <v>114</v>
      </c>
      <c r="J51" s="18" t="s">
        <v>106</v>
      </c>
      <c r="K51" s="18" t="s">
        <v>46</v>
      </c>
      <c r="L51" s="18" t="s">
        <v>78</v>
      </c>
      <c r="M51" s="18">
        <v>6</v>
      </c>
      <c r="N51" s="18">
        <v>1200</v>
      </c>
      <c r="O51" s="18">
        <v>5</v>
      </c>
      <c r="P51" s="18">
        <v>6840</v>
      </c>
      <c r="Q51" s="18">
        <v>2</v>
      </c>
      <c r="R51" s="18" t="s">
        <v>34</v>
      </c>
      <c r="S51" s="18" t="s">
        <v>35</v>
      </c>
      <c r="T51" s="18" t="s">
        <v>175</v>
      </c>
      <c r="U51" s="19" t="s">
        <v>363</v>
      </c>
      <c r="V51" s="18" t="s">
        <v>64</v>
      </c>
      <c r="W51" t="str">
        <f t="shared" si="0"/>
        <v>Blacklisted</v>
      </c>
      <c r="X51" s="27" t="str">
        <f t="shared" si="1"/>
        <v>Anita Gupta</v>
      </c>
      <c r="Y51" s="29" t="str">
        <f t="shared" si="2"/>
        <v>Ani00IDPu</v>
      </c>
      <c r="Z51" s="30" t="str">
        <f t="shared" si="3"/>
        <v>anita.gupta@company.com</v>
      </c>
      <c r="AA51" s="32">
        <f t="shared" ca="1" si="4"/>
        <v>39</v>
      </c>
      <c r="AB51" s="33">
        <f t="shared" si="5"/>
        <v>2</v>
      </c>
      <c r="AC51" s="34" t="str">
        <f t="shared" si="6"/>
        <v>On Time</v>
      </c>
    </row>
    <row r="52" spans="1:29">
      <c r="A52" s="15" t="s">
        <v>364</v>
      </c>
      <c r="B52" s="15" t="s">
        <v>53</v>
      </c>
      <c r="C52" s="15" t="s">
        <v>24</v>
      </c>
      <c r="D52" s="15" t="s">
        <v>365</v>
      </c>
      <c r="E52" s="15" t="s">
        <v>366</v>
      </c>
      <c r="F52" s="15" t="s">
        <v>367</v>
      </c>
      <c r="G52" s="15" t="s">
        <v>28</v>
      </c>
      <c r="H52" s="15" t="s">
        <v>368</v>
      </c>
      <c r="I52" s="15" t="s">
        <v>59</v>
      </c>
      <c r="J52" s="15" t="s">
        <v>31</v>
      </c>
      <c r="K52" s="15" t="s">
        <v>32</v>
      </c>
      <c r="L52" s="15" t="s">
        <v>33</v>
      </c>
      <c r="M52" s="15">
        <v>7</v>
      </c>
      <c r="N52" s="15">
        <v>2200</v>
      </c>
      <c r="O52" s="15">
        <v>15</v>
      </c>
      <c r="P52" s="15">
        <v>13090</v>
      </c>
      <c r="Q52" s="15">
        <v>1</v>
      </c>
      <c r="R52" s="15" t="s">
        <v>88</v>
      </c>
      <c r="S52" s="15" t="s">
        <v>61</v>
      </c>
      <c r="T52" s="15" t="s">
        <v>62</v>
      </c>
      <c r="U52" s="17" t="s">
        <v>369</v>
      </c>
      <c r="V52" s="15" t="s">
        <v>38</v>
      </c>
      <c r="W52" t="str">
        <f t="shared" si="0"/>
        <v>Blacklisted</v>
      </c>
      <c r="X52" s="27" t="str">
        <f t="shared" si="1"/>
        <v>Pooja Shah</v>
      </c>
      <c r="Y52" s="29" t="str">
        <f t="shared" si="2"/>
        <v>Poo01IDBe</v>
      </c>
      <c r="Z52" s="30" t="str">
        <f t="shared" si="3"/>
        <v>pooja.shah@company.com</v>
      </c>
      <c r="AA52" s="32">
        <f t="shared" ca="1" si="4"/>
        <v>47</v>
      </c>
      <c r="AB52" s="33">
        <f t="shared" si="5"/>
        <v>10</v>
      </c>
      <c r="AC52" s="34" t="str">
        <f t="shared" si="6"/>
        <v>Delayed</v>
      </c>
    </row>
    <row r="53" spans="1:29">
      <c r="A53" s="18" t="s">
        <v>370</v>
      </c>
      <c r="B53" s="18" t="s">
        <v>100</v>
      </c>
      <c r="C53" s="18" t="s">
        <v>118</v>
      </c>
      <c r="D53" s="18" t="s">
        <v>371</v>
      </c>
      <c r="E53" s="18" t="s">
        <v>372</v>
      </c>
      <c r="F53" s="18" t="s">
        <v>103</v>
      </c>
      <c r="G53" s="18" t="s">
        <v>28</v>
      </c>
      <c r="H53" s="18" t="s">
        <v>373</v>
      </c>
      <c r="I53" s="18" t="s">
        <v>212</v>
      </c>
      <c r="J53" s="18" t="s">
        <v>45</v>
      </c>
      <c r="K53" s="18" t="s">
        <v>122</v>
      </c>
      <c r="L53" s="18" t="s">
        <v>123</v>
      </c>
      <c r="M53" s="18">
        <v>8</v>
      </c>
      <c r="N53" s="18">
        <v>60</v>
      </c>
      <c r="O53" s="18">
        <v>10</v>
      </c>
      <c r="P53" s="18">
        <v>432</v>
      </c>
      <c r="Q53" s="18">
        <v>5</v>
      </c>
      <c r="R53" s="18" t="s">
        <v>79</v>
      </c>
      <c r="S53" s="18" t="s">
        <v>61</v>
      </c>
      <c r="T53" s="18" t="s">
        <v>144</v>
      </c>
      <c r="U53" s="19" t="s">
        <v>374</v>
      </c>
      <c r="V53" s="18" t="s">
        <v>69</v>
      </c>
      <c r="W53" t="str">
        <f t="shared" si="0"/>
        <v>Blacklisted</v>
      </c>
      <c r="X53" s="27" t="str">
        <f t="shared" si="1"/>
        <v>Priya Patel</v>
      </c>
      <c r="Y53" s="29" t="str">
        <f t="shared" si="2"/>
        <v>Pri00IDJa</v>
      </c>
      <c r="Z53" s="30" t="str">
        <f t="shared" si="3"/>
        <v>priya.patel@company.com</v>
      </c>
      <c r="AA53" s="32">
        <f t="shared" ca="1" si="4"/>
        <v>26</v>
      </c>
      <c r="AB53" s="33">
        <f t="shared" si="5"/>
        <v>3</v>
      </c>
      <c r="AC53" s="34" t="str">
        <f t="shared" si="6"/>
        <v>On Time</v>
      </c>
    </row>
    <row r="54" spans="1:29">
      <c r="A54" s="15" t="s">
        <v>375</v>
      </c>
      <c r="B54" s="15" t="s">
        <v>221</v>
      </c>
      <c r="C54" s="15" t="s">
        <v>54</v>
      </c>
      <c r="D54" s="15" t="s">
        <v>376</v>
      </c>
      <c r="E54" s="15" t="s">
        <v>377</v>
      </c>
      <c r="F54" s="15" t="s">
        <v>225</v>
      </c>
      <c r="G54" s="15" t="s">
        <v>76</v>
      </c>
      <c r="H54" s="15" t="s">
        <v>378</v>
      </c>
      <c r="I54" s="15" t="s">
        <v>294</v>
      </c>
      <c r="J54" s="15" t="s">
        <v>295</v>
      </c>
      <c r="K54" s="15" t="s">
        <v>46</v>
      </c>
      <c r="L54" s="15" t="s">
        <v>60</v>
      </c>
      <c r="M54" s="15">
        <v>12</v>
      </c>
      <c r="N54" s="15">
        <v>55000</v>
      </c>
      <c r="O54" s="15">
        <v>5</v>
      </c>
      <c r="P54" s="15">
        <v>627000</v>
      </c>
      <c r="Q54" s="15">
        <v>2</v>
      </c>
      <c r="R54" s="15" t="s">
        <v>88</v>
      </c>
      <c r="S54" s="15" t="s">
        <v>49</v>
      </c>
      <c r="T54" s="15" t="s">
        <v>228</v>
      </c>
      <c r="U54" s="17" t="s">
        <v>379</v>
      </c>
      <c r="V54" s="15" t="s">
        <v>64</v>
      </c>
      <c r="W54" t="str">
        <f t="shared" si="0"/>
        <v>Blacklisted</v>
      </c>
      <c r="X54" s="27" t="str">
        <f t="shared" si="1"/>
        <v>Vikas Mehta</v>
      </c>
      <c r="Y54" s="29" t="str">
        <f t="shared" si="2"/>
        <v>Vik00IDKo</v>
      </c>
      <c r="Z54" s="30" t="str">
        <f t="shared" si="3"/>
        <v>vikas.mehta@company.com</v>
      </c>
      <c r="AA54" s="32">
        <f t="shared" ca="1" si="4"/>
        <v>50</v>
      </c>
      <c r="AB54" s="33">
        <f t="shared" si="5"/>
        <v>4</v>
      </c>
      <c r="AC54" s="34" t="str">
        <f t="shared" si="6"/>
        <v>On Time</v>
      </c>
    </row>
    <row r="55" spans="1:29">
      <c r="A55" s="18" t="s">
        <v>380</v>
      </c>
      <c r="B55" s="18" t="s">
        <v>23</v>
      </c>
      <c r="C55" s="18" t="s">
        <v>184</v>
      </c>
      <c r="D55" s="18" t="s">
        <v>381</v>
      </c>
      <c r="E55" s="18" t="s">
        <v>382</v>
      </c>
      <c r="F55" s="18" t="s">
        <v>27</v>
      </c>
      <c r="G55" s="18" t="s">
        <v>28</v>
      </c>
      <c r="H55" s="18" t="s">
        <v>383</v>
      </c>
      <c r="I55" s="18" t="s">
        <v>212</v>
      </c>
      <c r="J55" s="18" t="s">
        <v>45</v>
      </c>
      <c r="K55" s="18" t="s">
        <v>46</v>
      </c>
      <c r="L55" s="18" t="s">
        <v>189</v>
      </c>
      <c r="M55" s="18">
        <v>3</v>
      </c>
      <c r="N55" s="18">
        <v>700</v>
      </c>
      <c r="O55" s="18">
        <v>0</v>
      </c>
      <c r="P55" s="18">
        <v>2100</v>
      </c>
      <c r="Q55" s="18">
        <v>3</v>
      </c>
      <c r="R55" s="18" t="s">
        <v>79</v>
      </c>
      <c r="S55" s="18" t="s">
        <v>151</v>
      </c>
      <c r="T55" s="18" t="s">
        <v>50</v>
      </c>
      <c r="U55" s="19" t="s">
        <v>384</v>
      </c>
      <c r="V55" s="18" t="s">
        <v>69</v>
      </c>
      <c r="W55" t="str">
        <f t="shared" si="0"/>
        <v>Blacklisted</v>
      </c>
      <c r="X55" s="27" t="str">
        <f t="shared" si="1"/>
        <v>Kavya Nair</v>
      </c>
      <c r="Y55" s="29" t="str">
        <f t="shared" si="2"/>
        <v>Kav00IDJa</v>
      </c>
      <c r="Z55" s="30" t="str">
        <f t="shared" si="3"/>
        <v>kavya.nair@company.com</v>
      </c>
      <c r="AA55" s="32">
        <f t="shared" ca="1" si="4"/>
        <v>51</v>
      </c>
      <c r="AB55" s="33">
        <f t="shared" si="5"/>
        <v>9</v>
      </c>
      <c r="AC55" s="34" t="str">
        <f t="shared" si="6"/>
        <v>Delayed</v>
      </c>
    </row>
    <row r="56" spans="1:29">
      <c r="A56" s="15" t="s">
        <v>385</v>
      </c>
      <c r="B56" s="15" t="s">
        <v>127</v>
      </c>
      <c r="C56" s="15" t="s">
        <v>118</v>
      </c>
      <c r="D56" s="15" t="s">
        <v>386</v>
      </c>
      <c r="E56" s="15" t="s">
        <v>387</v>
      </c>
      <c r="F56" s="15" t="s">
        <v>388</v>
      </c>
      <c r="G56" s="15" t="s">
        <v>76</v>
      </c>
      <c r="H56" s="15" t="s">
        <v>389</v>
      </c>
      <c r="I56" s="15" t="s">
        <v>138</v>
      </c>
      <c r="J56" s="15" t="s">
        <v>106</v>
      </c>
      <c r="K56" s="15" t="s">
        <v>122</v>
      </c>
      <c r="L56" s="15" t="s">
        <v>123</v>
      </c>
      <c r="M56" s="15">
        <v>19</v>
      </c>
      <c r="N56" s="15">
        <v>60</v>
      </c>
      <c r="O56" s="15">
        <v>15</v>
      </c>
      <c r="P56" s="15">
        <v>969</v>
      </c>
      <c r="Q56" s="15">
        <v>4</v>
      </c>
      <c r="R56" s="15" t="s">
        <v>79</v>
      </c>
      <c r="S56" s="15" t="s">
        <v>49</v>
      </c>
      <c r="T56" s="15" t="s">
        <v>132</v>
      </c>
      <c r="U56" s="17" t="s">
        <v>390</v>
      </c>
      <c r="V56" s="15" t="s">
        <v>69</v>
      </c>
      <c r="W56" t="str">
        <f t="shared" si="0"/>
        <v>Blacklisted</v>
      </c>
      <c r="X56" s="27" t="str">
        <f t="shared" si="1"/>
        <v>Rohit Singh</v>
      </c>
      <c r="Y56" s="29" t="str">
        <f t="shared" si="2"/>
        <v>Roh00IDAh</v>
      </c>
      <c r="Z56" s="30" t="str">
        <f t="shared" si="3"/>
        <v>rohit.singh@company.com</v>
      </c>
      <c r="AA56" s="32">
        <f t="shared" ca="1" si="4"/>
        <v>49</v>
      </c>
      <c r="AB56" s="33">
        <f t="shared" si="5"/>
        <v>5</v>
      </c>
      <c r="AC56" s="34" t="str">
        <f t="shared" si="6"/>
        <v>On Time</v>
      </c>
    </row>
    <row r="57" spans="1:29">
      <c r="A57" s="18" t="s">
        <v>391</v>
      </c>
      <c r="B57" s="18" t="s">
        <v>327</v>
      </c>
      <c r="C57" s="18" t="s">
        <v>118</v>
      </c>
      <c r="D57" s="18" t="s">
        <v>392</v>
      </c>
      <c r="E57" s="18" t="s">
        <v>393</v>
      </c>
      <c r="F57" s="18" t="s">
        <v>394</v>
      </c>
      <c r="G57" s="18" t="s">
        <v>76</v>
      </c>
      <c r="H57" s="18" t="s">
        <v>395</v>
      </c>
      <c r="I57" s="18" t="s">
        <v>212</v>
      </c>
      <c r="J57" s="18" t="s">
        <v>45</v>
      </c>
      <c r="K57" s="18" t="s">
        <v>122</v>
      </c>
      <c r="L57" s="18" t="s">
        <v>123</v>
      </c>
      <c r="M57" s="18">
        <v>9</v>
      </c>
      <c r="N57" s="18">
        <v>60</v>
      </c>
      <c r="O57" s="18">
        <v>20</v>
      </c>
      <c r="P57" s="18">
        <v>432</v>
      </c>
      <c r="Q57" s="18">
        <v>1</v>
      </c>
      <c r="R57" s="18" t="s">
        <v>48</v>
      </c>
      <c r="S57" s="18" t="s">
        <v>115</v>
      </c>
      <c r="T57" s="18" t="s">
        <v>332</v>
      </c>
      <c r="U57" s="19" t="s">
        <v>396</v>
      </c>
      <c r="V57" s="18" t="s">
        <v>64</v>
      </c>
      <c r="W57" t="str">
        <f t="shared" si="0"/>
        <v>Blacklisted</v>
      </c>
      <c r="X57" s="27" t="str">
        <f t="shared" si="1"/>
        <v>Amit Sharma</v>
      </c>
      <c r="Y57" s="29" t="str">
        <f t="shared" si="2"/>
        <v>Ami00IDJa</v>
      </c>
      <c r="Z57" s="30" t="str">
        <f t="shared" si="3"/>
        <v>amit.sharma@company.com</v>
      </c>
      <c r="AA57" s="32">
        <f t="shared" ca="1" si="4"/>
        <v>46</v>
      </c>
      <c r="AB57" s="33">
        <f t="shared" si="5"/>
        <v>1</v>
      </c>
      <c r="AC57" s="34" t="str">
        <f t="shared" si="6"/>
        <v>On Time</v>
      </c>
    </row>
    <row r="58" spans="1:29">
      <c r="A58" s="15" t="s">
        <v>397</v>
      </c>
      <c r="B58" s="15" t="s">
        <v>327</v>
      </c>
      <c r="C58" s="15" t="s">
        <v>184</v>
      </c>
      <c r="D58" s="15" t="s">
        <v>398</v>
      </c>
      <c r="E58" s="15" t="s">
        <v>399</v>
      </c>
      <c r="F58" s="15" t="s">
        <v>394</v>
      </c>
      <c r="G58" s="15" t="s">
        <v>76</v>
      </c>
      <c r="H58" s="15" t="s">
        <v>400</v>
      </c>
      <c r="I58" s="15" t="s">
        <v>59</v>
      </c>
      <c r="J58" s="15" t="s">
        <v>31</v>
      </c>
      <c r="K58" s="15" t="s">
        <v>46</v>
      </c>
      <c r="L58" s="15" t="s">
        <v>189</v>
      </c>
      <c r="M58" s="15">
        <v>6</v>
      </c>
      <c r="N58" s="15">
        <v>700</v>
      </c>
      <c r="O58" s="15">
        <v>0</v>
      </c>
      <c r="P58" s="15">
        <v>4200</v>
      </c>
      <c r="Q58" s="15">
        <v>4</v>
      </c>
      <c r="R58" s="15" t="s">
        <v>88</v>
      </c>
      <c r="S58" s="15" t="s">
        <v>49</v>
      </c>
      <c r="T58" s="15" t="s">
        <v>401</v>
      </c>
      <c r="U58" s="17" t="s">
        <v>402</v>
      </c>
      <c r="V58" s="15" t="s">
        <v>69</v>
      </c>
      <c r="W58" t="str">
        <f t="shared" si="0"/>
        <v>Blacklisted</v>
      </c>
      <c r="X58" s="27" t="str">
        <f t="shared" si="1"/>
        <v>Amit Sharma</v>
      </c>
      <c r="Y58" s="29" t="str">
        <f t="shared" si="2"/>
        <v>Ami00IDBe</v>
      </c>
      <c r="Z58" s="30" t="str">
        <f t="shared" si="3"/>
        <v>Invalid Email</v>
      </c>
      <c r="AA58" s="32">
        <f t="shared" ca="1" si="4"/>
        <v>47</v>
      </c>
      <c r="AB58" s="33">
        <f t="shared" si="5"/>
        <v>6</v>
      </c>
      <c r="AC58" s="34" t="str">
        <f t="shared" si="6"/>
        <v>Delayed</v>
      </c>
    </row>
    <row r="59" spans="1:29">
      <c r="A59" s="18" t="s">
        <v>403</v>
      </c>
      <c r="B59" s="18" t="s">
        <v>127</v>
      </c>
      <c r="C59" s="18" t="s">
        <v>259</v>
      </c>
      <c r="D59" s="18" t="s">
        <v>241</v>
      </c>
      <c r="E59" s="18" t="s">
        <v>404</v>
      </c>
      <c r="F59" s="18" t="s">
        <v>200</v>
      </c>
      <c r="G59" s="18" t="s">
        <v>76</v>
      </c>
      <c r="H59" s="18" t="s">
        <v>405</v>
      </c>
      <c r="I59" s="18" t="s">
        <v>44</v>
      </c>
      <c r="J59" s="18" t="s">
        <v>45</v>
      </c>
      <c r="K59" s="18" t="s">
        <v>122</v>
      </c>
      <c r="L59" s="18" t="s">
        <v>263</v>
      </c>
      <c r="M59" s="18">
        <v>18</v>
      </c>
      <c r="N59" s="18">
        <v>45</v>
      </c>
      <c r="O59" s="18">
        <v>5</v>
      </c>
      <c r="P59" s="18">
        <v>769.5</v>
      </c>
      <c r="Q59" s="18">
        <v>1</v>
      </c>
      <c r="R59" s="18" t="s">
        <v>79</v>
      </c>
      <c r="S59" s="18" t="s">
        <v>61</v>
      </c>
      <c r="T59" s="18" t="s">
        <v>132</v>
      </c>
      <c r="U59" s="19" t="s">
        <v>406</v>
      </c>
      <c r="V59" s="18" t="s">
        <v>64</v>
      </c>
      <c r="W59" t="str">
        <f t="shared" si="0"/>
        <v>Blacklisted</v>
      </c>
      <c r="X59" s="27" t="str">
        <f t="shared" si="1"/>
        <v>Rohit Singh</v>
      </c>
      <c r="Y59" s="29" t="str">
        <f t="shared" si="2"/>
        <v>Roh00IDDe</v>
      </c>
      <c r="Z59" s="30" t="str">
        <f t="shared" si="3"/>
        <v>rohit.singh@company.com</v>
      </c>
      <c r="AA59" s="32">
        <f t="shared" ca="1" si="4"/>
        <v>51</v>
      </c>
      <c r="AB59" s="33">
        <f t="shared" si="5"/>
        <v>6</v>
      </c>
      <c r="AC59" s="34" t="str">
        <f t="shared" si="6"/>
        <v>Delayed</v>
      </c>
    </row>
    <row r="60" spans="1:29">
      <c r="A60" s="15" t="s">
        <v>407</v>
      </c>
      <c r="B60" s="15" t="s">
        <v>83</v>
      </c>
      <c r="C60" s="15" t="s">
        <v>222</v>
      </c>
      <c r="D60" s="15" t="s">
        <v>408</v>
      </c>
      <c r="E60" s="15" t="s">
        <v>261</v>
      </c>
      <c r="F60" s="15" t="s">
        <v>180</v>
      </c>
      <c r="G60" s="15" t="s">
        <v>76</v>
      </c>
      <c r="H60" s="15" t="s">
        <v>409</v>
      </c>
      <c r="I60" s="15" t="s">
        <v>212</v>
      </c>
      <c r="J60" s="15" t="s">
        <v>45</v>
      </c>
      <c r="K60" s="15" t="s">
        <v>122</v>
      </c>
      <c r="L60" s="15" t="s">
        <v>227</v>
      </c>
      <c r="M60" s="15">
        <v>8</v>
      </c>
      <c r="N60" s="15">
        <v>20</v>
      </c>
      <c r="O60" s="15">
        <v>5</v>
      </c>
      <c r="P60" s="15">
        <v>152</v>
      </c>
      <c r="Q60" s="15">
        <v>1</v>
      </c>
      <c r="R60" s="15" t="s">
        <v>79</v>
      </c>
      <c r="S60" s="15" t="s">
        <v>35</v>
      </c>
      <c r="T60" s="15" t="s">
        <v>89</v>
      </c>
      <c r="U60" s="17" t="s">
        <v>410</v>
      </c>
      <c r="V60" s="15" t="s">
        <v>411</v>
      </c>
      <c r="W60" t="str">
        <f t="shared" si="0"/>
        <v>Blacklisted</v>
      </c>
      <c r="X60" s="27" t="str">
        <f t="shared" si="1"/>
        <v>Arjun Rao</v>
      </c>
      <c r="Y60" s="29" t="str">
        <f t="shared" si="2"/>
        <v>Arj00IDJa</v>
      </c>
      <c r="Z60" s="30" t="str">
        <f t="shared" si="3"/>
        <v>arjun.rao@company.com</v>
      </c>
      <c r="AA60" s="32">
        <f t="shared" ca="1" si="4"/>
        <v>37</v>
      </c>
      <c r="AB60" s="33">
        <f t="shared" si="5"/>
        <v>11</v>
      </c>
      <c r="AC60" s="34" t="str">
        <f t="shared" si="6"/>
        <v>Delayed</v>
      </c>
    </row>
    <row r="61" spans="1:29">
      <c r="A61" s="18" t="s">
        <v>412</v>
      </c>
      <c r="B61" s="18" t="s">
        <v>221</v>
      </c>
      <c r="C61" s="18" t="s">
        <v>184</v>
      </c>
      <c r="D61" s="18" t="s">
        <v>413</v>
      </c>
      <c r="E61" s="18" t="s">
        <v>414</v>
      </c>
      <c r="F61" s="18" t="s">
        <v>225</v>
      </c>
      <c r="G61" s="18" t="s">
        <v>76</v>
      </c>
      <c r="H61" s="18" t="s">
        <v>415</v>
      </c>
      <c r="I61" s="18" t="s">
        <v>212</v>
      </c>
      <c r="J61" s="18" t="s">
        <v>45</v>
      </c>
      <c r="K61" s="18" t="s">
        <v>46</v>
      </c>
      <c r="L61" s="18" t="s">
        <v>189</v>
      </c>
      <c r="M61" s="18">
        <v>8</v>
      </c>
      <c r="N61" s="18">
        <v>700</v>
      </c>
      <c r="O61" s="18">
        <v>10</v>
      </c>
      <c r="P61" s="18">
        <v>5040</v>
      </c>
      <c r="Q61" s="18">
        <v>1</v>
      </c>
      <c r="R61" s="18" t="s">
        <v>48</v>
      </c>
      <c r="S61" s="18" t="s">
        <v>61</v>
      </c>
      <c r="T61" s="20" t="s">
        <v>416</v>
      </c>
      <c r="U61" s="19" t="s">
        <v>417</v>
      </c>
      <c r="V61" s="18" t="s">
        <v>69</v>
      </c>
      <c r="W61" t="str">
        <f t="shared" si="0"/>
        <v>Blacklisted</v>
      </c>
      <c r="X61" s="27" t="str">
        <f t="shared" si="1"/>
        <v>Vikas Mehta</v>
      </c>
      <c r="Y61" s="29" t="str">
        <f t="shared" si="2"/>
        <v>Vik00IDJa</v>
      </c>
      <c r="Z61" s="30" t="str">
        <f t="shared" si="3"/>
        <v>vikas.mehta@company.com</v>
      </c>
      <c r="AA61" s="32">
        <f t="shared" ca="1" si="4"/>
        <v>47</v>
      </c>
      <c r="AB61" s="33">
        <f t="shared" si="5"/>
        <v>1</v>
      </c>
      <c r="AC61" s="34" t="str">
        <f t="shared" si="6"/>
        <v>On Time</v>
      </c>
    </row>
    <row r="62" spans="1:29">
      <c r="A62" s="15" t="s">
        <v>418</v>
      </c>
      <c r="B62" s="15" t="s">
        <v>23</v>
      </c>
      <c r="C62" s="15" t="s">
        <v>222</v>
      </c>
      <c r="D62" s="15" t="s">
        <v>223</v>
      </c>
      <c r="E62" s="15" t="s">
        <v>356</v>
      </c>
      <c r="F62" s="15" t="s">
        <v>27</v>
      </c>
      <c r="G62" s="15" t="s">
        <v>28</v>
      </c>
      <c r="H62" s="15" t="s">
        <v>419</v>
      </c>
      <c r="I62" s="15" t="s">
        <v>44</v>
      </c>
      <c r="J62" s="15" t="s">
        <v>45</v>
      </c>
      <c r="K62" s="15" t="s">
        <v>122</v>
      </c>
      <c r="L62" s="15" t="s">
        <v>227</v>
      </c>
      <c r="M62" s="15">
        <v>7</v>
      </c>
      <c r="N62" s="15">
        <v>20</v>
      </c>
      <c r="O62" s="15">
        <v>15</v>
      </c>
      <c r="P62" s="15">
        <v>119</v>
      </c>
      <c r="Q62" s="15">
        <v>5</v>
      </c>
      <c r="R62" s="15" t="s">
        <v>79</v>
      </c>
      <c r="S62" s="15" t="s">
        <v>49</v>
      </c>
      <c r="T62" s="15" t="s">
        <v>50</v>
      </c>
      <c r="U62" s="17" t="s">
        <v>420</v>
      </c>
      <c r="V62" s="15" t="s">
        <v>38</v>
      </c>
      <c r="W62" t="str">
        <f t="shared" si="0"/>
        <v>Silver</v>
      </c>
      <c r="X62" s="27" t="str">
        <f t="shared" si="1"/>
        <v>Kavya Nair</v>
      </c>
      <c r="Y62" s="29" t="str">
        <f t="shared" si="2"/>
        <v>Kav00IDDe</v>
      </c>
      <c r="Z62" s="30" t="str">
        <f t="shared" si="3"/>
        <v>kavya.nair@company.com</v>
      </c>
      <c r="AA62" s="32">
        <f t="shared" ca="1" si="4"/>
        <v>22</v>
      </c>
      <c r="AB62" s="33">
        <f t="shared" si="5"/>
        <v>10</v>
      </c>
      <c r="AC62" s="34" t="str">
        <f t="shared" si="6"/>
        <v>Delayed</v>
      </c>
    </row>
    <row r="63" spans="1:29">
      <c r="A63" s="18" t="s">
        <v>421</v>
      </c>
      <c r="B63" s="18" t="s">
        <v>100</v>
      </c>
      <c r="C63" s="18" t="s">
        <v>222</v>
      </c>
      <c r="D63" s="18" t="s">
        <v>422</v>
      </c>
      <c r="E63" s="18" t="s">
        <v>371</v>
      </c>
      <c r="F63" s="18" t="s">
        <v>103</v>
      </c>
      <c r="G63" s="18" t="s">
        <v>28</v>
      </c>
      <c r="H63" s="18" t="s">
        <v>423</v>
      </c>
      <c r="I63" s="18" t="s">
        <v>114</v>
      </c>
      <c r="J63" s="18" t="s">
        <v>106</v>
      </c>
      <c r="K63" s="18" t="s">
        <v>122</v>
      </c>
      <c r="L63" s="18" t="s">
        <v>227</v>
      </c>
      <c r="M63" s="18">
        <v>16</v>
      </c>
      <c r="N63" s="18">
        <v>20</v>
      </c>
      <c r="O63" s="18">
        <v>0</v>
      </c>
      <c r="P63" s="18">
        <v>320</v>
      </c>
      <c r="Q63" s="18">
        <v>5</v>
      </c>
      <c r="R63" s="18" t="s">
        <v>48</v>
      </c>
      <c r="S63" s="18" t="s">
        <v>61</v>
      </c>
      <c r="T63" s="18" t="s">
        <v>144</v>
      </c>
      <c r="U63" s="19" t="s">
        <v>424</v>
      </c>
      <c r="V63" s="18" t="s">
        <v>64</v>
      </c>
      <c r="W63" t="str">
        <f t="shared" si="0"/>
        <v>Blacklisted</v>
      </c>
      <c r="X63" s="27" t="str">
        <f t="shared" si="1"/>
        <v>Priya Patel</v>
      </c>
      <c r="Y63" s="29" t="str">
        <f t="shared" si="2"/>
        <v>Pri00IDPu</v>
      </c>
      <c r="Z63" s="30" t="str">
        <f t="shared" si="3"/>
        <v>priya.patel@company.com</v>
      </c>
      <c r="AA63" s="32">
        <f t="shared" ca="1" si="4"/>
        <v>42</v>
      </c>
      <c r="AB63" s="33">
        <f t="shared" si="5"/>
        <v>9</v>
      </c>
      <c r="AC63" s="34" t="str">
        <f t="shared" si="6"/>
        <v>Delayed</v>
      </c>
    </row>
    <row r="64" spans="1:29">
      <c r="A64" s="15" t="s">
        <v>425</v>
      </c>
      <c r="B64" s="15" t="s">
        <v>53</v>
      </c>
      <c r="C64" s="15" t="s">
        <v>259</v>
      </c>
      <c r="D64" s="15" t="s">
        <v>426</v>
      </c>
      <c r="E64" s="15" t="s">
        <v>427</v>
      </c>
      <c r="F64" s="15" t="s">
        <v>163</v>
      </c>
      <c r="G64" s="15" t="s">
        <v>28</v>
      </c>
      <c r="H64" s="15" t="s">
        <v>428</v>
      </c>
      <c r="I64" s="15" t="s">
        <v>105</v>
      </c>
      <c r="J64" s="15" t="s">
        <v>106</v>
      </c>
      <c r="K64" s="15" t="s">
        <v>122</v>
      </c>
      <c r="L64" s="15" t="s">
        <v>263</v>
      </c>
      <c r="M64" s="15">
        <v>15</v>
      </c>
      <c r="N64" s="15">
        <v>45</v>
      </c>
      <c r="O64" s="15">
        <v>0</v>
      </c>
      <c r="P64" s="15">
        <v>675</v>
      </c>
      <c r="Q64" s="15">
        <v>4</v>
      </c>
      <c r="R64" s="15" t="s">
        <v>34</v>
      </c>
      <c r="S64" s="15" t="s">
        <v>61</v>
      </c>
      <c r="T64" s="15" t="s">
        <v>62</v>
      </c>
      <c r="U64" s="17" t="s">
        <v>429</v>
      </c>
      <c r="V64" s="15" t="s">
        <v>69</v>
      </c>
      <c r="W64" t="str">
        <f t="shared" si="0"/>
        <v>Blacklisted</v>
      </c>
      <c r="X64" s="27" t="str">
        <f t="shared" si="1"/>
        <v>Pooja Shah</v>
      </c>
      <c r="Y64" s="29" t="str">
        <f t="shared" si="2"/>
        <v>Poo01IDMu</v>
      </c>
      <c r="Z64" s="30" t="str">
        <f t="shared" si="3"/>
        <v>pooja.shah@company.com</v>
      </c>
      <c r="AA64" s="32">
        <f t="shared" ca="1" si="4"/>
        <v>30</v>
      </c>
      <c r="AB64" s="33">
        <f t="shared" si="5"/>
        <v>7</v>
      </c>
      <c r="AC64" s="34" t="str">
        <f t="shared" si="6"/>
        <v>Delayed</v>
      </c>
    </row>
    <row r="65" spans="1:29">
      <c r="A65" s="18" t="s">
        <v>430</v>
      </c>
      <c r="B65" s="18" t="s">
        <v>251</v>
      </c>
      <c r="C65" s="18" t="s">
        <v>184</v>
      </c>
      <c r="D65" s="18" t="s">
        <v>431</v>
      </c>
      <c r="E65" s="18" t="s">
        <v>413</v>
      </c>
      <c r="F65" s="18" t="s">
        <v>254</v>
      </c>
      <c r="G65" s="18" t="s">
        <v>28</v>
      </c>
      <c r="H65" s="18" t="s">
        <v>432</v>
      </c>
      <c r="I65" s="18" t="s">
        <v>138</v>
      </c>
      <c r="J65" s="18" t="s">
        <v>106</v>
      </c>
      <c r="K65" s="18" t="s">
        <v>46</v>
      </c>
      <c r="L65" s="18" t="s">
        <v>189</v>
      </c>
      <c r="M65" s="18">
        <v>15</v>
      </c>
      <c r="N65" s="18">
        <v>700</v>
      </c>
      <c r="O65" s="18">
        <v>10</v>
      </c>
      <c r="P65" s="18">
        <v>9450</v>
      </c>
      <c r="Q65" s="18">
        <v>3</v>
      </c>
      <c r="R65" s="18" t="s">
        <v>48</v>
      </c>
      <c r="S65" s="18" t="s">
        <v>151</v>
      </c>
      <c r="T65" s="18" t="s">
        <v>256</v>
      </c>
      <c r="U65" s="19" t="s">
        <v>433</v>
      </c>
      <c r="V65" s="18" t="s">
        <v>38</v>
      </c>
      <c r="W65" t="str">
        <f t="shared" si="0"/>
        <v>Silver</v>
      </c>
      <c r="X65" s="27" t="str">
        <f t="shared" si="1"/>
        <v>Sneha Joshi</v>
      </c>
      <c r="Y65" s="29" t="str">
        <f t="shared" si="2"/>
        <v>Sne00IDAh</v>
      </c>
      <c r="Z65" s="30" t="str">
        <f t="shared" si="3"/>
        <v>sneha.joshi@company.com</v>
      </c>
      <c r="AA65" s="32">
        <f t="shared" ca="1" si="4"/>
        <v>23</v>
      </c>
      <c r="AB65" s="33">
        <f t="shared" si="5"/>
        <v>4</v>
      </c>
      <c r="AC65" s="34" t="str">
        <f t="shared" si="6"/>
        <v>On Time</v>
      </c>
    </row>
    <row r="66" spans="1:29">
      <c r="A66" s="15" t="s">
        <v>434</v>
      </c>
      <c r="B66" s="15" t="s">
        <v>53</v>
      </c>
      <c r="C66" s="15" t="s">
        <v>259</v>
      </c>
      <c r="D66" s="15" t="s">
        <v>435</v>
      </c>
      <c r="E66" s="15" t="s">
        <v>436</v>
      </c>
      <c r="F66" s="15" t="s">
        <v>163</v>
      </c>
      <c r="G66" s="15" t="s">
        <v>28</v>
      </c>
      <c r="H66" s="15" t="s">
        <v>437</v>
      </c>
      <c r="I66" s="15" t="s">
        <v>294</v>
      </c>
      <c r="J66" s="15" t="s">
        <v>295</v>
      </c>
      <c r="K66" s="15" t="s">
        <v>122</v>
      </c>
      <c r="L66" s="15" t="s">
        <v>263</v>
      </c>
      <c r="M66" s="15">
        <v>3</v>
      </c>
      <c r="N66" s="15">
        <v>45</v>
      </c>
      <c r="O66" s="15">
        <v>15</v>
      </c>
      <c r="P66" s="15">
        <v>114.75</v>
      </c>
      <c r="Q66" s="15">
        <v>2</v>
      </c>
      <c r="R66" s="15" t="s">
        <v>88</v>
      </c>
      <c r="S66" s="15" t="s">
        <v>115</v>
      </c>
      <c r="T66" s="15" t="s">
        <v>62</v>
      </c>
      <c r="U66" s="17" t="s">
        <v>438</v>
      </c>
      <c r="V66" s="15" t="s">
        <v>64</v>
      </c>
      <c r="W66" t="str">
        <f t="shared" si="0"/>
        <v>Blacklisted</v>
      </c>
      <c r="X66" s="27" t="str">
        <f t="shared" si="1"/>
        <v>Pooja Shah</v>
      </c>
      <c r="Y66" s="29" t="str">
        <f t="shared" si="2"/>
        <v>Poo01IDKo</v>
      </c>
      <c r="Z66" s="30" t="str">
        <f t="shared" si="3"/>
        <v>pooja.shah@company.com</v>
      </c>
      <c r="AA66" s="32">
        <f t="shared" ca="1" si="4"/>
        <v>34</v>
      </c>
      <c r="AB66" s="33">
        <f t="shared" si="5"/>
        <v>3</v>
      </c>
      <c r="AC66" s="34" t="str">
        <f t="shared" si="6"/>
        <v>On Time</v>
      </c>
    </row>
    <row r="67" spans="1:29">
      <c r="A67" s="18" t="s">
        <v>439</v>
      </c>
      <c r="B67" s="18" t="s">
        <v>100</v>
      </c>
      <c r="C67" s="18" t="s">
        <v>24</v>
      </c>
      <c r="D67" s="18" t="s">
        <v>440</v>
      </c>
      <c r="E67" s="18" t="s">
        <v>441</v>
      </c>
      <c r="F67" s="18" t="s">
        <v>103</v>
      </c>
      <c r="G67" s="18" t="s">
        <v>28</v>
      </c>
      <c r="H67" s="18" t="s">
        <v>442</v>
      </c>
      <c r="I67" s="18" t="s">
        <v>294</v>
      </c>
      <c r="J67" s="18" t="s">
        <v>295</v>
      </c>
      <c r="K67" s="18" t="s">
        <v>32</v>
      </c>
      <c r="L67" s="18" t="s">
        <v>33</v>
      </c>
      <c r="M67" s="18">
        <v>7</v>
      </c>
      <c r="N67" s="18">
        <v>2200</v>
      </c>
      <c r="O67" s="18">
        <v>15</v>
      </c>
      <c r="P67" s="18">
        <v>13090</v>
      </c>
      <c r="Q67" s="18">
        <v>5</v>
      </c>
      <c r="R67" s="18" t="s">
        <v>88</v>
      </c>
      <c r="S67" s="18" t="s">
        <v>115</v>
      </c>
      <c r="T67" s="18" t="s">
        <v>144</v>
      </c>
      <c r="U67" s="19" t="s">
        <v>443</v>
      </c>
      <c r="V67" s="18" t="s">
        <v>38</v>
      </c>
      <c r="W67" t="str">
        <f t="shared" ref="W67:W130" si="7">IF(OR(Q67&lt;=2,V67="Cancelled"),"Blacklisted",IF(AND(P67&gt;=100000,Q67&gt;=4,O67&lt;10,V67="Completed"),"Platinum",IF(AND(P67&gt;=50000,P67&lt;=99999,Q67&gt;=3,V67="Completed"),"Gold",IF(AND(P67&lt;50000,V67="Completed"),"Silver","Blacklisted"))))</f>
        <v>Silver</v>
      </c>
      <c r="X67" s="27" t="str">
        <f t="shared" ref="X67:X130" si="8">PROPER(TRIM(F67))</f>
        <v>Priya Patel</v>
      </c>
      <c r="Y67" s="29" t="str">
        <f t="shared" ref="Y67:Y130" si="9">LEFT(X67,3)&amp;MID(B67,2,2)&amp;"ID"&amp;LEFT(I67,2)</f>
        <v>Pri00IDKo</v>
      </c>
      <c r="Z67" s="30" t="str">
        <f t="shared" ref="Z67:Z130" si="10">IF(ISNUMBER(SEARCH("@",T67)),LOWER(TRIM(T67)),"Invalid Email")</f>
        <v>priya.patel@company.com</v>
      </c>
      <c r="AA67" s="32">
        <f t="shared" ref="AA67:AA130" ca="1" si="11">DATEDIF(H67,TODAY(),"Y")</f>
        <v>40</v>
      </c>
      <c r="AB67" s="33">
        <f t="shared" ref="AB67:AB130" si="12">IF(E67="","",E67-D67)</f>
        <v>1</v>
      </c>
      <c r="AC67" s="34" t="str">
        <f t="shared" ref="AC67:AC130" si="13">IF(E67="","Pending",IF(AB67&lt;=5,"On Time","Delayed"))</f>
        <v>On Time</v>
      </c>
    </row>
    <row r="68" spans="1:29">
      <c r="A68" s="15" t="s">
        <v>444</v>
      </c>
      <c r="B68" s="15" t="s">
        <v>23</v>
      </c>
      <c r="C68" s="15" t="s">
        <v>259</v>
      </c>
      <c r="D68" s="15" t="s">
        <v>445</v>
      </c>
      <c r="E68" s="15" t="s">
        <v>446</v>
      </c>
      <c r="F68" s="15" t="s">
        <v>27</v>
      </c>
      <c r="G68" s="15" t="s">
        <v>28</v>
      </c>
      <c r="H68" s="15" t="s">
        <v>447</v>
      </c>
      <c r="I68" s="15" t="s">
        <v>44</v>
      </c>
      <c r="J68" s="15" t="s">
        <v>45</v>
      </c>
      <c r="K68" s="15" t="s">
        <v>122</v>
      </c>
      <c r="L68" s="15" t="s">
        <v>263</v>
      </c>
      <c r="M68" s="15">
        <v>19</v>
      </c>
      <c r="N68" s="15">
        <v>45</v>
      </c>
      <c r="O68" s="15">
        <v>10</v>
      </c>
      <c r="P68" s="15">
        <v>769.5</v>
      </c>
      <c r="Q68" s="15">
        <v>5</v>
      </c>
      <c r="R68" s="15" t="s">
        <v>79</v>
      </c>
      <c r="S68" s="15" t="s">
        <v>115</v>
      </c>
      <c r="T68" s="15" t="s">
        <v>50</v>
      </c>
      <c r="U68" s="17" t="s">
        <v>448</v>
      </c>
      <c r="V68" s="15" t="s">
        <v>69</v>
      </c>
      <c r="W68" t="str">
        <f t="shared" si="7"/>
        <v>Blacklisted</v>
      </c>
      <c r="X68" s="27" t="str">
        <f t="shared" si="8"/>
        <v>Kavya Nair</v>
      </c>
      <c r="Y68" s="29" t="str">
        <f t="shared" si="9"/>
        <v>Kav00IDDe</v>
      </c>
      <c r="Z68" s="30" t="str">
        <f t="shared" si="10"/>
        <v>kavya.nair@company.com</v>
      </c>
      <c r="AA68" s="32">
        <f t="shared" ca="1" si="11"/>
        <v>41</v>
      </c>
      <c r="AB68" s="33">
        <f t="shared" si="12"/>
        <v>4</v>
      </c>
      <c r="AC68" s="34" t="str">
        <f t="shared" si="13"/>
        <v>On Time</v>
      </c>
    </row>
    <row r="69" spans="1:29">
      <c r="A69" s="18" t="s">
        <v>449</v>
      </c>
      <c r="B69" s="18" t="s">
        <v>251</v>
      </c>
      <c r="C69" s="18" t="s">
        <v>92</v>
      </c>
      <c r="D69" s="18" t="s">
        <v>450</v>
      </c>
      <c r="E69" s="18" t="s">
        <v>323</v>
      </c>
      <c r="F69" s="18" t="s">
        <v>254</v>
      </c>
      <c r="G69" s="18" t="s">
        <v>28</v>
      </c>
      <c r="H69" s="18" t="s">
        <v>451</v>
      </c>
      <c r="I69" s="18" t="s">
        <v>30</v>
      </c>
      <c r="J69" s="18" t="s">
        <v>31</v>
      </c>
      <c r="K69" s="18" t="s">
        <v>32</v>
      </c>
      <c r="L69" s="18" t="s">
        <v>97</v>
      </c>
      <c r="M69" s="18">
        <v>7</v>
      </c>
      <c r="N69" s="18">
        <v>3500</v>
      </c>
      <c r="O69" s="18">
        <v>15</v>
      </c>
      <c r="P69" s="18">
        <v>20825</v>
      </c>
      <c r="Q69" s="18">
        <v>1</v>
      </c>
      <c r="R69" s="18" t="s">
        <v>34</v>
      </c>
      <c r="S69" s="18" t="s">
        <v>151</v>
      </c>
      <c r="T69" s="18" t="s">
        <v>256</v>
      </c>
      <c r="U69" s="19" t="s">
        <v>452</v>
      </c>
      <c r="V69" s="18" t="s">
        <v>64</v>
      </c>
      <c r="W69" t="str">
        <f t="shared" si="7"/>
        <v>Blacklisted</v>
      </c>
      <c r="X69" s="27" t="str">
        <f t="shared" si="8"/>
        <v>Sneha Joshi</v>
      </c>
      <c r="Y69" s="29" t="str">
        <f t="shared" si="9"/>
        <v>Sne00IDHy</v>
      </c>
      <c r="Z69" s="30" t="str">
        <f t="shared" si="10"/>
        <v>sneha.joshi@company.com</v>
      </c>
      <c r="AA69" s="32">
        <f t="shared" ca="1" si="11"/>
        <v>47</v>
      </c>
      <c r="AB69" s="33">
        <f t="shared" si="12"/>
        <v>5</v>
      </c>
      <c r="AC69" s="34" t="str">
        <f t="shared" si="13"/>
        <v>On Time</v>
      </c>
    </row>
    <row r="70" spans="1:29">
      <c r="A70" s="15" t="s">
        <v>453</v>
      </c>
      <c r="B70" s="15" t="s">
        <v>53</v>
      </c>
      <c r="C70" s="15" t="s">
        <v>169</v>
      </c>
      <c r="D70" s="15" t="s">
        <v>454</v>
      </c>
      <c r="E70" s="15" t="s">
        <v>455</v>
      </c>
      <c r="F70" s="15" t="s">
        <v>163</v>
      </c>
      <c r="G70" s="15" t="s">
        <v>28</v>
      </c>
      <c r="H70" s="15" t="s">
        <v>456</v>
      </c>
      <c r="I70" s="15" t="s">
        <v>212</v>
      </c>
      <c r="J70" s="15" t="s">
        <v>45</v>
      </c>
      <c r="K70" s="15" t="s">
        <v>32</v>
      </c>
      <c r="L70" s="15" t="s">
        <v>174</v>
      </c>
      <c r="M70" s="15">
        <v>7</v>
      </c>
      <c r="N70" s="15">
        <v>8500</v>
      </c>
      <c r="O70" s="15">
        <v>20</v>
      </c>
      <c r="P70" s="15">
        <v>47600</v>
      </c>
      <c r="Q70" s="15">
        <v>4</v>
      </c>
      <c r="R70" s="15" t="s">
        <v>48</v>
      </c>
      <c r="S70" s="15" t="s">
        <v>115</v>
      </c>
      <c r="T70" s="15" t="s">
        <v>62</v>
      </c>
      <c r="U70" s="17" t="s">
        <v>457</v>
      </c>
      <c r="V70" s="15" t="s">
        <v>38</v>
      </c>
      <c r="W70" t="str">
        <f t="shared" si="7"/>
        <v>Silver</v>
      </c>
      <c r="X70" s="27" t="str">
        <f t="shared" si="8"/>
        <v>Pooja Shah</v>
      </c>
      <c r="Y70" s="29" t="str">
        <f t="shared" si="9"/>
        <v>Poo01IDJa</v>
      </c>
      <c r="Z70" s="30" t="str">
        <f t="shared" si="10"/>
        <v>pooja.shah@company.com</v>
      </c>
      <c r="AA70" s="32">
        <f t="shared" ca="1" si="11"/>
        <v>49</v>
      </c>
      <c r="AB70" s="33">
        <f t="shared" si="12"/>
        <v>5</v>
      </c>
      <c r="AC70" s="34" t="str">
        <f t="shared" si="13"/>
        <v>On Time</v>
      </c>
    </row>
    <row r="71" spans="1:29">
      <c r="A71" s="18" t="s">
        <v>458</v>
      </c>
      <c r="B71" s="18" t="s">
        <v>23</v>
      </c>
      <c r="C71" s="18" t="s">
        <v>54</v>
      </c>
      <c r="D71" s="18" t="s">
        <v>366</v>
      </c>
      <c r="E71" s="18" t="s">
        <v>459</v>
      </c>
      <c r="F71" s="18" t="s">
        <v>27</v>
      </c>
      <c r="G71" s="18" t="s">
        <v>28</v>
      </c>
      <c r="H71" s="18" t="s">
        <v>460</v>
      </c>
      <c r="I71" s="18" t="s">
        <v>59</v>
      </c>
      <c r="J71" s="18" t="s">
        <v>31</v>
      </c>
      <c r="K71" s="18" t="s">
        <v>46</v>
      </c>
      <c r="L71" s="18" t="s">
        <v>60</v>
      </c>
      <c r="M71" s="18">
        <v>16</v>
      </c>
      <c r="N71" s="18">
        <v>55000</v>
      </c>
      <c r="O71" s="18">
        <v>10</v>
      </c>
      <c r="P71" s="18">
        <v>792000</v>
      </c>
      <c r="Q71" s="18">
        <v>1</v>
      </c>
      <c r="R71" s="18" t="s">
        <v>79</v>
      </c>
      <c r="S71" s="18" t="s">
        <v>61</v>
      </c>
      <c r="T71" s="18" t="s">
        <v>50</v>
      </c>
      <c r="U71" s="19" t="s">
        <v>461</v>
      </c>
      <c r="V71" s="18" t="s">
        <v>38</v>
      </c>
      <c r="W71" t="str">
        <f t="shared" si="7"/>
        <v>Blacklisted</v>
      </c>
      <c r="X71" s="27" t="str">
        <f t="shared" si="8"/>
        <v>Kavya Nair</v>
      </c>
      <c r="Y71" s="29" t="str">
        <f t="shared" si="9"/>
        <v>Kav00IDBe</v>
      </c>
      <c r="Z71" s="30" t="str">
        <f t="shared" si="10"/>
        <v>kavya.nair@company.com</v>
      </c>
      <c r="AA71" s="32">
        <f t="shared" ca="1" si="11"/>
        <v>26</v>
      </c>
      <c r="AB71" s="33">
        <f t="shared" si="12"/>
        <v>3</v>
      </c>
      <c r="AC71" s="34" t="str">
        <f t="shared" si="13"/>
        <v>On Time</v>
      </c>
    </row>
    <row r="72" spans="1:29">
      <c r="A72" s="15" t="s">
        <v>462</v>
      </c>
      <c r="B72" s="15" t="s">
        <v>168</v>
      </c>
      <c r="C72" s="15" t="s">
        <v>40</v>
      </c>
      <c r="D72" s="15" t="s">
        <v>463</v>
      </c>
      <c r="E72" s="15" t="s">
        <v>464</v>
      </c>
      <c r="F72" s="15" t="s">
        <v>361</v>
      </c>
      <c r="G72" s="15" t="s">
        <v>28</v>
      </c>
      <c r="H72" s="15" t="s">
        <v>465</v>
      </c>
      <c r="I72" s="15" t="s">
        <v>105</v>
      </c>
      <c r="J72" s="15" t="s">
        <v>106</v>
      </c>
      <c r="K72" s="15" t="s">
        <v>46</v>
      </c>
      <c r="L72" s="15" t="s">
        <v>47</v>
      </c>
      <c r="M72" s="15">
        <v>2</v>
      </c>
      <c r="N72" s="15">
        <v>12000</v>
      </c>
      <c r="O72" s="15">
        <v>20</v>
      </c>
      <c r="P72" s="15">
        <v>19200</v>
      </c>
      <c r="Q72" s="15">
        <v>1</v>
      </c>
      <c r="R72" s="15" t="s">
        <v>34</v>
      </c>
      <c r="S72" s="15" t="s">
        <v>151</v>
      </c>
      <c r="T72" s="16" t="s">
        <v>466</v>
      </c>
      <c r="U72" s="17" t="s">
        <v>467</v>
      </c>
      <c r="V72" s="15" t="s">
        <v>64</v>
      </c>
      <c r="W72" t="str">
        <f t="shared" si="7"/>
        <v>Blacklisted</v>
      </c>
      <c r="X72" s="27" t="str">
        <f t="shared" si="8"/>
        <v>Anita Gupta</v>
      </c>
      <c r="Y72" s="29" t="str">
        <f t="shared" si="9"/>
        <v>Ani00IDMu</v>
      </c>
      <c r="Z72" s="30" t="str">
        <f t="shared" si="10"/>
        <v>anita.gupta@company.com</v>
      </c>
      <c r="AA72" s="32">
        <f t="shared" ca="1" si="11"/>
        <v>39</v>
      </c>
      <c r="AB72" s="33">
        <f t="shared" si="12"/>
        <v>10</v>
      </c>
      <c r="AC72" s="34" t="str">
        <f t="shared" si="13"/>
        <v>Delayed</v>
      </c>
    </row>
    <row r="73" spans="1:29">
      <c r="A73" s="18" t="s">
        <v>468</v>
      </c>
      <c r="B73" s="18" t="s">
        <v>127</v>
      </c>
      <c r="C73" s="18" t="s">
        <v>259</v>
      </c>
      <c r="D73" s="18" t="s">
        <v>469</v>
      </c>
      <c r="E73" s="18" t="s">
        <v>446</v>
      </c>
      <c r="F73" s="18" t="s">
        <v>200</v>
      </c>
      <c r="G73" s="18" t="s">
        <v>76</v>
      </c>
      <c r="H73" s="18" t="s">
        <v>470</v>
      </c>
      <c r="I73" s="18" t="s">
        <v>59</v>
      </c>
      <c r="J73" s="18" t="s">
        <v>31</v>
      </c>
      <c r="K73" s="18" t="s">
        <v>122</v>
      </c>
      <c r="L73" s="18" t="s">
        <v>263</v>
      </c>
      <c r="M73" s="18">
        <v>4</v>
      </c>
      <c r="N73" s="18">
        <v>45</v>
      </c>
      <c r="O73" s="18">
        <v>5</v>
      </c>
      <c r="P73" s="18">
        <v>171</v>
      </c>
      <c r="Q73" s="18">
        <v>1</v>
      </c>
      <c r="R73" s="18" t="s">
        <v>79</v>
      </c>
      <c r="S73" s="18" t="s">
        <v>49</v>
      </c>
      <c r="T73" s="18" t="s">
        <v>132</v>
      </c>
      <c r="U73" s="19" t="s">
        <v>471</v>
      </c>
      <c r="V73" s="18" t="s">
        <v>64</v>
      </c>
      <c r="W73" t="str">
        <f t="shared" si="7"/>
        <v>Blacklisted</v>
      </c>
      <c r="X73" s="27" t="str">
        <f t="shared" si="8"/>
        <v>Rohit Singh</v>
      </c>
      <c r="Y73" s="29" t="str">
        <f t="shared" si="9"/>
        <v>Roh00IDBe</v>
      </c>
      <c r="Z73" s="30" t="str">
        <f t="shared" si="10"/>
        <v>rohit.singh@company.com</v>
      </c>
      <c r="AA73" s="32">
        <f t="shared" ca="1" si="11"/>
        <v>42</v>
      </c>
      <c r="AB73" s="33">
        <f t="shared" si="12"/>
        <v>6</v>
      </c>
      <c r="AC73" s="34" t="str">
        <f t="shared" si="13"/>
        <v>Delayed</v>
      </c>
    </row>
    <row r="74" spans="1:29">
      <c r="A74" s="15" t="s">
        <v>472</v>
      </c>
      <c r="B74" s="15" t="s">
        <v>23</v>
      </c>
      <c r="C74" s="15" t="s">
        <v>72</v>
      </c>
      <c r="D74" s="15" t="s">
        <v>473</v>
      </c>
      <c r="E74" s="15" t="s">
        <v>474</v>
      </c>
      <c r="F74" s="15" t="s">
        <v>27</v>
      </c>
      <c r="G74" s="15" t="s">
        <v>28</v>
      </c>
      <c r="H74" s="15" t="s">
        <v>475</v>
      </c>
      <c r="I74" s="15" t="s">
        <v>212</v>
      </c>
      <c r="J74" s="15" t="s">
        <v>45</v>
      </c>
      <c r="K74" s="15" t="s">
        <v>46</v>
      </c>
      <c r="L74" s="15" t="s">
        <v>78</v>
      </c>
      <c r="M74" s="15">
        <v>1</v>
      </c>
      <c r="N74" s="15">
        <v>1200</v>
      </c>
      <c r="O74" s="15">
        <v>5</v>
      </c>
      <c r="P74" s="15">
        <v>1140</v>
      </c>
      <c r="Q74" s="15">
        <v>3</v>
      </c>
      <c r="R74" s="15" t="s">
        <v>88</v>
      </c>
      <c r="S74" s="15" t="s">
        <v>61</v>
      </c>
      <c r="T74" s="15" t="s">
        <v>50</v>
      </c>
      <c r="U74" s="17" t="s">
        <v>476</v>
      </c>
      <c r="V74" s="15" t="s">
        <v>69</v>
      </c>
      <c r="W74" t="str">
        <f t="shared" si="7"/>
        <v>Blacklisted</v>
      </c>
      <c r="X74" s="27" t="str">
        <f t="shared" si="8"/>
        <v>Kavya Nair</v>
      </c>
      <c r="Y74" s="29" t="str">
        <f t="shared" si="9"/>
        <v>Kav00IDJa</v>
      </c>
      <c r="Z74" s="30" t="str">
        <f t="shared" si="10"/>
        <v>kavya.nair@company.com</v>
      </c>
      <c r="AA74" s="32">
        <f t="shared" ca="1" si="11"/>
        <v>45</v>
      </c>
      <c r="AB74" s="33">
        <f t="shared" si="12"/>
        <v>10</v>
      </c>
      <c r="AC74" s="34" t="str">
        <f t="shared" si="13"/>
        <v>Delayed</v>
      </c>
    </row>
    <row r="75" spans="1:29">
      <c r="A75" s="18" t="s">
        <v>477</v>
      </c>
      <c r="B75" s="18" t="s">
        <v>53</v>
      </c>
      <c r="C75" s="18" t="s">
        <v>24</v>
      </c>
      <c r="D75" s="18" t="s">
        <v>478</v>
      </c>
      <c r="E75" s="18" t="s">
        <v>479</v>
      </c>
      <c r="F75" s="18" t="s">
        <v>163</v>
      </c>
      <c r="G75" s="18" t="s">
        <v>28</v>
      </c>
      <c r="H75" s="18" t="s">
        <v>480</v>
      </c>
      <c r="I75" s="18"/>
      <c r="J75" s="18" t="s">
        <v>31</v>
      </c>
      <c r="K75" s="18" t="s">
        <v>32</v>
      </c>
      <c r="L75" s="18" t="s">
        <v>33</v>
      </c>
      <c r="M75" s="18">
        <v>1</v>
      </c>
      <c r="N75" s="18">
        <v>2200</v>
      </c>
      <c r="O75" s="18">
        <v>15</v>
      </c>
      <c r="P75" s="18">
        <v>1870</v>
      </c>
      <c r="Q75" s="18">
        <v>4</v>
      </c>
      <c r="R75" s="18" t="s">
        <v>79</v>
      </c>
      <c r="S75" s="18" t="s">
        <v>61</v>
      </c>
      <c r="T75" s="18" t="s">
        <v>62</v>
      </c>
      <c r="U75" s="19" t="s">
        <v>481</v>
      </c>
      <c r="V75" s="18" t="s">
        <v>38</v>
      </c>
      <c r="W75" t="str">
        <f t="shared" si="7"/>
        <v>Silver</v>
      </c>
      <c r="X75" s="27" t="str">
        <f t="shared" si="8"/>
        <v>Pooja Shah</v>
      </c>
      <c r="Y75" s="29" t="str">
        <f t="shared" si="9"/>
        <v>Poo01ID</v>
      </c>
      <c r="Z75" s="30" t="str">
        <f t="shared" si="10"/>
        <v>pooja.shah@company.com</v>
      </c>
      <c r="AA75" s="32">
        <f t="shared" ca="1" si="11"/>
        <v>46</v>
      </c>
      <c r="AB75" s="33">
        <f t="shared" si="12"/>
        <v>12</v>
      </c>
      <c r="AC75" s="34" t="str">
        <f t="shared" si="13"/>
        <v>Delayed</v>
      </c>
    </row>
    <row r="76" spans="1:29">
      <c r="A76" s="15" t="s">
        <v>482</v>
      </c>
      <c r="B76" s="15" t="s">
        <v>127</v>
      </c>
      <c r="C76" s="15" t="s">
        <v>72</v>
      </c>
      <c r="D76" s="15" t="s">
        <v>483</v>
      </c>
      <c r="E76" s="15" t="s">
        <v>484</v>
      </c>
      <c r="F76" s="15" t="s">
        <v>200</v>
      </c>
      <c r="G76" s="15" t="s">
        <v>76</v>
      </c>
      <c r="H76" s="15" t="s">
        <v>485</v>
      </c>
      <c r="I76" s="15" t="s">
        <v>114</v>
      </c>
      <c r="J76" s="15" t="s">
        <v>106</v>
      </c>
      <c r="K76" s="15" t="s">
        <v>46</v>
      </c>
      <c r="L76" s="15" t="s">
        <v>78</v>
      </c>
      <c r="M76" s="15">
        <v>3</v>
      </c>
      <c r="N76" s="15">
        <v>1200</v>
      </c>
      <c r="O76" s="15">
        <v>10</v>
      </c>
      <c r="P76" s="15">
        <v>3240</v>
      </c>
      <c r="Q76" s="15">
        <v>5</v>
      </c>
      <c r="R76" s="15" t="s">
        <v>34</v>
      </c>
      <c r="S76" s="15" t="s">
        <v>49</v>
      </c>
      <c r="T76" s="15" t="s">
        <v>132</v>
      </c>
      <c r="U76" s="17" t="s">
        <v>486</v>
      </c>
      <c r="V76" s="15" t="s">
        <v>38</v>
      </c>
      <c r="W76" t="str">
        <f t="shared" si="7"/>
        <v>Silver</v>
      </c>
      <c r="X76" s="27" t="str">
        <f t="shared" si="8"/>
        <v>Rohit Singh</v>
      </c>
      <c r="Y76" s="29" t="str">
        <f t="shared" si="9"/>
        <v>Roh00IDPu</v>
      </c>
      <c r="Z76" s="30" t="str">
        <f t="shared" si="10"/>
        <v>rohit.singh@company.com</v>
      </c>
      <c r="AA76" s="32">
        <f t="shared" ca="1" si="11"/>
        <v>43</v>
      </c>
      <c r="AB76" s="33">
        <f t="shared" si="12"/>
        <v>2</v>
      </c>
      <c r="AC76" s="34" t="str">
        <f t="shared" si="13"/>
        <v>On Time</v>
      </c>
    </row>
    <row r="77" spans="1:29">
      <c r="A77" s="18" t="s">
        <v>487</v>
      </c>
      <c r="B77" s="18" t="s">
        <v>23</v>
      </c>
      <c r="C77" s="18" t="s">
        <v>92</v>
      </c>
      <c r="D77" s="18" t="s">
        <v>488</v>
      </c>
      <c r="E77" s="18" t="s">
        <v>489</v>
      </c>
      <c r="F77" s="18" t="s">
        <v>27</v>
      </c>
      <c r="G77" s="18" t="s">
        <v>28</v>
      </c>
      <c r="H77" s="18" t="s">
        <v>490</v>
      </c>
      <c r="I77" s="18" t="s">
        <v>59</v>
      </c>
      <c r="J77" s="18" t="s">
        <v>31</v>
      </c>
      <c r="K77" s="18" t="s">
        <v>32</v>
      </c>
      <c r="L77" s="18" t="s">
        <v>97</v>
      </c>
      <c r="M77" s="18">
        <v>10</v>
      </c>
      <c r="N77" s="18">
        <v>3500</v>
      </c>
      <c r="O77" s="18">
        <v>20</v>
      </c>
      <c r="P77" s="18">
        <v>28000</v>
      </c>
      <c r="Q77" s="18">
        <v>5</v>
      </c>
      <c r="R77" s="18" t="s">
        <v>79</v>
      </c>
      <c r="S77" s="18" t="s">
        <v>35</v>
      </c>
      <c r="T77" s="18" t="s">
        <v>50</v>
      </c>
      <c r="U77" s="19" t="s">
        <v>491</v>
      </c>
      <c r="V77" s="18" t="s">
        <v>38</v>
      </c>
      <c r="W77" t="str">
        <f t="shared" si="7"/>
        <v>Silver</v>
      </c>
      <c r="X77" s="27" t="str">
        <f t="shared" si="8"/>
        <v>Kavya Nair</v>
      </c>
      <c r="Y77" s="29" t="str">
        <f t="shared" si="9"/>
        <v>Kav00IDBe</v>
      </c>
      <c r="Z77" s="30" t="str">
        <f t="shared" si="10"/>
        <v>kavya.nair@company.com</v>
      </c>
      <c r="AA77" s="32">
        <f t="shared" ca="1" si="11"/>
        <v>46</v>
      </c>
      <c r="AB77" s="33">
        <f t="shared" si="12"/>
        <v>10</v>
      </c>
      <c r="AC77" s="34" t="str">
        <f t="shared" si="13"/>
        <v>Delayed</v>
      </c>
    </row>
    <row r="78" spans="1:29">
      <c r="A78" s="15" t="s">
        <v>492</v>
      </c>
      <c r="B78" s="15" t="s">
        <v>83</v>
      </c>
      <c r="C78" s="15" t="s">
        <v>184</v>
      </c>
      <c r="D78" s="15" t="s">
        <v>493</v>
      </c>
      <c r="E78" s="15" t="s">
        <v>404</v>
      </c>
      <c r="F78" s="15" t="s">
        <v>180</v>
      </c>
      <c r="G78" s="15" t="s">
        <v>76</v>
      </c>
      <c r="H78" s="15" t="s">
        <v>494</v>
      </c>
      <c r="I78" s="15" t="s">
        <v>44</v>
      </c>
      <c r="J78" s="15" t="s">
        <v>45</v>
      </c>
      <c r="K78" s="15" t="s">
        <v>46</v>
      </c>
      <c r="L78" s="15" t="s">
        <v>189</v>
      </c>
      <c r="M78" s="15">
        <v>18</v>
      </c>
      <c r="N78" s="15">
        <v>700</v>
      </c>
      <c r="O78" s="15">
        <v>5</v>
      </c>
      <c r="P78" s="15">
        <v>11970</v>
      </c>
      <c r="Q78" s="15">
        <v>3</v>
      </c>
      <c r="R78" s="15" t="s">
        <v>79</v>
      </c>
      <c r="S78" s="15" t="s">
        <v>115</v>
      </c>
      <c r="T78" s="15" t="s">
        <v>89</v>
      </c>
      <c r="U78" s="17" t="s">
        <v>495</v>
      </c>
      <c r="V78" s="15" t="s">
        <v>69</v>
      </c>
      <c r="W78" t="str">
        <f t="shared" si="7"/>
        <v>Blacklisted</v>
      </c>
      <c r="X78" s="27" t="str">
        <f t="shared" si="8"/>
        <v>Arjun Rao</v>
      </c>
      <c r="Y78" s="29" t="str">
        <f t="shared" si="9"/>
        <v>Arj00IDDe</v>
      </c>
      <c r="Z78" s="30" t="str">
        <f t="shared" si="10"/>
        <v>arjun.rao@company.com</v>
      </c>
      <c r="AA78" s="32">
        <f t="shared" ca="1" si="11"/>
        <v>45</v>
      </c>
      <c r="AB78" s="33">
        <f t="shared" si="12"/>
        <v>2</v>
      </c>
      <c r="AC78" s="34" t="str">
        <f t="shared" si="13"/>
        <v>On Time</v>
      </c>
    </row>
    <row r="79" spans="1:29">
      <c r="A79" s="18" t="s">
        <v>496</v>
      </c>
      <c r="B79" s="18" t="s">
        <v>221</v>
      </c>
      <c r="C79" s="18" t="s">
        <v>184</v>
      </c>
      <c r="D79" s="18" t="s">
        <v>497</v>
      </c>
      <c r="E79" s="18" t="s">
        <v>498</v>
      </c>
      <c r="F79" s="18" t="s">
        <v>225</v>
      </c>
      <c r="G79" s="18" t="s">
        <v>76</v>
      </c>
      <c r="H79" s="18" t="s">
        <v>499</v>
      </c>
      <c r="I79" s="18" t="s">
        <v>59</v>
      </c>
      <c r="J79" s="18" t="s">
        <v>31</v>
      </c>
      <c r="K79" s="18" t="s">
        <v>46</v>
      </c>
      <c r="L79" s="18" t="s">
        <v>189</v>
      </c>
      <c r="M79" s="18">
        <v>12</v>
      </c>
      <c r="N79" s="18">
        <v>700</v>
      </c>
      <c r="O79" s="18">
        <v>15</v>
      </c>
      <c r="P79" s="18">
        <v>7140</v>
      </c>
      <c r="Q79" s="18">
        <v>2</v>
      </c>
      <c r="R79" s="18" t="s">
        <v>88</v>
      </c>
      <c r="S79" s="18" t="s">
        <v>49</v>
      </c>
      <c r="T79" s="18" t="s">
        <v>228</v>
      </c>
      <c r="U79" s="19" t="s">
        <v>500</v>
      </c>
      <c r="V79" s="18" t="s">
        <v>38</v>
      </c>
      <c r="W79" t="str">
        <f t="shared" si="7"/>
        <v>Blacklisted</v>
      </c>
      <c r="X79" s="27" t="str">
        <f t="shared" si="8"/>
        <v>Vikas Mehta</v>
      </c>
      <c r="Y79" s="29" t="str">
        <f t="shared" si="9"/>
        <v>Vik00IDBe</v>
      </c>
      <c r="Z79" s="30" t="str">
        <f t="shared" si="10"/>
        <v>vikas.mehta@company.com</v>
      </c>
      <c r="AA79" s="32">
        <f t="shared" ca="1" si="11"/>
        <v>41</v>
      </c>
      <c r="AB79" s="33">
        <f t="shared" si="12"/>
        <v>9</v>
      </c>
      <c r="AC79" s="34" t="str">
        <f t="shared" si="13"/>
        <v>Delayed</v>
      </c>
    </row>
    <row r="80" spans="1:29">
      <c r="A80" s="15" t="s">
        <v>501</v>
      </c>
      <c r="B80" s="15" t="s">
        <v>71</v>
      </c>
      <c r="C80" s="15" t="s">
        <v>72</v>
      </c>
      <c r="D80" s="15" t="s">
        <v>502</v>
      </c>
      <c r="E80" s="15" t="s">
        <v>503</v>
      </c>
      <c r="F80" s="15" t="s">
        <v>217</v>
      </c>
      <c r="G80" s="15" t="s">
        <v>76</v>
      </c>
      <c r="H80" s="15" t="s">
        <v>504</v>
      </c>
      <c r="I80" s="15" t="s">
        <v>105</v>
      </c>
      <c r="J80" s="15" t="s">
        <v>106</v>
      </c>
      <c r="K80" s="15" t="s">
        <v>46</v>
      </c>
      <c r="L80" s="15" t="s">
        <v>78</v>
      </c>
      <c r="M80" s="15">
        <v>8</v>
      </c>
      <c r="N80" s="15">
        <v>1200</v>
      </c>
      <c r="O80" s="15">
        <v>0</v>
      </c>
      <c r="P80" s="15">
        <v>9600</v>
      </c>
      <c r="Q80" s="15">
        <v>4</v>
      </c>
      <c r="R80" s="15" t="s">
        <v>79</v>
      </c>
      <c r="S80" s="15" t="s">
        <v>49</v>
      </c>
      <c r="T80" s="15" t="s">
        <v>80</v>
      </c>
      <c r="U80" s="17" t="s">
        <v>505</v>
      </c>
      <c r="V80" s="15" t="s">
        <v>64</v>
      </c>
      <c r="W80" t="str">
        <f t="shared" si="7"/>
        <v>Blacklisted</v>
      </c>
      <c r="X80" s="27" t="str">
        <f t="shared" si="8"/>
        <v>Mohit Verma</v>
      </c>
      <c r="Y80" s="29" t="str">
        <f t="shared" si="9"/>
        <v>Moh00IDMu</v>
      </c>
      <c r="Z80" s="30" t="str">
        <f t="shared" si="10"/>
        <v>mohit.verma@company.com</v>
      </c>
      <c r="AA80" s="32">
        <f t="shared" ca="1" si="11"/>
        <v>27</v>
      </c>
      <c r="AB80" s="33">
        <f t="shared" si="12"/>
        <v>1</v>
      </c>
      <c r="AC80" s="34" t="str">
        <f t="shared" si="13"/>
        <v>On Time</v>
      </c>
    </row>
    <row r="81" spans="1:29">
      <c r="A81" s="18" t="s">
        <v>506</v>
      </c>
      <c r="B81" s="18" t="s">
        <v>127</v>
      </c>
      <c r="C81" s="18" t="s">
        <v>118</v>
      </c>
      <c r="D81" s="18" t="s">
        <v>507</v>
      </c>
      <c r="E81" s="18" t="s">
        <v>508</v>
      </c>
      <c r="F81" s="18" t="s">
        <v>200</v>
      </c>
      <c r="G81" s="18" t="s">
        <v>76</v>
      </c>
      <c r="H81" s="18" t="s">
        <v>509</v>
      </c>
      <c r="I81" s="18" t="s">
        <v>114</v>
      </c>
      <c r="J81" s="18" t="s">
        <v>106</v>
      </c>
      <c r="K81" s="18" t="s">
        <v>122</v>
      </c>
      <c r="L81" s="18" t="s">
        <v>123</v>
      </c>
      <c r="M81" s="18">
        <v>2</v>
      </c>
      <c r="N81" s="18">
        <v>60</v>
      </c>
      <c r="O81" s="18">
        <v>0</v>
      </c>
      <c r="P81" s="18">
        <v>120</v>
      </c>
      <c r="Q81" s="18">
        <v>2</v>
      </c>
      <c r="R81" s="18" t="s">
        <v>88</v>
      </c>
      <c r="S81" s="18" t="s">
        <v>49</v>
      </c>
      <c r="T81" s="18" t="s">
        <v>132</v>
      </c>
      <c r="U81" s="19" t="s">
        <v>510</v>
      </c>
      <c r="V81" s="18" t="s">
        <v>38</v>
      </c>
      <c r="W81" t="str">
        <f t="shared" si="7"/>
        <v>Blacklisted</v>
      </c>
      <c r="X81" s="27" t="str">
        <f t="shared" si="8"/>
        <v>Rohit Singh</v>
      </c>
      <c r="Y81" s="29" t="str">
        <f t="shared" si="9"/>
        <v>Roh00IDPu</v>
      </c>
      <c r="Z81" s="30" t="str">
        <f t="shared" si="10"/>
        <v>rohit.singh@company.com</v>
      </c>
      <c r="AA81" s="32">
        <f t="shared" ca="1" si="11"/>
        <v>43</v>
      </c>
      <c r="AB81" s="33">
        <f t="shared" si="12"/>
        <v>4</v>
      </c>
      <c r="AC81" s="34" t="str">
        <f t="shared" si="13"/>
        <v>On Time</v>
      </c>
    </row>
    <row r="82" spans="1:29">
      <c r="A82" s="15" t="s">
        <v>511</v>
      </c>
      <c r="B82" s="15" t="s">
        <v>327</v>
      </c>
      <c r="C82" s="15" t="s">
        <v>259</v>
      </c>
      <c r="D82" s="15" t="s">
        <v>512</v>
      </c>
      <c r="E82" s="15" t="s">
        <v>513</v>
      </c>
      <c r="F82" s="15" t="s">
        <v>394</v>
      </c>
      <c r="G82" s="15" t="s">
        <v>76</v>
      </c>
      <c r="H82" s="15" t="s">
        <v>514</v>
      </c>
      <c r="I82" s="15" t="s">
        <v>114</v>
      </c>
      <c r="J82" s="15" t="s">
        <v>106</v>
      </c>
      <c r="K82" s="15" t="s">
        <v>122</v>
      </c>
      <c r="L82" s="15" t="s">
        <v>263</v>
      </c>
      <c r="M82" s="15">
        <v>10</v>
      </c>
      <c r="N82" s="15">
        <v>45</v>
      </c>
      <c r="O82" s="15">
        <v>15</v>
      </c>
      <c r="P82" s="15">
        <v>382.5</v>
      </c>
      <c r="Q82" s="15">
        <v>3</v>
      </c>
      <c r="R82" s="15" t="s">
        <v>48</v>
      </c>
      <c r="S82" s="15" t="s">
        <v>35</v>
      </c>
      <c r="T82" s="15" t="s">
        <v>332</v>
      </c>
      <c r="U82" s="17" t="s">
        <v>515</v>
      </c>
      <c r="V82" s="15" t="s">
        <v>69</v>
      </c>
      <c r="W82" t="str">
        <f t="shared" si="7"/>
        <v>Blacklisted</v>
      </c>
      <c r="X82" s="27" t="str">
        <f t="shared" si="8"/>
        <v>Amit Sharma</v>
      </c>
      <c r="Y82" s="29" t="str">
        <f t="shared" si="9"/>
        <v>Ami00IDPu</v>
      </c>
      <c r="Z82" s="30" t="str">
        <f t="shared" si="10"/>
        <v>amit.sharma@company.com</v>
      </c>
      <c r="AA82" s="32">
        <f t="shared" ca="1" si="11"/>
        <v>37</v>
      </c>
      <c r="AB82" s="33">
        <f t="shared" si="12"/>
        <v>6</v>
      </c>
      <c r="AC82" s="34" t="str">
        <f t="shared" si="13"/>
        <v>Delayed</v>
      </c>
    </row>
    <row r="83" spans="1:29">
      <c r="A83" s="18" t="s">
        <v>516</v>
      </c>
      <c r="B83" s="18" t="s">
        <v>221</v>
      </c>
      <c r="C83" s="18" t="s">
        <v>92</v>
      </c>
      <c r="D83" s="18" t="s">
        <v>517</v>
      </c>
      <c r="E83" s="18" t="s">
        <v>518</v>
      </c>
      <c r="F83" s="18" t="s">
        <v>225</v>
      </c>
      <c r="G83" s="18" t="s">
        <v>76</v>
      </c>
      <c r="H83" s="18" t="s">
        <v>519</v>
      </c>
      <c r="I83" s="18" t="s">
        <v>294</v>
      </c>
      <c r="J83" s="18" t="s">
        <v>295</v>
      </c>
      <c r="K83" s="18" t="s">
        <v>32</v>
      </c>
      <c r="L83" s="18" t="s">
        <v>97</v>
      </c>
      <c r="M83" s="18">
        <v>12</v>
      </c>
      <c r="N83" s="18">
        <v>3500</v>
      </c>
      <c r="O83" s="18">
        <v>5</v>
      </c>
      <c r="P83" s="18">
        <v>39900</v>
      </c>
      <c r="Q83" s="18">
        <v>3</v>
      </c>
      <c r="R83" s="18" t="s">
        <v>48</v>
      </c>
      <c r="S83" s="18" t="s">
        <v>61</v>
      </c>
      <c r="T83" s="18" t="s">
        <v>228</v>
      </c>
      <c r="U83" s="19" t="s">
        <v>520</v>
      </c>
      <c r="V83" s="18" t="s">
        <v>64</v>
      </c>
      <c r="W83" t="str">
        <f t="shared" si="7"/>
        <v>Blacklisted</v>
      </c>
      <c r="X83" s="27" t="str">
        <f t="shared" si="8"/>
        <v>Vikas Mehta</v>
      </c>
      <c r="Y83" s="29" t="str">
        <f t="shared" si="9"/>
        <v>Vik00IDKo</v>
      </c>
      <c r="Z83" s="30" t="str">
        <f t="shared" si="10"/>
        <v>vikas.mehta@company.com</v>
      </c>
      <c r="AA83" s="32">
        <f t="shared" ca="1" si="11"/>
        <v>44</v>
      </c>
      <c r="AB83" s="33">
        <f t="shared" si="12"/>
        <v>8</v>
      </c>
      <c r="AC83" s="34" t="str">
        <f t="shared" si="13"/>
        <v>Delayed</v>
      </c>
    </row>
    <row r="84" spans="1:29">
      <c r="A84" s="15" t="s">
        <v>521</v>
      </c>
      <c r="B84" s="15" t="s">
        <v>127</v>
      </c>
      <c r="C84" s="15" t="s">
        <v>118</v>
      </c>
      <c r="D84" s="15" t="s">
        <v>128</v>
      </c>
      <c r="E84" s="15" t="s">
        <v>73</v>
      </c>
      <c r="F84" s="15" t="s">
        <v>200</v>
      </c>
      <c r="G84" s="15" t="s">
        <v>76</v>
      </c>
      <c r="H84" s="15" t="s">
        <v>522</v>
      </c>
      <c r="I84" s="15" t="s">
        <v>105</v>
      </c>
      <c r="J84" s="15" t="s">
        <v>106</v>
      </c>
      <c r="K84" s="15" t="s">
        <v>122</v>
      </c>
      <c r="L84" s="15" t="s">
        <v>123</v>
      </c>
      <c r="M84" s="15">
        <v>2</v>
      </c>
      <c r="N84" s="15">
        <v>60</v>
      </c>
      <c r="O84" s="15">
        <v>15</v>
      </c>
      <c r="P84" s="15">
        <v>102</v>
      </c>
      <c r="Q84" s="15">
        <v>1</v>
      </c>
      <c r="R84" s="15" t="s">
        <v>88</v>
      </c>
      <c r="S84" s="15" t="s">
        <v>115</v>
      </c>
      <c r="T84" s="15" t="s">
        <v>132</v>
      </c>
      <c r="U84" s="17" t="s">
        <v>523</v>
      </c>
      <c r="V84" s="15" t="s">
        <v>38</v>
      </c>
      <c r="W84" t="str">
        <f t="shared" si="7"/>
        <v>Blacklisted</v>
      </c>
      <c r="X84" s="27" t="str">
        <f t="shared" si="8"/>
        <v>Rohit Singh</v>
      </c>
      <c r="Y84" s="29" t="str">
        <f t="shared" si="9"/>
        <v>Roh00IDMu</v>
      </c>
      <c r="Z84" s="30" t="str">
        <f t="shared" si="10"/>
        <v>rohit.singh@company.com</v>
      </c>
      <c r="AA84" s="32">
        <f t="shared" ca="1" si="11"/>
        <v>25</v>
      </c>
      <c r="AB84" s="33">
        <f t="shared" si="12"/>
        <v>8</v>
      </c>
      <c r="AC84" s="34" t="str">
        <f t="shared" si="13"/>
        <v>Delayed</v>
      </c>
    </row>
    <row r="85" spans="1:29">
      <c r="A85" s="18" t="s">
        <v>524</v>
      </c>
      <c r="B85" s="18" t="s">
        <v>127</v>
      </c>
      <c r="C85" s="18" t="s">
        <v>72</v>
      </c>
      <c r="D85" s="18" t="s">
        <v>525</v>
      </c>
      <c r="E85" s="18" t="s">
        <v>526</v>
      </c>
      <c r="F85" s="18" t="s">
        <v>200</v>
      </c>
      <c r="G85" s="18" t="s">
        <v>76</v>
      </c>
      <c r="H85" s="18" t="s">
        <v>527</v>
      </c>
      <c r="I85" s="18" t="s">
        <v>30</v>
      </c>
      <c r="J85" s="18" t="s">
        <v>31</v>
      </c>
      <c r="K85" s="18" t="s">
        <v>46</v>
      </c>
      <c r="L85" s="18" t="s">
        <v>78</v>
      </c>
      <c r="M85" s="18">
        <v>18</v>
      </c>
      <c r="N85" s="18">
        <v>1200</v>
      </c>
      <c r="O85" s="18">
        <v>15</v>
      </c>
      <c r="P85" s="18">
        <v>18360</v>
      </c>
      <c r="Q85" s="18">
        <v>3</v>
      </c>
      <c r="R85" s="18" t="s">
        <v>79</v>
      </c>
      <c r="S85" s="18" t="s">
        <v>115</v>
      </c>
      <c r="T85" s="18" t="s">
        <v>132</v>
      </c>
      <c r="U85" s="19" t="s">
        <v>528</v>
      </c>
      <c r="V85" s="18" t="s">
        <v>64</v>
      </c>
      <c r="W85" t="str">
        <f t="shared" si="7"/>
        <v>Blacklisted</v>
      </c>
      <c r="X85" s="27" t="str">
        <f t="shared" si="8"/>
        <v>Rohit Singh</v>
      </c>
      <c r="Y85" s="29" t="str">
        <f t="shared" si="9"/>
        <v>Roh00IDHy</v>
      </c>
      <c r="Z85" s="30" t="str">
        <f t="shared" si="10"/>
        <v>rohit.singh@company.com</v>
      </c>
      <c r="AA85" s="32">
        <f t="shared" ca="1" si="11"/>
        <v>43</v>
      </c>
      <c r="AB85" s="33">
        <f t="shared" si="12"/>
        <v>3</v>
      </c>
      <c r="AC85" s="34" t="str">
        <f t="shared" si="13"/>
        <v>On Time</v>
      </c>
    </row>
    <row r="86" spans="1:29">
      <c r="A86" s="15" t="s">
        <v>529</v>
      </c>
      <c r="B86" s="15" t="s">
        <v>23</v>
      </c>
      <c r="C86" s="15" t="s">
        <v>40</v>
      </c>
      <c r="D86" s="15" t="s">
        <v>530</v>
      </c>
      <c r="E86" s="15" t="s">
        <v>531</v>
      </c>
      <c r="F86" s="15" t="s">
        <v>27</v>
      </c>
      <c r="G86" s="15" t="s">
        <v>28</v>
      </c>
      <c r="H86" s="15" t="s">
        <v>532</v>
      </c>
      <c r="I86" s="15" t="s">
        <v>105</v>
      </c>
      <c r="J86" s="15" t="s">
        <v>106</v>
      </c>
      <c r="K86" s="15" t="s">
        <v>46</v>
      </c>
      <c r="L86" s="15" t="s">
        <v>47</v>
      </c>
      <c r="M86" s="15">
        <v>18</v>
      </c>
      <c r="N86" s="15">
        <v>12000</v>
      </c>
      <c r="O86" s="15">
        <v>15</v>
      </c>
      <c r="P86" s="15">
        <v>183600</v>
      </c>
      <c r="Q86" s="15">
        <v>2</v>
      </c>
      <c r="R86" s="15" t="s">
        <v>34</v>
      </c>
      <c r="S86" s="15" t="s">
        <v>49</v>
      </c>
      <c r="T86" s="15" t="s">
        <v>50</v>
      </c>
      <c r="U86" s="17" t="s">
        <v>533</v>
      </c>
      <c r="V86" s="15" t="s">
        <v>38</v>
      </c>
      <c r="W86" t="str">
        <f t="shared" si="7"/>
        <v>Blacklisted</v>
      </c>
      <c r="X86" s="27" t="str">
        <f t="shared" si="8"/>
        <v>Kavya Nair</v>
      </c>
      <c r="Y86" s="29" t="str">
        <f t="shared" si="9"/>
        <v>Kav00IDMu</v>
      </c>
      <c r="Z86" s="30" t="str">
        <f t="shared" si="10"/>
        <v>kavya.nair@company.com</v>
      </c>
      <c r="AA86" s="32">
        <f t="shared" ca="1" si="11"/>
        <v>33</v>
      </c>
      <c r="AB86" s="33">
        <f t="shared" si="12"/>
        <v>1</v>
      </c>
      <c r="AC86" s="34" t="str">
        <f t="shared" si="13"/>
        <v>On Time</v>
      </c>
    </row>
    <row r="87" spans="1:29">
      <c r="A87" s="18" t="s">
        <v>534</v>
      </c>
      <c r="B87" s="18" t="s">
        <v>83</v>
      </c>
      <c r="C87" s="18" t="s">
        <v>222</v>
      </c>
      <c r="D87" s="18" t="s">
        <v>531</v>
      </c>
      <c r="E87" s="18" t="s">
        <v>535</v>
      </c>
      <c r="F87" s="18" t="s">
        <v>180</v>
      </c>
      <c r="G87" s="18" t="s">
        <v>76</v>
      </c>
      <c r="H87" s="18" t="s">
        <v>536</v>
      </c>
      <c r="I87" s="18" t="s">
        <v>138</v>
      </c>
      <c r="J87" s="18" t="s">
        <v>106</v>
      </c>
      <c r="K87" s="18" t="s">
        <v>122</v>
      </c>
      <c r="L87" s="18" t="s">
        <v>227</v>
      </c>
      <c r="M87" s="18">
        <v>7</v>
      </c>
      <c r="N87" s="18">
        <v>20</v>
      </c>
      <c r="O87" s="18">
        <v>0</v>
      </c>
      <c r="P87" s="18">
        <v>140</v>
      </c>
      <c r="Q87" s="18">
        <v>2</v>
      </c>
      <c r="R87" s="18" t="s">
        <v>79</v>
      </c>
      <c r="S87" s="18" t="s">
        <v>35</v>
      </c>
      <c r="T87" s="18" t="s">
        <v>89</v>
      </c>
      <c r="U87" s="19" t="s">
        <v>537</v>
      </c>
      <c r="V87" s="18" t="s">
        <v>69</v>
      </c>
      <c r="W87" t="str">
        <f t="shared" si="7"/>
        <v>Blacklisted</v>
      </c>
      <c r="X87" s="27" t="str">
        <f t="shared" si="8"/>
        <v>Arjun Rao</v>
      </c>
      <c r="Y87" s="29" t="str">
        <f t="shared" si="9"/>
        <v>Arj00IDAh</v>
      </c>
      <c r="Z87" s="30" t="str">
        <f t="shared" si="10"/>
        <v>arjun.rao@company.com</v>
      </c>
      <c r="AA87" s="32">
        <f t="shared" ca="1" si="11"/>
        <v>31</v>
      </c>
      <c r="AB87" s="33">
        <f t="shared" si="12"/>
        <v>11</v>
      </c>
      <c r="AC87" s="34" t="str">
        <f t="shared" si="13"/>
        <v>Delayed</v>
      </c>
    </row>
    <row r="88" spans="1:29">
      <c r="A88" s="15" t="s">
        <v>538</v>
      </c>
      <c r="B88" s="15" t="s">
        <v>251</v>
      </c>
      <c r="C88" s="15" t="s">
        <v>92</v>
      </c>
      <c r="D88" s="15" t="s">
        <v>459</v>
      </c>
      <c r="E88" s="15" t="s">
        <v>539</v>
      </c>
      <c r="F88" s="15" t="s">
        <v>254</v>
      </c>
      <c r="G88" s="15" t="s">
        <v>28</v>
      </c>
      <c r="H88" s="15" t="s">
        <v>540</v>
      </c>
      <c r="I88" s="15" t="s">
        <v>114</v>
      </c>
      <c r="J88" s="15" t="s">
        <v>106</v>
      </c>
      <c r="K88" s="15" t="s">
        <v>32</v>
      </c>
      <c r="L88" s="15" t="s">
        <v>97</v>
      </c>
      <c r="M88" s="15">
        <v>20</v>
      </c>
      <c r="N88" s="15">
        <v>3500</v>
      </c>
      <c r="O88" s="15">
        <v>20</v>
      </c>
      <c r="P88" s="15">
        <v>56000</v>
      </c>
      <c r="Q88" s="15">
        <v>4</v>
      </c>
      <c r="R88" s="15" t="s">
        <v>79</v>
      </c>
      <c r="S88" s="15" t="s">
        <v>115</v>
      </c>
      <c r="T88" s="15" t="s">
        <v>256</v>
      </c>
      <c r="U88" s="17" t="s">
        <v>541</v>
      </c>
      <c r="V88" s="15" t="s">
        <v>64</v>
      </c>
      <c r="W88" t="str">
        <f t="shared" si="7"/>
        <v>Blacklisted</v>
      </c>
      <c r="X88" s="27" t="str">
        <f t="shared" si="8"/>
        <v>Sneha Joshi</v>
      </c>
      <c r="Y88" s="29" t="str">
        <f t="shared" si="9"/>
        <v>Sne00IDPu</v>
      </c>
      <c r="Z88" s="30" t="str">
        <f t="shared" si="10"/>
        <v>sneha.joshi@company.com</v>
      </c>
      <c r="AA88" s="32">
        <f t="shared" ca="1" si="11"/>
        <v>25</v>
      </c>
      <c r="AB88" s="33">
        <f t="shared" si="12"/>
        <v>8</v>
      </c>
      <c r="AC88" s="34" t="str">
        <f t="shared" si="13"/>
        <v>Delayed</v>
      </c>
    </row>
    <row r="89" spans="1:29">
      <c r="A89" s="18" t="s">
        <v>542</v>
      </c>
      <c r="B89" s="18" t="s">
        <v>100</v>
      </c>
      <c r="C89" s="18" t="s">
        <v>169</v>
      </c>
      <c r="D89" s="18" t="s">
        <v>543</v>
      </c>
      <c r="E89" s="18" t="s">
        <v>544</v>
      </c>
      <c r="F89" s="18" t="s">
        <v>103</v>
      </c>
      <c r="G89" s="18" t="s">
        <v>28</v>
      </c>
      <c r="H89" s="18" t="s">
        <v>545</v>
      </c>
      <c r="I89" s="18" t="s">
        <v>138</v>
      </c>
      <c r="J89" s="18" t="s">
        <v>106</v>
      </c>
      <c r="K89" s="18" t="s">
        <v>32</v>
      </c>
      <c r="L89" s="18" t="s">
        <v>174</v>
      </c>
      <c r="M89" s="18">
        <v>8</v>
      </c>
      <c r="N89" s="18">
        <v>8500</v>
      </c>
      <c r="O89" s="18">
        <v>20</v>
      </c>
      <c r="P89" s="18">
        <v>54400</v>
      </c>
      <c r="Q89" s="18">
        <v>3</v>
      </c>
      <c r="R89" s="18" t="s">
        <v>79</v>
      </c>
      <c r="S89" s="18" t="s">
        <v>115</v>
      </c>
      <c r="T89" s="18" t="s">
        <v>144</v>
      </c>
      <c r="U89" s="19" t="s">
        <v>546</v>
      </c>
      <c r="V89" s="18" t="s">
        <v>64</v>
      </c>
      <c r="W89" t="str">
        <f t="shared" si="7"/>
        <v>Blacklisted</v>
      </c>
      <c r="X89" s="27" t="str">
        <f t="shared" si="8"/>
        <v>Priya Patel</v>
      </c>
      <c r="Y89" s="29" t="str">
        <f t="shared" si="9"/>
        <v>Pri00IDAh</v>
      </c>
      <c r="Z89" s="30" t="str">
        <f t="shared" si="10"/>
        <v>priya.patel@company.com</v>
      </c>
      <c r="AA89" s="32">
        <f t="shared" ca="1" si="11"/>
        <v>27</v>
      </c>
      <c r="AB89" s="33">
        <f t="shared" si="12"/>
        <v>10</v>
      </c>
      <c r="AC89" s="34" t="str">
        <f t="shared" si="13"/>
        <v>Delayed</v>
      </c>
    </row>
    <row r="90" spans="1:29">
      <c r="A90" s="15" t="s">
        <v>547</v>
      </c>
      <c r="B90" s="15" t="s">
        <v>327</v>
      </c>
      <c r="C90" s="15" t="s">
        <v>40</v>
      </c>
      <c r="D90" s="15" t="s">
        <v>548</v>
      </c>
      <c r="E90" s="15" t="s">
        <v>549</v>
      </c>
      <c r="F90" s="15" t="s">
        <v>394</v>
      </c>
      <c r="G90" s="15" t="s">
        <v>76</v>
      </c>
      <c r="H90" s="15" t="s">
        <v>550</v>
      </c>
      <c r="I90" s="15" t="s">
        <v>138</v>
      </c>
      <c r="J90" s="15" t="s">
        <v>551</v>
      </c>
      <c r="K90" s="15" t="s">
        <v>46</v>
      </c>
      <c r="L90" s="15" t="s">
        <v>47</v>
      </c>
      <c r="M90" s="15">
        <v>6</v>
      </c>
      <c r="N90" s="15">
        <v>12000</v>
      </c>
      <c r="O90" s="15">
        <v>5</v>
      </c>
      <c r="P90" s="15">
        <v>68400</v>
      </c>
      <c r="Q90" s="15">
        <v>4</v>
      </c>
      <c r="R90" s="15" t="s">
        <v>48</v>
      </c>
      <c r="S90" s="15" t="s">
        <v>35</v>
      </c>
      <c r="T90" s="15" t="s">
        <v>332</v>
      </c>
      <c r="U90" s="17" t="s">
        <v>552</v>
      </c>
      <c r="V90" s="15" t="s">
        <v>38</v>
      </c>
      <c r="W90" t="str">
        <f t="shared" si="7"/>
        <v>Gold</v>
      </c>
      <c r="X90" s="27" t="str">
        <f t="shared" si="8"/>
        <v>Amit Sharma</v>
      </c>
      <c r="Y90" s="29" t="str">
        <f t="shared" si="9"/>
        <v>Ami00IDAh</v>
      </c>
      <c r="Z90" s="30" t="str">
        <f t="shared" si="10"/>
        <v>amit.sharma@company.com</v>
      </c>
      <c r="AA90" s="32">
        <f t="shared" ca="1" si="11"/>
        <v>24</v>
      </c>
      <c r="AB90" s="33">
        <f t="shared" si="12"/>
        <v>9</v>
      </c>
      <c r="AC90" s="34" t="str">
        <f t="shared" si="13"/>
        <v>Delayed</v>
      </c>
    </row>
    <row r="91" spans="1:29">
      <c r="A91" s="18" t="s">
        <v>553</v>
      </c>
      <c r="B91" s="18" t="s">
        <v>23</v>
      </c>
      <c r="C91" s="18" t="s">
        <v>169</v>
      </c>
      <c r="D91" s="18" t="s">
        <v>554</v>
      </c>
      <c r="E91" s="18" t="s">
        <v>404</v>
      </c>
      <c r="F91" s="18" t="s">
        <v>27</v>
      </c>
      <c r="G91" s="18" t="s">
        <v>28</v>
      </c>
      <c r="H91" s="18" t="s">
        <v>555</v>
      </c>
      <c r="I91" s="18" t="s">
        <v>114</v>
      </c>
      <c r="J91" s="18" t="s">
        <v>106</v>
      </c>
      <c r="K91" s="18" t="s">
        <v>32</v>
      </c>
      <c r="L91" s="18" t="s">
        <v>174</v>
      </c>
      <c r="M91" s="18">
        <v>15</v>
      </c>
      <c r="N91" s="18">
        <v>8500</v>
      </c>
      <c r="O91" s="18">
        <v>0</v>
      </c>
      <c r="P91" s="18">
        <v>127500</v>
      </c>
      <c r="Q91" s="18">
        <v>4</v>
      </c>
      <c r="R91" s="18" t="s">
        <v>48</v>
      </c>
      <c r="S91" s="18" t="s">
        <v>35</v>
      </c>
      <c r="T91" s="18" t="s">
        <v>50</v>
      </c>
      <c r="U91" s="19" t="s">
        <v>556</v>
      </c>
      <c r="V91" s="18" t="s">
        <v>69</v>
      </c>
      <c r="W91" t="str">
        <f t="shared" si="7"/>
        <v>Blacklisted</v>
      </c>
      <c r="X91" s="27" t="str">
        <f t="shared" si="8"/>
        <v>Kavya Nair</v>
      </c>
      <c r="Y91" s="29" t="str">
        <f t="shared" si="9"/>
        <v>Kav00IDPu</v>
      </c>
      <c r="Z91" s="30" t="str">
        <f t="shared" si="10"/>
        <v>kavya.nair@company.com</v>
      </c>
      <c r="AA91" s="32">
        <f t="shared" ca="1" si="11"/>
        <v>34</v>
      </c>
      <c r="AB91" s="33">
        <f t="shared" si="12"/>
        <v>8</v>
      </c>
      <c r="AC91" s="34" t="str">
        <f t="shared" si="13"/>
        <v>Delayed</v>
      </c>
    </row>
    <row r="92" spans="1:29">
      <c r="A92" s="15" t="s">
        <v>557</v>
      </c>
      <c r="B92" s="15" t="s">
        <v>53</v>
      </c>
      <c r="C92" s="15" t="s">
        <v>72</v>
      </c>
      <c r="D92" s="15" t="s">
        <v>558</v>
      </c>
      <c r="E92" s="15" t="s">
        <v>377</v>
      </c>
      <c r="F92" s="15" t="s">
        <v>163</v>
      </c>
      <c r="G92" s="15" t="s">
        <v>28</v>
      </c>
      <c r="H92" s="15" t="s">
        <v>559</v>
      </c>
      <c r="I92" s="15" t="s">
        <v>212</v>
      </c>
      <c r="J92" s="15" t="s">
        <v>45</v>
      </c>
      <c r="K92" s="15" t="s">
        <v>46</v>
      </c>
      <c r="L92" s="15" t="s">
        <v>78</v>
      </c>
      <c r="M92" s="15">
        <v>5</v>
      </c>
      <c r="N92" s="15">
        <v>1200</v>
      </c>
      <c r="O92" s="15">
        <v>15</v>
      </c>
      <c r="P92" s="15">
        <v>5100</v>
      </c>
      <c r="Q92" s="15">
        <v>1</v>
      </c>
      <c r="R92" s="15" t="s">
        <v>48</v>
      </c>
      <c r="S92" s="15" t="s">
        <v>35</v>
      </c>
      <c r="T92" s="15" t="s">
        <v>62</v>
      </c>
      <c r="U92" s="17" t="s">
        <v>560</v>
      </c>
      <c r="V92" s="15" t="s">
        <v>69</v>
      </c>
      <c r="W92" t="str">
        <f t="shared" si="7"/>
        <v>Blacklisted</v>
      </c>
      <c r="X92" s="27" t="str">
        <f t="shared" si="8"/>
        <v>Pooja Shah</v>
      </c>
      <c r="Y92" s="29" t="str">
        <f t="shared" si="9"/>
        <v>Poo01IDJa</v>
      </c>
      <c r="Z92" s="30" t="str">
        <f t="shared" si="10"/>
        <v>pooja.shah@company.com</v>
      </c>
      <c r="AA92" s="32">
        <f t="shared" ca="1" si="11"/>
        <v>30</v>
      </c>
      <c r="AB92" s="33">
        <f t="shared" si="12"/>
        <v>3</v>
      </c>
      <c r="AC92" s="34" t="str">
        <f t="shared" si="13"/>
        <v>On Time</v>
      </c>
    </row>
    <row r="93" spans="1:29">
      <c r="A93" s="18" t="s">
        <v>561</v>
      </c>
      <c r="B93" s="18" t="s">
        <v>53</v>
      </c>
      <c r="C93" s="18" t="s">
        <v>222</v>
      </c>
      <c r="D93" s="18" t="s">
        <v>562</v>
      </c>
      <c r="E93" s="18" t="s">
        <v>563</v>
      </c>
      <c r="F93" s="18" t="s">
        <v>163</v>
      </c>
      <c r="G93" s="18" t="s">
        <v>28</v>
      </c>
      <c r="H93" s="18" t="s">
        <v>564</v>
      </c>
      <c r="I93" s="18" t="s">
        <v>30</v>
      </c>
      <c r="J93" s="18" t="s">
        <v>31</v>
      </c>
      <c r="K93" s="18" t="s">
        <v>122</v>
      </c>
      <c r="L93" s="18" t="s">
        <v>227</v>
      </c>
      <c r="M93" s="18">
        <v>4</v>
      </c>
      <c r="N93" s="18">
        <v>20</v>
      </c>
      <c r="O93" s="18">
        <v>0</v>
      </c>
      <c r="P93" s="18">
        <v>80</v>
      </c>
      <c r="Q93" s="18">
        <v>4</v>
      </c>
      <c r="R93" s="18" t="s">
        <v>48</v>
      </c>
      <c r="S93" s="18" t="s">
        <v>49</v>
      </c>
      <c r="T93" s="18" t="s">
        <v>62</v>
      </c>
      <c r="U93" s="19" t="s">
        <v>565</v>
      </c>
      <c r="V93" s="18" t="s">
        <v>38</v>
      </c>
      <c r="W93" t="str">
        <f t="shared" si="7"/>
        <v>Silver</v>
      </c>
      <c r="X93" s="27" t="str">
        <f t="shared" si="8"/>
        <v>Pooja Shah</v>
      </c>
      <c r="Y93" s="29" t="str">
        <f t="shared" si="9"/>
        <v>Poo01IDHy</v>
      </c>
      <c r="Z93" s="30" t="str">
        <f t="shared" si="10"/>
        <v>pooja.shah@company.com</v>
      </c>
      <c r="AA93" s="32">
        <f t="shared" ca="1" si="11"/>
        <v>43</v>
      </c>
      <c r="AB93" s="33">
        <f t="shared" si="12"/>
        <v>1</v>
      </c>
      <c r="AC93" s="34" t="str">
        <f t="shared" si="13"/>
        <v>On Time</v>
      </c>
    </row>
    <row r="94" spans="1:29">
      <c r="A94" s="15" t="s">
        <v>566</v>
      </c>
      <c r="B94" s="15" t="s">
        <v>23</v>
      </c>
      <c r="C94" s="15" t="s">
        <v>222</v>
      </c>
      <c r="D94" s="15" t="s">
        <v>567</v>
      </c>
      <c r="E94" s="15" t="s">
        <v>568</v>
      </c>
      <c r="F94" s="15" t="s">
        <v>27</v>
      </c>
      <c r="G94" s="15" t="s">
        <v>28</v>
      </c>
      <c r="H94" s="15" t="s">
        <v>569</v>
      </c>
      <c r="I94" s="15" t="s">
        <v>59</v>
      </c>
      <c r="J94" s="15" t="s">
        <v>31</v>
      </c>
      <c r="K94" s="15" t="s">
        <v>122</v>
      </c>
      <c r="L94" s="15" t="s">
        <v>227</v>
      </c>
      <c r="M94" s="15">
        <v>10</v>
      </c>
      <c r="N94" s="15">
        <v>20</v>
      </c>
      <c r="O94" s="15">
        <v>0</v>
      </c>
      <c r="P94" s="15">
        <v>200</v>
      </c>
      <c r="Q94" s="15">
        <v>3</v>
      </c>
      <c r="R94" s="15" t="s">
        <v>34</v>
      </c>
      <c r="S94" s="15" t="s">
        <v>151</v>
      </c>
      <c r="T94" s="15" t="s">
        <v>50</v>
      </c>
      <c r="U94" s="17" t="s">
        <v>570</v>
      </c>
      <c r="V94" s="15" t="s">
        <v>64</v>
      </c>
      <c r="W94" t="str">
        <f t="shared" si="7"/>
        <v>Blacklisted</v>
      </c>
      <c r="X94" s="27" t="str">
        <f t="shared" si="8"/>
        <v>Kavya Nair</v>
      </c>
      <c r="Y94" s="29" t="str">
        <f t="shared" si="9"/>
        <v>Kav00IDBe</v>
      </c>
      <c r="Z94" s="30" t="str">
        <f t="shared" si="10"/>
        <v>kavya.nair@company.com</v>
      </c>
      <c r="AA94" s="32">
        <f t="shared" ca="1" si="11"/>
        <v>42</v>
      </c>
      <c r="AB94" s="33">
        <f t="shared" si="12"/>
        <v>4</v>
      </c>
      <c r="AC94" s="34" t="str">
        <f t="shared" si="13"/>
        <v>On Time</v>
      </c>
    </row>
    <row r="95" spans="1:29">
      <c r="A95" s="18" t="s">
        <v>571</v>
      </c>
      <c r="B95" s="18" t="s">
        <v>168</v>
      </c>
      <c r="C95" s="18" t="s">
        <v>24</v>
      </c>
      <c r="D95" s="18" t="s">
        <v>572</v>
      </c>
      <c r="E95" s="18" t="s">
        <v>573</v>
      </c>
      <c r="F95" s="18" t="s">
        <v>361</v>
      </c>
      <c r="G95" s="18" t="s">
        <v>28</v>
      </c>
      <c r="H95" s="18" t="s">
        <v>574</v>
      </c>
      <c r="I95" s="18" t="s">
        <v>44</v>
      </c>
      <c r="J95" s="18" t="s">
        <v>45</v>
      </c>
      <c r="K95" s="18" t="s">
        <v>32</v>
      </c>
      <c r="L95" s="18" t="s">
        <v>33</v>
      </c>
      <c r="M95" s="18">
        <v>18</v>
      </c>
      <c r="N95" s="18">
        <v>2200</v>
      </c>
      <c r="O95" s="18">
        <v>10</v>
      </c>
      <c r="P95" s="18">
        <v>35640</v>
      </c>
      <c r="Q95" s="18">
        <v>3</v>
      </c>
      <c r="R95" s="18" t="s">
        <v>34</v>
      </c>
      <c r="S95" s="18" t="s">
        <v>35</v>
      </c>
      <c r="T95" s="18" t="s">
        <v>175</v>
      </c>
      <c r="U95" s="19" t="s">
        <v>575</v>
      </c>
      <c r="V95" s="18" t="s">
        <v>69</v>
      </c>
      <c r="W95" t="str">
        <f t="shared" si="7"/>
        <v>Blacklisted</v>
      </c>
      <c r="X95" s="27" t="str">
        <f t="shared" si="8"/>
        <v>Anita Gupta</v>
      </c>
      <c r="Y95" s="29" t="str">
        <f t="shared" si="9"/>
        <v>Ani00IDDe</v>
      </c>
      <c r="Z95" s="30" t="str">
        <f t="shared" si="10"/>
        <v>anita.gupta@company.com</v>
      </c>
      <c r="AA95" s="32">
        <f t="shared" ca="1" si="11"/>
        <v>32</v>
      </c>
      <c r="AB95" s="33">
        <f t="shared" si="12"/>
        <v>6</v>
      </c>
      <c r="AC95" s="34" t="str">
        <f t="shared" si="13"/>
        <v>Delayed</v>
      </c>
    </row>
    <row r="96" spans="1:29">
      <c r="A96" s="15" t="s">
        <v>576</v>
      </c>
      <c r="B96" s="15" t="s">
        <v>327</v>
      </c>
      <c r="C96" s="15" t="s">
        <v>92</v>
      </c>
      <c r="D96" s="15" t="s">
        <v>577</v>
      </c>
      <c r="E96" s="15" t="s">
        <v>578</v>
      </c>
      <c r="F96" s="15" t="s">
        <v>394</v>
      </c>
      <c r="G96" s="15" t="s">
        <v>76</v>
      </c>
      <c r="H96" s="15" t="s">
        <v>579</v>
      </c>
      <c r="I96" s="15" t="s">
        <v>44</v>
      </c>
      <c r="J96" s="15" t="s">
        <v>45</v>
      </c>
      <c r="K96" s="15" t="s">
        <v>32</v>
      </c>
      <c r="L96" s="15" t="s">
        <v>97</v>
      </c>
      <c r="M96" s="15">
        <v>7</v>
      </c>
      <c r="N96" s="15">
        <v>3500</v>
      </c>
      <c r="O96" s="15">
        <v>15</v>
      </c>
      <c r="P96" s="15">
        <v>20825</v>
      </c>
      <c r="Q96" s="15">
        <v>3</v>
      </c>
      <c r="R96" s="15" t="s">
        <v>48</v>
      </c>
      <c r="S96" s="15" t="s">
        <v>49</v>
      </c>
      <c r="T96" s="15" t="s">
        <v>332</v>
      </c>
      <c r="U96" s="17" t="s">
        <v>580</v>
      </c>
      <c r="V96" s="15" t="s">
        <v>38</v>
      </c>
      <c r="W96" t="str">
        <f t="shared" si="7"/>
        <v>Silver</v>
      </c>
      <c r="X96" s="27" t="str">
        <f t="shared" si="8"/>
        <v>Amit Sharma</v>
      </c>
      <c r="Y96" s="29" t="str">
        <f t="shared" si="9"/>
        <v>Ami00IDDe</v>
      </c>
      <c r="Z96" s="30" t="str">
        <f t="shared" si="10"/>
        <v>amit.sharma@company.com</v>
      </c>
      <c r="AA96" s="32">
        <f t="shared" ca="1" si="11"/>
        <v>35</v>
      </c>
      <c r="AB96" s="33">
        <f t="shared" si="12"/>
        <v>3</v>
      </c>
      <c r="AC96" s="34" t="str">
        <f t="shared" si="13"/>
        <v>On Time</v>
      </c>
    </row>
    <row r="97" spans="1:29">
      <c r="A97" s="18" t="s">
        <v>581</v>
      </c>
      <c r="B97" s="18" t="s">
        <v>100</v>
      </c>
      <c r="C97" s="18" t="s">
        <v>169</v>
      </c>
      <c r="D97" s="18" t="s">
        <v>582</v>
      </c>
      <c r="E97" s="18" t="s">
        <v>583</v>
      </c>
      <c r="F97" s="18" t="s">
        <v>103</v>
      </c>
      <c r="G97" s="18" t="s">
        <v>28</v>
      </c>
      <c r="H97" s="18" t="s">
        <v>584</v>
      </c>
      <c r="I97" s="18" t="s">
        <v>294</v>
      </c>
      <c r="J97" s="18" t="s">
        <v>295</v>
      </c>
      <c r="K97" s="18" t="s">
        <v>32</v>
      </c>
      <c r="L97" s="18" t="s">
        <v>174</v>
      </c>
      <c r="M97" s="18">
        <v>19</v>
      </c>
      <c r="N97" s="18">
        <v>8500</v>
      </c>
      <c r="O97" s="18">
        <v>15</v>
      </c>
      <c r="P97" s="18">
        <v>137275</v>
      </c>
      <c r="Q97" s="18">
        <v>4</v>
      </c>
      <c r="R97" s="18" t="s">
        <v>79</v>
      </c>
      <c r="S97" s="18" t="s">
        <v>151</v>
      </c>
      <c r="T97" s="18" t="s">
        <v>144</v>
      </c>
      <c r="U97" s="19" t="s">
        <v>585</v>
      </c>
      <c r="V97" s="18" t="s">
        <v>64</v>
      </c>
      <c r="W97" t="str">
        <f t="shared" si="7"/>
        <v>Blacklisted</v>
      </c>
      <c r="X97" s="27" t="str">
        <f t="shared" si="8"/>
        <v>Priya Patel</v>
      </c>
      <c r="Y97" s="29" t="str">
        <f t="shared" si="9"/>
        <v>Pri00IDKo</v>
      </c>
      <c r="Z97" s="30" t="str">
        <f t="shared" si="10"/>
        <v>priya.patel@company.com</v>
      </c>
      <c r="AA97" s="32">
        <f t="shared" ca="1" si="11"/>
        <v>39</v>
      </c>
      <c r="AB97" s="33">
        <f t="shared" si="12"/>
        <v>3</v>
      </c>
      <c r="AC97" s="34" t="str">
        <f t="shared" si="13"/>
        <v>On Time</v>
      </c>
    </row>
    <row r="98" spans="1:29">
      <c r="A98" s="15" t="s">
        <v>586</v>
      </c>
      <c r="B98" s="15" t="s">
        <v>251</v>
      </c>
      <c r="C98" s="15" t="s">
        <v>40</v>
      </c>
      <c r="D98" s="15" t="s">
        <v>587</v>
      </c>
      <c r="E98" s="15" t="s">
        <v>588</v>
      </c>
      <c r="F98" s="15" t="s">
        <v>254</v>
      </c>
      <c r="G98" s="15" t="s">
        <v>28</v>
      </c>
      <c r="H98" s="15" t="s">
        <v>589</v>
      </c>
      <c r="I98" s="15" t="s">
        <v>138</v>
      </c>
      <c r="J98" s="15" t="s">
        <v>106</v>
      </c>
      <c r="K98" s="15" t="s">
        <v>46</v>
      </c>
      <c r="L98" s="15" t="s">
        <v>47</v>
      </c>
      <c r="M98" s="15">
        <v>13</v>
      </c>
      <c r="N98" s="15">
        <v>12000</v>
      </c>
      <c r="O98" s="15">
        <v>15</v>
      </c>
      <c r="P98" s="15">
        <v>132600</v>
      </c>
      <c r="Q98" s="15">
        <v>4</v>
      </c>
      <c r="R98" s="15" t="s">
        <v>34</v>
      </c>
      <c r="S98" s="15" t="s">
        <v>49</v>
      </c>
      <c r="T98" s="15" t="s">
        <v>256</v>
      </c>
      <c r="U98" s="17" t="s">
        <v>590</v>
      </c>
      <c r="V98" s="15" t="s">
        <v>38</v>
      </c>
      <c r="W98" t="str">
        <f t="shared" si="7"/>
        <v>Blacklisted</v>
      </c>
      <c r="X98" s="27" t="str">
        <f t="shared" si="8"/>
        <v>Sneha Joshi</v>
      </c>
      <c r="Y98" s="29" t="str">
        <f t="shared" si="9"/>
        <v>Sne00IDAh</v>
      </c>
      <c r="Z98" s="30" t="str">
        <f t="shared" si="10"/>
        <v>sneha.joshi@company.com</v>
      </c>
      <c r="AA98" s="32">
        <f t="shared" ca="1" si="11"/>
        <v>43</v>
      </c>
      <c r="AB98" s="33">
        <f t="shared" si="12"/>
        <v>9</v>
      </c>
      <c r="AC98" s="34" t="str">
        <f t="shared" si="13"/>
        <v>Delayed</v>
      </c>
    </row>
    <row r="99" spans="1:29">
      <c r="A99" s="18" t="s">
        <v>591</v>
      </c>
      <c r="B99" s="18" t="s">
        <v>327</v>
      </c>
      <c r="C99" s="18" t="s">
        <v>222</v>
      </c>
      <c r="D99" s="18" t="s">
        <v>592</v>
      </c>
      <c r="E99" s="18" t="s">
        <v>398</v>
      </c>
      <c r="F99" s="18" t="s">
        <v>394</v>
      </c>
      <c r="G99" s="18" t="s">
        <v>76</v>
      </c>
      <c r="H99" s="18" t="s">
        <v>593</v>
      </c>
      <c r="I99" s="18" t="s">
        <v>114</v>
      </c>
      <c r="J99" s="18" t="s">
        <v>106</v>
      </c>
      <c r="K99" s="18" t="s">
        <v>122</v>
      </c>
      <c r="L99" s="18" t="s">
        <v>227</v>
      </c>
      <c r="M99" s="18">
        <v>7</v>
      </c>
      <c r="N99" s="18">
        <v>20</v>
      </c>
      <c r="O99" s="18">
        <v>0</v>
      </c>
      <c r="P99" s="18">
        <v>140</v>
      </c>
      <c r="Q99" s="18">
        <v>1</v>
      </c>
      <c r="R99" s="18" t="s">
        <v>79</v>
      </c>
      <c r="S99" s="18" t="s">
        <v>151</v>
      </c>
      <c r="T99" s="18" t="s">
        <v>332</v>
      </c>
      <c r="U99" s="19" t="s">
        <v>594</v>
      </c>
      <c r="V99" s="18" t="s">
        <v>69</v>
      </c>
      <c r="W99" t="str">
        <f t="shared" si="7"/>
        <v>Blacklisted</v>
      </c>
      <c r="X99" s="27" t="str">
        <f t="shared" si="8"/>
        <v>Amit Sharma</v>
      </c>
      <c r="Y99" s="29" t="str">
        <f t="shared" si="9"/>
        <v>Ami00IDPu</v>
      </c>
      <c r="Z99" s="30" t="str">
        <f t="shared" si="10"/>
        <v>amit.sharma@company.com</v>
      </c>
      <c r="AA99" s="32">
        <f t="shared" ca="1" si="11"/>
        <v>37</v>
      </c>
      <c r="AB99" s="33">
        <f t="shared" si="12"/>
        <v>10</v>
      </c>
      <c r="AC99" s="34" t="str">
        <f t="shared" si="13"/>
        <v>Delayed</v>
      </c>
    </row>
    <row r="100" spans="1:29">
      <c r="A100" s="15" t="s">
        <v>595</v>
      </c>
      <c r="B100" s="15" t="s">
        <v>168</v>
      </c>
      <c r="C100" s="15" t="s">
        <v>184</v>
      </c>
      <c r="D100" s="15" t="s">
        <v>596</v>
      </c>
      <c r="E100" s="15" t="s">
        <v>597</v>
      </c>
      <c r="F100" s="15" t="s">
        <v>361</v>
      </c>
      <c r="G100" s="15" t="s">
        <v>28</v>
      </c>
      <c r="H100" s="15" t="s">
        <v>598</v>
      </c>
      <c r="I100" s="15" t="s">
        <v>44</v>
      </c>
      <c r="J100" s="15" t="s">
        <v>45</v>
      </c>
      <c r="K100" s="15" t="s">
        <v>46</v>
      </c>
      <c r="L100" s="15" t="s">
        <v>189</v>
      </c>
      <c r="M100" s="15">
        <v>5</v>
      </c>
      <c r="N100" s="15">
        <v>700</v>
      </c>
      <c r="O100" s="15">
        <v>15</v>
      </c>
      <c r="P100" s="15">
        <v>999999</v>
      </c>
      <c r="Q100" s="15">
        <v>4</v>
      </c>
      <c r="R100" s="15" t="s">
        <v>79</v>
      </c>
      <c r="S100" s="15" t="s">
        <v>35</v>
      </c>
      <c r="T100" s="15" t="s">
        <v>175</v>
      </c>
      <c r="U100" s="17" t="s">
        <v>599</v>
      </c>
      <c r="V100" s="15" t="s">
        <v>64</v>
      </c>
      <c r="W100" t="str">
        <f t="shared" si="7"/>
        <v>Blacklisted</v>
      </c>
      <c r="X100" s="27" t="str">
        <f t="shared" si="8"/>
        <v>Anita Gupta</v>
      </c>
      <c r="Y100" s="29" t="str">
        <f t="shared" si="9"/>
        <v>Ani00IDDe</v>
      </c>
      <c r="Z100" s="30" t="str">
        <f t="shared" si="10"/>
        <v>anita.gupta@company.com</v>
      </c>
      <c r="AA100" s="32">
        <f t="shared" ca="1" si="11"/>
        <v>39</v>
      </c>
      <c r="AB100" s="33">
        <f t="shared" si="12"/>
        <v>2</v>
      </c>
      <c r="AC100" s="34" t="str">
        <f t="shared" si="13"/>
        <v>On Time</v>
      </c>
    </row>
    <row r="101" spans="1:29">
      <c r="A101" s="18" t="s">
        <v>600</v>
      </c>
      <c r="B101" s="18" t="s">
        <v>83</v>
      </c>
      <c r="C101" s="18" t="s">
        <v>259</v>
      </c>
      <c r="D101" s="18" t="s">
        <v>583</v>
      </c>
      <c r="E101" s="18" t="s">
        <v>601</v>
      </c>
      <c r="F101" s="18" t="s">
        <v>180</v>
      </c>
      <c r="G101" s="18" t="s">
        <v>76</v>
      </c>
      <c r="H101" s="18" t="s">
        <v>602</v>
      </c>
      <c r="I101" s="18" t="s">
        <v>59</v>
      </c>
      <c r="J101" s="18" t="s">
        <v>31</v>
      </c>
      <c r="K101" s="18" t="s">
        <v>122</v>
      </c>
      <c r="L101" s="18" t="s">
        <v>263</v>
      </c>
      <c r="M101" s="18">
        <v>9</v>
      </c>
      <c r="N101" s="18">
        <v>45</v>
      </c>
      <c r="O101" s="18">
        <v>5</v>
      </c>
      <c r="P101" s="18">
        <v>384.75</v>
      </c>
      <c r="Q101" s="18">
        <v>3</v>
      </c>
      <c r="R101" s="18" t="s">
        <v>34</v>
      </c>
      <c r="S101" s="18" t="s">
        <v>35</v>
      </c>
      <c r="T101" s="18" t="s">
        <v>89</v>
      </c>
      <c r="U101" s="19" t="s">
        <v>603</v>
      </c>
      <c r="V101" s="18" t="s">
        <v>38</v>
      </c>
      <c r="W101" t="str">
        <f t="shared" si="7"/>
        <v>Silver</v>
      </c>
      <c r="X101" s="27" t="str">
        <f t="shared" si="8"/>
        <v>Arjun Rao</v>
      </c>
      <c r="Y101" s="29" t="str">
        <f t="shared" si="9"/>
        <v>Arj00IDBe</v>
      </c>
      <c r="Z101" s="30" t="str">
        <f t="shared" si="10"/>
        <v>arjun.rao@company.com</v>
      </c>
      <c r="AA101" s="32">
        <f t="shared" ca="1" si="11"/>
        <v>44</v>
      </c>
      <c r="AB101" s="33">
        <f t="shared" si="12"/>
        <v>3</v>
      </c>
      <c r="AC101" s="34" t="str">
        <f t="shared" si="13"/>
        <v>On Time</v>
      </c>
    </row>
    <row r="102" spans="1:29">
      <c r="A102" s="15" t="s">
        <v>604</v>
      </c>
      <c r="B102" s="15" t="s">
        <v>127</v>
      </c>
      <c r="C102" s="15" t="s">
        <v>118</v>
      </c>
      <c r="D102" s="15" t="s">
        <v>605</v>
      </c>
      <c r="E102" s="15" t="s">
        <v>606</v>
      </c>
      <c r="F102" s="15" t="s">
        <v>200</v>
      </c>
      <c r="G102" s="15" t="s">
        <v>76</v>
      </c>
      <c r="H102" s="15" t="s">
        <v>607</v>
      </c>
      <c r="I102" s="15" t="s">
        <v>294</v>
      </c>
      <c r="J102" s="15" t="s">
        <v>295</v>
      </c>
      <c r="K102" s="15" t="s">
        <v>122</v>
      </c>
      <c r="L102" s="15" t="s">
        <v>123</v>
      </c>
      <c r="M102" s="15">
        <v>19</v>
      </c>
      <c r="N102" s="15">
        <v>60</v>
      </c>
      <c r="O102" s="15">
        <v>10</v>
      </c>
      <c r="P102" s="15">
        <v>1026</v>
      </c>
      <c r="Q102" s="15">
        <v>5</v>
      </c>
      <c r="R102" s="15" t="s">
        <v>48</v>
      </c>
      <c r="S102" s="15" t="s">
        <v>115</v>
      </c>
      <c r="T102" s="15" t="s">
        <v>132</v>
      </c>
      <c r="U102" s="17" t="s">
        <v>608</v>
      </c>
      <c r="V102" s="15" t="s">
        <v>38</v>
      </c>
      <c r="W102" t="str">
        <f t="shared" si="7"/>
        <v>Silver</v>
      </c>
      <c r="X102" s="27" t="str">
        <f t="shared" si="8"/>
        <v>Rohit Singh</v>
      </c>
      <c r="Y102" s="29" t="str">
        <f t="shared" si="9"/>
        <v>Roh00IDKo</v>
      </c>
      <c r="Z102" s="30" t="str">
        <f t="shared" si="10"/>
        <v>rohit.singh@company.com</v>
      </c>
      <c r="AA102" s="32">
        <f t="shared" ca="1" si="11"/>
        <v>40</v>
      </c>
      <c r="AB102" s="33">
        <f t="shared" si="12"/>
        <v>8</v>
      </c>
      <c r="AC102" s="34" t="str">
        <f t="shared" si="13"/>
        <v>Delayed</v>
      </c>
    </row>
    <row r="103" spans="1:29">
      <c r="A103" s="18" t="s">
        <v>609</v>
      </c>
      <c r="B103" s="18" t="s">
        <v>327</v>
      </c>
      <c r="C103" s="18" t="s">
        <v>184</v>
      </c>
      <c r="D103" s="18" t="s">
        <v>610</v>
      </c>
      <c r="E103" s="18" t="s">
        <v>611</v>
      </c>
      <c r="F103" s="18" t="s">
        <v>394</v>
      </c>
      <c r="G103" s="18" t="s">
        <v>76</v>
      </c>
      <c r="H103" s="18" t="s">
        <v>612</v>
      </c>
      <c r="I103" s="18" t="s">
        <v>138</v>
      </c>
      <c r="J103" s="18" t="s">
        <v>106</v>
      </c>
      <c r="K103" s="18" t="s">
        <v>46</v>
      </c>
      <c r="L103" s="18" t="s">
        <v>189</v>
      </c>
      <c r="M103" s="18">
        <v>4</v>
      </c>
      <c r="N103" s="18">
        <v>700</v>
      </c>
      <c r="O103" s="18">
        <v>5</v>
      </c>
      <c r="P103" s="18">
        <v>2660</v>
      </c>
      <c r="Q103" s="18">
        <v>3</v>
      </c>
      <c r="R103" s="18" t="s">
        <v>48</v>
      </c>
      <c r="S103" s="18" t="s">
        <v>61</v>
      </c>
      <c r="T103" s="18" t="s">
        <v>332</v>
      </c>
      <c r="U103" s="19" t="s">
        <v>613</v>
      </c>
      <c r="V103" s="18" t="s">
        <v>38</v>
      </c>
      <c r="W103" t="str">
        <f t="shared" si="7"/>
        <v>Silver</v>
      </c>
      <c r="X103" s="27" t="str">
        <f t="shared" si="8"/>
        <v>Amit Sharma</v>
      </c>
      <c r="Y103" s="29" t="str">
        <f t="shared" si="9"/>
        <v>Ami00IDAh</v>
      </c>
      <c r="Z103" s="30" t="str">
        <f t="shared" si="10"/>
        <v>amit.sharma@company.com</v>
      </c>
      <c r="AA103" s="32">
        <f t="shared" ca="1" si="11"/>
        <v>39</v>
      </c>
      <c r="AB103" s="33">
        <f t="shared" si="12"/>
        <v>9</v>
      </c>
      <c r="AC103" s="34" t="str">
        <f t="shared" si="13"/>
        <v>Delayed</v>
      </c>
    </row>
    <row r="104" spans="1:29">
      <c r="A104" s="15" t="s">
        <v>614</v>
      </c>
      <c r="B104" s="15" t="s">
        <v>327</v>
      </c>
      <c r="C104" s="15" t="s">
        <v>92</v>
      </c>
      <c r="D104" s="15" t="s">
        <v>583</v>
      </c>
      <c r="E104" s="15" t="s">
        <v>615</v>
      </c>
      <c r="F104" s="15" t="s">
        <v>394</v>
      </c>
      <c r="G104" s="15" t="s">
        <v>76</v>
      </c>
      <c r="H104" s="15" t="s">
        <v>616</v>
      </c>
      <c r="I104" s="15" t="s">
        <v>114</v>
      </c>
      <c r="J104" s="15" t="s">
        <v>106</v>
      </c>
      <c r="K104" s="15" t="s">
        <v>32</v>
      </c>
      <c r="L104" s="15" t="s">
        <v>97</v>
      </c>
      <c r="M104" s="15">
        <v>16</v>
      </c>
      <c r="N104" s="15">
        <v>3500</v>
      </c>
      <c r="O104" s="15">
        <v>0</v>
      </c>
      <c r="P104" s="15">
        <v>56000</v>
      </c>
      <c r="Q104" s="15">
        <v>2</v>
      </c>
      <c r="R104" s="15" t="s">
        <v>79</v>
      </c>
      <c r="S104" s="15" t="s">
        <v>49</v>
      </c>
      <c r="T104" s="15" t="s">
        <v>332</v>
      </c>
      <c r="U104" s="17" t="s">
        <v>617</v>
      </c>
      <c r="V104" s="15" t="s">
        <v>38</v>
      </c>
      <c r="W104" t="str">
        <f t="shared" si="7"/>
        <v>Blacklisted</v>
      </c>
      <c r="X104" s="27" t="str">
        <f t="shared" si="8"/>
        <v>Amit Sharma</v>
      </c>
      <c r="Y104" s="29" t="str">
        <f t="shared" si="9"/>
        <v>Ami00IDPu</v>
      </c>
      <c r="Z104" s="30" t="str">
        <f t="shared" si="10"/>
        <v>amit.sharma@company.com</v>
      </c>
      <c r="AA104" s="32">
        <f t="shared" ca="1" si="11"/>
        <v>22</v>
      </c>
      <c r="AB104" s="33">
        <f t="shared" si="12"/>
        <v>8</v>
      </c>
      <c r="AC104" s="34" t="str">
        <f t="shared" si="13"/>
        <v>Delayed</v>
      </c>
    </row>
    <row r="105" spans="1:29">
      <c r="A105" s="18" t="s">
        <v>618</v>
      </c>
      <c r="B105" s="18" t="s">
        <v>251</v>
      </c>
      <c r="C105" s="18" t="s">
        <v>259</v>
      </c>
      <c r="D105" s="18" t="s">
        <v>619</v>
      </c>
      <c r="E105" s="18" t="s">
        <v>620</v>
      </c>
      <c r="F105" s="18" t="s">
        <v>254</v>
      </c>
      <c r="G105" s="18" t="s">
        <v>28</v>
      </c>
      <c r="H105" s="18" t="s">
        <v>621</v>
      </c>
      <c r="I105" s="18" t="s">
        <v>59</v>
      </c>
      <c r="J105" s="18" t="s">
        <v>31</v>
      </c>
      <c r="K105" s="18" t="s">
        <v>122</v>
      </c>
      <c r="L105" s="18" t="s">
        <v>263</v>
      </c>
      <c r="M105" s="18">
        <v>5</v>
      </c>
      <c r="N105" s="18">
        <v>45</v>
      </c>
      <c r="O105" s="18">
        <v>20</v>
      </c>
      <c r="P105" s="18">
        <v>180</v>
      </c>
      <c r="Q105" s="18">
        <v>3</v>
      </c>
      <c r="R105" s="18" t="s">
        <v>79</v>
      </c>
      <c r="S105" s="18" t="s">
        <v>35</v>
      </c>
      <c r="T105" s="18" t="s">
        <v>256</v>
      </c>
      <c r="U105" s="19" t="s">
        <v>622</v>
      </c>
      <c r="V105" s="18" t="s">
        <v>38</v>
      </c>
      <c r="W105" t="str">
        <f t="shared" si="7"/>
        <v>Silver</v>
      </c>
      <c r="X105" s="27" t="str">
        <f t="shared" si="8"/>
        <v>Sneha Joshi</v>
      </c>
      <c r="Y105" s="29" t="str">
        <f t="shared" si="9"/>
        <v>Sne00IDBe</v>
      </c>
      <c r="Z105" s="30" t="str">
        <f t="shared" si="10"/>
        <v>sneha.joshi@company.com</v>
      </c>
      <c r="AA105" s="32">
        <f t="shared" ca="1" si="11"/>
        <v>25</v>
      </c>
      <c r="AB105" s="33">
        <f t="shared" si="12"/>
        <v>7</v>
      </c>
      <c r="AC105" s="34" t="str">
        <f t="shared" si="13"/>
        <v>Delayed</v>
      </c>
    </row>
    <row r="106" spans="1:29">
      <c r="A106" s="15" t="s">
        <v>623</v>
      </c>
      <c r="B106" s="15" t="s">
        <v>83</v>
      </c>
      <c r="C106" s="15" t="s">
        <v>222</v>
      </c>
      <c r="D106" s="15" t="s">
        <v>624</v>
      </c>
      <c r="E106" s="15" t="s">
        <v>525</v>
      </c>
      <c r="F106" s="15" t="s">
        <v>180</v>
      </c>
      <c r="G106" s="15" t="s">
        <v>76</v>
      </c>
      <c r="H106" s="15" t="s">
        <v>625</v>
      </c>
      <c r="I106" s="15" t="s">
        <v>105</v>
      </c>
      <c r="J106" s="15" t="s">
        <v>106</v>
      </c>
      <c r="K106" s="15" t="s">
        <v>122</v>
      </c>
      <c r="L106" s="15" t="s">
        <v>227</v>
      </c>
      <c r="M106" s="15">
        <v>9</v>
      </c>
      <c r="N106" s="15">
        <v>20</v>
      </c>
      <c r="O106" s="15">
        <v>10</v>
      </c>
      <c r="P106" s="15">
        <v>162</v>
      </c>
      <c r="Q106" s="15">
        <v>4</v>
      </c>
      <c r="R106" s="15" t="s">
        <v>79</v>
      </c>
      <c r="S106" s="15" t="s">
        <v>35</v>
      </c>
      <c r="T106" s="15" t="s">
        <v>89</v>
      </c>
      <c r="U106" s="17" t="s">
        <v>626</v>
      </c>
      <c r="V106" s="15" t="s">
        <v>64</v>
      </c>
      <c r="W106" t="str">
        <f t="shared" si="7"/>
        <v>Blacklisted</v>
      </c>
      <c r="X106" s="27" t="str">
        <f t="shared" si="8"/>
        <v>Arjun Rao</v>
      </c>
      <c r="Y106" s="29" t="str">
        <f t="shared" si="9"/>
        <v>Arj00IDMu</v>
      </c>
      <c r="Z106" s="30" t="str">
        <f t="shared" si="10"/>
        <v>arjun.rao@company.com</v>
      </c>
      <c r="AA106" s="32">
        <f t="shared" ca="1" si="11"/>
        <v>30</v>
      </c>
      <c r="AB106" s="33">
        <f t="shared" si="12"/>
        <v>1</v>
      </c>
      <c r="AC106" s="34" t="str">
        <f t="shared" si="13"/>
        <v>On Time</v>
      </c>
    </row>
    <row r="107" spans="1:29">
      <c r="A107" s="18" t="s">
        <v>627</v>
      </c>
      <c r="B107" s="18" t="s">
        <v>53</v>
      </c>
      <c r="C107" s="18" t="s">
        <v>72</v>
      </c>
      <c r="D107" s="18" t="s">
        <v>628</v>
      </c>
      <c r="E107" s="18" t="s">
        <v>431</v>
      </c>
      <c r="F107" s="18" t="s">
        <v>163</v>
      </c>
      <c r="G107" s="18" t="s">
        <v>28</v>
      </c>
      <c r="H107" s="18" t="s">
        <v>629</v>
      </c>
      <c r="I107" s="18" t="s">
        <v>44</v>
      </c>
      <c r="J107" s="18" t="s">
        <v>45</v>
      </c>
      <c r="K107" s="18" t="s">
        <v>46</v>
      </c>
      <c r="L107" s="18" t="s">
        <v>78</v>
      </c>
      <c r="M107" s="18">
        <v>9</v>
      </c>
      <c r="N107" s="18">
        <v>1200</v>
      </c>
      <c r="O107" s="18">
        <v>5</v>
      </c>
      <c r="P107" s="18">
        <v>10260</v>
      </c>
      <c r="Q107" s="18">
        <v>3</v>
      </c>
      <c r="R107" s="18" t="s">
        <v>88</v>
      </c>
      <c r="S107" s="18" t="s">
        <v>35</v>
      </c>
      <c r="T107" s="18" t="s">
        <v>62</v>
      </c>
      <c r="U107" s="19" t="s">
        <v>630</v>
      </c>
      <c r="V107" s="18" t="s">
        <v>64</v>
      </c>
      <c r="W107" t="str">
        <f t="shared" si="7"/>
        <v>Blacklisted</v>
      </c>
      <c r="X107" s="27" t="str">
        <f t="shared" si="8"/>
        <v>Pooja Shah</v>
      </c>
      <c r="Y107" s="29" t="str">
        <f t="shared" si="9"/>
        <v>Poo01IDDe</v>
      </c>
      <c r="Z107" s="30" t="str">
        <f t="shared" si="10"/>
        <v>pooja.shah@company.com</v>
      </c>
      <c r="AA107" s="32">
        <f t="shared" ca="1" si="11"/>
        <v>47</v>
      </c>
      <c r="AB107" s="33">
        <f t="shared" si="12"/>
        <v>4</v>
      </c>
      <c r="AC107" s="34" t="str">
        <f t="shared" si="13"/>
        <v>On Time</v>
      </c>
    </row>
    <row r="108" spans="1:29">
      <c r="A108" s="15" t="s">
        <v>631</v>
      </c>
      <c r="B108" s="15" t="s">
        <v>100</v>
      </c>
      <c r="C108" s="15" t="s">
        <v>92</v>
      </c>
      <c r="D108" s="15" t="s">
        <v>387</v>
      </c>
      <c r="E108" s="15" t="s">
        <v>632</v>
      </c>
      <c r="F108" s="15" t="s">
        <v>103</v>
      </c>
      <c r="G108" s="15" t="s">
        <v>28</v>
      </c>
      <c r="H108" s="15" t="s">
        <v>633</v>
      </c>
      <c r="I108" s="15" t="s">
        <v>44</v>
      </c>
      <c r="J108" s="15" t="s">
        <v>45</v>
      </c>
      <c r="K108" s="15" t="s">
        <v>32</v>
      </c>
      <c r="L108" s="15" t="s">
        <v>97</v>
      </c>
      <c r="M108" s="15">
        <v>3</v>
      </c>
      <c r="N108" s="15">
        <v>3500</v>
      </c>
      <c r="O108" s="15">
        <v>10</v>
      </c>
      <c r="P108" s="15">
        <v>9450</v>
      </c>
      <c r="Q108" s="15">
        <v>2</v>
      </c>
      <c r="R108" s="15" t="s">
        <v>79</v>
      </c>
      <c r="S108" s="15" t="s">
        <v>151</v>
      </c>
      <c r="T108" s="15" t="s">
        <v>144</v>
      </c>
      <c r="U108" s="17" t="s">
        <v>634</v>
      </c>
      <c r="V108" s="15" t="s">
        <v>69</v>
      </c>
      <c r="W108" t="str">
        <f t="shared" si="7"/>
        <v>Blacklisted</v>
      </c>
      <c r="X108" s="27" t="str">
        <f t="shared" si="8"/>
        <v>Priya Patel</v>
      </c>
      <c r="Y108" s="29" t="str">
        <f t="shared" si="9"/>
        <v>Pri00IDDe</v>
      </c>
      <c r="Z108" s="30" t="str">
        <f t="shared" si="10"/>
        <v>priya.patel@company.com</v>
      </c>
      <c r="AA108" s="32">
        <f t="shared" ca="1" si="11"/>
        <v>40</v>
      </c>
      <c r="AB108" s="33">
        <f t="shared" si="12"/>
        <v>1</v>
      </c>
      <c r="AC108" s="34" t="str">
        <f t="shared" si="13"/>
        <v>On Time</v>
      </c>
    </row>
    <row r="109" spans="1:29">
      <c r="A109" s="18" t="s">
        <v>635</v>
      </c>
      <c r="B109" s="18" t="s">
        <v>221</v>
      </c>
      <c r="C109" s="18" t="s">
        <v>72</v>
      </c>
      <c r="D109" s="18" t="s">
        <v>241</v>
      </c>
      <c r="E109" s="18" t="s">
        <v>636</v>
      </c>
      <c r="F109" s="18" t="s">
        <v>225</v>
      </c>
      <c r="G109" s="18" t="s">
        <v>76</v>
      </c>
      <c r="H109" s="18" t="s">
        <v>637</v>
      </c>
      <c r="I109" s="18" t="s">
        <v>105</v>
      </c>
      <c r="J109" s="18" t="s">
        <v>106</v>
      </c>
      <c r="K109" s="18" t="s">
        <v>46</v>
      </c>
      <c r="L109" s="18" t="s">
        <v>78</v>
      </c>
      <c r="M109" s="18">
        <v>6</v>
      </c>
      <c r="N109" s="18">
        <v>1200</v>
      </c>
      <c r="O109" s="18">
        <v>15</v>
      </c>
      <c r="P109" s="18">
        <v>6120</v>
      </c>
      <c r="Q109" s="18">
        <v>4</v>
      </c>
      <c r="R109" s="18" t="s">
        <v>88</v>
      </c>
      <c r="S109" s="18" t="s">
        <v>35</v>
      </c>
      <c r="T109" s="18" t="s">
        <v>228</v>
      </c>
      <c r="U109" s="19" t="s">
        <v>638</v>
      </c>
      <c r="V109" s="18" t="s">
        <v>69</v>
      </c>
      <c r="W109" t="str">
        <f t="shared" si="7"/>
        <v>Blacklisted</v>
      </c>
      <c r="X109" s="27" t="str">
        <f t="shared" si="8"/>
        <v>Vikas Mehta</v>
      </c>
      <c r="Y109" s="29" t="str">
        <f t="shared" si="9"/>
        <v>Vik00IDMu</v>
      </c>
      <c r="Z109" s="30" t="str">
        <f t="shared" si="10"/>
        <v>vikas.mehta@company.com</v>
      </c>
      <c r="AA109" s="32">
        <f t="shared" ca="1" si="11"/>
        <v>34</v>
      </c>
      <c r="AB109" s="33">
        <f t="shared" si="12"/>
        <v>5</v>
      </c>
      <c r="AC109" s="34" t="str">
        <f t="shared" si="13"/>
        <v>On Time</v>
      </c>
    </row>
    <row r="110" spans="1:29">
      <c r="A110" s="15" t="s">
        <v>639</v>
      </c>
      <c r="B110" s="15" t="s">
        <v>83</v>
      </c>
      <c r="C110" s="15" t="s">
        <v>72</v>
      </c>
      <c r="D110" s="15" t="s">
        <v>640</v>
      </c>
      <c r="E110" s="15" t="s">
        <v>641</v>
      </c>
      <c r="F110" s="15" t="s">
        <v>180</v>
      </c>
      <c r="G110" s="15" t="s">
        <v>76</v>
      </c>
      <c r="H110" s="15" t="s">
        <v>642</v>
      </c>
      <c r="I110" s="15" t="s">
        <v>212</v>
      </c>
      <c r="J110" s="15" t="s">
        <v>45</v>
      </c>
      <c r="K110" s="15" t="s">
        <v>46</v>
      </c>
      <c r="L110" s="15" t="s">
        <v>78</v>
      </c>
      <c r="M110" s="15">
        <v>17</v>
      </c>
      <c r="N110" s="15">
        <v>1200</v>
      </c>
      <c r="O110" s="15">
        <v>15</v>
      </c>
      <c r="P110" s="15">
        <v>17340</v>
      </c>
      <c r="Q110" s="15">
        <v>1</v>
      </c>
      <c r="R110" s="15" t="s">
        <v>34</v>
      </c>
      <c r="S110" s="15" t="s">
        <v>61</v>
      </c>
      <c r="T110" s="15" t="s">
        <v>89</v>
      </c>
      <c r="U110" s="17" t="s">
        <v>643</v>
      </c>
      <c r="V110" s="15" t="s">
        <v>38</v>
      </c>
      <c r="W110" t="str">
        <f t="shared" si="7"/>
        <v>Blacklisted</v>
      </c>
      <c r="X110" s="27" t="str">
        <f t="shared" si="8"/>
        <v>Arjun Rao</v>
      </c>
      <c r="Y110" s="29" t="str">
        <f t="shared" si="9"/>
        <v>Arj00IDJa</v>
      </c>
      <c r="Z110" s="30" t="str">
        <f t="shared" si="10"/>
        <v>arjun.rao@company.com</v>
      </c>
      <c r="AA110" s="32">
        <f t="shared" ca="1" si="11"/>
        <v>33</v>
      </c>
      <c r="AB110" s="33">
        <f t="shared" si="12"/>
        <v>2</v>
      </c>
      <c r="AC110" s="34" t="str">
        <f t="shared" si="13"/>
        <v>On Time</v>
      </c>
    </row>
    <row r="111" spans="1:29">
      <c r="A111" s="18" t="s">
        <v>644</v>
      </c>
      <c r="B111" s="18" t="s">
        <v>221</v>
      </c>
      <c r="C111" s="18" t="s">
        <v>169</v>
      </c>
      <c r="D111" s="18" t="s">
        <v>645</v>
      </c>
      <c r="E111" s="18" t="s">
        <v>287</v>
      </c>
      <c r="F111" s="18" t="s">
        <v>225</v>
      </c>
      <c r="G111" s="18" t="s">
        <v>76</v>
      </c>
      <c r="H111" s="18" t="s">
        <v>646</v>
      </c>
      <c r="I111" s="18" t="s">
        <v>59</v>
      </c>
      <c r="J111" s="18" t="s">
        <v>31</v>
      </c>
      <c r="K111" s="18" t="s">
        <v>32</v>
      </c>
      <c r="L111" s="18" t="s">
        <v>174</v>
      </c>
      <c r="M111" s="18">
        <v>15</v>
      </c>
      <c r="N111" s="18">
        <v>8500</v>
      </c>
      <c r="O111" s="18">
        <v>0</v>
      </c>
      <c r="P111" s="18">
        <v>127500</v>
      </c>
      <c r="Q111" s="18">
        <v>3</v>
      </c>
      <c r="R111" s="18" t="s">
        <v>34</v>
      </c>
      <c r="S111" s="18" t="s">
        <v>115</v>
      </c>
      <c r="T111" s="18" t="s">
        <v>228</v>
      </c>
      <c r="U111" s="19" t="s">
        <v>647</v>
      </c>
      <c r="V111" s="18" t="s">
        <v>64</v>
      </c>
      <c r="W111" t="str">
        <f t="shared" si="7"/>
        <v>Blacklisted</v>
      </c>
      <c r="X111" s="27" t="str">
        <f t="shared" si="8"/>
        <v>Vikas Mehta</v>
      </c>
      <c r="Y111" s="29" t="str">
        <f t="shared" si="9"/>
        <v>Vik00IDBe</v>
      </c>
      <c r="Z111" s="30" t="str">
        <f t="shared" si="10"/>
        <v>vikas.mehta@company.com</v>
      </c>
      <c r="AA111" s="32">
        <f t="shared" ca="1" si="11"/>
        <v>49</v>
      </c>
      <c r="AB111" s="33">
        <f t="shared" si="12"/>
        <v>8</v>
      </c>
      <c r="AC111" s="34" t="str">
        <f t="shared" si="13"/>
        <v>Delayed</v>
      </c>
    </row>
    <row r="112" spans="1:29">
      <c r="A112" s="15" t="s">
        <v>648</v>
      </c>
      <c r="B112" s="15" t="s">
        <v>127</v>
      </c>
      <c r="C112" s="15" t="s">
        <v>72</v>
      </c>
      <c r="D112" s="15" t="s">
        <v>101</v>
      </c>
      <c r="E112" s="15" t="s">
        <v>102</v>
      </c>
      <c r="F112" s="15" t="s">
        <v>200</v>
      </c>
      <c r="G112" s="15" t="s">
        <v>76</v>
      </c>
      <c r="H112" s="15" t="s">
        <v>649</v>
      </c>
      <c r="I112" s="15" t="s">
        <v>30</v>
      </c>
      <c r="J112" s="15" t="s">
        <v>31</v>
      </c>
      <c r="K112" s="15" t="s">
        <v>46</v>
      </c>
      <c r="L112" s="15" t="s">
        <v>78</v>
      </c>
      <c r="M112" s="15">
        <v>1</v>
      </c>
      <c r="N112" s="15">
        <v>1200</v>
      </c>
      <c r="O112" s="15">
        <v>20</v>
      </c>
      <c r="P112" s="15">
        <v>960</v>
      </c>
      <c r="Q112" s="15">
        <v>1</v>
      </c>
      <c r="R112" s="15" t="s">
        <v>88</v>
      </c>
      <c r="S112" s="15" t="s">
        <v>115</v>
      </c>
      <c r="T112" s="15" t="s">
        <v>132</v>
      </c>
      <c r="U112" s="17" t="s">
        <v>650</v>
      </c>
      <c r="V112" s="15" t="s">
        <v>64</v>
      </c>
      <c r="W112" t="str">
        <f t="shared" si="7"/>
        <v>Blacklisted</v>
      </c>
      <c r="X112" s="27" t="str">
        <f t="shared" si="8"/>
        <v>Rohit Singh</v>
      </c>
      <c r="Y112" s="29" t="str">
        <f t="shared" si="9"/>
        <v>Roh00IDHy</v>
      </c>
      <c r="Z112" s="30" t="str">
        <f t="shared" si="10"/>
        <v>rohit.singh@company.com</v>
      </c>
      <c r="AA112" s="32">
        <f t="shared" ca="1" si="11"/>
        <v>40</v>
      </c>
      <c r="AB112" s="33">
        <f t="shared" si="12"/>
        <v>6</v>
      </c>
      <c r="AC112" s="34" t="str">
        <f t="shared" si="13"/>
        <v>Delayed</v>
      </c>
    </row>
    <row r="113" spans="1:29">
      <c r="A113" s="18" t="s">
        <v>651</v>
      </c>
      <c r="B113" s="18" t="s">
        <v>127</v>
      </c>
      <c r="C113" s="18" t="s">
        <v>169</v>
      </c>
      <c r="D113" s="18" t="s">
        <v>652</v>
      </c>
      <c r="E113" s="18" t="s">
        <v>539</v>
      </c>
      <c r="F113" s="18" t="s">
        <v>200</v>
      </c>
      <c r="G113" s="18" t="s">
        <v>76</v>
      </c>
      <c r="H113" s="18" t="s">
        <v>653</v>
      </c>
      <c r="I113" s="18" t="s">
        <v>294</v>
      </c>
      <c r="J113" s="18" t="s">
        <v>295</v>
      </c>
      <c r="K113" s="18" t="s">
        <v>32</v>
      </c>
      <c r="L113" s="18" t="s">
        <v>174</v>
      </c>
      <c r="M113" s="18">
        <v>5</v>
      </c>
      <c r="N113" s="18">
        <v>8500</v>
      </c>
      <c r="O113" s="18">
        <v>10</v>
      </c>
      <c r="P113" s="18">
        <v>38250</v>
      </c>
      <c r="Q113" s="18">
        <v>1</v>
      </c>
      <c r="R113" s="18" t="s">
        <v>79</v>
      </c>
      <c r="S113" s="18" t="s">
        <v>61</v>
      </c>
      <c r="T113" s="18" t="s">
        <v>132</v>
      </c>
      <c r="U113" s="19" t="s">
        <v>654</v>
      </c>
      <c r="V113" s="18" t="s">
        <v>38</v>
      </c>
      <c r="W113" t="str">
        <f t="shared" si="7"/>
        <v>Blacklisted</v>
      </c>
      <c r="X113" s="27" t="str">
        <f t="shared" si="8"/>
        <v>Rohit Singh</v>
      </c>
      <c r="Y113" s="29" t="str">
        <f t="shared" si="9"/>
        <v>Roh00IDKo</v>
      </c>
      <c r="Z113" s="30" t="str">
        <f t="shared" si="10"/>
        <v>rohit.singh@company.com</v>
      </c>
      <c r="AA113" s="32">
        <f t="shared" ca="1" si="11"/>
        <v>25</v>
      </c>
      <c r="AB113" s="33">
        <f t="shared" si="12"/>
        <v>9</v>
      </c>
      <c r="AC113" s="34" t="str">
        <f t="shared" si="13"/>
        <v>Delayed</v>
      </c>
    </row>
    <row r="114" spans="1:29">
      <c r="A114" s="15" t="s">
        <v>655</v>
      </c>
      <c r="B114" s="15" t="s">
        <v>53</v>
      </c>
      <c r="C114" s="15" t="s">
        <v>259</v>
      </c>
      <c r="D114" s="15" t="s">
        <v>656</v>
      </c>
      <c r="E114" s="15" t="s">
        <v>657</v>
      </c>
      <c r="F114" s="15" t="s">
        <v>163</v>
      </c>
      <c r="G114" s="15" t="s">
        <v>28</v>
      </c>
      <c r="H114" s="15" t="s">
        <v>658</v>
      </c>
      <c r="I114" s="15" t="s">
        <v>30</v>
      </c>
      <c r="J114" s="15" t="s">
        <v>31</v>
      </c>
      <c r="K114" s="15" t="s">
        <v>122</v>
      </c>
      <c r="L114" s="15" t="s">
        <v>263</v>
      </c>
      <c r="M114" s="15">
        <v>12</v>
      </c>
      <c r="N114" s="15">
        <v>45</v>
      </c>
      <c r="O114" s="15">
        <v>5</v>
      </c>
      <c r="P114" s="15">
        <v>513</v>
      </c>
      <c r="Q114" s="15">
        <v>2</v>
      </c>
      <c r="R114" s="15" t="s">
        <v>48</v>
      </c>
      <c r="S114" s="15" t="s">
        <v>35</v>
      </c>
      <c r="T114" s="15" t="s">
        <v>62</v>
      </c>
      <c r="U114" s="17" t="s">
        <v>659</v>
      </c>
      <c r="V114" s="15" t="s">
        <v>69</v>
      </c>
      <c r="W114" t="str">
        <f t="shared" si="7"/>
        <v>Blacklisted</v>
      </c>
      <c r="X114" s="27" t="str">
        <f t="shared" si="8"/>
        <v>Pooja Shah</v>
      </c>
      <c r="Y114" s="29" t="str">
        <f t="shared" si="9"/>
        <v>Poo01IDHy</v>
      </c>
      <c r="Z114" s="30" t="str">
        <f t="shared" si="10"/>
        <v>pooja.shah@company.com</v>
      </c>
      <c r="AA114" s="32">
        <f t="shared" ca="1" si="11"/>
        <v>40</v>
      </c>
      <c r="AB114" s="33">
        <f t="shared" si="12"/>
        <v>7</v>
      </c>
      <c r="AC114" s="34" t="str">
        <f t="shared" si="13"/>
        <v>Delayed</v>
      </c>
    </row>
    <row r="115" spans="1:29">
      <c r="A115" s="18" t="s">
        <v>660</v>
      </c>
      <c r="B115" s="18" t="s">
        <v>221</v>
      </c>
      <c r="C115" s="18" t="s">
        <v>118</v>
      </c>
      <c r="D115" s="18" t="s">
        <v>341</v>
      </c>
      <c r="E115" s="18" t="s">
        <v>661</v>
      </c>
      <c r="F115" s="18" t="s">
        <v>225</v>
      </c>
      <c r="G115" s="18" t="s">
        <v>76</v>
      </c>
      <c r="H115" s="18" t="s">
        <v>662</v>
      </c>
      <c r="I115" s="18" t="s">
        <v>114</v>
      </c>
      <c r="J115" s="18" t="s">
        <v>106</v>
      </c>
      <c r="K115" s="18" t="s">
        <v>122</v>
      </c>
      <c r="L115" s="18" t="s">
        <v>123</v>
      </c>
      <c r="M115" s="18">
        <v>5</v>
      </c>
      <c r="N115" s="18">
        <v>60</v>
      </c>
      <c r="O115" s="18">
        <v>5</v>
      </c>
      <c r="P115" s="18">
        <v>285</v>
      </c>
      <c r="Q115" s="18">
        <v>2</v>
      </c>
      <c r="R115" s="18" t="s">
        <v>34</v>
      </c>
      <c r="S115" s="18" t="s">
        <v>61</v>
      </c>
      <c r="T115" s="18" t="s">
        <v>228</v>
      </c>
      <c r="U115" s="19" t="s">
        <v>663</v>
      </c>
      <c r="V115" s="18" t="s">
        <v>38</v>
      </c>
      <c r="W115" t="str">
        <f t="shared" si="7"/>
        <v>Blacklisted</v>
      </c>
      <c r="X115" s="27" t="str">
        <f t="shared" si="8"/>
        <v>Vikas Mehta</v>
      </c>
      <c r="Y115" s="29" t="str">
        <f t="shared" si="9"/>
        <v>Vik00IDPu</v>
      </c>
      <c r="Z115" s="30" t="str">
        <f t="shared" si="10"/>
        <v>vikas.mehta@company.com</v>
      </c>
      <c r="AA115" s="32">
        <f t="shared" ca="1" si="11"/>
        <v>36</v>
      </c>
      <c r="AB115" s="33">
        <f t="shared" si="12"/>
        <v>5</v>
      </c>
      <c r="AC115" s="34" t="str">
        <f t="shared" si="13"/>
        <v>On Time</v>
      </c>
    </row>
    <row r="116" spans="1:29">
      <c r="A116" s="15" t="s">
        <v>664</v>
      </c>
      <c r="B116" s="15" t="s">
        <v>53</v>
      </c>
      <c r="C116" s="15" t="s">
        <v>184</v>
      </c>
      <c r="D116" s="15" t="s">
        <v>665</v>
      </c>
      <c r="E116" s="15" t="s">
        <v>666</v>
      </c>
      <c r="F116" s="15" t="s">
        <v>163</v>
      </c>
      <c r="G116" s="15" t="s">
        <v>28</v>
      </c>
      <c r="H116" s="15" t="s">
        <v>667</v>
      </c>
      <c r="I116" s="15" t="s">
        <v>294</v>
      </c>
      <c r="J116" s="15" t="s">
        <v>295</v>
      </c>
      <c r="K116" s="15" t="s">
        <v>46</v>
      </c>
      <c r="L116" s="15" t="s">
        <v>189</v>
      </c>
      <c r="M116" s="15">
        <v>3</v>
      </c>
      <c r="N116" s="15">
        <v>700</v>
      </c>
      <c r="O116" s="15">
        <v>0</v>
      </c>
      <c r="P116" s="15">
        <v>2100</v>
      </c>
      <c r="Q116" s="15">
        <v>4</v>
      </c>
      <c r="R116" s="15" t="s">
        <v>79</v>
      </c>
      <c r="S116" s="15" t="s">
        <v>61</v>
      </c>
      <c r="T116" s="15" t="s">
        <v>62</v>
      </c>
      <c r="U116" s="17" t="s">
        <v>668</v>
      </c>
      <c r="V116" s="15" t="s">
        <v>38</v>
      </c>
      <c r="W116" t="str">
        <f t="shared" si="7"/>
        <v>Silver</v>
      </c>
      <c r="X116" s="27" t="str">
        <f t="shared" si="8"/>
        <v>Pooja Shah</v>
      </c>
      <c r="Y116" s="29" t="str">
        <f t="shared" si="9"/>
        <v>Poo01IDKo</v>
      </c>
      <c r="Z116" s="30" t="str">
        <f t="shared" si="10"/>
        <v>pooja.shah@company.com</v>
      </c>
      <c r="AA116" s="32">
        <f t="shared" ca="1" si="11"/>
        <v>32</v>
      </c>
      <c r="AB116" s="33">
        <f t="shared" si="12"/>
        <v>11</v>
      </c>
      <c r="AC116" s="34" t="str">
        <f t="shared" si="13"/>
        <v>Delayed</v>
      </c>
    </row>
    <row r="117" spans="1:29">
      <c r="A117" s="18" t="s">
        <v>669</v>
      </c>
      <c r="B117" s="18" t="s">
        <v>168</v>
      </c>
      <c r="C117" s="18" t="s">
        <v>222</v>
      </c>
      <c r="D117" s="18" t="s">
        <v>335</v>
      </c>
      <c r="E117" s="18" t="s">
        <v>606</v>
      </c>
      <c r="F117" s="18" t="s">
        <v>361</v>
      </c>
      <c r="G117" s="18" t="s">
        <v>28</v>
      </c>
      <c r="H117" s="18" t="s">
        <v>670</v>
      </c>
      <c r="I117" s="18" t="s">
        <v>44</v>
      </c>
      <c r="J117" s="18" t="s">
        <v>45</v>
      </c>
      <c r="K117" s="18" t="s">
        <v>122</v>
      </c>
      <c r="L117" s="18" t="s">
        <v>227</v>
      </c>
      <c r="M117" s="18">
        <v>6</v>
      </c>
      <c r="N117" s="18">
        <v>20</v>
      </c>
      <c r="O117" s="18">
        <v>15</v>
      </c>
      <c r="P117" s="18">
        <v>102</v>
      </c>
      <c r="Q117" s="18">
        <v>5</v>
      </c>
      <c r="R117" s="18" t="s">
        <v>79</v>
      </c>
      <c r="S117" s="18" t="s">
        <v>151</v>
      </c>
      <c r="T117" s="18" t="s">
        <v>175</v>
      </c>
      <c r="U117" s="19" t="s">
        <v>671</v>
      </c>
      <c r="V117" s="18" t="s">
        <v>38</v>
      </c>
      <c r="W117" t="str">
        <f t="shared" si="7"/>
        <v>Silver</v>
      </c>
      <c r="X117" s="27" t="str">
        <f t="shared" si="8"/>
        <v>Anita Gupta</v>
      </c>
      <c r="Y117" s="29" t="str">
        <f t="shared" si="9"/>
        <v>Ani00IDDe</v>
      </c>
      <c r="Z117" s="30" t="str">
        <f t="shared" si="10"/>
        <v>anita.gupta@company.com</v>
      </c>
      <c r="AA117" s="32">
        <f t="shared" ca="1" si="11"/>
        <v>34</v>
      </c>
      <c r="AB117" s="33">
        <f t="shared" si="12"/>
        <v>4</v>
      </c>
      <c r="AC117" s="34" t="str">
        <f t="shared" si="13"/>
        <v>On Time</v>
      </c>
    </row>
    <row r="118" spans="1:29">
      <c r="A118" s="15" t="s">
        <v>672</v>
      </c>
      <c r="B118" s="15" t="s">
        <v>100</v>
      </c>
      <c r="C118" s="15" t="s">
        <v>184</v>
      </c>
      <c r="D118" s="15" t="s">
        <v>673</v>
      </c>
      <c r="E118" s="15" t="s">
        <v>674</v>
      </c>
      <c r="F118" s="15" t="s">
        <v>103</v>
      </c>
      <c r="G118" s="15" t="s">
        <v>28</v>
      </c>
      <c r="H118" s="15" t="s">
        <v>675</v>
      </c>
      <c r="I118" s="15" t="s">
        <v>59</v>
      </c>
      <c r="J118" s="15" t="s">
        <v>31</v>
      </c>
      <c r="K118" s="15" t="s">
        <v>46</v>
      </c>
      <c r="L118" s="15" t="s">
        <v>189</v>
      </c>
      <c r="M118" s="15">
        <v>2</v>
      </c>
      <c r="N118" s="15">
        <v>700</v>
      </c>
      <c r="O118" s="15">
        <v>15</v>
      </c>
      <c r="P118" s="15">
        <v>1190</v>
      </c>
      <c r="Q118" s="15">
        <v>4</v>
      </c>
      <c r="R118" s="15" t="s">
        <v>34</v>
      </c>
      <c r="S118" s="15" t="s">
        <v>151</v>
      </c>
      <c r="T118" s="15" t="s">
        <v>144</v>
      </c>
      <c r="U118" s="17" t="s">
        <v>676</v>
      </c>
      <c r="V118" s="15" t="s">
        <v>64</v>
      </c>
      <c r="W118" t="str">
        <f t="shared" si="7"/>
        <v>Blacklisted</v>
      </c>
      <c r="X118" s="27" t="str">
        <f t="shared" si="8"/>
        <v>Priya Patel</v>
      </c>
      <c r="Y118" s="29" t="str">
        <f t="shared" si="9"/>
        <v>Pri00IDBe</v>
      </c>
      <c r="Z118" s="30" t="str">
        <f t="shared" si="10"/>
        <v>priya.patel@company.com</v>
      </c>
      <c r="AA118" s="32">
        <f t="shared" ca="1" si="11"/>
        <v>46</v>
      </c>
      <c r="AB118" s="33">
        <f t="shared" si="12"/>
        <v>7</v>
      </c>
      <c r="AC118" s="34" t="str">
        <f t="shared" si="13"/>
        <v>Delayed</v>
      </c>
    </row>
    <row r="119" spans="1:29">
      <c r="A119" s="18" t="s">
        <v>677</v>
      </c>
      <c r="B119" s="18" t="s">
        <v>327</v>
      </c>
      <c r="C119" s="18" t="s">
        <v>259</v>
      </c>
      <c r="D119" s="18" t="s">
        <v>678</v>
      </c>
      <c r="E119" s="18" t="s">
        <v>679</v>
      </c>
      <c r="F119" s="18" t="s">
        <v>394</v>
      </c>
      <c r="G119" s="18" t="s">
        <v>76</v>
      </c>
      <c r="H119" s="18" t="s">
        <v>680</v>
      </c>
      <c r="I119" s="18" t="s">
        <v>114</v>
      </c>
      <c r="J119" s="18" t="s">
        <v>106</v>
      </c>
      <c r="K119" s="18" t="s">
        <v>122</v>
      </c>
      <c r="L119" s="18" t="s">
        <v>263</v>
      </c>
      <c r="M119" s="18">
        <v>16</v>
      </c>
      <c r="N119" s="18">
        <v>45</v>
      </c>
      <c r="O119" s="18">
        <v>0</v>
      </c>
      <c r="P119" s="18">
        <v>720</v>
      </c>
      <c r="Q119" s="18">
        <v>1</v>
      </c>
      <c r="R119" s="18" t="s">
        <v>48</v>
      </c>
      <c r="S119" s="18" t="s">
        <v>61</v>
      </c>
      <c r="T119" s="18" t="s">
        <v>332</v>
      </c>
      <c r="U119" s="19" t="s">
        <v>681</v>
      </c>
      <c r="V119" s="18" t="s">
        <v>38</v>
      </c>
      <c r="W119" t="str">
        <f t="shared" si="7"/>
        <v>Blacklisted</v>
      </c>
      <c r="X119" s="27" t="str">
        <f t="shared" si="8"/>
        <v>Amit Sharma</v>
      </c>
      <c r="Y119" s="29" t="str">
        <f t="shared" si="9"/>
        <v>Ami00IDPu</v>
      </c>
      <c r="Z119" s="30" t="str">
        <f t="shared" si="10"/>
        <v>amit.sharma@company.com</v>
      </c>
      <c r="AA119" s="32">
        <f t="shared" ca="1" si="11"/>
        <v>31</v>
      </c>
      <c r="AB119" s="33">
        <f t="shared" si="12"/>
        <v>11</v>
      </c>
      <c r="AC119" s="34" t="str">
        <f t="shared" si="13"/>
        <v>Delayed</v>
      </c>
    </row>
    <row r="120" spans="1:29">
      <c r="A120" s="15" t="s">
        <v>682</v>
      </c>
      <c r="B120" s="15" t="s">
        <v>71</v>
      </c>
      <c r="C120" s="15" t="s">
        <v>72</v>
      </c>
      <c r="D120" s="15" t="s">
        <v>683</v>
      </c>
      <c r="E120" s="15" t="s">
        <v>684</v>
      </c>
      <c r="F120" s="15" t="s">
        <v>217</v>
      </c>
      <c r="G120" s="15" t="s">
        <v>76</v>
      </c>
      <c r="H120" s="15" t="s">
        <v>685</v>
      </c>
      <c r="I120" s="15" t="s">
        <v>138</v>
      </c>
      <c r="J120" s="15" t="s">
        <v>106</v>
      </c>
      <c r="K120" s="15" t="s">
        <v>46</v>
      </c>
      <c r="L120" s="15" t="s">
        <v>78</v>
      </c>
      <c r="M120" s="15" t="s">
        <v>686</v>
      </c>
      <c r="N120" s="15">
        <v>1200</v>
      </c>
      <c r="O120" s="15">
        <v>15</v>
      </c>
      <c r="P120" s="15">
        <v>7140</v>
      </c>
      <c r="Q120" s="15">
        <v>4</v>
      </c>
      <c r="R120" s="15" t="s">
        <v>88</v>
      </c>
      <c r="S120" s="15" t="s">
        <v>151</v>
      </c>
      <c r="T120" s="15" t="s">
        <v>80</v>
      </c>
      <c r="U120" s="17" t="s">
        <v>687</v>
      </c>
      <c r="V120" s="15" t="s">
        <v>64</v>
      </c>
      <c r="W120" t="str">
        <f t="shared" si="7"/>
        <v>Blacklisted</v>
      </c>
      <c r="X120" s="27" t="str">
        <f t="shared" si="8"/>
        <v>Mohit Verma</v>
      </c>
      <c r="Y120" s="29" t="str">
        <f t="shared" si="9"/>
        <v>Moh00IDAh</v>
      </c>
      <c r="Z120" s="30" t="str">
        <f t="shared" si="10"/>
        <v>mohit.verma@company.com</v>
      </c>
      <c r="AA120" s="32">
        <f t="shared" ca="1" si="11"/>
        <v>38</v>
      </c>
      <c r="AB120" s="33">
        <f t="shared" si="12"/>
        <v>3</v>
      </c>
      <c r="AC120" s="34" t="str">
        <f t="shared" si="13"/>
        <v>On Time</v>
      </c>
    </row>
    <row r="121" spans="1:29">
      <c r="A121" s="18" t="s">
        <v>688</v>
      </c>
      <c r="B121" s="18" t="s">
        <v>100</v>
      </c>
      <c r="C121" s="18" t="s">
        <v>40</v>
      </c>
      <c r="D121" s="18" t="s">
        <v>376</v>
      </c>
      <c r="E121" s="18" t="s">
        <v>469</v>
      </c>
      <c r="F121" s="18" t="s">
        <v>103</v>
      </c>
      <c r="G121" s="18" t="s">
        <v>28</v>
      </c>
      <c r="H121" s="18" t="s">
        <v>689</v>
      </c>
      <c r="I121" s="18" t="s">
        <v>212</v>
      </c>
      <c r="J121" s="18" t="s">
        <v>45</v>
      </c>
      <c r="K121" s="18" t="s">
        <v>46</v>
      </c>
      <c r="L121" s="18" t="s">
        <v>47</v>
      </c>
      <c r="M121" s="18">
        <v>14</v>
      </c>
      <c r="N121" s="18">
        <v>12000</v>
      </c>
      <c r="O121" s="18">
        <v>15</v>
      </c>
      <c r="P121" s="18">
        <v>142800</v>
      </c>
      <c r="Q121" s="18">
        <v>2</v>
      </c>
      <c r="R121" s="18" t="s">
        <v>48</v>
      </c>
      <c r="S121" s="18" t="s">
        <v>61</v>
      </c>
      <c r="T121" s="18" t="s">
        <v>144</v>
      </c>
      <c r="U121" s="19" t="s">
        <v>690</v>
      </c>
      <c r="V121" s="18" t="s">
        <v>64</v>
      </c>
      <c r="W121" t="str">
        <f t="shared" si="7"/>
        <v>Blacklisted</v>
      </c>
      <c r="X121" s="27" t="str">
        <f t="shared" si="8"/>
        <v>Priya Patel</v>
      </c>
      <c r="Y121" s="29" t="str">
        <f t="shared" si="9"/>
        <v>Pri00IDJa</v>
      </c>
      <c r="Z121" s="30" t="str">
        <f t="shared" si="10"/>
        <v>priya.patel@company.com</v>
      </c>
      <c r="AA121" s="32">
        <f t="shared" ca="1" si="11"/>
        <v>37</v>
      </c>
      <c r="AB121" s="33">
        <f t="shared" si="12"/>
        <v>11</v>
      </c>
      <c r="AC121" s="34" t="str">
        <f t="shared" si="13"/>
        <v>Delayed</v>
      </c>
    </row>
    <row r="122" spans="1:29">
      <c r="A122" s="15" t="s">
        <v>691</v>
      </c>
      <c r="B122" s="15" t="s">
        <v>127</v>
      </c>
      <c r="C122" s="15" t="s">
        <v>169</v>
      </c>
      <c r="D122" s="15" t="s">
        <v>454</v>
      </c>
      <c r="E122" s="15" t="s">
        <v>692</v>
      </c>
      <c r="F122" s="15" t="s">
        <v>200</v>
      </c>
      <c r="G122" s="15" t="s">
        <v>76</v>
      </c>
      <c r="H122" s="15" t="s">
        <v>693</v>
      </c>
      <c r="I122" s="15" t="s">
        <v>114</v>
      </c>
      <c r="J122" s="15" t="s">
        <v>106</v>
      </c>
      <c r="K122" s="15" t="s">
        <v>32</v>
      </c>
      <c r="L122" s="15" t="s">
        <v>174</v>
      </c>
      <c r="M122" s="15">
        <v>8</v>
      </c>
      <c r="N122" s="15">
        <v>8500</v>
      </c>
      <c r="O122" s="15">
        <v>20</v>
      </c>
      <c r="P122" s="15">
        <v>54400</v>
      </c>
      <c r="Q122" s="15">
        <v>3</v>
      </c>
      <c r="R122" s="15" t="s">
        <v>79</v>
      </c>
      <c r="S122" s="15" t="s">
        <v>49</v>
      </c>
      <c r="T122" s="15" t="s">
        <v>132</v>
      </c>
      <c r="U122" s="17" t="s">
        <v>694</v>
      </c>
      <c r="V122" s="15" t="s">
        <v>38</v>
      </c>
      <c r="W122" t="str">
        <f t="shared" si="7"/>
        <v>Gold</v>
      </c>
      <c r="X122" s="27" t="str">
        <f t="shared" si="8"/>
        <v>Rohit Singh</v>
      </c>
      <c r="Y122" s="29" t="str">
        <f t="shared" si="9"/>
        <v>Roh00IDPu</v>
      </c>
      <c r="Z122" s="30" t="str">
        <f t="shared" si="10"/>
        <v>rohit.singh@company.com</v>
      </c>
      <c r="AA122" s="32">
        <f t="shared" ca="1" si="11"/>
        <v>32</v>
      </c>
      <c r="AB122" s="33">
        <f t="shared" si="12"/>
        <v>2</v>
      </c>
      <c r="AC122" s="34" t="str">
        <f t="shared" si="13"/>
        <v>On Time</v>
      </c>
    </row>
    <row r="123" spans="1:29">
      <c r="A123" s="18" t="s">
        <v>695</v>
      </c>
      <c r="B123" s="18" t="s">
        <v>83</v>
      </c>
      <c r="C123" s="18" t="s">
        <v>259</v>
      </c>
      <c r="D123" s="18" t="s">
        <v>110</v>
      </c>
      <c r="E123" s="18" t="s">
        <v>313</v>
      </c>
      <c r="F123" s="18" t="s">
        <v>180</v>
      </c>
      <c r="G123" s="18" t="s">
        <v>76</v>
      </c>
      <c r="H123" s="18" t="s">
        <v>696</v>
      </c>
      <c r="I123" s="18" t="s">
        <v>59</v>
      </c>
      <c r="J123" s="18" t="s">
        <v>31</v>
      </c>
      <c r="K123" s="18" t="s">
        <v>122</v>
      </c>
      <c r="L123" s="18" t="s">
        <v>263</v>
      </c>
      <c r="M123" s="18">
        <v>3</v>
      </c>
      <c r="N123" s="18">
        <v>45</v>
      </c>
      <c r="O123" s="18">
        <v>0</v>
      </c>
      <c r="P123" s="18">
        <v>135</v>
      </c>
      <c r="Q123" s="18">
        <v>4</v>
      </c>
      <c r="R123" s="18" t="s">
        <v>88</v>
      </c>
      <c r="S123" s="18" t="s">
        <v>61</v>
      </c>
      <c r="T123" s="18" t="s">
        <v>89</v>
      </c>
      <c r="U123" s="19" t="s">
        <v>697</v>
      </c>
      <c r="V123" s="18" t="s">
        <v>69</v>
      </c>
      <c r="W123" t="str">
        <f t="shared" si="7"/>
        <v>Blacklisted</v>
      </c>
      <c r="X123" s="27" t="str">
        <f t="shared" si="8"/>
        <v>Arjun Rao</v>
      </c>
      <c r="Y123" s="29" t="str">
        <f t="shared" si="9"/>
        <v>Arj00IDBe</v>
      </c>
      <c r="Z123" s="30" t="str">
        <f t="shared" si="10"/>
        <v>arjun.rao@company.com</v>
      </c>
      <c r="AA123" s="32">
        <f t="shared" ca="1" si="11"/>
        <v>26</v>
      </c>
      <c r="AB123" s="33">
        <f t="shared" si="12"/>
        <v>10</v>
      </c>
      <c r="AC123" s="34" t="str">
        <f t="shared" si="13"/>
        <v>Delayed</v>
      </c>
    </row>
    <row r="124" spans="1:29">
      <c r="A124" s="15" t="s">
        <v>698</v>
      </c>
      <c r="B124" s="15" t="s">
        <v>327</v>
      </c>
      <c r="C124" s="15" t="s">
        <v>184</v>
      </c>
      <c r="D124" s="15" t="s">
        <v>464</v>
      </c>
      <c r="E124" s="15" t="s">
        <v>84</v>
      </c>
      <c r="F124" s="15" t="s">
        <v>394</v>
      </c>
      <c r="G124" s="15" t="s">
        <v>76</v>
      </c>
      <c r="H124" s="15" t="s">
        <v>699</v>
      </c>
      <c r="I124" s="15" t="s">
        <v>212</v>
      </c>
      <c r="J124" s="15" t="s">
        <v>45</v>
      </c>
      <c r="K124" s="15" t="s">
        <v>46</v>
      </c>
      <c r="L124" s="15" t="s">
        <v>189</v>
      </c>
      <c r="M124" s="15">
        <v>13</v>
      </c>
      <c r="N124" s="15">
        <v>700</v>
      </c>
      <c r="O124" s="15">
        <v>5</v>
      </c>
      <c r="P124" s="15">
        <v>8645</v>
      </c>
      <c r="Q124" s="15">
        <v>3</v>
      </c>
      <c r="R124" s="15" t="s">
        <v>79</v>
      </c>
      <c r="S124" s="15" t="s">
        <v>115</v>
      </c>
      <c r="T124" s="15" t="s">
        <v>332</v>
      </c>
      <c r="U124" s="17" t="s">
        <v>700</v>
      </c>
      <c r="V124" s="15" t="s">
        <v>64</v>
      </c>
      <c r="W124" t="str">
        <f t="shared" si="7"/>
        <v>Blacklisted</v>
      </c>
      <c r="X124" s="27" t="str">
        <f t="shared" si="8"/>
        <v>Amit Sharma</v>
      </c>
      <c r="Y124" s="29" t="str">
        <f t="shared" si="9"/>
        <v>Ami00IDJa</v>
      </c>
      <c r="Z124" s="30" t="str">
        <f t="shared" si="10"/>
        <v>amit.sharma@company.com</v>
      </c>
      <c r="AA124" s="32">
        <f t="shared" ca="1" si="11"/>
        <v>40</v>
      </c>
      <c r="AB124" s="33">
        <f t="shared" si="12"/>
        <v>1</v>
      </c>
      <c r="AC124" s="34" t="str">
        <f t="shared" si="13"/>
        <v>On Time</v>
      </c>
    </row>
    <row r="125" spans="1:29">
      <c r="A125" s="18" t="s">
        <v>701</v>
      </c>
      <c r="B125" s="18" t="s">
        <v>168</v>
      </c>
      <c r="C125" s="18" t="s">
        <v>72</v>
      </c>
      <c r="D125" s="18" t="s">
        <v>702</v>
      </c>
      <c r="E125" s="18" t="s">
        <v>703</v>
      </c>
      <c r="F125" s="18" t="s">
        <v>361</v>
      </c>
      <c r="G125" s="18" t="s">
        <v>28</v>
      </c>
      <c r="H125" s="18" t="s">
        <v>704</v>
      </c>
      <c r="I125" s="18" t="s">
        <v>105</v>
      </c>
      <c r="J125" s="18" t="s">
        <v>106</v>
      </c>
      <c r="K125" s="18" t="s">
        <v>46</v>
      </c>
      <c r="L125" s="18" t="s">
        <v>78</v>
      </c>
      <c r="M125" s="18">
        <v>14</v>
      </c>
      <c r="N125" s="18">
        <v>1200</v>
      </c>
      <c r="O125" s="18">
        <v>20</v>
      </c>
      <c r="P125" s="18">
        <v>13440</v>
      </c>
      <c r="Q125" s="18">
        <v>5</v>
      </c>
      <c r="R125" s="18" t="s">
        <v>48</v>
      </c>
      <c r="S125" s="18" t="s">
        <v>61</v>
      </c>
      <c r="T125" s="18" t="s">
        <v>175</v>
      </c>
      <c r="U125" s="19" t="s">
        <v>705</v>
      </c>
      <c r="V125" s="18" t="s">
        <v>38</v>
      </c>
      <c r="W125" t="str">
        <f t="shared" si="7"/>
        <v>Silver</v>
      </c>
      <c r="X125" s="27" t="str">
        <f t="shared" si="8"/>
        <v>Anita Gupta</v>
      </c>
      <c r="Y125" s="29" t="str">
        <f t="shared" si="9"/>
        <v>Ani00IDMu</v>
      </c>
      <c r="Z125" s="30" t="str">
        <f t="shared" si="10"/>
        <v>anita.gupta@company.com</v>
      </c>
      <c r="AA125" s="32">
        <f t="shared" ca="1" si="11"/>
        <v>40</v>
      </c>
      <c r="AB125" s="33">
        <f t="shared" si="12"/>
        <v>6</v>
      </c>
      <c r="AC125" s="34" t="str">
        <f t="shared" si="13"/>
        <v>Delayed</v>
      </c>
    </row>
    <row r="126" spans="1:29">
      <c r="A126" s="15" t="s">
        <v>706</v>
      </c>
      <c r="B126" s="15" t="s">
        <v>100</v>
      </c>
      <c r="C126" s="15" t="s">
        <v>259</v>
      </c>
      <c r="D126" s="15" t="s">
        <v>597</v>
      </c>
      <c r="E126" s="15" t="s">
        <v>707</v>
      </c>
      <c r="F126" s="15" t="s">
        <v>103</v>
      </c>
      <c r="G126" s="15" t="s">
        <v>28</v>
      </c>
      <c r="H126" s="15" t="s">
        <v>708</v>
      </c>
      <c r="I126" s="15" t="s">
        <v>44</v>
      </c>
      <c r="J126" s="15" t="s">
        <v>45</v>
      </c>
      <c r="K126" s="15" t="s">
        <v>122</v>
      </c>
      <c r="L126" s="15" t="s">
        <v>263</v>
      </c>
      <c r="M126" s="15">
        <v>2</v>
      </c>
      <c r="N126" s="15">
        <v>45</v>
      </c>
      <c r="O126" s="15">
        <v>5</v>
      </c>
      <c r="P126" s="15">
        <v>85.5</v>
      </c>
      <c r="Q126" s="15">
        <v>3</v>
      </c>
      <c r="R126" s="15" t="s">
        <v>88</v>
      </c>
      <c r="S126" s="15" t="s">
        <v>35</v>
      </c>
      <c r="T126" s="15" t="s">
        <v>144</v>
      </c>
      <c r="U126" s="17" t="s">
        <v>709</v>
      </c>
      <c r="V126" s="15" t="s">
        <v>69</v>
      </c>
      <c r="W126" t="str">
        <f t="shared" si="7"/>
        <v>Blacklisted</v>
      </c>
      <c r="X126" s="27" t="str">
        <f t="shared" si="8"/>
        <v>Priya Patel</v>
      </c>
      <c r="Y126" s="29" t="str">
        <f t="shared" si="9"/>
        <v>Pri00IDDe</v>
      </c>
      <c r="Z126" s="30" t="str">
        <f t="shared" si="10"/>
        <v>priya.patel@company.com</v>
      </c>
      <c r="AA126" s="32">
        <f t="shared" ca="1" si="11"/>
        <v>35</v>
      </c>
      <c r="AB126" s="33">
        <f t="shared" si="12"/>
        <v>10</v>
      </c>
      <c r="AC126" s="34" t="str">
        <f t="shared" si="13"/>
        <v>Delayed</v>
      </c>
    </row>
    <row r="127" spans="1:29">
      <c r="A127" s="18" t="s">
        <v>710</v>
      </c>
      <c r="B127" s="18" t="s">
        <v>168</v>
      </c>
      <c r="C127" s="18" t="s">
        <v>72</v>
      </c>
      <c r="D127" s="18" t="s">
        <v>711</v>
      </c>
      <c r="E127" s="18" t="s">
        <v>712</v>
      </c>
      <c r="F127" s="18" t="s">
        <v>361</v>
      </c>
      <c r="G127" s="18" t="s">
        <v>28</v>
      </c>
      <c r="H127" s="18" t="s">
        <v>713</v>
      </c>
      <c r="I127" s="18" t="s">
        <v>59</v>
      </c>
      <c r="J127" s="18" t="s">
        <v>31</v>
      </c>
      <c r="K127" s="18" t="s">
        <v>46</v>
      </c>
      <c r="L127" s="18" t="s">
        <v>78</v>
      </c>
      <c r="M127" s="18">
        <v>2</v>
      </c>
      <c r="N127" s="18">
        <v>1200</v>
      </c>
      <c r="O127" s="18">
        <v>20</v>
      </c>
      <c r="P127" s="18">
        <v>1920</v>
      </c>
      <c r="Q127" s="18">
        <v>3</v>
      </c>
      <c r="R127" s="18" t="s">
        <v>79</v>
      </c>
      <c r="S127" s="18" t="s">
        <v>115</v>
      </c>
      <c r="T127" s="18" t="s">
        <v>175</v>
      </c>
      <c r="U127" s="19" t="s">
        <v>714</v>
      </c>
      <c r="V127" s="18" t="s">
        <v>38</v>
      </c>
      <c r="W127" t="str">
        <f t="shared" si="7"/>
        <v>Silver</v>
      </c>
      <c r="X127" s="27" t="str">
        <f t="shared" si="8"/>
        <v>Anita Gupta</v>
      </c>
      <c r="Y127" s="29" t="str">
        <f t="shared" si="9"/>
        <v>Ani00IDBe</v>
      </c>
      <c r="Z127" s="30" t="str">
        <f t="shared" si="10"/>
        <v>anita.gupta@company.com</v>
      </c>
      <c r="AA127" s="32">
        <f t="shared" ca="1" si="11"/>
        <v>45</v>
      </c>
      <c r="AB127" s="33">
        <f t="shared" si="12"/>
        <v>4</v>
      </c>
      <c r="AC127" s="34" t="str">
        <f t="shared" si="13"/>
        <v>On Time</v>
      </c>
    </row>
    <row r="128" spans="1:29">
      <c r="A128" s="15" t="s">
        <v>715</v>
      </c>
      <c r="B128" s="15" t="s">
        <v>127</v>
      </c>
      <c r="C128" s="15" t="s">
        <v>54</v>
      </c>
      <c r="D128" s="15" t="s">
        <v>224</v>
      </c>
      <c r="E128" s="15" t="s">
        <v>716</v>
      </c>
      <c r="F128" s="15" t="s">
        <v>200</v>
      </c>
      <c r="G128" s="15" t="s">
        <v>76</v>
      </c>
      <c r="H128" s="15" t="s">
        <v>717</v>
      </c>
      <c r="I128" s="15" t="s">
        <v>59</v>
      </c>
      <c r="J128" s="15" t="s">
        <v>31</v>
      </c>
      <c r="K128" s="15" t="s">
        <v>46</v>
      </c>
      <c r="L128" s="15" t="s">
        <v>60</v>
      </c>
      <c r="M128" s="15">
        <v>10</v>
      </c>
      <c r="N128" s="15">
        <v>55000</v>
      </c>
      <c r="O128" s="15">
        <v>5</v>
      </c>
      <c r="P128" s="15">
        <v>522500</v>
      </c>
      <c r="Q128" s="15">
        <v>5</v>
      </c>
      <c r="R128" s="15" t="s">
        <v>88</v>
      </c>
      <c r="S128" s="15" t="s">
        <v>61</v>
      </c>
      <c r="T128" s="15" t="s">
        <v>132</v>
      </c>
      <c r="U128" s="17" t="s">
        <v>718</v>
      </c>
      <c r="V128" s="15" t="s">
        <v>64</v>
      </c>
      <c r="W128" t="str">
        <f t="shared" si="7"/>
        <v>Blacklisted</v>
      </c>
      <c r="X128" s="27" t="str">
        <f t="shared" si="8"/>
        <v>Rohit Singh</v>
      </c>
      <c r="Y128" s="29" t="str">
        <f t="shared" si="9"/>
        <v>Roh00IDBe</v>
      </c>
      <c r="Z128" s="30" t="str">
        <f t="shared" si="10"/>
        <v>rohit.singh@company.com</v>
      </c>
      <c r="AA128" s="32">
        <f t="shared" ca="1" si="11"/>
        <v>21</v>
      </c>
      <c r="AB128" s="33">
        <f t="shared" si="12"/>
        <v>6</v>
      </c>
      <c r="AC128" s="34" t="str">
        <f t="shared" si="13"/>
        <v>Delayed</v>
      </c>
    </row>
    <row r="129" spans="1:29">
      <c r="A129" s="18" t="s">
        <v>719</v>
      </c>
      <c r="B129" s="18" t="s">
        <v>251</v>
      </c>
      <c r="C129" s="18" t="s">
        <v>92</v>
      </c>
      <c r="D129" s="18" t="s">
        <v>720</v>
      </c>
      <c r="E129" s="18" t="s">
        <v>382</v>
      </c>
      <c r="F129" s="18" t="s">
        <v>254</v>
      </c>
      <c r="G129" s="18" t="s">
        <v>28</v>
      </c>
      <c r="H129" s="18" t="s">
        <v>721</v>
      </c>
      <c r="I129" s="18" t="s">
        <v>212</v>
      </c>
      <c r="J129" s="18" t="s">
        <v>45</v>
      </c>
      <c r="K129" s="18" t="s">
        <v>32</v>
      </c>
      <c r="L129" s="18" t="s">
        <v>97</v>
      </c>
      <c r="M129" s="18">
        <v>15</v>
      </c>
      <c r="N129" s="18">
        <v>3500</v>
      </c>
      <c r="O129" s="18">
        <v>10</v>
      </c>
      <c r="P129" s="18">
        <v>47250</v>
      </c>
      <c r="Q129" s="18">
        <v>3</v>
      </c>
      <c r="R129" s="18" t="s">
        <v>48</v>
      </c>
      <c r="S129" s="18" t="s">
        <v>115</v>
      </c>
      <c r="T129" s="18" t="s">
        <v>256</v>
      </c>
      <c r="U129" s="19" t="s">
        <v>722</v>
      </c>
      <c r="V129" s="18" t="s">
        <v>38</v>
      </c>
      <c r="W129" t="str">
        <f t="shared" si="7"/>
        <v>Silver</v>
      </c>
      <c r="X129" s="27" t="str">
        <f t="shared" si="8"/>
        <v>Sneha Joshi</v>
      </c>
      <c r="Y129" s="29" t="str">
        <f t="shared" si="9"/>
        <v>Sne00IDJa</v>
      </c>
      <c r="Z129" s="30" t="str">
        <f t="shared" si="10"/>
        <v>sneha.joshi@company.com</v>
      </c>
      <c r="AA129" s="32">
        <f t="shared" ca="1" si="11"/>
        <v>42</v>
      </c>
      <c r="AB129" s="33">
        <f t="shared" si="12"/>
        <v>1</v>
      </c>
      <c r="AC129" s="34" t="str">
        <f t="shared" si="13"/>
        <v>On Time</v>
      </c>
    </row>
    <row r="130" spans="1:29">
      <c r="A130" s="15" t="s">
        <v>723</v>
      </c>
      <c r="B130" s="15" t="s">
        <v>100</v>
      </c>
      <c r="C130" s="15" t="s">
        <v>24</v>
      </c>
      <c r="D130" s="15" t="s">
        <v>562</v>
      </c>
      <c r="E130" s="15" t="s">
        <v>724</v>
      </c>
      <c r="F130" s="15" t="s">
        <v>103</v>
      </c>
      <c r="G130" s="15" t="s">
        <v>28</v>
      </c>
      <c r="H130" s="15" t="s">
        <v>725</v>
      </c>
      <c r="I130" s="15" t="s">
        <v>59</v>
      </c>
      <c r="J130" s="15" t="s">
        <v>31</v>
      </c>
      <c r="K130" s="15" t="s">
        <v>32</v>
      </c>
      <c r="L130" s="15" t="s">
        <v>33</v>
      </c>
      <c r="M130" s="15">
        <v>10</v>
      </c>
      <c r="N130" s="15">
        <v>2200</v>
      </c>
      <c r="O130" s="15">
        <v>15</v>
      </c>
      <c r="P130" s="15">
        <v>18700</v>
      </c>
      <c r="Q130" s="15">
        <v>4</v>
      </c>
      <c r="R130" s="15" t="s">
        <v>79</v>
      </c>
      <c r="S130" s="15" t="s">
        <v>49</v>
      </c>
      <c r="T130" s="15" t="s">
        <v>144</v>
      </c>
      <c r="U130" s="17" t="s">
        <v>726</v>
      </c>
      <c r="V130" s="15" t="s">
        <v>64</v>
      </c>
      <c r="W130" t="str">
        <f t="shared" si="7"/>
        <v>Blacklisted</v>
      </c>
      <c r="X130" s="27" t="str">
        <f t="shared" si="8"/>
        <v>Priya Patel</v>
      </c>
      <c r="Y130" s="29" t="str">
        <f t="shared" si="9"/>
        <v>Pri00IDBe</v>
      </c>
      <c r="Z130" s="30" t="str">
        <f t="shared" si="10"/>
        <v>priya.patel@company.com</v>
      </c>
      <c r="AA130" s="32">
        <f t="shared" ca="1" si="11"/>
        <v>44</v>
      </c>
      <c r="AB130" s="33">
        <f t="shared" si="12"/>
        <v>5</v>
      </c>
      <c r="AC130" s="34" t="str">
        <f t="shared" si="13"/>
        <v>On Time</v>
      </c>
    </row>
    <row r="131" spans="1:29">
      <c r="A131" s="18" t="s">
        <v>727</v>
      </c>
      <c r="B131" s="18" t="s">
        <v>251</v>
      </c>
      <c r="C131" s="18" t="s">
        <v>92</v>
      </c>
      <c r="D131" s="18" t="s">
        <v>260</v>
      </c>
      <c r="E131" s="18" t="s">
        <v>231</v>
      </c>
      <c r="F131" s="18" t="s">
        <v>254</v>
      </c>
      <c r="G131" s="18" t="s">
        <v>28</v>
      </c>
      <c r="H131" s="18" t="s">
        <v>728</v>
      </c>
      <c r="I131" s="18" t="s">
        <v>114</v>
      </c>
      <c r="J131" s="18" t="s">
        <v>106</v>
      </c>
      <c r="K131" s="18" t="s">
        <v>32</v>
      </c>
      <c r="L131" s="18" t="s">
        <v>97</v>
      </c>
      <c r="M131" s="18">
        <v>11</v>
      </c>
      <c r="N131" s="18">
        <v>3500</v>
      </c>
      <c r="O131" s="18">
        <v>5</v>
      </c>
      <c r="P131" s="18">
        <v>36575</v>
      </c>
      <c r="Q131" s="18">
        <v>5</v>
      </c>
      <c r="R131" s="18" t="s">
        <v>34</v>
      </c>
      <c r="S131" s="18" t="s">
        <v>35</v>
      </c>
      <c r="T131" s="18" t="s">
        <v>256</v>
      </c>
      <c r="U131" s="19" t="s">
        <v>729</v>
      </c>
      <c r="V131" s="18" t="s">
        <v>69</v>
      </c>
      <c r="W131" t="str">
        <f t="shared" ref="W131:W194" si="14">IF(OR(Q131&lt;=2,V131="Cancelled"),"Blacklisted",IF(AND(P131&gt;=100000,Q131&gt;=4,O131&lt;10,V131="Completed"),"Platinum",IF(AND(P131&gt;=50000,P131&lt;=99999,Q131&gt;=3,V131="Completed"),"Gold",IF(AND(P131&lt;50000,V131="Completed"),"Silver","Blacklisted"))))</f>
        <v>Blacklisted</v>
      </c>
      <c r="X131" s="27" t="str">
        <f t="shared" ref="X131:X194" si="15">PROPER(TRIM(F131))</f>
        <v>Sneha Joshi</v>
      </c>
      <c r="Y131" s="29" t="str">
        <f t="shared" ref="Y131:Y194" si="16">LEFT(X131,3)&amp;MID(B131,2,2)&amp;"ID"&amp;LEFT(I131,2)</f>
        <v>Sne00IDPu</v>
      </c>
      <c r="Z131" s="30" t="str">
        <f t="shared" ref="Z131:Z194" si="17">IF(ISNUMBER(SEARCH("@",T131)),LOWER(TRIM(T131)),"Invalid Email")</f>
        <v>sneha.joshi@company.com</v>
      </c>
      <c r="AA131" s="32">
        <f t="shared" ref="AA131:AA194" ca="1" si="18">DATEDIF(H131,TODAY(),"Y")</f>
        <v>33</v>
      </c>
      <c r="AB131" s="33">
        <f t="shared" ref="AB131:AB194" si="19">IF(E131="","",E131-D131)</f>
        <v>8</v>
      </c>
      <c r="AC131" s="34" t="str">
        <f t="shared" ref="AC131:AC194" si="20">IF(E131="","Pending",IF(AB131&lt;=5,"On Time","Delayed"))</f>
        <v>Delayed</v>
      </c>
    </row>
    <row r="132" spans="1:29">
      <c r="A132" s="15" t="s">
        <v>730</v>
      </c>
      <c r="B132" s="15" t="s">
        <v>168</v>
      </c>
      <c r="C132" s="15" t="s">
        <v>72</v>
      </c>
      <c r="D132" s="15" t="s">
        <v>731</v>
      </c>
      <c r="E132" s="15" t="s">
        <v>732</v>
      </c>
      <c r="F132" s="15" t="s">
        <v>361</v>
      </c>
      <c r="G132" s="15" t="s">
        <v>28</v>
      </c>
      <c r="H132" s="15" t="s">
        <v>733</v>
      </c>
      <c r="I132" s="15" t="s">
        <v>59</v>
      </c>
      <c r="J132" s="15" t="s">
        <v>31</v>
      </c>
      <c r="K132" s="15" t="s">
        <v>46</v>
      </c>
      <c r="L132" s="15" t="s">
        <v>78</v>
      </c>
      <c r="M132" s="15">
        <v>14</v>
      </c>
      <c r="N132" s="15">
        <v>1200</v>
      </c>
      <c r="O132" s="15">
        <v>0</v>
      </c>
      <c r="P132" s="15">
        <v>16800</v>
      </c>
      <c r="Q132" s="15">
        <v>5</v>
      </c>
      <c r="R132" s="15" t="s">
        <v>34</v>
      </c>
      <c r="S132" s="15" t="s">
        <v>49</v>
      </c>
      <c r="T132" s="15" t="s">
        <v>175</v>
      </c>
      <c r="U132" s="17" t="s">
        <v>734</v>
      </c>
      <c r="V132" s="15" t="s">
        <v>69</v>
      </c>
      <c r="W132" t="str">
        <f t="shared" si="14"/>
        <v>Blacklisted</v>
      </c>
      <c r="X132" s="27" t="str">
        <f t="shared" si="15"/>
        <v>Anita Gupta</v>
      </c>
      <c r="Y132" s="29" t="str">
        <f t="shared" si="16"/>
        <v>Ani00IDBe</v>
      </c>
      <c r="Z132" s="30" t="str">
        <f t="shared" si="17"/>
        <v>anita.gupta@company.com</v>
      </c>
      <c r="AA132" s="32">
        <f t="shared" ca="1" si="18"/>
        <v>23</v>
      </c>
      <c r="AB132" s="33">
        <f t="shared" si="19"/>
        <v>3</v>
      </c>
      <c r="AC132" s="34" t="str">
        <f t="shared" si="20"/>
        <v>On Time</v>
      </c>
    </row>
    <row r="133" spans="1:29">
      <c r="A133" s="18" t="s">
        <v>735</v>
      </c>
      <c r="B133" s="18" t="s">
        <v>100</v>
      </c>
      <c r="C133" s="18" t="s">
        <v>222</v>
      </c>
      <c r="D133" s="18" t="s">
        <v>736</v>
      </c>
      <c r="E133" s="18" t="s">
        <v>170</v>
      </c>
      <c r="F133" s="18" t="s">
        <v>103</v>
      </c>
      <c r="G133" s="18" t="s">
        <v>28</v>
      </c>
      <c r="H133" s="18" t="s">
        <v>737</v>
      </c>
      <c r="I133" s="18" t="s">
        <v>44</v>
      </c>
      <c r="J133" s="18" t="s">
        <v>45</v>
      </c>
      <c r="K133" s="18" t="s">
        <v>122</v>
      </c>
      <c r="L133" s="18" t="s">
        <v>227</v>
      </c>
      <c r="M133" s="18">
        <v>11</v>
      </c>
      <c r="N133" s="18">
        <v>20</v>
      </c>
      <c r="O133" s="18">
        <v>20</v>
      </c>
      <c r="P133" s="18">
        <v>176</v>
      </c>
      <c r="Q133" s="18">
        <v>4</v>
      </c>
      <c r="R133" s="18" t="s">
        <v>48</v>
      </c>
      <c r="S133" s="18" t="s">
        <v>35</v>
      </c>
      <c r="T133" s="18" t="s">
        <v>144</v>
      </c>
      <c r="U133" s="19" t="s">
        <v>738</v>
      </c>
      <c r="V133" s="18" t="s">
        <v>38</v>
      </c>
      <c r="W133" t="str">
        <f t="shared" si="14"/>
        <v>Silver</v>
      </c>
      <c r="X133" s="27" t="str">
        <f t="shared" si="15"/>
        <v>Priya Patel</v>
      </c>
      <c r="Y133" s="29" t="str">
        <f t="shared" si="16"/>
        <v>Pri00IDDe</v>
      </c>
      <c r="Z133" s="30" t="str">
        <f t="shared" si="17"/>
        <v>priya.patel@company.com</v>
      </c>
      <c r="AA133" s="32">
        <f t="shared" ca="1" si="18"/>
        <v>36</v>
      </c>
      <c r="AB133" s="33">
        <f t="shared" si="19"/>
        <v>5</v>
      </c>
      <c r="AC133" s="34" t="str">
        <f t="shared" si="20"/>
        <v>On Time</v>
      </c>
    </row>
    <row r="134" spans="1:29">
      <c r="A134" s="15" t="s">
        <v>739</v>
      </c>
      <c r="B134" s="15" t="s">
        <v>71</v>
      </c>
      <c r="C134" s="15" t="s">
        <v>40</v>
      </c>
      <c r="D134" s="15" t="s">
        <v>740</v>
      </c>
      <c r="E134" s="15" t="s">
        <v>657</v>
      </c>
      <c r="F134" s="15" t="s">
        <v>217</v>
      </c>
      <c r="G134" s="15" t="s">
        <v>76</v>
      </c>
      <c r="H134" s="15" t="s">
        <v>741</v>
      </c>
      <c r="I134" s="15" t="s">
        <v>114</v>
      </c>
      <c r="J134" s="15" t="s">
        <v>106</v>
      </c>
      <c r="K134" s="15" t="s">
        <v>46</v>
      </c>
      <c r="L134" s="15" t="s">
        <v>47</v>
      </c>
      <c r="M134" s="15">
        <v>6</v>
      </c>
      <c r="N134" s="15">
        <v>12000</v>
      </c>
      <c r="O134" s="15">
        <v>10</v>
      </c>
      <c r="P134" s="15">
        <v>64800</v>
      </c>
      <c r="Q134" s="15">
        <v>5</v>
      </c>
      <c r="R134" s="15" t="s">
        <v>88</v>
      </c>
      <c r="S134" s="15" t="s">
        <v>151</v>
      </c>
      <c r="T134" s="15" t="s">
        <v>80</v>
      </c>
      <c r="U134" s="17" t="s">
        <v>742</v>
      </c>
      <c r="V134" s="15" t="s">
        <v>38</v>
      </c>
      <c r="W134" t="str">
        <f t="shared" si="14"/>
        <v>Gold</v>
      </c>
      <c r="X134" s="27" t="str">
        <f t="shared" si="15"/>
        <v>Mohit Verma</v>
      </c>
      <c r="Y134" s="29" t="str">
        <f t="shared" si="16"/>
        <v>Moh00IDPu</v>
      </c>
      <c r="Z134" s="30" t="str">
        <f t="shared" si="17"/>
        <v>mohit.verma@company.com</v>
      </c>
      <c r="AA134" s="32">
        <f t="shared" ca="1" si="18"/>
        <v>31</v>
      </c>
      <c r="AB134" s="33">
        <f t="shared" si="19"/>
        <v>6</v>
      </c>
      <c r="AC134" s="34" t="str">
        <f t="shared" si="20"/>
        <v>Delayed</v>
      </c>
    </row>
    <row r="135" spans="1:29">
      <c r="A135" s="18" t="s">
        <v>743</v>
      </c>
      <c r="B135" s="18" t="s">
        <v>71</v>
      </c>
      <c r="C135" s="18" t="s">
        <v>24</v>
      </c>
      <c r="D135" s="18" t="s">
        <v>652</v>
      </c>
      <c r="E135" s="18" t="s">
        <v>539</v>
      </c>
      <c r="F135" s="18" t="s">
        <v>217</v>
      </c>
      <c r="G135" s="18" t="s">
        <v>76</v>
      </c>
      <c r="H135" s="18" t="s">
        <v>744</v>
      </c>
      <c r="I135" s="18" t="s">
        <v>30</v>
      </c>
      <c r="J135" s="18" t="s">
        <v>31</v>
      </c>
      <c r="K135" s="18" t="s">
        <v>32</v>
      </c>
      <c r="L135" s="18" t="s">
        <v>33</v>
      </c>
      <c r="M135" s="18">
        <v>6</v>
      </c>
      <c r="N135" s="18">
        <v>2200</v>
      </c>
      <c r="O135" s="18">
        <v>5</v>
      </c>
      <c r="P135" s="18">
        <v>12540</v>
      </c>
      <c r="Q135" s="18">
        <v>4</v>
      </c>
      <c r="R135" s="18" t="s">
        <v>34</v>
      </c>
      <c r="S135" s="18" t="s">
        <v>49</v>
      </c>
      <c r="T135" s="18" t="s">
        <v>80</v>
      </c>
      <c r="U135" s="19" t="s">
        <v>745</v>
      </c>
      <c r="V135" s="18" t="s">
        <v>38</v>
      </c>
      <c r="W135" t="str">
        <f t="shared" si="14"/>
        <v>Silver</v>
      </c>
      <c r="X135" s="27" t="str">
        <f t="shared" si="15"/>
        <v>Mohit Verma</v>
      </c>
      <c r="Y135" s="29" t="str">
        <f t="shared" si="16"/>
        <v>Moh00IDHy</v>
      </c>
      <c r="Z135" s="30" t="str">
        <f t="shared" si="17"/>
        <v>mohit.verma@company.com</v>
      </c>
      <c r="AA135" s="32">
        <f t="shared" ca="1" si="18"/>
        <v>32</v>
      </c>
      <c r="AB135" s="33">
        <f t="shared" si="19"/>
        <v>9</v>
      </c>
      <c r="AC135" s="34" t="str">
        <f t="shared" si="20"/>
        <v>Delayed</v>
      </c>
    </row>
    <row r="136" spans="1:29">
      <c r="A136" s="15" t="s">
        <v>746</v>
      </c>
      <c r="B136" s="15" t="s">
        <v>53</v>
      </c>
      <c r="C136" s="15" t="s">
        <v>92</v>
      </c>
      <c r="D136" s="15" t="s">
        <v>408</v>
      </c>
      <c r="E136" s="15" t="s">
        <v>488</v>
      </c>
      <c r="F136" s="15" t="s">
        <v>163</v>
      </c>
      <c r="G136" s="15" t="s">
        <v>28</v>
      </c>
      <c r="H136" s="15" t="s">
        <v>747</v>
      </c>
      <c r="I136" s="15" t="s">
        <v>44</v>
      </c>
      <c r="J136" s="15" t="s">
        <v>45</v>
      </c>
      <c r="K136" s="15" t="s">
        <v>32</v>
      </c>
      <c r="L136" s="15" t="s">
        <v>97</v>
      </c>
      <c r="M136" s="15">
        <v>3</v>
      </c>
      <c r="N136" s="15">
        <v>3500</v>
      </c>
      <c r="O136" s="15">
        <v>5</v>
      </c>
      <c r="P136" s="15">
        <v>9975</v>
      </c>
      <c r="Q136" s="15">
        <v>4</v>
      </c>
      <c r="R136" s="15" t="s">
        <v>48</v>
      </c>
      <c r="S136" s="15" t="s">
        <v>49</v>
      </c>
      <c r="T136" s="15" t="s">
        <v>62</v>
      </c>
      <c r="U136" s="17" t="s">
        <v>748</v>
      </c>
      <c r="V136" s="15" t="s">
        <v>64</v>
      </c>
      <c r="W136" t="str">
        <f t="shared" si="14"/>
        <v>Blacklisted</v>
      </c>
      <c r="X136" s="27" t="str">
        <f t="shared" si="15"/>
        <v>Pooja Shah</v>
      </c>
      <c r="Y136" s="29" t="str">
        <f t="shared" si="16"/>
        <v>Poo01IDDe</v>
      </c>
      <c r="Z136" s="30" t="str">
        <f t="shared" si="17"/>
        <v>pooja.shah@company.com</v>
      </c>
      <c r="AA136" s="32">
        <f t="shared" ca="1" si="18"/>
        <v>23</v>
      </c>
      <c r="AB136" s="33">
        <f t="shared" si="19"/>
        <v>12</v>
      </c>
      <c r="AC136" s="34" t="str">
        <f t="shared" si="20"/>
        <v>Delayed</v>
      </c>
    </row>
    <row r="137" spans="1:29">
      <c r="A137" s="18" t="s">
        <v>749</v>
      </c>
      <c r="B137" s="18" t="s">
        <v>71</v>
      </c>
      <c r="C137" s="18" t="s">
        <v>169</v>
      </c>
      <c r="D137" s="18" t="s">
        <v>750</v>
      </c>
      <c r="E137" s="18" t="s">
        <v>751</v>
      </c>
      <c r="F137" s="18" t="s">
        <v>217</v>
      </c>
      <c r="G137" s="18" t="s">
        <v>76</v>
      </c>
      <c r="H137" s="18" t="s">
        <v>752</v>
      </c>
      <c r="I137" s="18" t="s">
        <v>30</v>
      </c>
      <c r="J137" s="18" t="s">
        <v>31</v>
      </c>
      <c r="K137" s="18" t="s">
        <v>32</v>
      </c>
      <c r="L137" s="18" t="s">
        <v>174</v>
      </c>
      <c r="M137" s="18">
        <v>5</v>
      </c>
      <c r="N137" s="18">
        <v>8500</v>
      </c>
      <c r="O137" s="18">
        <v>20</v>
      </c>
      <c r="P137" s="18">
        <v>34000</v>
      </c>
      <c r="Q137" s="18">
        <v>5</v>
      </c>
      <c r="R137" s="18" t="s">
        <v>34</v>
      </c>
      <c r="S137" s="18" t="s">
        <v>61</v>
      </c>
      <c r="T137" s="18" t="s">
        <v>80</v>
      </c>
      <c r="U137" s="19" t="s">
        <v>753</v>
      </c>
      <c r="V137" s="18" t="s">
        <v>64</v>
      </c>
      <c r="W137" t="str">
        <f t="shared" si="14"/>
        <v>Blacklisted</v>
      </c>
      <c r="X137" s="27" t="str">
        <f t="shared" si="15"/>
        <v>Mohit Verma</v>
      </c>
      <c r="Y137" s="29" t="str">
        <f t="shared" si="16"/>
        <v>Moh00IDHy</v>
      </c>
      <c r="Z137" s="30" t="str">
        <f t="shared" si="17"/>
        <v>mohit.verma@company.com</v>
      </c>
      <c r="AA137" s="32">
        <f t="shared" ca="1" si="18"/>
        <v>29</v>
      </c>
      <c r="AB137" s="33">
        <f t="shared" si="19"/>
        <v>2</v>
      </c>
      <c r="AC137" s="34" t="str">
        <f t="shared" si="20"/>
        <v>On Time</v>
      </c>
    </row>
    <row r="138" spans="1:29">
      <c r="A138" s="15" t="s">
        <v>754</v>
      </c>
      <c r="B138" s="15" t="s">
        <v>23</v>
      </c>
      <c r="C138" s="15" t="s">
        <v>92</v>
      </c>
      <c r="D138" s="15" t="s">
        <v>755</v>
      </c>
      <c r="E138" s="15" t="s">
        <v>756</v>
      </c>
      <c r="F138" s="15" t="s">
        <v>27</v>
      </c>
      <c r="G138" s="15" t="s">
        <v>28</v>
      </c>
      <c r="H138" s="15" t="s">
        <v>757</v>
      </c>
      <c r="I138" s="15" t="s">
        <v>59</v>
      </c>
      <c r="J138" s="15" t="s">
        <v>31</v>
      </c>
      <c r="K138" s="15" t="s">
        <v>32</v>
      </c>
      <c r="L138" s="15" t="s">
        <v>97</v>
      </c>
      <c r="M138" s="15">
        <v>14</v>
      </c>
      <c r="N138" s="15">
        <v>3500</v>
      </c>
      <c r="O138" s="15">
        <v>10</v>
      </c>
      <c r="P138" s="15">
        <v>44100</v>
      </c>
      <c r="Q138" s="15">
        <v>4</v>
      </c>
      <c r="R138" s="15" t="s">
        <v>88</v>
      </c>
      <c r="S138" s="15" t="s">
        <v>35</v>
      </c>
      <c r="T138" s="15" t="s">
        <v>50</v>
      </c>
      <c r="U138" s="17" t="s">
        <v>758</v>
      </c>
      <c r="V138" s="15" t="s">
        <v>69</v>
      </c>
      <c r="W138" t="str">
        <f t="shared" si="14"/>
        <v>Blacklisted</v>
      </c>
      <c r="X138" s="27" t="str">
        <f t="shared" si="15"/>
        <v>Kavya Nair</v>
      </c>
      <c r="Y138" s="29" t="str">
        <f t="shared" si="16"/>
        <v>Kav00IDBe</v>
      </c>
      <c r="Z138" s="30" t="str">
        <f t="shared" si="17"/>
        <v>kavya.nair@company.com</v>
      </c>
      <c r="AA138" s="32">
        <f t="shared" ca="1" si="18"/>
        <v>47</v>
      </c>
      <c r="AB138" s="33">
        <f t="shared" si="19"/>
        <v>7</v>
      </c>
      <c r="AC138" s="34" t="str">
        <f t="shared" si="20"/>
        <v>Delayed</v>
      </c>
    </row>
    <row r="139" spans="1:29">
      <c r="A139" s="18" t="s">
        <v>759</v>
      </c>
      <c r="B139" s="18" t="s">
        <v>327</v>
      </c>
      <c r="C139" s="18" t="s">
        <v>259</v>
      </c>
      <c r="D139" s="18" t="s">
        <v>760</v>
      </c>
      <c r="E139" s="18" t="s">
        <v>761</v>
      </c>
      <c r="F139" s="18" t="s">
        <v>394</v>
      </c>
      <c r="G139" s="18" t="s">
        <v>76</v>
      </c>
      <c r="H139" s="18" t="s">
        <v>762</v>
      </c>
      <c r="I139" s="18" t="s">
        <v>138</v>
      </c>
      <c r="J139" s="18" t="s">
        <v>106</v>
      </c>
      <c r="K139" s="18" t="s">
        <v>122</v>
      </c>
      <c r="L139" s="18" t="s">
        <v>263</v>
      </c>
      <c r="M139" s="18">
        <v>8</v>
      </c>
      <c r="N139" s="18">
        <v>45</v>
      </c>
      <c r="O139" s="18">
        <v>0</v>
      </c>
      <c r="P139" s="18">
        <v>360</v>
      </c>
      <c r="Q139" s="18">
        <v>1</v>
      </c>
      <c r="R139" s="18" t="s">
        <v>79</v>
      </c>
      <c r="S139" s="18" t="s">
        <v>151</v>
      </c>
      <c r="T139" s="18" t="s">
        <v>332</v>
      </c>
      <c r="U139" s="19" t="s">
        <v>763</v>
      </c>
      <c r="V139" s="18" t="s">
        <v>69</v>
      </c>
      <c r="W139" t="str">
        <f t="shared" si="14"/>
        <v>Blacklisted</v>
      </c>
      <c r="X139" s="27" t="str">
        <f t="shared" si="15"/>
        <v>Amit Sharma</v>
      </c>
      <c r="Y139" s="29" t="str">
        <f t="shared" si="16"/>
        <v>Ami00IDAh</v>
      </c>
      <c r="Z139" s="30" t="str">
        <f t="shared" si="17"/>
        <v>amit.sharma@company.com</v>
      </c>
      <c r="AA139" s="32">
        <f t="shared" ca="1" si="18"/>
        <v>23</v>
      </c>
      <c r="AB139" s="33">
        <f t="shared" si="19"/>
        <v>5</v>
      </c>
      <c r="AC139" s="34" t="str">
        <f t="shared" si="20"/>
        <v>On Time</v>
      </c>
    </row>
    <row r="140" spans="1:29">
      <c r="A140" s="15" t="s">
        <v>764</v>
      </c>
      <c r="B140" s="15" t="s">
        <v>221</v>
      </c>
      <c r="C140" s="15" t="s">
        <v>259</v>
      </c>
      <c r="D140" s="15" t="s">
        <v>765</v>
      </c>
      <c r="E140" s="15" t="s">
        <v>766</v>
      </c>
      <c r="F140" s="15" t="s">
        <v>225</v>
      </c>
      <c r="G140" s="15" t="s">
        <v>76</v>
      </c>
      <c r="H140" s="15" t="s">
        <v>767</v>
      </c>
      <c r="I140" s="15" t="s">
        <v>44</v>
      </c>
      <c r="J140" s="15" t="s">
        <v>45</v>
      </c>
      <c r="K140" s="15" t="s">
        <v>122</v>
      </c>
      <c r="L140" s="15" t="s">
        <v>263</v>
      </c>
      <c r="M140" s="15">
        <v>11</v>
      </c>
      <c r="N140" s="15">
        <v>45</v>
      </c>
      <c r="O140" s="15">
        <v>5</v>
      </c>
      <c r="P140" s="15">
        <v>470.25</v>
      </c>
      <c r="Q140" s="15">
        <v>3</v>
      </c>
      <c r="R140" s="15" t="s">
        <v>79</v>
      </c>
      <c r="S140" s="15" t="s">
        <v>49</v>
      </c>
      <c r="T140" s="15" t="s">
        <v>228</v>
      </c>
      <c r="U140" s="17" t="s">
        <v>768</v>
      </c>
      <c r="V140" s="15" t="s">
        <v>38</v>
      </c>
      <c r="W140" t="str">
        <f t="shared" si="14"/>
        <v>Silver</v>
      </c>
      <c r="X140" s="27" t="str">
        <f t="shared" si="15"/>
        <v>Vikas Mehta</v>
      </c>
      <c r="Y140" s="29" t="str">
        <f t="shared" si="16"/>
        <v>Vik00IDDe</v>
      </c>
      <c r="Z140" s="30" t="str">
        <f t="shared" si="17"/>
        <v>vikas.mehta@company.com</v>
      </c>
      <c r="AA140" s="32">
        <f t="shared" ca="1" si="18"/>
        <v>41</v>
      </c>
      <c r="AB140" s="33">
        <f t="shared" si="19"/>
        <v>1</v>
      </c>
      <c r="AC140" s="34" t="str">
        <f t="shared" si="20"/>
        <v>On Time</v>
      </c>
    </row>
    <row r="141" spans="1:29">
      <c r="A141" s="18" t="s">
        <v>769</v>
      </c>
      <c r="B141" s="18" t="s">
        <v>83</v>
      </c>
      <c r="C141" s="18" t="s">
        <v>54</v>
      </c>
      <c r="D141" s="18" t="s">
        <v>770</v>
      </c>
      <c r="E141" s="18" t="s">
        <v>771</v>
      </c>
      <c r="F141" s="18" t="s">
        <v>180</v>
      </c>
      <c r="G141" s="18" t="s">
        <v>76</v>
      </c>
      <c r="H141" s="18" t="s">
        <v>772</v>
      </c>
      <c r="I141" s="18" t="s">
        <v>138</v>
      </c>
      <c r="J141" s="18" t="s">
        <v>106</v>
      </c>
      <c r="K141" s="18" t="s">
        <v>46</v>
      </c>
      <c r="L141" s="18" t="s">
        <v>60</v>
      </c>
      <c r="M141" s="18">
        <v>19</v>
      </c>
      <c r="N141" s="18">
        <v>55000</v>
      </c>
      <c r="O141" s="18">
        <v>0</v>
      </c>
      <c r="P141" s="18">
        <v>1045000</v>
      </c>
      <c r="Q141" s="18">
        <v>2</v>
      </c>
      <c r="R141" s="18" t="s">
        <v>79</v>
      </c>
      <c r="S141" s="18" t="s">
        <v>35</v>
      </c>
      <c r="T141" s="18" t="s">
        <v>89</v>
      </c>
      <c r="U141" s="19" t="s">
        <v>773</v>
      </c>
      <c r="V141" s="18" t="s">
        <v>69</v>
      </c>
      <c r="W141" t="str">
        <f t="shared" si="14"/>
        <v>Blacklisted</v>
      </c>
      <c r="X141" s="27" t="str">
        <f t="shared" si="15"/>
        <v>Arjun Rao</v>
      </c>
      <c r="Y141" s="29" t="str">
        <f t="shared" si="16"/>
        <v>Arj00IDAh</v>
      </c>
      <c r="Z141" s="30" t="str">
        <f t="shared" si="17"/>
        <v>arjun.rao@company.com</v>
      </c>
      <c r="AA141" s="32">
        <f t="shared" ca="1" si="18"/>
        <v>38</v>
      </c>
      <c r="AB141" s="33">
        <f t="shared" si="19"/>
        <v>8</v>
      </c>
      <c r="AC141" s="34" t="str">
        <f t="shared" si="20"/>
        <v>Delayed</v>
      </c>
    </row>
    <row r="142" spans="1:29">
      <c r="A142" s="15" t="s">
        <v>774</v>
      </c>
      <c r="B142" s="15" t="s">
        <v>53</v>
      </c>
      <c r="C142" s="15" t="s">
        <v>92</v>
      </c>
      <c r="D142" s="15" t="s">
        <v>775</v>
      </c>
      <c r="E142" s="15" t="s">
        <v>539</v>
      </c>
      <c r="F142" s="15" t="s">
        <v>163</v>
      </c>
      <c r="G142" s="15" t="s">
        <v>28</v>
      </c>
      <c r="H142" s="15" t="s">
        <v>776</v>
      </c>
      <c r="I142" s="15" t="s">
        <v>114</v>
      </c>
      <c r="J142" s="15" t="s">
        <v>106</v>
      </c>
      <c r="K142" s="15" t="s">
        <v>32</v>
      </c>
      <c r="L142" s="15" t="s">
        <v>97</v>
      </c>
      <c r="M142" s="15">
        <v>20</v>
      </c>
      <c r="N142" s="15">
        <v>3500</v>
      </c>
      <c r="O142" s="15">
        <v>20</v>
      </c>
      <c r="P142" s="15">
        <v>56000</v>
      </c>
      <c r="Q142" s="15">
        <v>4</v>
      </c>
      <c r="R142" s="15" t="s">
        <v>48</v>
      </c>
      <c r="S142" s="15" t="s">
        <v>49</v>
      </c>
      <c r="T142" s="15" t="s">
        <v>62</v>
      </c>
      <c r="U142" s="17" t="s">
        <v>777</v>
      </c>
      <c r="V142" s="15" t="s">
        <v>38</v>
      </c>
      <c r="W142" t="str">
        <f t="shared" si="14"/>
        <v>Gold</v>
      </c>
      <c r="X142" s="27" t="str">
        <f t="shared" si="15"/>
        <v>Pooja Shah</v>
      </c>
      <c r="Y142" s="29" t="str">
        <f t="shared" si="16"/>
        <v>Poo01IDPu</v>
      </c>
      <c r="Z142" s="30" t="str">
        <f t="shared" si="17"/>
        <v>pooja.shah@company.com</v>
      </c>
      <c r="AA142" s="32">
        <f t="shared" ca="1" si="18"/>
        <v>47</v>
      </c>
      <c r="AB142" s="33">
        <f t="shared" si="19"/>
        <v>7</v>
      </c>
      <c r="AC142" s="34" t="str">
        <f t="shared" si="20"/>
        <v>Delayed</v>
      </c>
    </row>
    <row r="143" spans="1:29">
      <c r="A143" s="18" t="s">
        <v>778</v>
      </c>
      <c r="B143" s="18" t="s">
        <v>83</v>
      </c>
      <c r="C143" s="18" t="s">
        <v>24</v>
      </c>
      <c r="D143" s="18" t="s">
        <v>276</v>
      </c>
      <c r="E143" s="18" t="s">
        <v>779</v>
      </c>
      <c r="F143" s="18" t="s">
        <v>180</v>
      </c>
      <c r="G143" s="18" t="s">
        <v>76</v>
      </c>
      <c r="H143" s="18" t="s">
        <v>780</v>
      </c>
      <c r="I143" s="18" t="s">
        <v>114</v>
      </c>
      <c r="J143" s="18" t="s">
        <v>106</v>
      </c>
      <c r="K143" s="18" t="s">
        <v>32</v>
      </c>
      <c r="L143" s="18" t="s">
        <v>33</v>
      </c>
      <c r="M143" s="18">
        <v>17</v>
      </c>
      <c r="N143" s="18">
        <v>2200</v>
      </c>
      <c r="O143" s="18">
        <v>0</v>
      </c>
      <c r="P143" s="18">
        <v>37400</v>
      </c>
      <c r="Q143" s="18">
        <v>5</v>
      </c>
      <c r="R143" s="18" t="s">
        <v>48</v>
      </c>
      <c r="S143" s="18" t="s">
        <v>35</v>
      </c>
      <c r="T143" s="18" t="s">
        <v>89</v>
      </c>
      <c r="U143" s="19" t="s">
        <v>781</v>
      </c>
      <c r="V143" s="18" t="s">
        <v>64</v>
      </c>
      <c r="W143" t="str">
        <f t="shared" si="14"/>
        <v>Blacklisted</v>
      </c>
      <c r="X143" s="27" t="str">
        <f t="shared" si="15"/>
        <v>Arjun Rao</v>
      </c>
      <c r="Y143" s="29" t="str">
        <f t="shared" si="16"/>
        <v>Arj00IDPu</v>
      </c>
      <c r="Z143" s="30" t="str">
        <f t="shared" si="17"/>
        <v>arjun.rao@company.com</v>
      </c>
      <c r="AA143" s="32">
        <f t="shared" ca="1" si="18"/>
        <v>40</v>
      </c>
      <c r="AB143" s="33">
        <f t="shared" si="19"/>
        <v>10</v>
      </c>
      <c r="AC143" s="34" t="str">
        <f t="shared" si="20"/>
        <v>Delayed</v>
      </c>
    </row>
    <row r="144" spans="1:29">
      <c r="A144" s="15" t="s">
        <v>782</v>
      </c>
      <c r="B144" s="15" t="s">
        <v>83</v>
      </c>
      <c r="C144" s="15" t="s">
        <v>72</v>
      </c>
      <c r="D144" s="15" t="s">
        <v>770</v>
      </c>
      <c r="E144" s="15" t="s">
        <v>783</v>
      </c>
      <c r="F144" s="15" t="s">
        <v>180</v>
      </c>
      <c r="G144" s="15" t="s">
        <v>76</v>
      </c>
      <c r="H144" s="15" t="s">
        <v>784</v>
      </c>
      <c r="I144" s="15" t="s">
        <v>114</v>
      </c>
      <c r="J144" s="15" t="s">
        <v>106</v>
      </c>
      <c r="K144" s="15" t="s">
        <v>46</v>
      </c>
      <c r="L144" s="15" t="s">
        <v>78</v>
      </c>
      <c r="M144" s="15">
        <v>10</v>
      </c>
      <c r="N144" s="15">
        <v>1200</v>
      </c>
      <c r="O144" s="15">
        <v>5</v>
      </c>
      <c r="P144" s="15">
        <v>11400</v>
      </c>
      <c r="Q144" s="15">
        <v>2</v>
      </c>
      <c r="R144" s="15" t="s">
        <v>34</v>
      </c>
      <c r="S144" s="15" t="s">
        <v>49</v>
      </c>
      <c r="T144" s="15" t="s">
        <v>89</v>
      </c>
      <c r="U144" s="17" t="s">
        <v>785</v>
      </c>
      <c r="V144" s="15" t="s">
        <v>69</v>
      </c>
      <c r="W144" t="str">
        <f t="shared" si="14"/>
        <v>Blacklisted</v>
      </c>
      <c r="X144" s="27" t="str">
        <f t="shared" si="15"/>
        <v>Arjun Rao</v>
      </c>
      <c r="Y144" s="29" t="str">
        <f t="shared" si="16"/>
        <v>Arj00IDPu</v>
      </c>
      <c r="Z144" s="30" t="str">
        <f t="shared" si="17"/>
        <v>arjun.rao@company.com</v>
      </c>
      <c r="AA144" s="32">
        <f t="shared" ca="1" si="18"/>
        <v>49</v>
      </c>
      <c r="AB144" s="33">
        <f t="shared" si="19"/>
        <v>7</v>
      </c>
      <c r="AC144" s="34" t="str">
        <f t="shared" si="20"/>
        <v>Delayed</v>
      </c>
    </row>
    <row r="145" spans="1:29">
      <c r="A145" s="18" t="s">
        <v>786</v>
      </c>
      <c r="B145" s="18" t="s">
        <v>221</v>
      </c>
      <c r="C145" s="18" t="s">
        <v>118</v>
      </c>
      <c r="D145" s="18" t="s">
        <v>787</v>
      </c>
      <c r="E145" s="18" t="s">
        <v>788</v>
      </c>
      <c r="F145" s="18" t="s">
        <v>225</v>
      </c>
      <c r="G145" s="18" t="s">
        <v>76</v>
      </c>
      <c r="H145" s="18" t="s">
        <v>789</v>
      </c>
      <c r="I145" s="18" t="s">
        <v>30</v>
      </c>
      <c r="J145" s="18" t="s">
        <v>31</v>
      </c>
      <c r="K145" s="18" t="s">
        <v>122</v>
      </c>
      <c r="L145" s="18" t="s">
        <v>123</v>
      </c>
      <c r="M145" s="18">
        <v>3</v>
      </c>
      <c r="N145" s="18">
        <v>60</v>
      </c>
      <c r="O145" s="18">
        <v>0</v>
      </c>
      <c r="P145" s="18">
        <v>180</v>
      </c>
      <c r="Q145" s="18">
        <v>4</v>
      </c>
      <c r="R145" s="18" t="s">
        <v>48</v>
      </c>
      <c r="S145" s="18" t="s">
        <v>151</v>
      </c>
      <c r="T145" s="18" t="s">
        <v>228</v>
      </c>
      <c r="U145" s="19" t="s">
        <v>790</v>
      </c>
      <c r="V145" s="18" t="s">
        <v>38</v>
      </c>
      <c r="W145" t="str">
        <f t="shared" si="14"/>
        <v>Silver</v>
      </c>
      <c r="X145" s="27" t="str">
        <f t="shared" si="15"/>
        <v>Vikas Mehta</v>
      </c>
      <c r="Y145" s="29" t="str">
        <f t="shared" si="16"/>
        <v>Vik00IDHy</v>
      </c>
      <c r="Z145" s="30" t="str">
        <f t="shared" si="17"/>
        <v>vikas.mehta@company.com</v>
      </c>
      <c r="AA145" s="32">
        <f t="shared" ca="1" si="18"/>
        <v>43</v>
      </c>
      <c r="AB145" s="33">
        <f t="shared" si="19"/>
        <v>1</v>
      </c>
      <c r="AC145" s="34" t="str">
        <f t="shared" si="20"/>
        <v>On Time</v>
      </c>
    </row>
    <row r="146" spans="1:29">
      <c r="A146" s="15" t="s">
        <v>791</v>
      </c>
      <c r="B146" s="15" t="s">
        <v>53</v>
      </c>
      <c r="C146" s="15" t="s">
        <v>24</v>
      </c>
      <c r="D146" s="15" t="s">
        <v>792</v>
      </c>
      <c r="E146" s="15" t="s">
        <v>793</v>
      </c>
      <c r="F146" s="15" t="s">
        <v>163</v>
      </c>
      <c r="G146" s="15" t="s">
        <v>28</v>
      </c>
      <c r="H146" s="15" t="s">
        <v>794</v>
      </c>
      <c r="I146" s="15" t="s">
        <v>105</v>
      </c>
      <c r="J146" s="15" t="s">
        <v>106</v>
      </c>
      <c r="K146" s="15" t="s">
        <v>32</v>
      </c>
      <c r="L146" s="15" t="s">
        <v>33</v>
      </c>
      <c r="M146" s="15">
        <v>18</v>
      </c>
      <c r="N146" s="15">
        <v>2200</v>
      </c>
      <c r="O146" s="15">
        <v>10</v>
      </c>
      <c r="P146" s="15">
        <v>35640</v>
      </c>
      <c r="Q146" s="15">
        <v>1</v>
      </c>
      <c r="R146" s="15" t="s">
        <v>79</v>
      </c>
      <c r="S146" s="15" t="s">
        <v>151</v>
      </c>
      <c r="T146" s="15" t="s">
        <v>62</v>
      </c>
      <c r="U146" s="17" t="s">
        <v>795</v>
      </c>
      <c r="V146" s="15" t="s">
        <v>69</v>
      </c>
      <c r="W146" t="str">
        <f t="shared" si="14"/>
        <v>Blacklisted</v>
      </c>
      <c r="X146" s="27" t="str">
        <f t="shared" si="15"/>
        <v>Pooja Shah</v>
      </c>
      <c r="Y146" s="29" t="str">
        <f t="shared" si="16"/>
        <v>Poo01IDMu</v>
      </c>
      <c r="Z146" s="30" t="str">
        <f t="shared" si="17"/>
        <v>pooja.shah@company.com</v>
      </c>
      <c r="AA146" s="32">
        <f t="shared" ca="1" si="18"/>
        <v>48</v>
      </c>
      <c r="AB146" s="33">
        <f t="shared" si="19"/>
        <v>11</v>
      </c>
      <c r="AC146" s="34" t="str">
        <f t="shared" si="20"/>
        <v>Delayed</v>
      </c>
    </row>
    <row r="147" spans="1:29">
      <c r="A147" s="18" t="s">
        <v>796</v>
      </c>
      <c r="B147" s="18" t="s">
        <v>71</v>
      </c>
      <c r="C147" s="18" t="s">
        <v>118</v>
      </c>
      <c r="D147" s="18" t="s">
        <v>797</v>
      </c>
      <c r="E147" s="18" t="s">
        <v>798</v>
      </c>
      <c r="F147" s="18" t="s">
        <v>217</v>
      </c>
      <c r="G147" s="18" t="s">
        <v>76</v>
      </c>
      <c r="H147" s="18" t="s">
        <v>799</v>
      </c>
      <c r="I147" s="18" t="s">
        <v>44</v>
      </c>
      <c r="J147" s="18" t="s">
        <v>45</v>
      </c>
      <c r="K147" s="18" t="s">
        <v>122</v>
      </c>
      <c r="L147" s="18" t="s">
        <v>123</v>
      </c>
      <c r="M147" s="18">
        <v>18</v>
      </c>
      <c r="N147" s="18">
        <v>60</v>
      </c>
      <c r="O147" s="18">
        <v>5</v>
      </c>
      <c r="P147" s="18">
        <v>1026</v>
      </c>
      <c r="Q147" s="18">
        <v>3</v>
      </c>
      <c r="R147" s="18" t="s">
        <v>79</v>
      </c>
      <c r="S147" s="18" t="s">
        <v>49</v>
      </c>
      <c r="T147" s="18" t="s">
        <v>80</v>
      </c>
      <c r="U147" s="19" t="s">
        <v>800</v>
      </c>
      <c r="V147" s="18" t="s">
        <v>64</v>
      </c>
      <c r="W147" t="str">
        <f t="shared" si="14"/>
        <v>Blacklisted</v>
      </c>
      <c r="X147" s="27" t="str">
        <f t="shared" si="15"/>
        <v>Mohit Verma</v>
      </c>
      <c r="Y147" s="29" t="str">
        <f t="shared" si="16"/>
        <v>Moh00IDDe</v>
      </c>
      <c r="Z147" s="30" t="str">
        <f t="shared" si="17"/>
        <v>mohit.verma@company.com</v>
      </c>
      <c r="AA147" s="32">
        <f t="shared" ca="1" si="18"/>
        <v>43</v>
      </c>
      <c r="AB147" s="33">
        <f t="shared" si="19"/>
        <v>3</v>
      </c>
      <c r="AC147" s="34" t="str">
        <f t="shared" si="20"/>
        <v>On Time</v>
      </c>
    </row>
    <row r="148" spans="1:29">
      <c r="A148" s="15" t="s">
        <v>801</v>
      </c>
      <c r="B148" s="15" t="s">
        <v>127</v>
      </c>
      <c r="C148" s="15" t="s">
        <v>54</v>
      </c>
      <c r="D148" s="15" t="s">
        <v>422</v>
      </c>
      <c r="E148" s="15" t="s">
        <v>377</v>
      </c>
      <c r="F148" s="15" t="s">
        <v>200</v>
      </c>
      <c r="G148" s="15" t="s">
        <v>76</v>
      </c>
      <c r="H148" s="15" t="s">
        <v>802</v>
      </c>
      <c r="I148" s="15" t="s">
        <v>114</v>
      </c>
      <c r="J148" s="15" t="s">
        <v>106</v>
      </c>
      <c r="K148" s="15" t="s">
        <v>46</v>
      </c>
      <c r="L148" s="15" t="s">
        <v>60</v>
      </c>
      <c r="M148" s="15">
        <v>11</v>
      </c>
      <c r="N148" s="15">
        <v>55000</v>
      </c>
      <c r="O148" s="15">
        <v>15</v>
      </c>
      <c r="P148" s="15">
        <v>514250</v>
      </c>
      <c r="Q148" s="15">
        <v>4</v>
      </c>
      <c r="R148" s="15" t="s">
        <v>88</v>
      </c>
      <c r="S148" s="15" t="s">
        <v>115</v>
      </c>
      <c r="T148" s="15" t="s">
        <v>132</v>
      </c>
      <c r="U148" s="17" t="s">
        <v>803</v>
      </c>
      <c r="V148" s="15" t="s">
        <v>69</v>
      </c>
      <c r="W148" t="str">
        <f t="shared" si="14"/>
        <v>Blacklisted</v>
      </c>
      <c r="X148" s="27" t="str">
        <f t="shared" si="15"/>
        <v>Rohit Singh</v>
      </c>
      <c r="Y148" s="29" t="str">
        <f t="shared" si="16"/>
        <v>Roh00IDPu</v>
      </c>
      <c r="Z148" s="30" t="str">
        <f t="shared" si="17"/>
        <v>rohit.singh@company.com</v>
      </c>
      <c r="AA148" s="32">
        <f t="shared" ca="1" si="18"/>
        <v>38</v>
      </c>
      <c r="AB148" s="33">
        <f t="shared" si="19"/>
        <v>7</v>
      </c>
      <c r="AC148" s="34" t="str">
        <f t="shared" si="20"/>
        <v>Delayed</v>
      </c>
    </row>
    <row r="149" spans="1:29">
      <c r="A149" s="18" t="s">
        <v>804</v>
      </c>
      <c r="B149" s="18" t="s">
        <v>251</v>
      </c>
      <c r="C149" s="18" t="s">
        <v>169</v>
      </c>
      <c r="D149" s="18" t="s">
        <v>474</v>
      </c>
      <c r="E149" s="18" t="s">
        <v>464</v>
      </c>
      <c r="F149" s="18" t="s">
        <v>254</v>
      </c>
      <c r="G149" s="18" t="s">
        <v>28</v>
      </c>
      <c r="H149" s="18" t="s">
        <v>805</v>
      </c>
      <c r="I149" s="18" t="s">
        <v>294</v>
      </c>
      <c r="J149" s="18" t="s">
        <v>295</v>
      </c>
      <c r="K149" s="18" t="s">
        <v>32</v>
      </c>
      <c r="L149" s="18" t="s">
        <v>174</v>
      </c>
      <c r="M149" s="18">
        <v>5</v>
      </c>
      <c r="N149" s="18">
        <v>8500</v>
      </c>
      <c r="O149" s="18">
        <v>5</v>
      </c>
      <c r="P149" s="18">
        <v>40375</v>
      </c>
      <c r="Q149" s="18">
        <v>4</v>
      </c>
      <c r="R149" s="18" t="s">
        <v>34</v>
      </c>
      <c r="S149" s="18" t="s">
        <v>151</v>
      </c>
      <c r="T149" s="18" t="s">
        <v>256</v>
      </c>
      <c r="U149" s="19" t="s">
        <v>806</v>
      </c>
      <c r="V149" s="18" t="s">
        <v>38</v>
      </c>
      <c r="W149" t="str">
        <f t="shared" si="14"/>
        <v>Silver</v>
      </c>
      <c r="X149" s="27" t="str">
        <f t="shared" si="15"/>
        <v>Sneha Joshi</v>
      </c>
      <c r="Y149" s="29" t="str">
        <f t="shared" si="16"/>
        <v>Sne00IDKo</v>
      </c>
      <c r="Z149" s="30" t="str">
        <f t="shared" si="17"/>
        <v>sneha.joshi@company.com</v>
      </c>
      <c r="AA149" s="32">
        <f t="shared" ca="1" si="18"/>
        <v>23</v>
      </c>
      <c r="AB149" s="33">
        <f t="shared" si="19"/>
        <v>11</v>
      </c>
      <c r="AC149" s="34" t="str">
        <f t="shared" si="20"/>
        <v>Delayed</v>
      </c>
    </row>
    <row r="150" spans="1:29">
      <c r="A150" s="15" t="s">
        <v>192</v>
      </c>
      <c r="B150" s="15" t="s">
        <v>100</v>
      </c>
      <c r="C150" s="15" t="s">
        <v>184</v>
      </c>
      <c r="D150" s="15" t="s">
        <v>246</v>
      </c>
      <c r="E150" s="15" t="s">
        <v>128</v>
      </c>
      <c r="F150" s="15" t="s">
        <v>103</v>
      </c>
      <c r="G150" s="15" t="s">
        <v>28</v>
      </c>
      <c r="H150" s="15" t="s">
        <v>807</v>
      </c>
      <c r="I150" s="15" t="s">
        <v>212</v>
      </c>
      <c r="J150" s="15" t="s">
        <v>45</v>
      </c>
      <c r="K150" s="15" t="s">
        <v>46</v>
      </c>
      <c r="L150" s="15" t="s">
        <v>189</v>
      </c>
      <c r="M150" s="15">
        <v>16</v>
      </c>
      <c r="N150" s="15">
        <v>700</v>
      </c>
      <c r="O150" s="15">
        <v>15</v>
      </c>
      <c r="P150" s="15">
        <v>9520</v>
      </c>
      <c r="Q150" s="15">
        <v>4</v>
      </c>
      <c r="R150" s="15" t="s">
        <v>79</v>
      </c>
      <c r="S150" s="15" t="s">
        <v>61</v>
      </c>
      <c r="T150" s="15" t="s">
        <v>144</v>
      </c>
      <c r="U150" s="17" t="s">
        <v>808</v>
      </c>
      <c r="V150" s="15" t="s">
        <v>38</v>
      </c>
      <c r="W150" t="str">
        <f t="shared" si="14"/>
        <v>Silver</v>
      </c>
      <c r="X150" s="27" t="str">
        <f t="shared" si="15"/>
        <v>Priya Patel</v>
      </c>
      <c r="Y150" s="29" t="str">
        <f t="shared" si="16"/>
        <v>Pri00IDJa</v>
      </c>
      <c r="Z150" s="30" t="str">
        <f t="shared" si="17"/>
        <v>priya.patel@company.com</v>
      </c>
      <c r="AA150" s="32">
        <f t="shared" ca="1" si="18"/>
        <v>24</v>
      </c>
      <c r="AB150" s="33">
        <f t="shared" si="19"/>
        <v>11</v>
      </c>
      <c r="AC150" s="34" t="str">
        <f t="shared" si="20"/>
        <v>Delayed</v>
      </c>
    </row>
    <row r="151" spans="1:29">
      <c r="A151" s="18" t="s">
        <v>809</v>
      </c>
      <c r="B151" s="18" t="s">
        <v>127</v>
      </c>
      <c r="C151" s="18" t="s">
        <v>184</v>
      </c>
      <c r="D151" s="18" t="s">
        <v>489</v>
      </c>
      <c r="E151" s="18" t="s">
        <v>267</v>
      </c>
      <c r="F151" s="18" t="s">
        <v>200</v>
      </c>
      <c r="G151" s="18" t="s">
        <v>76</v>
      </c>
      <c r="H151" s="18" t="s">
        <v>810</v>
      </c>
      <c r="I151" s="18" t="s">
        <v>114</v>
      </c>
      <c r="J151" s="18" t="s">
        <v>106</v>
      </c>
      <c r="K151" s="18" t="s">
        <v>46</v>
      </c>
      <c r="L151" s="18" t="s">
        <v>189</v>
      </c>
      <c r="M151" s="18">
        <v>6</v>
      </c>
      <c r="N151" s="18">
        <v>700</v>
      </c>
      <c r="O151" s="18">
        <v>10</v>
      </c>
      <c r="P151" s="18">
        <v>3780</v>
      </c>
      <c r="Q151" s="18">
        <v>4</v>
      </c>
      <c r="R151" s="18" t="s">
        <v>34</v>
      </c>
      <c r="S151" s="18" t="s">
        <v>49</v>
      </c>
      <c r="T151" s="18" t="s">
        <v>132</v>
      </c>
      <c r="U151" s="19" t="s">
        <v>811</v>
      </c>
      <c r="V151" s="18" t="s">
        <v>69</v>
      </c>
      <c r="W151" t="str">
        <f t="shared" si="14"/>
        <v>Blacklisted</v>
      </c>
      <c r="X151" s="27" t="str">
        <f t="shared" si="15"/>
        <v>Rohit Singh</v>
      </c>
      <c r="Y151" s="29" t="str">
        <f t="shared" si="16"/>
        <v>Roh00IDPu</v>
      </c>
      <c r="Z151" s="30" t="str">
        <f t="shared" si="17"/>
        <v>rohit.singh@company.com</v>
      </c>
      <c r="AA151" s="32">
        <f t="shared" ca="1" si="18"/>
        <v>51</v>
      </c>
      <c r="AB151" s="33">
        <f t="shared" si="19"/>
        <v>6</v>
      </c>
      <c r="AC151" s="34" t="str">
        <f t="shared" si="20"/>
        <v>Delayed</v>
      </c>
    </row>
    <row r="152" spans="1:29">
      <c r="A152" s="15" t="s">
        <v>812</v>
      </c>
      <c r="B152" s="15" t="s">
        <v>53</v>
      </c>
      <c r="C152" s="15" t="s">
        <v>92</v>
      </c>
      <c r="D152" s="15" t="s">
        <v>518</v>
      </c>
      <c r="E152" s="15" t="s">
        <v>615</v>
      </c>
      <c r="F152" s="15" t="s">
        <v>163</v>
      </c>
      <c r="G152" s="15" t="s">
        <v>28</v>
      </c>
      <c r="H152" s="15" t="s">
        <v>813</v>
      </c>
      <c r="I152" s="15" t="s">
        <v>44</v>
      </c>
      <c r="J152" s="15" t="s">
        <v>45</v>
      </c>
      <c r="K152" s="15" t="s">
        <v>32</v>
      </c>
      <c r="L152" s="15" t="s">
        <v>97</v>
      </c>
      <c r="M152" s="15">
        <v>20</v>
      </c>
      <c r="N152" s="15">
        <v>3500</v>
      </c>
      <c r="O152" s="15">
        <v>10</v>
      </c>
      <c r="P152" s="15">
        <v>63000</v>
      </c>
      <c r="Q152" s="15">
        <v>4</v>
      </c>
      <c r="R152" s="15" t="s">
        <v>88</v>
      </c>
      <c r="S152" s="15" t="s">
        <v>49</v>
      </c>
      <c r="T152" s="15" t="s">
        <v>62</v>
      </c>
      <c r="U152" s="17" t="s">
        <v>814</v>
      </c>
      <c r="V152" s="15" t="s">
        <v>64</v>
      </c>
      <c r="W152" t="str">
        <f t="shared" si="14"/>
        <v>Blacklisted</v>
      </c>
      <c r="X152" s="27" t="str">
        <f t="shared" si="15"/>
        <v>Pooja Shah</v>
      </c>
      <c r="Y152" s="29" t="str">
        <f t="shared" si="16"/>
        <v>Poo01IDDe</v>
      </c>
      <c r="Z152" s="30" t="str">
        <f t="shared" si="17"/>
        <v>pooja.shah@company.com</v>
      </c>
      <c r="AA152" s="32">
        <f t="shared" ca="1" si="18"/>
        <v>34</v>
      </c>
      <c r="AB152" s="33">
        <f t="shared" si="19"/>
        <v>12</v>
      </c>
      <c r="AC152" s="34" t="str">
        <f t="shared" si="20"/>
        <v>Delayed</v>
      </c>
    </row>
    <row r="153" spans="1:29">
      <c r="A153" s="18" t="s">
        <v>815</v>
      </c>
      <c r="B153" s="18" t="s">
        <v>23</v>
      </c>
      <c r="C153" s="18" t="s">
        <v>222</v>
      </c>
      <c r="D153" s="18" t="s">
        <v>816</v>
      </c>
      <c r="E153" s="18" t="s">
        <v>817</v>
      </c>
      <c r="F153" s="18" t="s">
        <v>27</v>
      </c>
      <c r="G153" s="18" t="s">
        <v>28</v>
      </c>
      <c r="H153" s="18" t="s">
        <v>818</v>
      </c>
      <c r="I153" s="18" t="s">
        <v>59</v>
      </c>
      <c r="J153" s="18" t="s">
        <v>31</v>
      </c>
      <c r="K153" s="18" t="s">
        <v>122</v>
      </c>
      <c r="L153" s="18" t="s">
        <v>227</v>
      </c>
      <c r="M153" s="18">
        <v>2</v>
      </c>
      <c r="N153" s="18">
        <v>20</v>
      </c>
      <c r="O153" s="18">
        <v>10</v>
      </c>
      <c r="P153" s="18">
        <v>36</v>
      </c>
      <c r="Q153" s="18">
        <v>1</v>
      </c>
      <c r="R153" s="18" t="s">
        <v>48</v>
      </c>
      <c r="S153" s="18" t="s">
        <v>115</v>
      </c>
      <c r="T153" s="18" t="s">
        <v>50</v>
      </c>
      <c r="U153" s="19" t="s">
        <v>819</v>
      </c>
      <c r="V153" s="18" t="s">
        <v>64</v>
      </c>
      <c r="W153" t="str">
        <f t="shared" si="14"/>
        <v>Blacklisted</v>
      </c>
      <c r="X153" s="27" t="str">
        <f t="shared" si="15"/>
        <v>Kavya Nair</v>
      </c>
      <c r="Y153" s="29" t="str">
        <f t="shared" si="16"/>
        <v>Kav00IDBe</v>
      </c>
      <c r="Z153" s="30" t="str">
        <f t="shared" si="17"/>
        <v>kavya.nair@company.com</v>
      </c>
      <c r="AA153" s="32">
        <f t="shared" ca="1" si="18"/>
        <v>28</v>
      </c>
      <c r="AB153" s="33">
        <f t="shared" si="19"/>
        <v>8</v>
      </c>
      <c r="AC153" s="34" t="str">
        <f t="shared" si="20"/>
        <v>Delayed</v>
      </c>
    </row>
    <row r="154" spans="1:29">
      <c r="A154" s="15" t="s">
        <v>820</v>
      </c>
      <c r="B154" s="15" t="s">
        <v>100</v>
      </c>
      <c r="C154" s="15" t="s">
        <v>24</v>
      </c>
      <c r="D154" s="15" t="s">
        <v>779</v>
      </c>
      <c r="E154" s="15" t="s">
        <v>821</v>
      </c>
      <c r="F154" s="15" t="s">
        <v>103</v>
      </c>
      <c r="G154" s="15" t="s">
        <v>28</v>
      </c>
      <c r="H154" s="15" t="s">
        <v>822</v>
      </c>
      <c r="I154" s="15" t="s">
        <v>114</v>
      </c>
      <c r="J154" s="15" t="s">
        <v>106</v>
      </c>
      <c r="K154" s="15" t="s">
        <v>32</v>
      </c>
      <c r="L154" s="15" t="s">
        <v>33</v>
      </c>
      <c r="M154" s="15">
        <v>16</v>
      </c>
      <c r="N154" s="15">
        <v>2200</v>
      </c>
      <c r="O154" s="15">
        <v>20</v>
      </c>
      <c r="P154" s="15">
        <v>28160</v>
      </c>
      <c r="Q154" s="15">
        <v>2</v>
      </c>
      <c r="R154" s="15" t="s">
        <v>88</v>
      </c>
      <c r="S154" s="15" t="s">
        <v>151</v>
      </c>
      <c r="T154" s="15" t="s">
        <v>144</v>
      </c>
      <c r="U154" s="17" t="s">
        <v>823</v>
      </c>
      <c r="V154" s="15" t="s">
        <v>64</v>
      </c>
      <c r="W154" t="str">
        <f t="shared" si="14"/>
        <v>Blacklisted</v>
      </c>
      <c r="X154" s="27" t="str">
        <f t="shared" si="15"/>
        <v>Priya Patel</v>
      </c>
      <c r="Y154" s="29" t="str">
        <f t="shared" si="16"/>
        <v>Pri00IDPu</v>
      </c>
      <c r="Z154" s="30" t="str">
        <f t="shared" si="17"/>
        <v>priya.patel@company.com</v>
      </c>
      <c r="AA154" s="32">
        <f t="shared" ca="1" si="18"/>
        <v>30</v>
      </c>
      <c r="AB154" s="33">
        <f t="shared" si="19"/>
        <v>5</v>
      </c>
      <c r="AC154" s="34" t="str">
        <f t="shared" si="20"/>
        <v>On Time</v>
      </c>
    </row>
    <row r="155" spans="1:29">
      <c r="A155" s="18" t="s">
        <v>824</v>
      </c>
      <c r="B155" s="18" t="s">
        <v>221</v>
      </c>
      <c r="C155" s="18" t="s">
        <v>40</v>
      </c>
      <c r="D155" s="18" t="s">
        <v>148</v>
      </c>
      <c r="E155" s="18" t="s">
        <v>825</v>
      </c>
      <c r="F155" s="18" t="s">
        <v>225</v>
      </c>
      <c r="G155" s="18" t="s">
        <v>76</v>
      </c>
      <c r="H155" s="18" t="s">
        <v>826</v>
      </c>
      <c r="I155" s="18" t="s">
        <v>114</v>
      </c>
      <c r="J155" s="18" t="s">
        <v>106</v>
      </c>
      <c r="K155" s="18" t="s">
        <v>46</v>
      </c>
      <c r="L155" s="18" t="s">
        <v>47</v>
      </c>
      <c r="M155" s="18">
        <v>15</v>
      </c>
      <c r="N155" s="18">
        <v>12000</v>
      </c>
      <c r="O155" s="18">
        <v>0</v>
      </c>
      <c r="P155" s="18">
        <v>180000</v>
      </c>
      <c r="Q155" s="18">
        <v>1</v>
      </c>
      <c r="R155" s="18" t="s">
        <v>79</v>
      </c>
      <c r="S155" s="18" t="s">
        <v>61</v>
      </c>
      <c r="T155" s="18" t="s">
        <v>228</v>
      </c>
      <c r="U155" s="19" t="s">
        <v>827</v>
      </c>
      <c r="V155" s="18" t="s">
        <v>64</v>
      </c>
      <c r="W155" t="str">
        <f t="shared" si="14"/>
        <v>Blacklisted</v>
      </c>
      <c r="X155" s="27" t="str">
        <f t="shared" si="15"/>
        <v>Vikas Mehta</v>
      </c>
      <c r="Y155" s="29" t="str">
        <f t="shared" si="16"/>
        <v>Vik00IDPu</v>
      </c>
      <c r="Z155" s="30" t="str">
        <f t="shared" si="17"/>
        <v>vikas.mehta@company.com</v>
      </c>
      <c r="AA155" s="32">
        <f t="shared" ca="1" si="18"/>
        <v>30</v>
      </c>
      <c r="AB155" s="33">
        <f t="shared" si="19"/>
        <v>10</v>
      </c>
      <c r="AC155" s="34" t="str">
        <f t="shared" si="20"/>
        <v>Delayed</v>
      </c>
    </row>
    <row r="156" spans="1:29">
      <c r="A156" s="15" t="s">
        <v>828</v>
      </c>
      <c r="B156" s="15" t="s">
        <v>23</v>
      </c>
      <c r="C156" s="15" t="s">
        <v>118</v>
      </c>
      <c r="D156" s="15" t="s">
        <v>829</v>
      </c>
      <c r="E156" s="15" t="s">
        <v>830</v>
      </c>
      <c r="F156" s="15" t="s">
        <v>27</v>
      </c>
      <c r="G156" s="15" t="s">
        <v>28</v>
      </c>
      <c r="H156" s="15" t="s">
        <v>831</v>
      </c>
      <c r="I156" s="15" t="s">
        <v>44</v>
      </c>
      <c r="J156" s="15" t="s">
        <v>45</v>
      </c>
      <c r="K156" s="15" t="s">
        <v>122</v>
      </c>
      <c r="L156" s="15" t="s">
        <v>123</v>
      </c>
      <c r="M156" s="15">
        <v>14</v>
      </c>
      <c r="N156" s="15">
        <v>60</v>
      </c>
      <c r="O156" s="15">
        <v>15</v>
      </c>
      <c r="P156" s="15">
        <v>714</v>
      </c>
      <c r="Q156" s="15">
        <v>4</v>
      </c>
      <c r="R156" s="15" t="s">
        <v>88</v>
      </c>
      <c r="S156" s="15" t="s">
        <v>49</v>
      </c>
      <c r="T156" s="15" t="s">
        <v>50</v>
      </c>
      <c r="U156" s="17" t="s">
        <v>832</v>
      </c>
      <c r="V156" s="15" t="s">
        <v>38</v>
      </c>
      <c r="W156" t="str">
        <f t="shared" si="14"/>
        <v>Silver</v>
      </c>
      <c r="X156" s="27" t="str">
        <f t="shared" si="15"/>
        <v>Kavya Nair</v>
      </c>
      <c r="Y156" s="29" t="str">
        <f t="shared" si="16"/>
        <v>Kav00IDDe</v>
      </c>
      <c r="Z156" s="30" t="str">
        <f t="shared" si="17"/>
        <v>kavya.nair@company.com</v>
      </c>
      <c r="AA156" s="32">
        <f t="shared" ca="1" si="18"/>
        <v>50</v>
      </c>
      <c r="AB156" s="33">
        <f t="shared" si="19"/>
        <v>1</v>
      </c>
      <c r="AC156" s="34" t="str">
        <f t="shared" si="20"/>
        <v>On Time</v>
      </c>
    </row>
    <row r="157" spans="1:29">
      <c r="A157" s="18" t="s">
        <v>833</v>
      </c>
      <c r="B157" s="18" t="s">
        <v>53</v>
      </c>
      <c r="C157" s="18" t="s">
        <v>72</v>
      </c>
      <c r="D157" s="18" t="s">
        <v>834</v>
      </c>
      <c r="E157" s="18" t="s">
        <v>835</v>
      </c>
      <c r="F157" s="18" t="s">
        <v>163</v>
      </c>
      <c r="G157" s="18" t="s">
        <v>28</v>
      </c>
      <c r="H157" s="18" t="s">
        <v>836</v>
      </c>
      <c r="I157" s="18" t="s">
        <v>30</v>
      </c>
      <c r="J157" s="18" t="s">
        <v>31</v>
      </c>
      <c r="K157" s="18" t="s">
        <v>46</v>
      </c>
      <c r="L157" s="18" t="s">
        <v>78</v>
      </c>
      <c r="M157" s="18">
        <v>9</v>
      </c>
      <c r="N157" s="18">
        <v>1200</v>
      </c>
      <c r="O157" s="18">
        <v>5</v>
      </c>
      <c r="P157" s="18">
        <v>10260</v>
      </c>
      <c r="Q157" s="18">
        <v>5</v>
      </c>
      <c r="R157" s="18" t="s">
        <v>48</v>
      </c>
      <c r="S157" s="18" t="s">
        <v>61</v>
      </c>
      <c r="T157" s="18" t="s">
        <v>62</v>
      </c>
      <c r="U157" s="19" t="s">
        <v>837</v>
      </c>
      <c r="V157" s="18" t="s">
        <v>64</v>
      </c>
      <c r="W157" t="str">
        <f t="shared" si="14"/>
        <v>Blacklisted</v>
      </c>
      <c r="X157" s="27" t="str">
        <f t="shared" si="15"/>
        <v>Pooja Shah</v>
      </c>
      <c r="Y157" s="29" t="str">
        <f t="shared" si="16"/>
        <v>Poo01IDHy</v>
      </c>
      <c r="Z157" s="30" t="str">
        <f t="shared" si="17"/>
        <v>pooja.shah@company.com</v>
      </c>
      <c r="AA157" s="32">
        <f t="shared" ca="1" si="18"/>
        <v>42</v>
      </c>
      <c r="AB157" s="33">
        <f t="shared" si="19"/>
        <v>3</v>
      </c>
      <c r="AC157" s="34" t="str">
        <f t="shared" si="20"/>
        <v>On Time</v>
      </c>
    </row>
    <row r="158" spans="1:29">
      <c r="A158" s="15" t="s">
        <v>838</v>
      </c>
      <c r="B158" s="15" t="s">
        <v>221</v>
      </c>
      <c r="C158" s="15" t="s">
        <v>72</v>
      </c>
      <c r="D158" s="15" t="s">
        <v>821</v>
      </c>
      <c r="E158" s="15" t="s">
        <v>839</v>
      </c>
      <c r="F158" s="15" t="s">
        <v>225</v>
      </c>
      <c r="G158" s="15" t="s">
        <v>76</v>
      </c>
      <c r="H158" s="15" t="s">
        <v>840</v>
      </c>
      <c r="I158" s="15" t="s">
        <v>294</v>
      </c>
      <c r="J158" s="15" t="s">
        <v>295</v>
      </c>
      <c r="K158" s="15" t="s">
        <v>46</v>
      </c>
      <c r="L158" s="15" t="s">
        <v>78</v>
      </c>
      <c r="M158" s="15">
        <v>3</v>
      </c>
      <c r="N158" s="15">
        <v>1200</v>
      </c>
      <c r="O158" s="15">
        <v>10</v>
      </c>
      <c r="P158" s="15">
        <v>3240</v>
      </c>
      <c r="Q158" s="15">
        <v>2</v>
      </c>
      <c r="R158" s="15" t="s">
        <v>79</v>
      </c>
      <c r="S158" s="15" t="s">
        <v>151</v>
      </c>
      <c r="T158" s="15" t="s">
        <v>228</v>
      </c>
      <c r="U158" s="17" t="s">
        <v>841</v>
      </c>
      <c r="V158" s="15" t="s">
        <v>69</v>
      </c>
      <c r="W158" t="str">
        <f t="shared" si="14"/>
        <v>Blacklisted</v>
      </c>
      <c r="X158" s="27" t="str">
        <f t="shared" si="15"/>
        <v>Vikas Mehta</v>
      </c>
      <c r="Y158" s="29" t="str">
        <f t="shared" si="16"/>
        <v>Vik00IDKo</v>
      </c>
      <c r="Z158" s="30" t="str">
        <f t="shared" si="17"/>
        <v>vikas.mehta@company.com</v>
      </c>
      <c r="AA158" s="32">
        <f t="shared" ca="1" si="18"/>
        <v>28</v>
      </c>
      <c r="AB158" s="33">
        <f t="shared" si="19"/>
        <v>10</v>
      </c>
      <c r="AC158" s="34" t="str">
        <f t="shared" si="20"/>
        <v>Delayed</v>
      </c>
    </row>
    <row r="159" spans="1:29">
      <c r="A159" s="18" t="s">
        <v>842</v>
      </c>
      <c r="B159" s="18" t="s">
        <v>327</v>
      </c>
      <c r="C159" s="18" t="s">
        <v>118</v>
      </c>
      <c r="D159" s="18" t="s">
        <v>459</v>
      </c>
      <c r="E159" s="18" t="s">
        <v>577</v>
      </c>
      <c r="F159" s="18" t="s">
        <v>394</v>
      </c>
      <c r="G159" s="18" t="s">
        <v>76</v>
      </c>
      <c r="H159" s="18" t="s">
        <v>843</v>
      </c>
      <c r="I159" s="18" t="s">
        <v>30</v>
      </c>
      <c r="J159" s="18" t="s">
        <v>31</v>
      </c>
      <c r="K159" s="18" t="s">
        <v>122</v>
      </c>
      <c r="L159" s="18" t="s">
        <v>123</v>
      </c>
      <c r="M159" s="18">
        <v>2</v>
      </c>
      <c r="N159" s="18">
        <v>60</v>
      </c>
      <c r="O159" s="18">
        <v>10</v>
      </c>
      <c r="P159" s="18">
        <v>108</v>
      </c>
      <c r="Q159" s="18">
        <v>2</v>
      </c>
      <c r="R159" s="18" t="s">
        <v>88</v>
      </c>
      <c r="S159" s="18" t="s">
        <v>61</v>
      </c>
      <c r="T159" s="18" t="s">
        <v>332</v>
      </c>
      <c r="U159" s="19" t="s">
        <v>844</v>
      </c>
      <c r="V159" s="18" t="s">
        <v>38</v>
      </c>
      <c r="W159" t="str">
        <f t="shared" si="14"/>
        <v>Blacklisted</v>
      </c>
      <c r="X159" s="27" t="str">
        <f t="shared" si="15"/>
        <v>Amit Sharma</v>
      </c>
      <c r="Y159" s="29" t="str">
        <f t="shared" si="16"/>
        <v>Ami00IDHy</v>
      </c>
      <c r="Z159" s="30" t="str">
        <f t="shared" si="17"/>
        <v>amit.sharma@company.com</v>
      </c>
      <c r="AA159" s="32">
        <f t="shared" ca="1" si="18"/>
        <v>25</v>
      </c>
      <c r="AB159" s="33">
        <f t="shared" si="19"/>
        <v>2</v>
      </c>
      <c r="AC159" s="34" t="str">
        <f t="shared" si="20"/>
        <v>On Time</v>
      </c>
    </row>
    <row r="160" spans="1:29">
      <c r="A160" s="15" t="s">
        <v>845</v>
      </c>
      <c r="B160" s="15" t="s">
        <v>71</v>
      </c>
      <c r="C160" s="15" t="s">
        <v>92</v>
      </c>
      <c r="D160" s="15" t="s">
        <v>426</v>
      </c>
      <c r="E160" s="15" t="s">
        <v>846</v>
      </c>
      <c r="F160" s="15" t="s">
        <v>217</v>
      </c>
      <c r="G160" s="15" t="s">
        <v>76</v>
      </c>
      <c r="H160" s="15" t="s">
        <v>847</v>
      </c>
      <c r="I160" s="15" t="s">
        <v>44</v>
      </c>
      <c r="J160" s="15" t="s">
        <v>45</v>
      </c>
      <c r="K160" s="15" t="s">
        <v>32</v>
      </c>
      <c r="L160" s="15" t="s">
        <v>97</v>
      </c>
      <c r="M160" s="15">
        <v>9</v>
      </c>
      <c r="N160" s="15">
        <v>3500</v>
      </c>
      <c r="O160" s="15">
        <v>20</v>
      </c>
      <c r="P160" s="15">
        <v>25200</v>
      </c>
      <c r="Q160" s="15">
        <v>1</v>
      </c>
      <c r="R160" s="15" t="s">
        <v>48</v>
      </c>
      <c r="S160" s="15" t="s">
        <v>35</v>
      </c>
      <c r="T160" s="15" t="s">
        <v>80</v>
      </c>
      <c r="U160" s="17" t="s">
        <v>848</v>
      </c>
      <c r="V160" s="15" t="s">
        <v>38</v>
      </c>
      <c r="W160" t="str">
        <f t="shared" si="14"/>
        <v>Blacklisted</v>
      </c>
      <c r="X160" s="27" t="str">
        <f t="shared" si="15"/>
        <v>Mohit Verma</v>
      </c>
      <c r="Y160" s="29" t="str">
        <f t="shared" si="16"/>
        <v>Moh00IDDe</v>
      </c>
      <c r="Z160" s="30" t="str">
        <f t="shared" si="17"/>
        <v>mohit.verma@company.com</v>
      </c>
      <c r="AA160" s="32">
        <f t="shared" ca="1" si="18"/>
        <v>27</v>
      </c>
      <c r="AB160" s="33">
        <f t="shared" si="19"/>
        <v>10</v>
      </c>
      <c r="AC160" s="34" t="str">
        <f t="shared" si="20"/>
        <v>Delayed</v>
      </c>
    </row>
    <row r="161" spans="1:29">
      <c r="A161" s="18" t="s">
        <v>849</v>
      </c>
      <c r="B161" s="18" t="s">
        <v>221</v>
      </c>
      <c r="C161" s="18" t="s">
        <v>54</v>
      </c>
      <c r="D161" s="18" t="s">
        <v>241</v>
      </c>
      <c r="E161" s="18" t="s">
        <v>543</v>
      </c>
      <c r="F161" s="18" t="s">
        <v>225</v>
      </c>
      <c r="G161" s="18" t="s">
        <v>76</v>
      </c>
      <c r="H161" s="18" t="s">
        <v>850</v>
      </c>
      <c r="I161" s="18" t="s">
        <v>212</v>
      </c>
      <c r="J161" s="18" t="s">
        <v>45</v>
      </c>
      <c r="K161" s="18" t="s">
        <v>46</v>
      </c>
      <c r="L161" s="18" t="s">
        <v>60</v>
      </c>
      <c r="M161" s="18">
        <v>4</v>
      </c>
      <c r="N161" s="18">
        <v>55000</v>
      </c>
      <c r="O161" s="18">
        <v>5</v>
      </c>
      <c r="P161" s="18">
        <v>209000</v>
      </c>
      <c r="Q161" s="18">
        <v>2</v>
      </c>
      <c r="R161" s="18" t="s">
        <v>34</v>
      </c>
      <c r="S161" s="18" t="s">
        <v>151</v>
      </c>
      <c r="T161" s="18" t="s">
        <v>228</v>
      </c>
      <c r="U161" s="19" t="s">
        <v>851</v>
      </c>
      <c r="V161" s="18" t="s">
        <v>64</v>
      </c>
      <c r="W161" t="str">
        <f t="shared" si="14"/>
        <v>Blacklisted</v>
      </c>
      <c r="X161" s="27" t="str">
        <f t="shared" si="15"/>
        <v>Vikas Mehta</v>
      </c>
      <c r="Y161" s="29" t="str">
        <f t="shared" si="16"/>
        <v>Vik00IDJa</v>
      </c>
      <c r="Z161" s="30" t="str">
        <f t="shared" si="17"/>
        <v>vikas.mehta@company.com</v>
      </c>
      <c r="AA161" s="32">
        <f t="shared" ca="1" si="18"/>
        <v>30</v>
      </c>
      <c r="AB161" s="33">
        <f t="shared" si="19"/>
        <v>3</v>
      </c>
      <c r="AC161" s="34" t="str">
        <f t="shared" si="20"/>
        <v>On Time</v>
      </c>
    </row>
    <row r="162" spans="1:29">
      <c r="A162" s="15" t="s">
        <v>852</v>
      </c>
      <c r="B162" s="15" t="s">
        <v>327</v>
      </c>
      <c r="C162" s="15" t="s">
        <v>184</v>
      </c>
      <c r="D162" s="15" t="s">
        <v>488</v>
      </c>
      <c r="E162" s="15" t="s">
        <v>266</v>
      </c>
      <c r="F162" s="15" t="s">
        <v>853</v>
      </c>
      <c r="G162" s="15" t="s">
        <v>76</v>
      </c>
      <c r="H162" s="15" t="s">
        <v>854</v>
      </c>
      <c r="I162" s="15" t="s">
        <v>44</v>
      </c>
      <c r="J162" s="15" t="s">
        <v>45</v>
      </c>
      <c r="K162" s="15" t="s">
        <v>46</v>
      </c>
      <c r="L162" s="15" t="s">
        <v>189</v>
      </c>
      <c r="M162" s="15">
        <v>11</v>
      </c>
      <c r="N162" s="15">
        <v>700</v>
      </c>
      <c r="O162" s="15">
        <v>20</v>
      </c>
      <c r="P162" s="15">
        <v>6160</v>
      </c>
      <c r="Q162" s="15">
        <v>4</v>
      </c>
      <c r="R162" s="15" t="s">
        <v>34</v>
      </c>
      <c r="S162" s="15" t="s">
        <v>151</v>
      </c>
      <c r="T162" s="15" t="s">
        <v>332</v>
      </c>
      <c r="U162" s="17" t="s">
        <v>855</v>
      </c>
      <c r="V162" s="15" t="s">
        <v>69</v>
      </c>
      <c r="W162" t="str">
        <f t="shared" si="14"/>
        <v>Blacklisted</v>
      </c>
      <c r="X162" s="27" t="str">
        <f t="shared" si="15"/>
        <v>Amit Sharma</v>
      </c>
      <c r="Y162" s="29" t="str">
        <f t="shared" si="16"/>
        <v>Ami00IDDe</v>
      </c>
      <c r="Z162" s="30" t="str">
        <f t="shared" si="17"/>
        <v>amit.sharma@company.com</v>
      </c>
      <c r="AA162" s="32">
        <f t="shared" ca="1" si="18"/>
        <v>27</v>
      </c>
      <c r="AB162" s="33">
        <f t="shared" si="19"/>
        <v>4</v>
      </c>
      <c r="AC162" s="34" t="str">
        <f t="shared" si="20"/>
        <v>On Time</v>
      </c>
    </row>
    <row r="163" spans="1:29">
      <c r="A163" s="18" t="s">
        <v>856</v>
      </c>
      <c r="B163" s="18" t="s">
        <v>168</v>
      </c>
      <c r="C163" s="18" t="s">
        <v>72</v>
      </c>
      <c r="D163" s="18" t="s">
        <v>286</v>
      </c>
      <c r="E163" s="18" t="s">
        <v>816</v>
      </c>
      <c r="F163" s="18" t="s">
        <v>361</v>
      </c>
      <c r="G163" s="18" t="s">
        <v>28</v>
      </c>
      <c r="H163" s="18" t="s">
        <v>857</v>
      </c>
      <c r="I163" s="18" t="s">
        <v>294</v>
      </c>
      <c r="J163" s="18" t="s">
        <v>295</v>
      </c>
      <c r="K163" s="18" t="s">
        <v>46</v>
      </c>
      <c r="L163" s="18" t="s">
        <v>78</v>
      </c>
      <c r="M163" s="18">
        <v>16</v>
      </c>
      <c r="N163" s="18">
        <v>1200</v>
      </c>
      <c r="O163" s="18">
        <v>5</v>
      </c>
      <c r="P163" s="18">
        <v>18240</v>
      </c>
      <c r="Q163" s="18">
        <v>1</v>
      </c>
      <c r="R163" s="18" t="s">
        <v>79</v>
      </c>
      <c r="S163" s="18" t="s">
        <v>35</v>
      </c>
      <c r="T163" s="18" t="s">
        <v>175</v>
      </c>
      <c r="U163" s="19" t="s">
        <v>858</v>
      </c>
      <c r="V163" s="18" t="s">
        <v>64</v>
      </c>
      <c r="W163" t="str">
        <f t="shared" si="14"/>
        <v>Blacklisted</v>
      </c>
      <c r="X163" s="27" t="str">
        <f t="shared" si="15"/>
        <v>Anita Gupta</v>
      </c>
      <c r="Y163" s="29" t="str">
        <f t="shared" si="16"/>
        <v>Ani00IDKo</v>
      </c>
      <c r="Z163" s="30" t="str">
        <f t="shared" si="17"/>
        <v>anita.gupta@company.com</v>
      </c>
      <c r="AA163" s="32">
        <f t="shared" ca="1" si="18"/>
        <v>25</v>
      </c>
      <c r="AB163" s="33">
        <f t="shared" si="19"/>
        <v>10</v>
      </c>
      <c r="AC163" s="34" t="str">
        <f t="shared" si="20"/>
        <v>Delayed</v>
      </c>
    </row>
    <row r="164" spans="1:29">
      <c r="A164" s="15" t="s">
        <v>859</v>
      </c>
      <c r="B164" s="15" t="s">
        <v>168</v>
      </c>
      <c r="C164" s="15" t="s">
        <v>72</v>
      </c>
      <c r="D164" s="15" t="s">
        <v>548</v>
      </c>
      <c r="E164" s="15" t="s">
        <v>860</v>
      </c>
      <c r="F164" s="15" t="s">
        <v>361</v>
      </c>
      <c r="G164" s="15" t="s">
        <v>28</v>
      </c>
      <c r="H164" s="15" t="s">
        <v>861</v>
      </c>
      <c r="I164" s="15" t="s">
        <v>114</v>
      </c>
      <c r="J164" s="15" t="s">
        <v>106</v>
      </c>
      <c r="K164" s="15" t="s">
        <v>46</v>
      </c>
      <c r="L164" s="15" t="s">
        <v>78</v>
      </c>
      <c r="M164" s="15">
        <v>1</v>
      </c>
      <c r="N164" s="15">
        <v>1200</v>
      </c>
      <c r="O164" s="15">
        <v>5</v>
      </c>
      <c r="P164" s="15">
        <v>1140</v>
      </c>
      <c r="Q164" s="15">
        <v>4</v>
      </c>
      <c r="R164" s="15" t="s">
        <v>79</v>
      </c>
      <c r="S164" s="15" t="s">
        <v>35</v>
      </c>
      <c r="T164" s="15" t="s">
        <v>175</v>
      </c>
      <c r="U164" s="17" t="s">
        <v>862</v>
      </c>
      <c r="V164" s="15" t="s">
        <v>38</v>
      </c>
      <c r="W164" t="str">
        <f t="shared" si="14"/>
        <v>Silver</v>
      </c>
      <c r="X164" s="27" t="str">
        <f t="shared" si="15"/>
        <v>Anita Gupta</v>
      </c>
      <c r="Y164" s="29" t="str">
        <f t="shared" si="16"/>
        <v>Ani00IDPu</v>
      </c>
      <c r="Z164" s="30" t="str">
        <f t="shared" si="17"/>
        <v>anita.gupta@company.com</v>
      </c>
      <c r="AA164" s="32">
        <f t="shared" ca="1" si="18"/>
        <v>24</v>
      </c>
      <c r="AB164" s="33">
        <f t="shared" si="19"/>
        <v>2</v>
      </c>
      <c r="AC164" s="34" t="str">
        <f t="shared" si="20"/>
        <v>On Time</v>
      </c>
    </row>
    <row r="165" spans="1:29">
      <c r="A165" s="18" t="s">
        <v>863</v>
      </c>
      <c r="B165" s="18" t="s">
        <v>327</v>
      </c>
      <c r="C165" s="18" t="s">
        <v>118</v>
      </c>
      <c r="D165" s="18" t="s">
        <v>864</v>
      </c>
      <c r="E165" s="18" t="s">
        <v>865</v>
      </c>
      <c r="F165" s="18" t="s">
        <v>853</v>
      </c>
      <c r="G165" s="18" t="s">
        <v>76</v>
      </c>
      <c r="H165" s="18" t="s">
        <v>866</v>
      </c>
      <c r="I165" s="18" t="s">
        <v>212</v>
      </c>
      <c r="J165" s="18" t="s">
        <v>45</v>
      </c>
      <c r="K165" s="18" t="s">
        <v>122</v>
      </c>
      <c r="L165" s="18" t="s">
        <v>123</v>
      </c>
      <c r="M165" s="18">
        <v>7</v>
      </c>
      <c r="N165" s="18">
        <v>60</v>
      </c>
      <c r="O165" s="18">
        <v>0</v>
      </c>
      <c r="P165" s="18">
        <v>420</v>
      </c>
      <c r="Q165" s="18">
        <v>2</v>
      </c>
      <c r="R165" s="18" t="s">
        <v>88</v>
      </c>
      <c r="S165" s="18" t="s">
        <v>151</v>
      </c>
      <c r="T165" s="18" t="s">
        <v>332</v>
      </c>
      <c r="U165" s="19" t="s">
        <v>867</v>
      </c>
      <c r="V165" s="18" t="s">
        <v>38</v>
      </c>
      <c r="W165" t="str">
        <f t="shared" si="14"/>
        <v>Blacklisted</v>
      </c>
      <c r="X165" s="27" t="str">
        <f t="shared" si="15"/>
        <v>Amit Sharma</v>
      </c>
      <c r="Y165" s="29" t="str">
        <f t="shared" si="16"/>
        <v>Ami00IDJa</v>
      </c>
      <c r="Z165" s="30" t="str">
        <f t="shared" si="17"/>
        <v>amit.sharma@company.com</v>
      </c>
      <c r="AA165" s="32">
        <f t="shared" ca="1" si="18"/>
        <v>24</v>
      </c>
      <c r="AB165" s="33">
        <f t="shared" si="19"/>
        <v>9</v>
      </c>
      <c r="AC165" s="34" t="str">
        <f t="shared" si="20"/>
        <v>Delayed</v>
      </c>
    </row>
    <row r="166" spans="1:29">
      <c r="A166" s="15" t="s">
        <v>868</v>
      </c>
      <c r="B166" s="15" t="s">
        <v>168</v>
      </c>
      <c r="C166" s="15" t="s">
        <v>24</v>
      </c>
      <c r="D166" s="15" t="s">
        <v>205</v>
      </c>
      <c r="E166" s="15" t="s">
        <v>513</v>
      </c>
      <c r="F166" s="15" t="s">
        <v>361</v>
      </c>
      <c r="G166" s="15" t="s">
        <v>28</v>
      </c>
      <c r="H166" s="15" t="s">
        <v>869</v>
      </c>
      <c r="I166" s="15" t="s">
        <v>114</v>
      </c>
      <c r="J166" s="15" t="s">
        <v>106</v>
      </c>
      <c r="K166" s="15" t="s">
        <v>32</v>
      </c>
      <c r="L166" s="15" t="s">
        <v>33</v>
      </c>
      <c r="M166" s="15">
        <v>14</v>
      </c>
      <c r="N166" s="15">
        <v>2200</v>
      </c>
      <c r="O166" s="15">
        <v>0</v>
      </c>
      <c r="P166" s="15">
        <v>30800</v>
      </c>
      <c r="Q166" s="15">
        <v>2</v>
      </c>
      <c r="R166" s="15" t="s">
        <v>88</v>
      </c>
      <c r="S166" s="15" t="s">
        <v>35</v>
      </c>
      <c r="T166" s="15" t="s">
        <v>175</v>
      </c>
      <c r="U166" s="17" t="s">
        <v>870</v>
      </c>
      <c r="V166" s="15" t="s">
        <v>69</v>
      </c>
      <c r="W166" t="str">
        <f t="shared" si="14"/>
        <v>Blacklisted</v>
      </c>
      <c r="X166" s="27" t="str">
        <f t="shared" si="15"/>
        <v>Anita Gupta</v>
      </c>
      <c r="Y166" s="29" t="str">
        <f t="shared" si="16"/>
        <v>Ani00IDPu</v>
      </c>
      <c r="Z166" s="30" t="str">
        <f t="shared" si="17"/>
        <v>anita.gupta@company.com</v>
      </c>
      <c r="AA166" s="32">
        <f t="shared" ca="1" si="18"/>
        <v>46</v>
      </c>
      <c r="AB166" s="33">
        <f t="shared" si="19"/>
        <v>4</v>
      </c>
      <c r="AC166" s="34" t="str">
        <f t="shared" si="20"/>
        <v>On Time</v>
      </c>
    </row>
    <row r="167" spans="1:29">
      <c r="A167" s="18" t="s">
        <v>871</v>
      </c>
      <c r="B167" s="18" t="s">
        <v>168</v>
      </c>
      <c r="C167" s="18" t="s">
        <v>92</v>
      </c>
      <c r="D167" s="18" t="s">
        <v>872</v>
      </c>
      <c r="E167" s="18" t="s">
        <v>488</v>
      </c>
      <c r="F167" s="18" t="s">
        <v>361</v>
      </c>
      <c r="G167" s="18" t="s">
        <v>28</v>
      </c>
      <c r="H167" s="18" t="s">
        <v>873</v>
      </c>
      <c r="I167" s="18" t="s">
        <v>138</v>
      </c>
      <c r="J167" s="18" t="s">
        <v>106</v>
      </c>
      <c r="K167" s="18" t="s">
        <v>32</v>
      </c>
      <c r="L167" s="18" t="s">
        <v>97</v>
      </c>
      <c r="M167" s="18">
        <v>15</v>
      </c>
      <c r="N167" s="18">
        <v>3500</v>
      </c>
      <c r="O167" s="18">
        <v>15</v>
      </c>
      <c r="P167" s="18">
        <v>44625</v>
      </c>
      <c r="Q167" s="18">
        <v>2</v>
      </c>
      <c r="R167" s="18" t="s">
        <v>88</v>
      </c>
      <c r="S167" s="18" t="s">
        <v>61</v>
      </c>
      <c r="T167" s="18" t="s">
        <v>175</v>
      </c>
      <c r="U167" s="19" t="s">
        <v>874</v>
      </c>
      <c r="V167" s="18" t="s">
        <v>64</v>
      </c>
      <c r="W167" t="str">
        <f t="shared" si="14"/>
        <v>Blacklisted</v>
      </c>
      <c r="X167" s="27" t="str">
        <f t="shared" si="15"/>
        <v>Anita Gupta</v>
      </c>
      <c r="Y167" s="29" t="str">
        <f t="shared" si="16"/>
        <v>Ani00IDAh</v>
      </c>
      <c r="Z167" s="30" t="str">
        <f t="shared" si="17"/>
        <v>anita.gupta@company.com</v>
      </c>
      <c r="AA167" s="32">
        <f t="shared" ca="1" si="18"/>
        <v>30</v>
      </c>
      <c r="AB167" s="33">
        <f t="shared" si="19"/>
        <v>8</v>
      </c>
      <c r="AC167" s="34" t="str">
        <f t="shared" si="20"/>
        <v>Delayed</v>
      </c>
    </row>
    <row r="168" spans="1:29">
      <c r="A168" s="15" t="s">
        <v>875</v>
      </c>
      <c r="B168" s="15" t="s">
        <v>127</v>
      </c>
      <c r="C168" s="15" t="s">
        <v>92</v>
      </c>
      <c r="D168" s="15" t="s">
        <v>876</v>
      </c>
      <c r="E168" s="15" t="s">
        <v>877</v>
      </c>
      <c r="F168" s="15" t="s">
        <v>200</v>
      </c>
      <c r="G168" s="15" t="s">
        <v>76</v>
      </c>
      <c r="H168" s="15" t="s">
        <v>878</v>
      </c>
      <c r="I168" s="15" t="s">
        <v>294</v>
      </c>
      <c r="J168" s="15" t="s">
        <v>295</v>
      </c>
      <c r="K168" s="15" t="s">
        <v>32</v>
      </c>
      <c r="L168" s="15" t="s">
        <v>97</v>
      </c>
      <c r="M168" s="15">
        <v>19</v>
      </c>
      <c r="N168" s="15">
        <v>3500</v>
      </c>
      <c r="O168" s="15">
        <v>5</v>
      </c>
      <c r="P168" s="15">
        <v>63175</v>
      </c>
      <c r="Q168" s="15">
        <v>2</v>
      </c>
      <c r="R168" s="15" t="s">
        <v>34</v>
      </c>
      <c r="S168" s="15" t="s">
        <v>115</v>
      </c>
      <c r="T168" s="15" t="s">
        <v>132</v>
      </c>
      <c r="U168" s="17" t="s">
        <v>879</v>
      </c>
      <c r="V168" s="15" t="s">
        <v>69</v>
      </c>
      <c r="W168" t="str">
        <f t="shared" si="14"/>
        <v>Blacklisted</v>
      </c>
      <c r="X168" s="27" t="str">
        <f t="shared" si="15"/>
        <v>Rohit Singh</v>
      </c>
      <c r="Y168" s="29" t="str">
        <f t="shared" si="16"/>
        <v>Roh00IDKo</v>
      </c>
      <c r="Z168" s="30" t="str">
        <f t="shared" si="17"/>
        <v>rohit.singh@company.com</v>
      </c>
      <c r="AA168" s="32">
        <f t="shared" ca="1" si="18"/>
        <v>40</v>
      </c>
      <c r="AB168" s="33">
        <f t="shared" si="19"/>
        <v>11</v>
      </c>
      <c r="AC168" s="34" t="str">
        <f t="shared" si="20"/>
        <v>Delayed</v>
      </c>
    </row>
    <row r="169" spans="1:29">
      <c r="A169" s="18" t="s">
        <v>880</v>
      </c>
      <c r="B169" s="18" t="s">
        <v>327</v>
      </c>
      <c r="C169" s="18" t="s">
        <v>54</v>
      </c>
      <c r="D169" s="18" t="s">
        <v>881</v>
      </c>
      <c r="E169" s="18" t="s">
        <v>640</v>
      </c>
      <c r="F169" s="18" t="s">
        <v>394</v>
      </c>
      <c r="G169" s="18" t="s">
        <v>76</v>
      </c>
      <c r="H169" s="18" t="s">
        <v>882</v>
      </c>
      <c r="I169" s="18" t="s">
        <v>59</v>
      </c>
      <c r="J169" s="18" t="s">
        <v>31</v>
      </c>
      <c r="K169" s="18" t="s">
        <v>46</v>
      </c>
      <c r="L169" s="18" t="s">
        <v>60</v>
      </c>
      <c r="M169" s="18">
        <v>12</v>
      </c>
      <c r="N169" s="18">
        <v>55000</v>
      </c>
      <c r="O169" s="18">
        <v>5</v>
      </c>
      <c r="P169" s="18">
        <v>627000</v>
      </c>
      <c r="Q169" s="18">
        <v>4</v>
      </c>
      <c r="R169" s="18" t="s">
        <v>79</v>
      </c>
      <c r="S169" s="18" t="s">
        <v>61</v>
      </c>
      <c r="T169" s="18" t="s">
        <v>332</v>
      </c>
      <c r="U169" s="19" t="s">
        <v>883</v>
      </c>
      <c r="V169" s="18" t="s">
        <v>69</v>
      </c>
      <c r="W169" t="str">
        <f t="shared" si="14"/>
        <v>Blacklisted</v>
      </c>
      <c r="X169" s="27" t="str">
        <f t="shared" si="15"/>
        <v>Amit Sharma</v>
      </c>
      <c r="Y169" s="29" t="str">
        <f t="shared" si="16"/>
        <v>Ami00IDBe</v>
      </c>
      <c r="Z169" s="30" t="str">
        <f t="shared" si="17"/>
        <v>amit.sharma@company.com</v>
      </c>
      <c r="AA169" s="32">
        <f t="shared" ca="1" si="18"/>
        <v>37</v>
      </c>
      <c r="AB169" s="33">
        <f t="shared" si="19"/>
        <v>4</v>
      </c>
      <c r="AC169" s="34" t="str">
        <f t="shared" si="20"/>
        <v>On Time</v>
      </c>
    </row>
    <row r="170" spans="1:29">
      <c r="A170" s="15" t="s">
        <v>884</v>
      </c>
      <c r="B170" s="15" t="s">
        <v>53</v>
      </c>
      <c r="C170" s="15" t="s">
        <v>72</v>
      </c>
      <c r="D170" s="15" t="s">
        <v>587</v>
      </c>
      <c r="E170" s="15" t="s">
        <v>483</v>
      </c>
      <c r="F170" s="15" t="s">
        <v>163</v>
      </c>
      <c r="G170" s="15" t="s">
        <v>28</v>
      </c>
      <c r="H170" s="15" t="s">
        <v>885</v>
      </c>
      <c r="I170" s="15" t="s">
        <v>105</v>
      </c>
      <c r="J170" s="15" t="s">
        <v>106</v>
      </c>
      <c r="K170" s="15" t="s">
        <v>46</v>
      </c>
      <c r="L170" s="15" t="s">
        <v>78</v>
      </c>
      <c r="M170" s="15">
        <v>6</v>
      </c>
      <c r="N170" s="15">
        <v>1200</v>
      </c>
      <c r="O170" s="15">
        <v>10</v>
      </c>
      <c r="P170" s="15">
        <v>6480</v>
      </c>
      <c r="Q170" s="15">
        <v>5</v>
      </c>
      <c r="R170" s="15" t="s">
        <v>48</v>
      </c>
      <c r="S170" s="15" t="s">
        <v>115</v>
      </c>
      <c r="T170" s="15" t="s">
        <v>62</v>
      </c>
      <c r="U170" s="17" t="s">
        <v>886</v>
      </c>
      <c r="V170" s="15" t="s">
        <v>69</v>
      </c>
      <c r="W170" t="str">
        <f t="shared" si="14"/>
        <v>Blacklisted</v>
      </c>
      <c r="X170" s="27" t="str">
        <f t="shared" si="15"/>
        <v>Pooja Shah</v>
      </c>
      <c r="Y170" s="29" t="str">
        <f t="shared" si="16"/>
        <v>Poo01IDMu</v>
      </c>
      <c r="Z170" s="30" t="str">
        <f t="shared" si="17"/>
        <v>pooja.shah@company.com</v>
      </c>
      <c r="AA170" s="32">
        <f t="shared" ca="1" si="18"/>
        <v>37</v>
      </c>
      <c r="AB170" s="33">
        <f t="shared" si="19"/>
        <v>8</v>
      </c>
      <c r="AC170" s="34" t="str">
        <f t="shared" si="20"/>
        <v>Delayed</v>
      </c>
    </row>
    <row r="171" spans="1:29">
      <c r="A171" s="18" t="s">
        <v>887</v>
      </c>
      <c r="B171" s="18" t="s">
        <v>251</v>
      </c>
      <c r="C171" s="18" t="s">
        <v>169</v>
      </c>
      <c r="D171" s="18" t="s">
        <v>128</v>
      </c>
      <c r="E171" s="18" t="s">
        <v>247</v>
      </c>
      <c r="F171" s="18" t="s">
        <v>254</v>
      </c>
      <c r="G171" s="18" t="s">
        <v>28</v>
      </c>
      <c r="H171" s="18" t="s">
        <v>888</v>
      </c>
      <c r="I171" s="18" t="s">
        <v>30</v>
      </c>
      <c r="J171" s="18" t="s">
        <v>31</v>
      </c>
      <c r="K171" s="18" t="s">
        <v>32</v>
      </c>
      <c r="L171" s="18" t="s">
        <v>174</v>
      </c>
      <c r="M171" s="18">
        <v>1</v>
      </c>
      <c r="N171" s="18">
        <v>8500</v>
      </c>
      <c r="O171" s="18">
        <v>0</v>
      </c>
      <c r="P171" s="18">
        <v>8500</v>
      </c>
      <c r="Q171" s="18">
        <v>1</v>
      </c>
      <c r="R171" s="18" t="s">
        <v>88</v>
      </c>
      <c r="S171" s="18" t="s">
        <v>151</v>
      </c>
      <c r="T171" s="18" t="s">
        <v>256</v>
      </c>
      <c r="U171" s="19" t="s">
        <v>889</v>
      </c>
      <c r="V171" s="18" t="s">
        <v>69</v>
      </c>
      <c r="W171" t="str">
        <f t="shared" si="14"/>
        <v>Blacklisted</v>
      </c>
      <c r="X171" s="27" t="str">
        <f t="shared" si="15"/>
        <v>Sneha Joshi</v>
      </c>
      <c r="Y171" s="29" t="str">
        <f t="shared" si="16"/>
        <v>Sne00IDHy</v>
      </c>
      <c r="Z171" s="30" t="str">
        <f t="shared" si="17"/>
        <v>sneha.joshi@company.com</v>
      </c>
      <c r="AA171" s="32">
        <f t="shared" ca="1" si="18"/>
        <v>29</v>
      </c>
      <c r="AB171" s="33">
        <f t="shared" si="19"/>
        <v>1</v>
      </c>
      <c r="AC171" s="34" t="str">
        <f t="shared" si="20"/>
        <v>On Time</v>
      </c>
    </row>
    <row r="172" spans="1:29">
      <c r="A172" s="15" t="s">
        <v>890</v>
      </c>
      <c r="B172" s="15" t="s">
        <v>127</v>
      </c>
      <c r="C172" s="15" t="s">
        <v>54</v>
      </c>
      <c r="D172" s="15" t="s">
        <v>891</v>
      </c>
      <c r="E172" s="15" t="s">
        <v>892</v>
      </c>
      <c r="F172" s="15" t="s">
        <v>200</v>
      </c>
      <c r="G172" s="15" t="s">
        <v>76</v>
      </c>
      <c r="H172" s="15" t="s">
        <v>893</v>
      </c>
      <c r="I172" s="15" t="s">
        <v>138</v>
      </c>
      <c r="J172" s="15" t="s">
        <v>106</v>
      </c>
      <c r="K172" s="15" t="s">
        <v>46</v>
      </c>
      <c r="L172" s="15" t="s">
        <v>60</v>
      </c>
      <c r="M172" s="15">
        <v>20</v>
      </c>
      <c r="N172" s="15">
        <v>55000</v>
      </c>
      <c r="O172" s="15">
        <v>10</v>
      </c>
      <c r="P172" s="15">
        <v>990000</v>
      </c>
      <c r="Q172" s="15">
        <v>5</v>
      </c>
      <c r="R172" s="15" t="s">
        <v>48</v>
      </c>
      <c r="S172" s="15" t="s">
        <v>151</v>
      </c>
      <c r="T172" s="15" t="s">
        <v>132</v>
      </c>
      <c r="U172" s="17" t="s">
        <v>894</v>
      </c>
      <c r="V172" s="15" t="s">
        <v>38</v>
      </c>
      <c r="W172" t="str">
        <f t="shared" si="14"/>
        <v>Blacklisted</v>
      </c>
      <c r="X172" s="27" t="str">
        <f t="shared" si="15"/>
        <v>Rohit Singh</v>
      </c>
      <c r="Y172" s="29" t="str">
        <f t="shared" si="16"/>
        <v>Roh00IDAh</v>
      </c>
      <c r="Z172" s="30" t="str">
        <f t="shared" si="17"/>
        <v>rohit.singh@company.com</v>
      </c>
      <c r="AA172" s="32">
        <f t="shared" ca="1" si="18"/>
        <v>39</v>
      </c>
      <c r="AB172" s="33">
        <f t="shared" si="19"/>
        <v>6</v>
      </c>
      <c r="AC172" s="34" t="str">
        <f t="shared" si="20"/>
        <v>Delayed</v>
      </c>
    </row>
    <row r="173" spans="1:29">
      <c r="A173" s="18" t="s">
        <v>895</v>
      </c>
      <c r="B173" s="18" t="s">
        <v>221</v>
      </c>
      <c r="C173" s="18" t="s">
        <v>72</v>
      </c>
      <c r="D173" s="18" t="s">
        <v>661</v>
      </c>
      <c r="E173" s="18" t="s">
        <v>896</v>
      </c>
      <c r="F173" s="18" t="s">
        <v>225</v>
      </c>
      <c r="G173" s="18" t="s">
        <v>76</v>
      </c>
      <c r="H173" s="18" t="s">
        <v>897</v>
      </c>
      <c r="I173" s="18" t="s">
        <v>138</v>
      </c>
      <c r="J173" s="18" t="s">
        <v>106</v>
      </c>
      <c r="K173" s="18" t="s">
        <v>46</v>
      </c>
      <c r="L173" s="18" t="s">
        <v>78</v>
      </c>
      <c r="M173" s="18">
        <v>8</v>
      </c>
      <c r="N173" s="18">
        <v>1200</v>
      </c>
      <c r="O173" s="18">
        <v>15</v>
      </c>
      <c r="P173" s="18">
        <v>8160</v>
      </c>
      <c r="Q173" s="18">
        <v>2</v>
      </c>
      <c r="R173" s="18" t="s">
        <v>88</v>
      </c>
      <c r="S173" s="18" t="s">
        <v>115</v>
      </c>
      <c r="T173" s="18" t="s">
        <v>228</v>
      </c>
      <c r="U173" s="19" t="s">
        <v>898</v>
      </c>
      <c r="V173" s="18" t="s">
        <v>69</v>
      </c>
      <c r="W173" t="str">
        <f t="shared" si="14"/>
        <v>Blacklisted</v>
      </c>
      <c r="X173" s="27" t="str">
        <f t="shared" si="15"/>
        <v>Vikas Mehta</v>
      </c>
      <c r="Y173" s="29" t="str">
        <f t="shared" si="16"/>
        <v>Vik00IDAh</v>
      </c>
      <c r="Z173" s="30" t="str">
        <f t="shared" si="17"/>
        <v>vikas.mehta@company.com</v>
      </c>
      <c r="AA173" s="32">
        <f t="shared" ca="1" si="18"/>
        <v>23</v>
      </c>
      <c r="AB173" s="33">
        <f t="shared" si="19"/>
        <v>1</v>
      </c>
      <c r="AC173" s="34" t="str">
        <f t="shared" si="20"/>
        <v>On Time</v>
      </c>
    </row>
    <row r="174" spans="1:29">
      <c r="A174" s="15" t="s">
        <v>899</v>
      </c>
      <c r="B174" s="15" t="s">
        <v>23</v>
      </c>
      <c r="C174" s="15" t="s">
        <v>92</v>
      </c>
      <c r="D174" s="15" t="s">
        <v>900</v>
      </c>
      <c r="E174" s="15" t="s">
        <v>901</v>
      </c>
      <c r="F174" s="15" t="s">
        <v>27</v>
      </c>
      <c r="G174" s="15" t="s">
        <v>28</v>
      </c>
      <c r="H174" s="15" t="s">
        <v>902</v>
      </c>
      <c r="I174" s="15" t="s">
        <v>212</v>
      </c>
      <c r="J174" s="15" t="s">
        <v>45</v>
      </c>
      <c r="K174" s="15" t="s">
        <v>32</v>
      </c>
      <c r="L174" s="15" t="s">
        <v>97</v>
      </c>
      <c r="M174" s="15">
        <v>19</v>
      </c>
      <c r="N174" s="15">
        <v>3500</v>
      </c>
      <c r="O174" s="15">
        <v>5</v>
      </c>
      <c r="P174" s="15">
        <v>63175</v>
      </c>
      <c r="Q174" s="15">
        <v>4</v>
      </c>
      <c r="R174" s="15" t="s">
        <v>88</v>
      </c>
      <c r="S174" s="15" t="s">
        <v>49</v>
      </c>
      <c r="T174" s="15" t="s">
        <v>50</v>
      </c>
      <c r="U174" s="17" t="s">
        <v>903</v>
      </c>
      <c r="V174" s="15" t="s">
        <v>64</v>
      </c>
      <c r="W174" t="str">
        <f t="shared" si="14"/>
        <v>Blacklisted</v>
      </c>
      <c r="X174" s="27" t="str">
        <f t="shared" si="15"/>
        <v>Kavya Nair</v>
      </c>
      <c r="Y174" s="29" t="str">
        <f t="shared" si="16"/>
        <v>Kav00IDJa</v>
      </c>
      <c r="Z174" s="30" t="str">
        <f t="shared" si="17"/>
        <v>kavya.nair@company.com</v>
      </c>
      <c r="AA174" s="32">
        <f t="shared" ca="1" si="18"/>
        <v>40</v>
      </c>
      <c r="AB174" s="33">
        <f t="shared" si="19"/>
        <v>11</v>
      </c>
      <c r="AC174" s="34" t="str">
        <f t="shared" si="20"/>
        <v>Delayed</v>
      </c>
    </row>
    <row r="175" spans="1:29">
      <c r="A175" s="18" t="s">
        <v>904</v>
      </c>
      <c r="B175" s="18" t="s">
        <v>221</v>
      </c>
      <c r="C175" s="18" t="s">
        <v>259</v>
      </c>
      <c r="D175" s="18" t="s">
        <v>41</v>
      </c>
      <c r="E175" s="18" t="s">
        <v>606</v>
      </c>
      <c r="F175" s="18" t="s">
        <v>905</v>
      </c>
      <c r="G175" s="18" t="s">
        <v>76</v>
      </c>
      <c r="H175" s="18" t="s">
        <v>906</v>
      </c>
      <c r="I175" s="18" t="s">
        <v>212</v>
      </c>
      <c r="J175" s="18" t="s">
        <v>45</v>
      </c>
      <c r="K175" s="18" t="s">
        <v>122</v>
      </c>
      <c r="L175" s="18" t="s">
        <v>263</v>
      </c>
      <c r="M175" s="18">
        <v>6</v>
      </c>
      <c r="N175" s="18">
        <v>45</v>
      </c>
      <c r="O175" s="18">
        <v>20</v>
      </c>
      <c r="P175" s="18">
        <v>216</v>
      </c>
      <c r="Q175" s="18">
        <v>1</v>
      </c>
      <c r="R175" s="18" t="s">
        <v>79</v>
      </c>
      <c r="S175" s="18" t="s">
        <v>49</v>
      </c>
      <c r="T175" s="18" t="s">
        <v>907</v>
      </c>
      <c r="U175" s="19" t="s">
        <v>908</v>
      </c>
      <c r="V175" s="18" t="s">
        <v>64</v>
      </c>
      <c r="W175" t="str">
        <f t="shared" si="14"/>
        <v>Blacklisted</v>
      </c>
      <c r="X175" s="27" t="str">
        <f t="shared" si="15"/>
        <v>Vikas Mehta</v>
      </c>
      <c r="Y175" s="29" t="str">
        <f t="shared" si="16"/>
        <v>Vik00IDJa</v>
      </c>
      <c r="Z175" s="30" t="str">
        <f t="shared" si="17"/>
        <v>Invalid Email</v>
      </c>
      <c r="AA175" s="32">
        <f t="shared" ca="1" si="18"/>
        <v>40</v>
      </c>
      <c r="AB175" s="33">
        <f t="shared" si="19"/>
        <v>2</v>
      </c>
      <c r="AC175" s="34" t="str">
        <f t="shared" si="20"/>
        <v>On Time</v>
      </c>
    </row>
    <row r="176" spans="1:29">
      <c r="A176" s="15" t="s">
        <v>909</v>
      </c>
      <c r="B176" s="15" t="s">
        <v>251</v>
      </c>
      <c r="C176" s="15" t="s">
        <v>259</v>
      </c>
      <c r="D176" s="15" t="s">
        <v>910</v>
      </c>
      <c r="E176" s="15" t="s">
        <v>119</v>
      </c>
      <c r="F176" s="15" t="s">
        <v>254</v>
      </c>
      <c r="G176" s="15" t="s">
        <v>28</v>
      </c>
      <c r="H176" s="15" t="s">
        <v>911</v>
      </c>
      <c r="I176" s="15" t="s">
        <v>114</v>
      </c>
      <c r="J176" s="15" t="s">
        <v>106</v>
      </c>
      <c r="K176" s="15" t="s">
        <v>122</v>
      </c>
      <c r="L176" s="15" t="s">
        <v>263</v>
      </c>
      <c r="M176" s="15">
        <v>17</v>
      </c>
      <c r="N176" s="15">
        <v>45</v>
      </c>
      <c r="O176" s="15">
        <v>15</v>
      </c>
      <c r="P176" s="15">
        <v>650.25</v>
      </c>
      <c r="Q176" s="15">
        <v>5</v>
      </c>
      <c r="R176" s="15" t="s">
        <v>34</v>
      </c>
      <c r="S176" s="15" t="s">
        <v>115</v>
      </c>
      <c r="T176" s="15" t="s">
        <v>256</v>
      </c>
      <c r="U176" s="17" t="s">
        <v>912</v>
      </c>
      <c r="V176" s="15" t="s">
        <v>64</v>
      </c>
      <c r="W176" t="str">
        <f t="shared" si="14"/>
        <v>Blacklisted</v>
      </c>
      <c r="X176" s="27" t="str">
        <f t="shared" si="15"/>
        <v>Sneha Joshi</v>
      </c>
      <c r="Y176" s="29" t="str">
        <f t="shared" si="16"/>
        <v>Sne00IDPu</v>
      </c>
      <c r="Z176" s="30" t="str">
        <f t="shared" si="17"/>
        <v>sneha.joshi@company.com</v>
      </c>
      <c r="AA176" s="32">
        <f t="shared" ca="1" si="18"/>
        <v>38</v>
      </c>
      <c r="AB176" s="33">
        <f t="shared" si="19"/>
        <v>11</v>
      </c>
      <c r="AC176" s="34" t="str">
        <f t="shared" si="20"/>
        <v>Delayed</v>
      </c>
    </row>
    <row r="177" spans="1:29">
      <c r="A177" s="18" t="s">
        <v>913</v>
      </c>
      <c r="B177" s="18" t="s">
        <v>23</v>
      </c>
      <c r="C177" s="18" t="s">
        <v>222</v>
      </c>
      <c r="D177" s="18" t="s">
        <v>276</v>
      </c>
      <c r="E177" s="18" t="s">
        <v>914</v>
      </c>
      <c r="F177" s="18" t="s">
        <v>27</v>
      </c>
      <c r="G177" s="18" t="s">
        <v>28</v>
      </c>
      <c r="H177" s="18" t="s">
        <v>915</v>
      </c>
      <c r="I177" s="18" t="s">
        <v>114</v>
      </c>
      <c r="J177" s="18" t="s">
        <v>106</v>
      </c>
      <c r="K177" s="18" t="s">
        <v>122</v>
      </c>
      <c r="L177" s="18" t="s">
        <v>227</v>
      </c>
      <c r="M177" s="18">
        <v>19</v>
      </c>
      <c r="N177" s="18">
        <v>20</v>
      </c>
      <c r="O177" s="18">
        <v>5</v>
      </c>
      <c r="P177" s="18">
        <v>361</v>
      </c>
      <c r="Q177" s="18">
        <v>4</v>
      </c>
      <c r="R177" s="18" t="s">
        <v>34</v>
      </c>
      <c r="S177" s="18" t="s">
        <v>35</v>
      </c>
      <c r="T177" s="18" t="s">
        <v>50</v>
      </c>
      <c r="U177" s="19" t="s">
        <v>916</v>
      </c>
      <c r="V177" s="18" t="s">
        <v>64</v>
      </c>
      <c r="W177" t="str">
        <f t="shared" si="14"/>
        <v>Blacklisted</v>
      </c>
      <c r="X177" s="27" t="str">
        <f t="shared" si="15"/>
        <v>Kavya Nair</v>
      </c>
      <c r="Y177" s="29" t="str">
        <f t="shared" si="16"/>
        <v>Kav00IDPu</v>
      </c>
      <c r="Z177" s="30" t="str">
        <f t="shared" si="17"/>
        <v>kavya.nair@company.com</v>
      </c>
      <c r="AA177" s="32">
        <f t="shared" ca="1" si="18"/>
        <v>33</v>
      </c>
      <c r="AB177" s="33">
        <f t="shared" si="19"/>
        <v>12</v>
      </c>
      <c r="AC177" s="34" t="str">
        <f t="shared" si="20"/>
        <v>Delayed</v>
      </c>
    </row>
    <row r="178" spans="1:29">
      <c r="A178" s="15" t="s">
        <v>917</v>
      </c>
      <c r="B178" s="15" t="s">
        <v>251</v>
      </c>
      <c r="C178" s="15" t="s">
        <v>222</v>
      </c>
      <c r="D178" s="15" t="s">
        <v>918</v>
      </c>
      <c r="E178" s="15" t="s">
        <v>352</v>
      </c>
      <c r="F178" s="15" t="s">
        <v>919</v>
      </c>
      <c r="G178" s="15" t="s">
        <v>28</v>
      </c>
      <c r="H178" s="15" t="s">
        <v>920</v>
      </c>
      <c r="I178" s="15" t="s">
        <v>138</v>
      </c>
      <c r="J178" s="15" t="s">
        <v>106</v>
      </c>
      <c r="K178" s="15" t="s">
        <v>122</v>
      </c>
      <c r="L178" s="15" t="s">
        <v>227</v>
      </c>
      <c r="M178" s="15">
        <v>11</v>
      </c>
      <c r="N178" s="15">
        <v>20</v>
      </c>
      <c r="O178" s="15">
        <v>0</v>
      </c>
      <c r="P178" s="15">
        <v>220</v>
      </c>
      <c r="Q178" s="15">
        <v>3</v>
      </c>
      <c r="R178" s="15" t="s">
        <v>48</v>
      </c>
      <c r="S178" s="15" t="s">
        <v>49</v>
      </c>
      <c r="T178" s="15" t="s">
        <v>256</v>
      </c>
      <c r="U178" s="17" t="s">
        <v>921</v>
      </c>
      <c r="V178" s="15" t="s">
        <v>38</v>
      </c>
      <c r="W178" t="str">
        <f t="shared" si="14"/>
        <v>Silver</v>
      </c>
      <c r="X178" s="27" t="str">
        <f t="shared" si="15"/>
        <v>Sneha Joshi</v>
      </c>
      <c r="Y178" s="29" t="str">
        <f t="shared" si="16"/>
        <v>Sne00IDAh</v>
      </c>
      <c r="Z178" s="30" t="str">
        <f t="shared" si="17"/>
        <v>sneha.joshi@company.com</v>
      </c>
      <c r="AA178" s="32">
        <f t="shared" ca="1" si="18"/>
        <v>22</v>
      </c>
      <c r="AB178" s="33">
        <f t="shared" si="19"/>
        <v>1</v>
      </c>
      <c r="AC178" s="34" t="str">
        <f t="shared" si="20"/>
        <v>On Time</v>
      </c>
    </row>
    <row r="179" spans="1:29">
      <c r="A179" s="18" t="s">
        <v>922</v>
      </c>
      <c r="B179" s="18" t="s">
        <v>168</v>
      </c>
      <c r="C179" s="18" t="s">
        <v>118</v>
      </c>
      <c r="D179" s="18" t="s">
        <v>323</v>
      </c>
      <c r="E179" s="18" t="s">
        <v>923</v>
      </c>
      <c r="F179" s="18" t="s">
        <v>361</v>
      </c>
      <c r="G179" s="18" t="s">
        <v>28</v>
      </c>
      <c r="H179" s="18" t="s">
        <v>924</v>
      </c>
      <c r="I179" s="18" t="s">
        <v>44</v>
      </c>
      <c r="J179" s="18" t="s">
        <v>45</v>
      </c>
      <c r="K179" s="18" t="s">
        <v>122</v>
      </c>
      <c r="L179" s="18" t="s">
        <v>123</v>
      </c>
      <c r="M179" s="18">
        <v>12</v>
      </c>
      <c r="N179" s="18">
        <v>60</v>
      </c>
      <c r="O179" s="18">
        <v>0</v>
      </c>
      <c r="P179" s="18">
        <v>720</v>
      </c>
      <c r="Q179" s="18">
        <v>2</v>
      </c>
      <c r="R179" s="18" t="s">
        <v>48</v>
      </c>
      <c r="S179" s="18" t="s">
        <v>49</v>
      </c>
      <c r="T179" s="18" t="s">
        <v>175</v>
      </c>
      <c r="U179" s="19" t="s">
        <v>925</v>
      </c>
      <c r="V179" s="18" t="s">
        <v>38</v>
      </c>
      <c r="W179" t="str">
        <f t="shared" si="14"/>
        <v>Blacklisted</v>
      </c>
      <c r="X179" s="27" t="str">
        <f t="shared" si="15"/>
        <v>Anita Gupta</v>
      </c>
      <c r="Y179" s="29" t="str">
        <f t="shared" si="16"/>
        <v>Ani00IDDe</v>
      </c>
      <c r="Z179" s="30" t="str">
        <f t="shared" si="17"/>
        <v>anita.gupta@company.com</v>
      </c>
      <c r="AA179" s="32">
        <f t="shared" ca="1" si="18"/>
        <v>33</v>
      </c>
      <c r="AB179" s="33">
        <f t="shared" si="19"/>
        <v>7</v>
      </c>
      <c r="AC179" s="34" t="str">
        <f t="shared" si="20"/>
        <v>Delayed</v>
      </c>
    </row>
    <row r="180" spans="1:29">
      <c r="A180" s="15" t="s">
        <v>926</v>
      </c>
      <c r="B180" s="15" t="s">
        <v>221</v>
      </c>
      <c r="C180" s="15" t="s">
        <v>259</v>
      </c>
      <c r="D180" s="15" t="s">
        <v>927</v>
      </c>
      <c r="E180" s="15" t="s">
        <v>865</v>
      </c>
      <c r="F180" s="15" t="s">
        <v>928</v>
      </c>
      <c r="G180" s="15" t="s">
        <v>76</v>
      </c>
      <c r="H180" s="15" t="s">
        <v>929</v>
      </c>
      <c r="I180" s="15" t="s">
        <v>294</v>
      </c>
      <c r="J180" s="15" t="s">
        <v>295</v>
      </c>
      <c r="K180" s="15" t="s">
        <v>122</v>
      </c>
      <c r="L180" s="15" t="s">
        <v>263</v>
      </c>
      <c r="M180" s="15">
        <v>14</v>
      </c>
      <c r="N180" s="15">
        <v>45</v>
      </c>
      <c r="O180" s="15">
        <v>15</v>
      </c>
      <c r="P180" s="15">
        <v>535.5</v>
      </c>
      <c r="Q180" s="15">
        <v>5</v>
      </c>
      <c r="R180" s="15" t="s">
        <v>88</v>
      </c>
      <c r="S180" s="15" t="s">
        <v>115</v>
      </c>
      <c r="T180" s="15" t="s">
        <v>228</v>
      </c>
      <c r="U180" s="17" t="s">
        <v>930</v>
      </c>
      <c r="V180" s="15" t="s">
        <v>64</v>
      </c>
      <c r="W180" t="str">
        <f t="shared" si="14"/>
        <v>Blacklisted</v>
      </c>
      <c r="X180" s="27" t="str">
        <f t="shared" si="15"/>
        <v>Priya Patel</v>
      </c>
      <c r="Y180" s="29" t="str">
        <f t="shared" si="16"/>
        <v>Pri00IDKo</v>
      </c>
      <c r="Z180" s="30" t="str">
        <f t="shared" si="17"/>
        <v>vikas.mehta@company.com</v>
      </c>
      <c r="AA180" s="32">
        <f t="shared" ca="1" si="18"/>
        <v>25</v>
      </c>
      <c r="AB180" s="33">
        <f t="shared" si="19"/>
        <v>4</v>
      </c>
      <c r="AC180" s="34" t="str">
        <f t="shared" si="20"/>
        <v>On Time</v>
      </c>
    </row>
    <row r="181" spans="1:29">
      <c r="A181" s="18" t="s">
        <v>931</v>
      </c>
      <c r="B181" s="18" t="s">
        <v>23</v>
      </c>
      <c r="C181" s="18" t="s">
        <v>184</v>
      </c>
      <c r="D181" s="18" t="s">
        <v>932</v>
      </c>
      <c r="E181" s="18" t="s">
        <v>303</v>
      </c>
      <c r="F181" s="18" t="s">
        <v>27</v>
      </c>
      <c r="G181" s="18" t="s">
        <v>28</v>
      </c>
      <c r="H181" s="18" t="s">
        <v>933</v>
      </c>
      <c r="I181" s="18" t="s">
        <v>30</v>
      </c>
      <c r="J181" s="18" t="s">
        <v>31</v>
      </c>
      <c r="K181" s="18" t="s">
        <v>46</v>
      </c>
      <c r="L181" s="18" t="s">
        <v>189</v>
      </c>
      <c r="M181" s="18">
        <v>15</v>
      </c>
      <c r="N181" s="18">
        <v>700</v>
      </c>
      <c r="O181" s="18">
        <v>10</v>
      </c>
      <c r="P181" s="18">
        <v>9450</v>
      </c>
      <c r="Q181" s="18">
        <v>3</v>
      </c>
      <c r="R181" s="18" t="s">
        <v>48</v>
      </c>
      <c r="S181" s="18" t="s">
        <v>49</v>
      </c>
      <c r="T181" s="18" t="s">
        <v>50</v>
      </c>
      <c r="U181" s="19" t="s">
        <v>934</v>
      </c>
      <c r="V181" s="18" t="s">
        <v>64</v>
      </c>
      <c r="W181" t="str">
        <f t="shared" si="14"/>
        <v>Blacklisted</v>
      </c>
      <c r="X181" s="27" t="str">
        <f t="shared" si="15"/>
        <v>Kavya Nair</v>
      </c>
      <c r="Y181" s="29" t="str">
        <f t="shared" si="16"/>
        <v>Kav00IDHy</v>
      </c>
      <c r="Z181" s="30" t="str">
        <f t="shared" si="17"/>
        <v>kavya.nair@company.com</v>
      </c>
      <c r="AA181" s="32">
        <f t="shared" ca="1" si="18"/>
        <v>44</v>
      </c>
      <c r="AB181" s="33">
        <f t="shared" si="19"/>
        <v>12</v>
      </c>
      <c r="AC181" s="34" t="str">
        <f t="shared" si="20"/>
        <v>Delayed</v>
      </c>
    </row>
    <row r="182" spans="1:29">
      <c r="A182" s="15" t="s">
        <v>935</v>
      </c>
      <c r="B182" s="15" t="s">
        <v>100</v>
      </c>
      <c r="C182" s="15" t="s">
        <v>169</v>
      </c>
      <c r="D182" s="15" t="s">
        <v>936</v>
      </c>
      <c r="E182" s="15" t="s">
        <v>683</v>
      </c>
      <c r="F182" s="15" t="s">
        <v>103</v>
      </c>
      <c r="G182" s="15" t="s">
        <v>28</v>
      </c>
      <c r="H182" s="15" t="s">
        <v>937</v>
      </c>
      <c r="I182" s="15" t="s">
        <v>138</v>
      </c>
      <c r="J182" s="15" t="s">
        <v>106</v>
      </c>
      <c r="K182" s="15" t="s">
        <v>32</v>
      </c>
      <c r="L182" s="15" t="s">
        <v>174</v>
      </c>
      <c r="M182" s="15">
        <v>19</v>
      </c>
      <c r="N182" s="15">
        <v>8500</v>
      </c>
      <c r="O182" s="15">
        <v>15</v>
      </c>
      <c r="P182" s="15">
        <v>137275</v>
      </c>
      <c r="Q182" s="15">
        <v>2</v>
      </c>
      <c r="R182" s="15" t="s">
        <v>34</v>
      </c>
      <c r="S182" s="15" t="s">
        <v>35</v>
      </c>
      <c r="T182" s="15" t="s">
        <v>144</v>
      </c>
      <c r="U182" s="17" t="s">
        <v>938</v>
      </c>
      <c r="V182" s="15" t="s">
        <v>69</v>
      </c>
      <c r="W182" t="str">
        <f t="shared" si="14"/>
        <v>Blacklisted</v>
      </c>
      <c r="X182" s="27" t="str">
        <f t="shared" si="15"/>
        <v>Priya Patel</v>
      </c>
      <c r="Y182" s="29" t="str">
        <f t="shared" si="16"/>
        <v>Pri00IDAh</v>
      </c>
      <c r="Z182" s="30" t="str">
        <f t="shared" si="17"/>
        <v>priya.patel@company.com</v>
      </c>
      <c r="AA182" s="32">
        <f t="shared" ca="1" si="18"/>
        <v>46</v>
      </c>
      <c r="AB182" s="33">
        <f t="shared" si="19"/>
        <v>4</v>
      </c>
      <c r="AC182" s="34" t="str">
        <f t="shared" si="20"/>
        <v>On Time</v>
      </c>
    </row>
    <row r="183" spans="1:29">
      <c r="A183" s="18" t="s">
        <v>939</v>
      </c>
      <c r="B183" s="18" t="s">
        <v>251</v>
      </c>
      <c r="C183" s="18" t="s">
        <v>118</v>
      </c>
      <c r="D183" s="18" t="s">
        <v>940</v>
      </c>
      <c r="E183" s="18" t="s">
        <v>941</v>
      </c>
      <c r="F183" s="18" t="s">
        <v>254</v>
      </c>
      <c r="G183" s="18" t="s">
        <v>28</v>
      </c>
      <c r="H183" s="18" t="s">
        <v>911</v>
      </c>
      <c r="I183" s="18" t="s">
        <v>212</v>
      </c>
      <c r="J183" s="18" t="s">
        <v>45</v>
      </c>
      <c r="K183" s="18" t="s">
        <v>122</v>
      </c>
      <c r="L183" s="18" t="s">
        <v>123</v>
      </c>
      <c r="M183" s="18">
        <v>19</v>
      </c>
      <c r="N183" s="18">
        <v>60</v>
      </c>
      <c r="O183" s="18">
        <v>20</v>
      </c>
      <c r="P183" s="18">
        <v>912</v>
      </c>
      <c r="Q183" s="18">
        <v>4</v>
      </c>
      <c r="R183" s="18" t="s">
        <v>79</v>
      </c>
      <c r="S183" s="18" t="s">
        <v>49</v>
      </c>
      <c r="T183" s="18" t="s">
        <v>256</v>
      </c>
      <c r="U183" s="19" t="s">
        <v>942</v>
      </c>
      <c r="V183" s="18" t="s">
        <v>64</v>
      </c>
      <c r="W183" t="str">
        <f t="shared" si="14"/>
        <v>Blacklisted</v>
      </c>
      <c r="X183" s="27" t="str">
        <f t="shared" si="15"/>
        <v>Sneha Joshi</v>
      </c>
      <c r="Y183" s="29" t="str">
        <f t="shared" si="16"/>
        <v>Sne00IDJa</v>
      </c>
      <c r="Z183" s="30" t="str">
        <f t="shared" si="17"/>
        <v>sneha.joshi@company.com</v>
      </c>
      <c r="AA183" s="32">
        <f t="shared" ca="1" si="18"/>
        <v>38</v>
      </c>
      <c r="AB183" s="33">
        <f t="shared" si="19"/>
        <v>2</v>
      </c>
      <c r="AC183" s="34" t="str">
        <f t="shared" si="20"/>
        <v>On Time</v>
      </c>
    </row>
    <row r="184" spans="1:29">
      <c r="A184" s="15" t="s">
        <v>943</v>
      </c>
      <c r="B184" s="15" t="s">
        <v>100</v>
      </c>
      <c r="C184" s="15" t="s">
        <v>259</v>
      </c>
      <c r="D184" s="15" t="s">
        <v>944</v>
      </c>
      <c r="E184" s="15" t="s">
        <v>936</v>
      </c>
      <c r="F184" s="15" t="s">
        <v>103</v>
      </c>
      <c r="G184" s="15" t="s">
        <v>28</v>
      </c>
      <c r="H184" s="15" t="s">
        <v>945</v>
      </c>
      <c r="I184" s="15" t="s">
        <v>59</v>
      </c>
      <c r="J184" s="15" t="s">
        <v>31</v>
      </c>
      <c r="K184" s="15" t="s">
        <v>122</v>
      </c>
      <c r="L184" s="15" t="s">
        <v>263</v>
      </c>
      <c r="M184" s="15">
        <v>10</v>
      </c>
      <c r="N184" s="15">
        <v>45</v>
      </c>
      <c r="O184" s="15">
        <v>15</v>
      </c>
      <c r="P184" s="15">
        <v>382.5</v>
      </c>
      <c r="Q184" s="15">
        <v>4</v>
      </c>
      <c r="R184" s="15" t="s">
        <v>34</v>
      </c>
      <c r="S184" s="15" t="s">
        <v>151</v>
      </c>
      <c r="T184" s="15" t="s">
        <v>144</v>
      </c>
      <c r="U184" s="17" t="s">
        <v>946</v>
      </c>
      <c r="V184" s="15" t="s">
        <v>38</v>
      </c>
      <c r="W184" t="str">
        <f t="shared" si="14"/>
        <v>Silver</v>
      </c>
      <c r="X184" s="27" t="str">
        <f t="shared" si="15"/>
        <v>Priya Patel</v>
      </c>
      <c r="Y184" s="29" t="str">
        <f t="shared" si="16"/>
        <v>Pri00IDBe</v>
      </c>
      <c r="Z184" s="30" t="str">
        <f t="shared" si="17"/>
        <v>priya.patel@company.com</v>
      </c>
      <c r="AA184" s="32">
        <f t="shared" ca="1" si="18"/>
        <v>38</v>
      </c>
      <c r="AB184" s="33">
        <f t="shared" si="19"/>
        <v>11</v>
      </c>
      <c r="AC184" s="34" t="str">
        <f t="shared" si="20"/>
        <v>Delayed</v>
      </c>
    </row>
    <row r="185" spans="1:29">
      <c r="A185" s="18" t="s">
        <v>947</v>
      </c>
      <c r="B185" s="18" t="s">
        <v>71</v>
      </c>
      <c r="C185" s="18" t="s">
        <v>24</v>
      </c>
      <c r="D185" s="18" t="s">
        <v>948</v>
      </c>
      <c r="E185" s="18" t="s">
        <v>949</v>
      </c>
      <c r="F185" s="18" t="s">
        <v>217</v>
      </c>
      <c r="G185" s="18" t="s">
        <v>76</v>
      </c>
      <c r="H185" s="18" t="s">
        <v>950</v>
      </c>
      <c r="I185" s="18" t="s">
        <v>44</v>
      </c>
      <c r="J185" s="18" t="s">
        <v>45</v>
      </c>
      <c r="K185" s="18" t="s">
        <v>32</v>
      </c>
      <c r="L185" s="18" t="s">
        <v>33</v>
      </c>
      <c r="M185" s="18">
        <v>7</v>
      </c>
      <c r="N185" s="18">
        <v>2200</v>
      </c>
      <c r="O185" s="18">
        <v>20</v>
      </c>
      <c r="P185" s="18">
        <v>12320</v>
      </c>
      <c r="Q185" s="18">
        <v>5</v>
      </c>
      <c r="R185" s="18" t="s">
        <v>88</v>
      </c>
      <c r="S185" s="18" t="s">
        <v>49</v>
      </c>
      <c r="T185" s="18" t="s">
        <v>80</v>
      </c>
      <c r="U185" s="19" t="s">
        <v>951</v>
      </c>
      <c r="V185" s="18" t="s">
        <v>64</v>
      </c>
      <c r="W185" t="str">
        <f t="shared" si="14"/>
        <v>Blacklisted</v>
      </c>
      <c r="X185" s="27" t="str">
        <f t="shared" si="15"/>
        <v>Mohit Verma</v>
      </c>
      <c r="Y185" s="29" t="str">
        <f t="shared" si="16"/>
        <v>Moh00IDDe</v>
      </c>
      <c r="Z185" s="30" t="str">
        <f t="shared" si="17"/>
        <v>mohit.verma@company.com</v>
      </c>
      <c r="AA185" s="32">
        <f t="shared" ca="1" si="18"/>
        <v>44</v>
      </c>
      <c r="AB185" s="33">
        <f t="shared" si="19"/>
        <v>9</v>
      </c>
      <c r="AC185" s="34" t="str">
        <f t="shared" si="20"/>
        <v>Delayed</v>
      </c>
    </row>
    <row r="186" spans="1:29">
      <c r="A186" s="15" t="s">
        <v>952</v>
      </c>
      <c r="B186" s="15" t="s">
        <v>100</v>
      </c>
      <c r="C186" s="15" t="s">
        <v>169</v>
      </c>
      <c r="D186" s="15" t="s">
        <v>953</v>
      </c>
      <c r="E186" s="15" t="s">
        <v>42</v>
      </c>
      <c r="F186" s="15" t="s">
        <v>103</v>
      </c>
      <c r="G186" s="15" t="s">
        <v>28</v>
      </c>
      <c r="H186" s="15" t="s">
        <v>954</v>
      </c>
      <c r="I186" s="15" t="s">
        <v>294</v>
      </c>
      <c r="J186" s="15" t="s">
        <v>295</v>
      </c>
      <c r="K186" s="15" t="s">
        <v>32</v>
      </c>
      <c r="L186" s="15" t="s">
        <v>174</v>
      </c>
      <c r="M186" s="15">
        <v>20</v>
      </c>
      <c r="N186" s="15">
        <v>8500</v>
      </c>
      <c r="O186" s="15">
        <v>20</v>
      </c>
      <c r="P186" s="15">
        <v>136000</v>
      </c>
      <c r="Q186" s="15">
        <v>4</v>
      </c>
      <c r="R186" s="15" t="s">
        <v>48</v>
      </c>
      <c r="S186" s="15" t="s">
        <v>35</v>
      </c>
      <c r="T186" s="15" t="s">
        <v>144</v>
      </c>
      <c r="U186" s="17" t="s">
        <v>955</v>
      </c>
      <c r="V186" s="15" t="s">
        <v>38</v>
      </c>
      <c r="W186" t="str">
        <f t="shared" si="14"/>
        <v>Blacklisted</v>
      </c>
      <c r="X186" s="27" t="str">
        <f t="shared" si="15"/>
        <v>Priya Patel</v>
      </c>
      <c r="Y186" s="29" t="str">
        <f t="shared" si="16"/>
        <v>Pri00IDKo</v>
      </c>
      <c r="Z186" s="30" t="str">
        <f t="shared" si="17"/>
        <v>priya.patel@company.com</v>
      </c>
      <c r="AA186" s="32">
        <f t="shared" ca="1" si="18"/>
        <v>42</v>
      </c>
      <c r="AB186" s="33">
        <f t="shared" si="19"/>
        <v>12</v>
      </c>
      <c r="AC186" s="34" t="str">
        <f t="shared" si="20"/>
        <v>Delayed</v>
      </c>
    </row>
    <row r="187" spans="1:29">
      <c r="A187" s="18" t="s">
        <v>956</v>
      </c>
      <c r="B187" s="18" t="s">
        <v>251</v>
      </c>
      <c r="C187" s="18" t="s">
        <v>24</v>
      </c>
      <c r="D187" s="18" t="s">
        <v>770</v>
      </c>
      <c r="E187" s="18" t="s">
        <v>957</v>
      </c>
      <c r="F187" s="18" t="s">
        <v>254</v>
      </c>
      <c r="G187" s="18" t="s">
        <v>28</v>
      </c>
      <c r="H187" s="18" t="s">
        <v>958</v>
      </c>
      <c r="I187" s="18" t="s">
        <v>30</v>
      </c>
      <c r="J187" s="18" t="s">
        <v>31</v>
      </c>
      <c r="K187" s="18" t="s">
        <v>32</v>
      </c>
      <c r="L187" s="18" t="s">
        <v>33</v>
      </c>
      <c r="M187" s="18">
        <v>10</v>
      </c>
      <c r="N187" s="18">
        <v>2200</v>
      </c>
      <c r="O187" s="18">
        <v>5</v>
      </c>
      <c r="P187" s="18">
        <v>20900</v>
      </c>
      <c r="Q187" s="18">
        <v>2</v>
      </c>
      <c r="R187" s="18" t="s">
        <v>48</v>
      </c>
      <c r="S187" s="18" t="s">
        <v>49</v>
      </c>
      <c r="T187" s="18" t="s">
        <v>256</v>
      </c>
      <c r="U187" s="19" t="s">
        <v>959</v>
      </c>
      <c r="V187" s="18" t="s">
        <v>38</v>
      </c>
      <c r="W187" t="str">
        <f t="shared" si="14"/>
        <v>Blacklisted</v>
      </c>
      <c r="X187" s="27" t="str">
        <f t="shared" si="15"/>
        <v>Sneha Joshi</v>
      </c>
      <c r="Y187" s="29" t="str">
        <f t="shared" si="16"/>
        <v>Sne00IDHy</v>
      </c>
      <c r="Z187" s="30" t="str">
        <f t="shared" si="17"/>
        <v>sneha.joshi@company.com</v>
      </c>
      <c r="AA187" s="32">
        <f t="shared" ca="1" si="18"/>
        <v>34</v>
      </c>
      <c r="AB187" s="33">
        <f t="shared" si="19"/>
        <v>2</v>
      </c>
      <c r="AC187" s="34" t="str">
        <f t="shared" si="20"/>
        <v>On Time</v>
      </c>
    </row>
    <row r="188" spans="1:29">
      <c r="A188" s="15" t="s">
        <v>960</v>
      </c>
      <c r="B188" s="15" t="s">
        <v>127</v>
      </c>
      <c r="C188" s="15" t="s">
        <v>118</v>
      </c>
      <c r="D188" s="15" t="s">
        <v>692</v>
      </c>
      <c r="E188" s="15" t="s">
        <v>961</v>
      </c>
      <c r="F188" s="15" t="s">
        <v>200</v>
      </c>
      <c r="G188" s="15" t="s">
        <v>76</v>
      </c>
      <c r="H188" s="15" t="s">
        <v>962</v>
      </c>
      <c r="I188" s="15" t="s">
        <v>114</v>
      </c>
      <c r="J188" s="15" t="s">
        <v>106</v>
      </c>
      <c r="K188" s="15" t="s">
        <v>122</v>
      </c>
      <c r="L188" s="15" t="s">
        <v>123</v>
      </c>
      <c r="M188" s="15">
        <v>15</v>
      </c>
      <c r="N188" s="15">
        <v>60</v>
      </c>
      <c r="O188" s="15">
        <v>20</v>
      </c>
      <c r="P188" s="15">
        <v>720</v>
      </c>
      <c r="Q188" s="15">
        <v>1</v>
      </c>
      <c r="R188" s="15" t="s">
        <v>79</v>
      </c>
      <c r="S188" s="15" t="s">
        <v>35</v>
      </c>
      <c r="T188" s="15" t="s">
        <v>132</v>
      </c>
      <c r="U188" s="17" t="s">
        <v>963</v>
      </c>
      <c r="V188" s="15" t="s">
        <v>38</v>
      </c>
      <c r="W188" t="str">
        <f t="shared" si="14"/>
        <v>Blacklisted</v>
      </c>
      <c r="X188" s="27" t="str">
        <f t="shared" si="15"/>
        <v>Rohit Singh</v>
      </c>
      <c r="Y188" s="29" t="str">
        <f t="shared" si="16"/>
        <v>Roh00IDPu</v>
      </c>
      <c r="Z188" s="30" t="str">
        <f t="shared" si="17"/>
        <v>rohit.singh@company.com</v>
      </c>
      <c r="AA188" s="32">
        <f t="shared" ca="1" si="18"/>
        <v>50</v>
      </c>
      <c r="AB188" s="33">
        <f t="shared" si="19"/>
        <v>10</v>
      </c>
      <c r="AC188" s="34" t="str">
        <f t="shared" si="20"/>
        <v>Delayed</v>
      </c>
    </row>
    <row r="189" spans="1:29">
      <c r="A189" s="18" t="s">
        <v>964</v>
      </c>
      <c r="B189" s="18" t="s">
        <v>221</v>
      </c>
      <c r="C189" s="18" t="s">
        <v>92</v>
      </c>
      <c r="D189" s="18" t="s">
        <v>231</v>
      </c>
      <c r="E189" s="18" t="s">
        <v>965</v>
      </c>
      <c r="F189" s="18" t="s">
        <v>225</v>
      </c>
      <c r="G189" s="18" t="s">
        <v>76</v>
      </c>
      <c r="H189" s="18" t="s">
        <v>966</v>
      </c>
      <c r="I189" s="18" t="s">
        <v>30</v>
      </c>
      <c r="J189" s="18" t="s">
        <v>31</v>
      </c>
      <c r="K189" s="18" t="s">
        <v>32</v>
      </c>
      <c r="L189" s="18" t="s">
        <v>97</v>
      </c>
      <c r="M189" s="18">
        <v>18</v>
      </c>
      <c r="N189" s="18">
        <v>3500</v>
      </c>
      <c r="O189" s="18">
        <v>5</v>
      </c>
      <c r="P189" s="18">
        <v>59850</v>
      </c>
      <c r="Q189" s="18">
        <v>1</v>
      </c>
      <c r="R189" s="18" t="s">
        <v>79</v>
      </c>
      <c r="S189" s="18" t="s">
        <v>49</v>
      </c>
      <c r="T189" s="18" t="s">
        <v>228</v>
      </c>
      <c r="U189" s="19" t="s">
        <v>967</v>
      </c>
      <c r="V189" s="18" t="s">
        <v>69</v>
      </c>
      <c r="W189" t="str">
        <f t="shared" si="14"/>
        <v>Blacklisted</v>
      </c>
      <c r="X189" s="27" t="str">
        <f t="shared" si="15"/>
        <v>Vikas Mehta</v>
      </c>
      <c r="Y189" s="29" t="str">
        <f t="shared" si="16"/>
        <v>Vik00IDHy</v>
      </c>
      <c r="Z189" s="30" t="str">
        <f t="shared" si="17"/>
        <v>vikas.mehta@company.com</v>
      </c>
      <c r="AA189" s="32">
        <f t="shared" ca="1" si="18"/>
        <v>51</v>
      </c>
      <c r="AB189" s="33">
        <f t="shared" si="19"/>
        <v>4</v>
      </c>
      <c r="AC189" s="34" t="str">
        <f t="shared" si="20"/>
        <v>On Time</v>
      </c>
    </row>
    <row r="190" spans="1:29">
      <c r="A190" s="15" t="s">
        <v>968</v>
      </c>
      <c r="B190" s="15" t="s">
        <v>327</v>
      </c>
      <c r="C190" s="15" t="s">
        <v>40</v>
      </c>
      <c r="D190" s="15" t="s">
        <v>969</v>
      </c>
      <c r="E190" s="15" t="s">
        <v>970</v>
      </c>
      <c r="F190" s="15" t="s">
        <v>394</v>
      </c>
      <c r="G190" s="15" t="s">
        <v>76</v>
      </c>
      <c r="H190" s="15" t="s">
        <v>971</v>
      </c>
      <c r="I190" s="15" t="s">
        <v>114</v>
      </c>
      <c r="J190" s="15" t="s">
        <v>106</v>
      </c>
      <c r="K190" s="15" t="s">
        <v>46</v>
      </c>
      <c r="L190" s="15" t="s">
        <v>47</v>
      </c>
      <c r="M190" s="15">
        <v>6</v>
      </c>
      <c r="N190" s="15">
        <v>12000</v>
      </c>
      <c r="O190" s="15">
        <v>5</v>
      </c>
      <c r="P190" s="15">
        <v>68400</v>
      </c>
      <c r="Q190" s="15">
        <v>1</v>
      </c>
      <c r="R190" s="15" t="s">
        <v>48</v>
      </c>
      <c r="S190" s="15" t="s">
        <v>49</v>
      </c>
      <c r="T190" s="15" t="s">
        <v>332</v>
      </c>
      <c r="U190" s="17" t="s">
        <v>972</v>
      </c>
      <c r="V190" s="15" t="s">
        <v>69</v>
      </c>
      <c r="W190" t="str">
        <f t="shared" si="14"/>
        <v>Blacklisted</v>
      </c>
      <c r="X190" s="27" t="str">
        <f t="shared" si="15"/>
        <v>Amit Sharma</v>
      </c>
      <c r="Y190" s="29" t="str">
        <f t="shared" si="16"/>
        <v>Ami00IDPu</v>
      </c>
      <c r="Z190" s="30" t="str">
        <f t="shared" si="17"/>
        <v>amit.sharma@company.com</v>
      </c>
      <c r="AA190" s="32">
        <f t="shared" ca="1" si="18"/>
        <v>38</v>
      </c>
      <c r="AB190" s="33">
        <f t="shared" si="19"/>
        <v>10</v>
      </c>
      <c r="AC190" s="34" t="str">
        <f t="shared" si="20"/>
        <v>Delayed</v>
      </c>
    </row>
    <row r="191" spans="1:29">
      <c r="A191" s="18" t="s">
        <v>973</v>
      </c>
      <c r="B191" s="18" t="s">
        <v>327</v>
      </c>
      <c r="C191" s="18" t="s">
        <v>222</v>
      </c>
      <c r="D191" s="18" t="s">
        <v>323</v>
      </c>
      <c r="E191" s="18" t="s">
        <v>479</v>
      </c>
      <c r="F191" s="18" t="s">
        <v>394</v>
      </c>
      <c r="G191" s="18" t="s">
        <v>76</v>
      </c>
      <c r="H191" s="18" t="s">
        <v>974</v>
      </c>
      <c r="I191" s="18" t="s">
        <v>59</v>
      </c>
      <c r="J191" s="18" t="s">
        <v>31</v>
      </c>
      <c r="K191" s="18" t="s">
        <v>122</v>
      </c>
      <c r="L191" s="18" t="s">
        <v>227</v>
      </c>
      <c r="M191" s="18">
        <v>19</v>
      </c>
      <c r="N191" s="18">
        <v>20</v>
      </c>
      <c r="O191" s="18">
        <v>10</v>
      </c>
      <c r="P191" s="18">
        <v>342</v>
      </c>
      <c r="Q191" s="18">
        <v>2</v>
      </c>
      <c r="R191" s="18" t="s">
        <v>48</v>
      </c>
      <c r="S191" s="18" t="s">
        <v>35</v>
      </c>
      <c r="T191" s="18" t="s">
        <v>332</v>
      </c>
      <c r="U191" s="19" t="s">
        <v>975</v>
      </c>
      <c r="V191" s="18" t="s">
        <v>64</v>
      </c>
      <c r="W191" t="str">
        <f t="shared" si="14"/>
        <v>Blacklisted</v>
      </c>
      <c r="X191" s="27" t="str">
        <f t="shared" si="15"/>
        <v>Amit Sharma</v>
      </c>
      <c r="Y191" s="29" t="str">
        <f t="shared" si="16"/>
        <v>Ami00IDBe</v>
      </c>
      <c r="Z191" s="30" t="str">
        <f t="shared" si="17"/>
        <v>amit.sharma@company.com</v>
      </c>
      <c r="AA191" s="32">
        <f t="shared" ca="1" si="18"/>
        <v>22</v>
      </c>
      <c r="AB191" s="33">
        <f t="shared" si="19"/>
        <v>2</v>
      </c>
      <c r="AC191" s="34" t="str">
        <f t="shared" si="20"/>
        <v>On Time</v>
      </c>
    </row>
    <row r="192" spans="1:29">
      <c r="A192" s="15" t="s">
        <v>976</v>
      </c>
      <c r="B192" s="15" t="s">
        <v>221</v>
      </c>
      <c r="C192" s="15" t="s">
        <v>24</v>
      </c>
      <c r="D192" s="15" t="s">
        <v>426</v>
      </c>
      <c r="E192" s="15" t="s">
        <v>427</v>
      </c>
      <c r="F192" s="15" t="s">
        <v>225</v>
      </c>
      <c r="G192" s="15" t="s">
        <v>76</v>
      </c>
      <c r="H192" s="15" t="s">
        <v>977</v>
      </c>
      <c r="I192" s="15" t="s">
        <v>114</v>
      </c>
      <c r="J192" s="15" t="s">
        <v>106</v>
      </c>
      <c r="K192" s="15" t="s">
        <v>32</v>
      </c>
      <c r="L192" s="15" t="s">
        <v>33</v>
      </c>
      <c r="M192" s="15">
        <v>7</v>
      </c>
      <c r="N192" s="15">
        <v>2200</v>
      </c>
      <c r="O192" s="15">
        <v>0</v>
      </c>
      <c r="P192" s="15">
        <v>15400</v>
      </c>
      <c r="Q192" s="15">
        <v>1</v>
      </c>
      <c r="R192" s="15" t="s">
        <v>79</v>
      </c>
      <c r="S192" s="15" t="s">
        <v>115</v>
      </c>
      <c r="T192" s="15" t="s">
        <v>228</v>
      </c>
      <c r="U192" s="17" t="s">
        <v>978</v>
      </c>
      <c r="V192" s="15" t="s">
        <v>69</v>
      </c>
      <c r="W192" t="str">
        <f t="shared" si="14"/>
        <v>Blacklisted</v>
      </c>
      <c r="X192" s="27" t="str">
        <f t="shared" si="15"/>
        <v>Vikas Mehta</v>
      </c>
      <c r="Y192" s="29" t="str">
        <f t="shared" si="16"/>
        <v>Vik00IDPu</v>
      </c>
      <c r="Z192" s="30" t="str">
        <f t="shared" si="17"/>
        <v>vikas.mehta@company.com</v>
      </c>
      <c r="AA192" s="32">
        <f t="shared" ca="1" si="18"/>
        <v>32</v>
      </c>
      <c r="AB192" s="33">
        <f t="shared" si="19"/>
        <v>7</v>
      </c>
      <c r="AC192" s="34" t="str">
        <f t="shared" si="20"/>
        <v>Delayed</v>
      </c>
    </row>
    <row r="193" spans="1:29">
      <c r="A193" s="18" t="s">
        <v>979</v>
      </c>
      <c r="B193" s="18" t="s">
        <v>327</v>
      </c>
      <c r="C193" s="18" t="s">
        <v>40</v>
      </c>
      <c r="D193" s="18" t="s">
        <v>503</v>
      </c>
      <c r="E193" s="18" t="s">
        <v>980</v>
      </c>
      <c r="F193" s="18" t="s">
        <v>394</v>
      </c>
      <c r="G193" s="18" t="s">
        <v>76</v>
      </c>
      <c r="H193" s="18" t="s">
        <v>981</v>
      </c>
      <c r="I193" s="18" t="s">
        <v>212</v>
      </c>
      <c r="J193" s="18" t="s">
        <v>45</v>
      </c>
      <c r="K193" s="18" t="s">
        <v>46</v>
      </c>
      <c r="L193" s="18" t="s">
        <v>47</v>
      </c>
      <c r="M193" s="18">
        <v>3</v>
      </c>
      <c r="N193" s="18">
        <v>12000</v>
      </c>
      <c r="O193" s="18">
        <v>5</v>
      </c>
      <c r="P193" s="18">
        <v>34200</v>
      </c>
      <c r="Q193" s="18">
        <v>3</v>
      </c>
      <c r="R193" s="18" t="s">
        <v>79</v>
      </c>
      <c r="S193" s="18" t="s">
        <v>61</v>
      </c>
      <c r="T193" s="18" t="s">
        <v>332</v>
      </c>
      <c r="U193" s="19" t="s">
        <v>982</v>
      </c>
      <c r="V193" s="18" t="s">
        <v>69</v>
      </c>
      <c r="W193" t="str">
        <f t="shared" si="14"/>
        <v>Blacklisted</v>
      </c>
      <c r="X193" s="27" t="str">
        <f t="shared" si="15"/>
        <v>Amit Sharma</v>
      </c>
      <c r="Y193" s="29" t="str">
        <f t="shared" si="16"/>
        <v>Ami00IDJa</v>
      </c>
      <c r="Z193" s="30" t="str">
        <f t="shared" si="17"/>
        <v>amit.sharma@company.com</v>
      </c>
      <c r="AA193" s="32">
        <f t="shared" ca="1" si="18"/>
        <v>22</v>
      </c>
      <c r="AB193" s="33">
        <f t="shared" si="19"/>
        <v>4</v>
      </c>
      <c r="AC193" s="34" t="str">
        <f t="shared" si="20"/>
        <v>On Time</v>
      </c>
    </row>
    <row r="194" spans="1:29">
      <c r="A194" s="15" t="s">
        <v>983</v>
      </c>
      <c r="B194" s="15" t="s">
        <v>168</v>
      </c>
      <c r="C194" s="15" t="s">
        <v>24</v>
      </c>
      <c r="D194" s="15" t="s">
        <v>341</v>
      </c>
      <c r="E194" s="15" t="s">
        <v>864</v>
      </c>
      <c r="F194" s="15" t="s">
        <v>361</v>
      </c>
      <c r="G194" s="15" t="s">
        <v>28</v>
      </c>
      <c r="H194" s="15" t="s">
        <v>984</v>
      </c>
      <c r="I194" s="15" t="s">
        <v>212</v>
      </c>
      <c r="J194" s="15" t="s">
        <v>45</v>
      </c>
      <c r="K194" s="15" t="s">
        <v>32</v>
      </c>
      <c r="L194" s="15" t="s">
        <v>33</v>
      </c>
      <c r="M194" s="15">
        <v>16</v>
      </c>
      <c r="N194" s="15">
        <v>2200</v>
      </c>
      <c r="O194" s="15">
        <v>0</v>
      </c>
      <c r="P194" s="15">
        <v>35200</v>
      </c>
      <c r="Q194" s="15">
        <v>5</v>
      </c>
      <c r="R194" s="15" t="s">
        <v>79</v>
      </c>
      <c r="S194" s="15" t="s">
        <v>35</v>
      </c>
      <c r="T194" s="15" t="s">
        <v>175</v>
      </c>
      <c r="U194" s="17" t="s">
        <v>985</v>
      </c>
      <c r="V194" s="15" t="s">
        <v>64</v>
      </c>
      <c r="W194" t="str">
        <f t="shared" si="14"/>
        <v>Blacklisted</v>
      </c>
      <c r="X194" s="27" t="str">
        <f t="shared" si="15"/>
        <v>Anita Gupta</v>
      </c>
      <c r="Y194" s="29" t="str">
        <f t="shared" si="16"/>
        <v>Ani00IDJa</v>
      </c>
      <c r="Z194" s="30" t="str">
        <f t="shared" si="17"/>
        <v>anita.gupta@company.com</v>
      </c>
      <c r="AA194" s="32">
        <f t="shared" ca="1" si="18"/>
        <v>26</v>
      </c>
      <c r="AB194" s="33">
        <f t="shared" si="19"/>
        <v>12</v>
      </c>
      <c r="AC194" s="34" t="str">
        <f t="shared" si="20"/>
        <v>Delayed</v>
      </c>
    </row>
    <row r="195" spans="1:29">
      <c r="A195" s="18" t="s">
        <v>986</v>
      </c>
      <c r="B195" s="18" t="s">
        <v>251</v>
      </c>
      <c r="C195" s="18" t="s">
        <v>24</v>
      </c>
      <c r="D195" s="18" t="s">
        <v>987</v>
      </c>
      <c r="E195" s="18" t="s">
        <v>988</v>
      </c>
      <c r="F195" s="18" t="s">
        <v>254</v>
      </c>
      <c r="G195" s="18" t="s">
        <v>28</v>
      </c>
      <c r="H195" s="18" t="s">
        <v>989</v>
      </c>
      <c r="I195" s="18" t="s">
        <v>44</v>
      </c>
      <c r="J195" s="18" t="s">
        <v>45</v>
      </c>
      <c r="K195" s="18" t="s">
        <v>32</v>
      </c>
      <c r="L195" s="18" t="s">
        <v>33</v>
      </c>
      <c r="M195" s="18">
        <v>8</v>
      </c>
      <c r="N195" s="18">
        <v>2200</v>
      </c>
      <c r="O195" s="18">
        <v>5</v>
      </c>
      <c r="P195" s="18">
        <v>16720</v>
      </c>
      <c r="Q195" s="18">
        <v>2</v>
      </c>
      <c r="R195" s="18" t="s">
        <v>88</v>
      </c>
      <c r="S195" s="18" t="s">
        <v>151</v>
      </c>
      <c r="T195" s="18" t="s">
        <v>256</v>
      </c>
      <c r="U195" s="19" t="s">
        <v>990</v>
      </c>
      <c r="V195" s="18" t="s">
        <v>38</v>
      </c>
      <c r="W195" t="str">
        <f t="shared" ref="W195:W258" si="21">IF(OR(Q195&lt;=2,V195="Cancelled"),"Blacklisted",IF(AND(P195&gt;=100000,Q195&gt;=4,O195&lt;10,V195="Completed"),"Platinum",IF(AND(P195&gt;=50000,P195&lt;=99999,Q195&gt;=3,V195="Completed"),"Gold",IF(AND(P195&lt;50000,V195="Completed"),"Silver","Blacklisted"))))</f>
        <v>Blacklisted</v>
      </c>
      <c r="X195" s="27" t="str">
        <f t="shared" ref="X195:X258" si="22">PROPER(TRIM(F195))</f>
        <v>Sneha Joshi</v>
      </c>
      <c r="Y195" s="29" t="str">
        <f t="shared" ref="Y195:Y258" si="23">LEFT(X195,3)&amp;MID(B195,2,2)&amp;"ID"&amp;LEFT(I195,2)</f>
        <v>Sne00IDDe</v>
      </c>
      <c r="Z195" s="30" t="str">
        <f t="shared" ref="Z195:Z258" si="24">IF(ISNUMBER(SEARCH("@",T195)),LOWER(TRIM(T195)),"Invalid Email")</f>
        <v>sneha.joshi@company.com</v>
      </c>
      <c r="AA195" s="32">
        <f t="shared" ref="AA195:AA258" ca="1" si="25">DATEDIF(H195,TODAY(),"Y")</f>
        <v>37</v>
      </c>
      <c r="AB195" s="33">
        <f t="shared" ref="AB195:AB258" si="26">IF(E195="","",E195-D195)</f>
        <v>2</v>
      </c>
      <c r="AC195" s="34" t="str">
        <f t="shared" ref="AC195:AC258" si="27">IF(E195="","Pending",IF(AB195&lt;=5,"On Time","Delayed"))</f>
        <v>On Time</v>
      </c>
    </row>
    <row r="196" spans="1:29">
      <c r="A196" s="15" t="s">
        <v>991</v>
      </c>
      <c r="B196" s="15" t="s">
        <v>251</v>
      </c>
      <c r="C196" s="15" t="s">
        <v>24</v>
      </c>
      <c r="D196" s="15" t="s">
        <v>610</v>
      </c>
      <c r="E196" s="15" t="s">
        <v>454</v>
      </c>
      <c r="F196" s="15" t="s">
        <v>254</v>
      </c>
      <c r="G196" s="15" t="s">
        <v>28</v>
      </c>
      <c r="H196" s="15" t="s">
        <v>992</v>
      </c>
      <c r="I196" s="15" t="s">
        <v>138</v>
      </c>
      <c r="J196" s="15" t="s">
        <v>106</v>
      </c>
      <c r="K196" s="15" t="s">
        <v>32</v>
      </c>
      <c r="L196" s="15" t="s">
        <v>33</v>
      </c>
      <c r="M196" s="15">
        <v>10</v>
      </c>
      <c r="N196" s="15">
        <v>2200</v>
      </c>
      <c r="O196" s="15">
        <v>10</v>
      </c>
      <c r="P196" s="15">
        <v>19800</v>
      </c>
      <c r="Q196" s="15">
        <v>5</v>
      </c>
      <c r="R196" s="15" t="s">
        <v>48</v>
      </c>
      <c r="S196" s="15" t="s">
        <v>115</v>
      </c>
      <c r="T196" s="15" t="s">
        <v>256</v>
      </c>
      <c r="U196" s="17" t="s">
        <v>993</v>
      </c>
      <c r="V196" s="15" t="s">
        <v>64</v>
      </c>
      <c r="W196" t="str">
        <f t="shared" si="21"/>
        <v>Blacklisted</v>
      </c>
      <c r="X196" s="27" t="str">
        <f t="shared" si="22"/>
        <v>Sneha Joshi</v>
      </c>
      <c r="Y196" s="29" t="str">
        <f t="shared" si="23"/>
        <v>Sne00IDAh</v>
      </c>
      <c r="Z196" s="30" t="str">
        <f t="shared" si="24"/>
        <v>sneha.joshi@company.com</v>
      </c>
      <c r="AA196" s="32">
        <f t="shared" ca="1" si="25"/>
        <v>28</v>
      </c>
      <c r="AB196" s="33">
        <f t="shared" si="26"/>
        <v>3</v>
      </c>
      <c r="AC196" s="34" t="str">
        <f t="shared" si="27"/>
        <v>On Time</v>
      </c>
    </row>
    <row r="197" spans="1:29">
      <c r="A197" s="18" t="s">
        <v>994</v>
      </c>
      <c r="B197" s="18" t="s">
        <v>83</v>
      </c>
      <c r="C197" s="18" t="s">
        <v>222</v>
      </c>
      <c r="D197" s="18" t="s">
        <v>336</v>
      </c>
      <c r="E197" s="18" t="s">
        <v>596</v>
      </c>
      <c r="F197" s="18" t="s">
        <v>180</v>
      </c>
      <c r="G197" s="18" t="s">
        <v>76</v>
      </c>
      <c r="H197" s="18" t="s">
        <v>995</v>
      </c>
      <c r="I197" s="18" t="s">
        <v>44</v>
      </c>
      <c r="J197" s="18" t="s">
        <v>45</v>
      </c>
      <c r="K197" s="18" t="s">
        <v>122</v>
      </c>
      <c r="L197" s="18" t="s">
        <v>227</v>
      </c>
      <c r="M197" s="18">
        <v>7</v>
      </c>
      <c r="N197" s="18">
        <v>20</v>
      </c>
      <c r="O197" s="18">
        <v>10</v>
      </c>
      <c r="P197" s="18">
        <v>126</v>
      </c>
      <c r="Q197" s="18">
        <v>4</v>
      </c>
      <c r="R197" s="18" t="s">
        <v>79</v>
      </c>
      <c r="S197" s="18" t="s">
        <v>61</v>
      </c>
      <c r="T197" s="18" t="s">
        <v>89</v>
      </c>
      <c r="U197" s="19" t="s">
        <v>996</v>
      </c>
      <c r="V197" s="18" t="s">
        <v>38</v>
      </c>
      <c r="W197" t="str">
        <f t="shared" si="21"/>
        <v>Silver</v>
      </c>
      <c r="X197" s="27" t="str">
        <f t="shared" si="22"/>
        <v>Arjun Rao</v>
      </c>
      <c r="Y197" s="29" t="str">
        <f t="shared" si="23"/>
        <v>Arj00IDDe</v>
      </c>
      <c r="Z197" s="30" t="str">
        <f t="shared" si="24"/>
        <v>arjun.rao@company.com</v>
      </c>
      <c r="AA197" s="32">
        <f t="shared" ca="1" si="25"/>
        <v>38</v>
      </c>
      <c r="AB197" s="33">
        <f t="shared" si="26"/>
        <v>11</v>
      </c>
      <c r="AC197" s="34" t="str">
        <f t="shared" si="27"/>
        <v>Delayed</v>
      </c>
    </row>
    <row r="198" spans="1:29">
      <c r="A198" s="15" t="s">
        <v>997</v>
      </c>
      <c r="B198" s="15" t="s">
        <v>221</v>
      </c>
      <c r="C198" s="15" t="s">
        <v>169</v>
      </c>
      <c r="D198" s="15" t="s">
        <v>252</v>
      </c>
      <c r="E198" s="15" t="s">
        <v>998</v>
      </c>
      <c r="F198" s="15" t="s">
        <v>225</v>
      </c>
      <c r="G198" s="15" t="s">
        <v>76</v>
      </c>
      <c r="H198" s="15" t="s">
        <v>999</v>
      </c>
      <c r="I198" s="15" t="s">
        <v>30</v>
      </c>
      <c r="J198" s="15" t="s">
        <v>31</v>
      </c>
      <c r="K198" s="15" t="s">
        <v>32</v>
      </c>
      <c r="L198" s="15" t="s">
        <v>174</v>
      </c>
      <c r="M198" s="15">
        <v>19</v>
      </c>
      <c r="N198" s="15">
        <v>8500</v>
      </c>
      <c r="O198" s="15">
        <v>20</v>
      </c>
      <c r="P198" s="15">
        <v>129200</v>
      </c>
      <c r="Q198" s="15">
        <v>3</v>
      </c>
      <c r="R198" s="15" t="s">
        <v>48</v>
      </c>
      <c r="S198" s="15" t="s">
        <v>61</v>
      </c>
      <c r="T198" s="15" t="s">
        <v>228</v>
      </c>
      <c r="U198" s="17" t="s">
        <v>1000</v>
      </c>
      <c r="V198" s="15" t="s">
        <v>64</v>
      </c>
      <c r="W198" t="str">
        <f t="shared" si="21"/>
        <v>Blacklisted</v>
      </c>
      <c r="X198" s="27" t="str">
        <f t="shared" si="22"/>
        <v>Vikas Mehta</v>
      </c>
      <c r="Y198" s="29" t="str">
        <f t="shared" si="23"/>
        <v>Vik00IDHy</v>
      </c>
      <c r="Z198" s="30" t="str">
        <f t="shared" si="24"/>
        <v>vikas.mehta@company.com</v>
      </c>
      <c r="AA198" s="32">
        <f t="shared" ca="1" si="25"/>
        <v>32</v>
      </c>
      <c r="AB198" s="33">
        <f t="shared" si="26"/>
        <v>3</v>
      </c>
      <c r="AC198" s="34" t="str">
        <f t="shared" si="27"/>
        <v>On Time</v>
      </c>
    </row>
    <row r="199" spans="1:29">
      <c r="A199" s="18" t="s">
        <v>1001</v>
      </c>
      <c r="B199" s="18" t="s">
        <v>100</v>
      </c>
      <c r="C199" s="18" t="s">
        <v>118</v>
      </c>
      <c r="D199" s="18" t="s">
        <v>431</v>
      </c>
      <c r="E199" s="18" t="s">
        <v>414</v>
      </c>
      <c r="F199" s="18" t="s">
        <v>103</v>
      </c>
      <c r="G199" s="18" t="s">
        <v>28</v>
      </c>
      <c r="H199" s="18" t="s">
        <v>1002</v>
      </c>
      <c r="I199" s="18" t="s">
        <v>114</v>
      </c>
      <c r="J199" s="18" t="s">
        <v>106</v>
      </c>
      <c r="K199" s="18" t="s">
        <v>122</v>
      </c>
      <c r="L199" s="18" t="s">
        <v>123</v>
      </c>
      <c r="M199" s="18">
        <v>16</v>
      </c>
      <c r="N199" s="18">
        <v>60</v>
      </c>
      <c r="O199" s="18">
        <v>0</v>
      </c>
      <c r="P199" s="18">
        <v>960</v>
      </c>
      <c r="Q199" s="18">
        <v>2</v>
      </c>
      <c r="R199" s="18" t="s">
        <v>48</v>
      </c>
      <c r="S199" s="18" t="s">
        <v>115</v>
      </c>
      <c r="T199" s="18" t="s">
        <v>144</v>
      </c>
      <c r="U199" s="19" t="s">
        <v>1003</v>
      </c>
      <c r="V199" s="18" t="s">
        <v>38</v>
      </c>
      <c r="W199" t="str">
        <f t="shared" si="21"/>
        <v>Blacklisted</v>
      </c>
      <c r="X199" s="27" t="str">
        <f t="shared" si="22"/>
        <v>Priya Patel</v>
      </c>
      <c r="Y199" s="29" t="str">
        <f t="shared" si="23"/>
        <v>Pri00IDPu</v>
      </c>
      <c r="Z199" s="30" t="str">
        <f t="shared" si="24"/>
        <v>priya.patel@company.com</v>
      </c>
      <c r="AA199" s="32">
        <f t="shared" ca="1" si="25"/>
        <v>48</v>
      </c>
      <c r="AB199" s="33">
        <f t="shared" si="26"/>
        <v>5</v>
      </c>
      <c r="AC199" s="34" t="str">
        <f t="shared" si="27"/>
        <v>On Time</v>
      </c>
    </row>
    <row r="200" spans="1:29">
      <c r="A200" s="15" t="s">
        <v>1004</v>
      </c>
      <c r="B200" s="15" t="s">
        <v>221</v>
      </c>
      <c r="C200" s="15" t="s">
        <v>92</v>
      </c>
      <c r="D200" s="15" t="s">
        <v>1005</v>
      </c>
      <c r="E200" s="15" t="s">
        <v>731</v>
      </c>
      <c r="F200" s="15" t="s">
        <v>225</v>
      </c>
      <c r="G200" s="15" t="s">
        <v>76</v>
      </c>
      <c r="H200" s="15" t="s">
        <v>1006</v>
      </c>
      <c r="I200" s="15" t="s">
        <v>59</v>
      </c>
      <c r="J200" s="15" t="s">
        <v>31</v>
      </c>
      <c r="K200" s="15" t="s">
        <v>1007</v>
      </c>
      <c r="L200" s="15" t="s">
        <v>97</v>
      </c>
      <c r="M200" s="15">
        <v>18</v>
      </c>
      <c r="N200" s="15">
        <v>3500</v>
      </c>
      <c r="O200" s="15">
        <v>5</v>
      </c>
      <c r="P200" s="15">
        <v>59850</v>
      </c>
      <c r="Q200" s="15">
        <v>1</v>
      </c>
      <c r="R200" s="15" t="s">
        <v>88</v>
      </c>
      <c r="S200" s="15" t="s">
        <v>115</v>
      </c>
      <c r="T200" s="15" t="s">
        <v>228</v>
      </c>
      <c r="U200" s="17" t="s">
        <v>1008</v>
      </c>
      <c r="V200" s="15" t="s">
        <v>64</v>
      </c>
      <c r="W200" t="str">
        <f t="shared" si="21"/>
        <v>Blacklisted</v>
      </c>
      <c r="X200" s="27" t="str">
        <f t="shared" si="22"/>
        <v>Vikas Mehta</v>
      </c>
      <c r="Y200" s="29" t="str">
        <f t="shared" si="23"/>
        <v>Vik00IDBe</v>
      </c>
      <c r="Z200" s="30" t="str">
        <f t="shared" si="24"/>
        <v>vikas.mehta@company.com</v>
      </c>
      <c r="AA200" s="32">
        <f t="shared" ca="1" si="25"/>
        <v>44</v>
      </c>
      <c r="AB200" s="33">
        <f t="shared" si="26"/>
        <v>12</v>
      </c>
      <c r="AC200" s="34" t="str">
        <f t="shared" si="27"/>
        <v>Delayed</v>
      </c>
    </row>
    <row r="201" spans="1:29">
      <c r="A201" s="18" t="s">
        <v>1009</v>
      </c>
      <c r="B201" s="18" t="s">
        <v>100</v>
      </c>
      <c r="C201" s="18" t="s">
        <v>54</v>
      </c>
      <c r="D201" s="18" t="s">
        <v>1010</v>
      </c>
      <c r="E201" s="18" t="s">
        <v>431</v>
      </c>
      <c r="F201" s="18" t="s">
        <v>103</v>
      </c>
      <c r="G201" s="18" t="s">
        <v>28</v>
      </c>
      <c r="H201" s="18" t="s">
        <v>1011</v>
      </c>
      <c r="I201" s="18" t="s">
        <v>212</v>
      </c>
      <c r="J201" s="18" t="s">
        <v>45</v>
      </c>
      <c r="K201" s="18" t="s">
        <v>46</v>
      </c>
      <c r="L201" s="18" t="s">
        <v>60</v>
      </c>
      <c r="M201" s="18">
        <v>16</v>
      </c>
      <c r="N201" s="18">
        <v>55000</v>
      </c>
      <c r="O201" s="18">
        <v>0</v>
      </c>
      <c r="P201" s="18">
        <v>880000</v>
      </c>
      <c r="Q201" s="18">
        <v>1</v>
      </c>
      <c r="R201" s="18" t="s">
        <v>79</v>
      </c>
      <c r="S201" s="18" t="s">
        <v>61</v>
      </c>
      <c r="T201" s="18" t="s">
        <v>144</v>
      </c>
      <c r="U201" s="19" t="s">
        <v>1012</v>
      </c>
      <c r="V201" s="18" t="s">
        <v>69</v>
      </c>
      <c r="W201" t="str">
        <f t="shared" si="21"/>
        <v>Blacklisted</v>
      </c>
      <c r="X201" s="27" t="str">
        <f t="shared" si="22"/>
        <v>Priya Patel</v>
      </c>
      <c r="Y201" s="29" t="str">
        <f t="shared" si="23"/>
        <v>Pri00IDJa</v>
      </c>
      <c r="Z201" s="30" t="str">
        <f t="shared" si="24"/>
        <v>priya.patel@company.com</v>
      </c>
      <c r="AA201" s="32">
        <f t="shared" ca="1" si="25"/>
        <v>32</v>
      </c>
      <c r="AB201" s="33">
        <f t="shared" si="26"/>
        <v>9</v>
      </c>
      <c r="AC201" s="34" t="str">
        <f t="shared" si="27"/>
        <v>Delayed</v>
      </c>
    </row>
    <row r="202" spans="1:29">
      <c r="A202" s="15" t="s">
        <v>1013</v>
      </c>
      <c r="B202" s="15" t="s">
        <v>221</v>
      </c>
      <c r="C202" s="15" t="s">
        <v>72</v>
      </c>
      <c r="D202" s="15" t="s">
        <v>900</v>
      </c>
      <c r="E202" s="15" t="s">
        <v>435</v>
      </c>
      <c r="F202" s="15" t="s">
        <v>225</v>
      </c>
      <c r="G202" s="15" t="s">
        <v>76</v>
      </c>
      <c r="H202" s="15" t="s">
        <v>1014</v>
      </c>
      <c r="I202" s="15" t="s">
        <v>138</v>
      </c>
      <c r="J202" s="15" t="s">
        <v>106</v>
      </c>
      <c r="K202" s="15" t="s">
        <v>46</v>
      </c>
      <c r="L202" s="15" t="s">
        <v>78</v>
      </c>
      <c r="M202" s="15">
        <v>18</v>
      </c>
      <c r="N202" s="15">
        <v>1200</v>
      </c>
      <c r="O202" s="15">
        <v>15</v>
      </c>
      <c r="P202" s="15">
        <v>18360</v>
      </c>
      <c r="Q202" s="15">
        <v>2</v>
      </c>
      <c r="R202" s="15" t="s">
        <v>48</v>
      </c>
      <c r="S202" s="15" t="s">
        <v>35</v>
      </c>
      <c r="T202" s="15" t="s">
        <v>228</v>
      </c>
      <c r="U202" s="17" t="s">
        <v>1015</v>
      </c>
      <c r="V202" s="15" t="s">
        <v>69</v>
      </c>
      <c r="W202" t="str">
        <f t="shared" si="21"/>
        <v>Blacklisted</v>
      </c>
      <c r="X202" s="27" t="str">
        <f t="shared" si="22"/>
        <v>Vikas Mehta</v>
      </c>
      <c r="Y202" s="29" t="str">
        <f t="shared" si="23"/>
        <v>Vik00IDAh</v>
      </c>
      <c r="Z202" s="30" t="str">
        <f t="shared" si="24"/>
        <v>vikas.mehta@company.com</v>
      </c>
      <c r="AA202" s="32">
        <f t="shared" ca="1" si="25"/>
        <v>30</v>
      </c>
      <c r="AB202" s="33">
        <f t="shared" si="26"/>
        <v>3</v>
      </c>
      <c r="AC202" s="34" t="str">
        <f t="shared" si="27"/>
        <v>On Time</v>
      </c>
    </row>
    <row r="203" spans="1:29">
      <c r="A203" s="18" t="s">
        <v>1016</v>
      </c>
      <c r="B203" s="18" t="s">
        <v>71</v>
      </c>
      <c r="C203" s="18" t="s">
        <v>259</v>
      </c>
      <c r="D203" s="18" t="s">
        <v>1017</v>
      </c>
      <c r="E203" s="18" t="s">
        <v>1018</v>
      </c>
      <c r="F203" s="18" t="s">
        <v>217</v>
      </c>
      <c r="G203" s="18" t="s">
        <v>76</v>
      </c>
      <c r="H203" s="18" t="s">
        <v>1019</v>
      </c>
      <c r="I203" s="18" t="s">
        <v>30</v>
      </c>
      <c r="J203" s="18" t="s">
        <v>31</v>
      </c>
      <c r="K203" s="18" t="s">
        <v>122</v>
      </c>
      <c r="L203" s="18" t="s">
        <v>263</v>
      </c>
      <c r="M203" s="18">
        <v>2</v>
      </c>
      <c r="N203" s="18">
        <v>45</v>
      </c>
      <c r="O203" s="18">
        <v>15</v>
      </c>
      <c r="P203" s="18">
        <v>76.5</v>
      </c>
      <c r="Q203" s="18">
        <v>5</v>
      </c>
      <c r="R203" s="18" t="s">
        <v>34</v>
      </c>
      <c r="S203" s="18" t="s">
        <v>61</v>
      </c>
      <c r="T203" s="18" t="s">
        <v>80</v>
      </c>
      <c r="U203" s="19" t="s">
        <v>1020</v>
      </c>
      <c r="V203" s="18" t="s">
        <v>69</v>
      </c>
      <c r="W203" t="str">
        <f t="shared" si="21"/>
        <v>Blacklisted</v>
      </c>
      <c r="X203" s="27" t="str">
        <f t="shared" si="22"/>
        <v>Mohit Verma</v>
      </c>
      <c r="Y203" s="29" t="str">
        <f t="shared" si="23"/>
        <v>Moh00IDHy</v>
      </c>
      <c r="Z203" s="30" t="str">
        <f t="shared" si="24"/>
        <v>mohit.verma@company.com</v>
      </c>
      <c r="AA203" s="32">
        <f t="shared" ca="1" si="25"/>
        <v>41</v>
      </c>
      <c r="AB203" s="33">
        <f t="shared" si="26"/>
        <v>3</v>
      </c>
      <c r="AC203" s="34" t="str">
        <f t="shared" si="27"/>
        <v>On Time</v>
      </c>
    </row>
    <row r="204" spans="1:29">
      <c r="A204" s="15" t="s">
        <v>1021</v>
      </c>
      <c r="B204" s="15" t="s">
        <v>53</v>
      </c>
      <c r="C204" s="15" t="s">
        <v>169</v>
      </c>
      <c r="D204" s="15" t="s">
        <v>712</v>
      </c>
      <c r="E204" s="15" t="s">
        <v>85</v>
      </c>
      <c r="F204" s="15" t="s">
        <v>163</v>
      </c>
      <c r="G204" s="15" t="s">
        <v>28</v>
      </c>
      <c r="H204" s="15" t="s">
        <v>1022</v>
      </c>
      <c r="I204" s="15" t="s">
        <v>59</v>
      </c>
      <c r="J204" s="15" t="s">
        <v>31</v>
      </c>
      <c r="K204" s="15" t="s">
        <v>32</v>
      </c>
      <c r="L204" s="15" t="s">
        <v>174</v>
      </c>
      <c r="M204" s="15">
        <v>20</v>
      </c>
      <c r="N204" s="15">
        <v>8500</v>
      </c>
      <c r="O204" s="15">
        <v>0</v>
      </c>
      <c r="P204" s="15">
        <v>170000</v>
      </c>
      <c r="Q204" s="15">
        <v>4</v>
      </c>
      <c r="R204" s="15" t="s">
        <v>48</v>
      </c>
      <c r="S204" s="15" t="s">
        <v>61</v>
      </c>
      <c r="T204" s="15" t="s">
        <v>62</v>
      </c>
      <c r="U204" s="17" t="s">
        <v>1023</v>
      </c>
      <c r="V204" s="15" t="s">
        <v>69</v>
      </c>
      <c r="W204" t="str">
        <f t="shared" si="21"/>
        <v>Blacklisted</v>
      </c>
      <c r="X204" s="27" t="str">
        <f t="shared" si="22"/>
        <v>Pooja Shah</v>
      </c>
      <c r="Y204" s="29" t="str">
        <f t="shared" si="23"/>
        <v>Poo01IDBe</v>
      </c>
      <c r="Z204" s="30" t="str">
        <f t="shared" si="24"/>
        <v>pooja.shah@company.com</v>
      </c>
      <c r="AA204" s="32">
        <f t="shared" ca="1" si="25"/>
        <v>25</v>
      </c>
      <c r="AB204" s="33">
        <f t="shared" si="26"/>
        <v>6</v>
      </c>
      <c r="AC204" s="34" t="str">
        <f t="shared" si="27"/>
        <v>Delayed</v>
      </c>
    </row>
    <row r="205" spans="1:29">
      <c r="A205" s="18" t="s">
        <v>1024</v>
      </c>
      <c r="B205" s="18" t="s">
        <v>127</v>
      </c>
      <c r="C205" s="18" t="s">
        <v>92</v>
      </c>
      <c r="D205" s="18" t="s">
        <v>298</v>
      </c>
      <c r="E205" s="18" t="s">
        <v>1025</v>
      </c>
      <c r="F205" s="18" t="s">
        <v>200</v>
      </c>
      <c r="G205" s="18" t="s">
        <v>76</v>
      </c>
      <c r="H205" s="18" t="s">
        <v>494</v>
      </c>
      <c r="I205" s="18" t="s">
        <v>212</v>
      </c>
      <c r="J205" s="18" t="s">
        <v>45</v>
      </c>
      <c r="K205" s="18" t="s">
        <v>32</v>
      </c>
      <c r="L205" s="18" t="s">
        <v>97</v>
      </c>
      <c r="M205" s="18">
        <v>6</v>
      </c>
      <c r="N205" s="18">
        <v>3500</v>
      </c>
      <c r="O205" s="18">
        <v>5</v>
      </c>
      <c r="P205" s="18">
        <v>19950</v>
      </c>
      <c r="Q205" s="18">
        <v>1</v>
      </c>
      <c r="R205" s="18" t="s">
        <v>34</v>
      </c>
      <c r="S205" s="18" t="s">
        <v>151</v>
      </c>
      <c r="T205" s="18" t="s">
        <v>132</v>
      </c>
      <c r="U205" s="19" t="s">
        <v>1026</v>
      </c>
      <c r="V205" s="18" t="s">
        <v>38</v>
      </c>
      <c r="W205" t="str">
        <f t="shared" si="21"/>
        <v>Blacklisted</v>
      </c>
      <c r="X205" s="27" t="str">
        <f t="shared" si="22"/>
        <v>Rohit Singh</v>
      </c>
      <c r="Y205" s="29" t="str">
        <f t="shared" si="23"/>
        <v>Roh00IDJa</v>
      </c>
      <c r="Z205" s="30" t="str">
        <f t="shared" si="24"/>
        <v>rohit.singh@company.com</v>
      </c>
      <c r="AA205" s="32">
        <f t="shared" ca="1" si="25"/>
        <v>45</v>
      </c>
      <c r="AB205" s="33">
        <f t="shared" si="26"/>
        <v>1</v>
      </c>
      <c r="AC205" s="34" t="str">
        <f t="shared" si="27"/>
        <v>On Time</v>
      </c>
    </row>
    <row r="206" spans="1:29">
      <c r="A206" s="15" t="s">
        <v>1027</v>
      </c>
      <c r="B206" s="15" t="s">
        <v>168</v>
      </c>
      <c r="C206" s="15" t="s">
        <v>259</v>
      </c>
      <c r="D206" s="15" t="s">
        <v>308</v>
      </c>
      <c r="E206" s="15" t="s">
        <v>281</v>
      </c>
      <c r="F206" s="15" t="s">
        <v>361</v>
      </c>
      <c r="G206" s="15" t="s">
        <v>28</v>
      </c>
      <c r="H206" s="15" t="s">
        <v>1028</v>
      </c>
      <c r="I206" s="15" t="s">
        <v>114</v>
      </c>
      <c r="J206" s="15" t="s">
        <v>106</v>
      </c>
      <c r="K206" s="15" t="s">
        <v>122</v>
      </c>
      <c r="L206" s="15" t="s">
        <v>263</v>
      </c>
      <c r="M206" s="15">
        <v>8</v>
      </c>
      <c r="N206" s="15">
        <v>45</v>
      </c>
      <c r="O206" s="15">
        <v>5</v>
      </c>
      <c r="P206" s="15">
        <v>342</v>
      </c>
      <c r="Q206" s="15">
        <v>2</v>
      </c>
      <c r="R206" s="15" t="s">
        <v>34</v>
      </c>
      <c r="S206" s="15" t="s">
        <v>49</v>
      </c>
      <c r="T206" s="15" t="s">
        <v>175</v>
      </c>
      <c r="U206" s="17" t="s">
        <v>1029</v>
      </c>
      <c r="V206" s="15" t="s">
        <v>64</v>
      </c>
      <c r="W206" t="str">
        <f t="shared" si="21"/>
        <v>Blacklisted</v>
      </c>
      <c r="X206" s="27" t="str">
        <f t="shared" si="22"/>
        <v>Anita Gupta</v>
      </c>
      <c r="Y206" s="29" t="str">
        <f t="shared" si="23"/>
        <v>Ani00IDPu</v>
      </c>
      <c r="Z206" s="30" t="str">
        <f t="shared" si="24"/>
        <v>anita.gupta@company.com</v>
      </c>
      <c r="AA206" s="32">
        <f t="shared" ca="1" si="25"/>
        <v>23</v>
      </c>
      <c r="AB206" s="33">
        <f t="shared" si="26"/>
        <v>4</v>
      </c>
      <c r="AC206" s="34" t="str">
        <f t="shared" si="27"/>
        <v>On Time</v>
      </c>
    </row>
    <row r="207" spans="1:29">
      <c r="A207" s="18" t="s">
        <v>1030</v>
      </c>
      <c r="B207" s="18" t="s">
        <v>327</v>
      </c>
      <c r="C207" s="18" t="s">
        <v>24</v>
      </c>
      <c r="D207" s="18" t="s">
        <v>414</v>
      </c>
      <c r="E207" s="18" t="s">
        <v>1031</v>
      </c>
      <c r="F207" s="18" t="s">
        <v>394</v>
      </c>
      <c r="G207" s="18" t="s">
        <v>76</v>
      </c>
      <c r="H207" s="18" t="s">
        <v>1032</v>
      </c>
      <c r="I207" s="18" t="s">
        <v>105</v>
      </c>
      <c r="J207" s="18" t="s">
        <v>106</v>
      </c>
      <c r="K207" s="18" t="s">
        <v>32</v>
      </c>
      <c r="L207" s="18" t="s">
        <v>33</v>
      </c>
      <c r="M207" s="18">
        <v>18</v>
      </c>
      <c r="N207" s="18">
        <v>2200</v>
      </c>
      <c r="O207" s="18">
        <v>15</v>
      </c>
      <c r="P207" s="18">
        <v>33660</v>
      </c>
      <c r="Q207" s="18">
        <v>4</v>
      </c>
      <c r="R207" s="18" t="s">
        <v>79</v>
      </c>
      <c r="S207" s="18" t="s">
        <v>61</v>
      </c>
      <c r="T207" s="18" t="s">
        <v>332</v>
      </c>
      <c r="U207" s="19" t="s">
        <v>1033</v>
      </c>
      <c r="V207" s="18" t="s">
        <v>64</v>
      </c>
      <c r="W207" t="str">
        <f t="shared" si="21"/>
        <v>Blacklisted</v>
      </c>
      <c r="X207" s="27" t="str">
        <f t="shared" si="22"/>
        <v>Amit Sharma</v>
      </c>
      <c r="Y207" s="29" t="str">
        <f t="shared" si="23"/>
        <v>Ami00IDMu</v>
      </c>
      <c r="Z207" s="30" t="str">
        <f t="shared" si="24"/>
        <v>amit.sharma@company.com</v>
      </c>
      <c r="AA207" s="32">
        <f t="shared" ca="1" si="25"/>
        <v>46</v>
      </c>
      <c r="AB207" s="33">
        <f t="shared" si="26"/>
        <v>6</v>
      </c>
      <c r="AC207" s="34" t="str">
        <f t="shared" si="27"/>
        <v>Delayed</v>
      </c>
    </row>
    <row r="208" spans="1:29">
      <c r="A208" s="15" t="s">
        <v>1034</v>
      </c>
      <c r="B208" s="15" t="s">
        <v>221</v>
      </c>
      <c r="C208" s="15" t="s">
        <v>184</v>
      </c>
      <c r="D208" s="15" t="s">
        <v>1035</v>
      </c>
      <c r="E208" s="15" t="s">
        <v>1005</v>
      </c>
      <c r="F208" s="15" t="s">
        <v>225</v>
      </c>
      <c r="G208" s="15" t="s">
        <v>76</v>
      </c>
      <c r="H208" s="15" t="s">
        <v>1036</v>
      </c>
      <c r="I208" s="15" t="s">
        <v>30</v>
      </c>
      <c r="J208" s="15" t="s">
        <v>31</v>
      </c>
      <c r="K208" s="15" t="s">
        <v>46</v>
      </c>
      <c r="L208" s="15" t="s">
        <v>189</v>
      </c>
      <c r="M208" s="15">
        <v>18</v>
      </c>
      <c r="N208" s="15">
        <v>700</v>
      </c>
      <c r="O208" s="15">
        <v>15</v>
      </c>
      <c r="P208" s="15">
        <v>10710</v>
      </c>
      <c r="Q208" s="15">
        <v>3</v>
      </c>
      <c r="R208" s="15" t="s">
        <v>79</v>
      </c>
      <c r="S208" s="15" t="s">
        <v>151</v>
      </c>
      <c r="T208" s="15" t="s">
        <v>228</v>
      </c>
      <c r="U208" s="17" t="s">
        <v>1037</v>
      </c>
      <c r="V208" s="15" t="s">
        <v>69</v>
      </c>
      <c r="W208" t="str">
        <f t="shared" si="21"/>
        <v>Blacklisted</v>
      </c>
      <c r="X208" s="27" t="str">
        <f t="shared" si="22"/>
        <v>Vikas Mehta</v>
      </c>
      <c r="Y208" s="29" t="str">
        <f t="shared" si="23"/>
        <v>Vik00IDHy</v>
      </c>
      <c r="Z208" s="30" t="str">
        <f t="shared" si="24"/>
        <v>vikas.mehta@company.com</v>
      </c>
      <c r="AA208" s="32">
        <f t="shared" ca="1" si="25"/>
        <v>35</v>
      </c>
      <c r="AB208" s="33">
        <f t="shared" si="26"/>
        <v>9</v>
      </c>
      <c r="AC208" s="34" t="str">
        <f t="shared" si="27"/>
        <v>Delayed</v>
      </c>
    </row>
    <row r="209" spans="1:29">
      <c r="A209" s="18" t="s">
        <v>1038</v>
      </c>
      <c r="B209" s="18" t="s">
        <v>327</v>
      </c>
      <c r="C209" s="18" t="s">
        <v>54</v>
      </c>
      <c r="D209" s="18" t="s">
        <v>1039</v>
      </c>
      <c r="E209" s="18" t="s">
        <v>1040</v>
      </c>
      <c r="F209" s="18" t="s">
        <v>394</v>
      </c>
      <c r="G209" s="18" t="s">
        <v>76</v>
      </c>
      <c r="H209" s="18" t="s">
        <v>1041</v>
      </c>
      <c r="I209" s="18" t="s">
        <v>114</v>
      </c>
      <c r="J209" s="18" t="s">
        <v>106</v>
      </c>
      <c r="K209" s="18" t="s">
        <v>46</v>
      </c>
      <c r="L209" s="18" t="s">
        <v>60</v>
      </c>
      <c r="M209" s="18">
        <v>12</v>
      </c>
      <c r="N209" s="18">
        <v>55000</v>
      </c>
      <c r="O209" s="18">
        <v>0</v>
      </c>
      <c r="P209" s="18">
        <v>660000</v>
      </c>
      <c r="Q209" s="18">
        <v>2</v>
      </c>
      <c r="R209" s="18" t="s">
        <v>88</v>
      </c>
      <c r="S209" s="18" t="s">
        <v>49</v>
      </c>
      <c r="T209" s="18" t="s">
        <v>332</v>
      </c>
      <c r="U209" s="19" t="s">
        <v>1042</v>
      </c>
      <c r="V209" s="18" t="s">
        <v>69</v>
      </c>
      <c r="W209" t="str">
        <f t="shared" si="21"/>
        <v>Blacklisted</v>
      </c>
      <c r="X209" s="27" t="str">
        <f t="shared" si="22"/>
        <v>Amit Sharma</v>
      </c>
      <c r="Y209" s="29" t="str">
        <f t="shared" si="23"/>
        <v>Ami00IDPu</v>
      </c>
      <c r="Z209" s="30" t="str">
        <f t="shared" si="24"/>
        <v>amit.sharma@company.com</v>
      </c>
      <c r="AA209" s="32">
        <f t="shared" ca="1" si="25"/>
        <v>49</v>
      </c>
      <c r="AB209" s="33">
        <f t="shared" si="26"/>
        <v>3</v>
      </c>
      <c r="AC209" s="34" t="str">
        <f t="shared" si="27"/>
        <v>On Time</v>
      </c>
    </row>
    <row r="210" spans="1:29">
      <c r="A210" s="15" t="s">
        <v>1043</v>
      </c>
      <c r="B210" s="15" t="s">
        <v>23</v>
      </c>
      <c r="C210" s="15" t="s">
        <v>40</v>
      </c>
      <c r="D210" s="15" t="s">
        <v>502</v>
      </c>
      <c r="E210" s="15" t="s">
        <v>1044</v>
      </c>
      <c r="F210" s="15" t="s">
        <v>27</v>
      </c>
      <c r="G210" s="15" t="s">
        <v>28</v>
      </c>
      <c r="H210" s="15" t="s">
        <v>1045</v>
      </c>
      <c r="I210" s="15" t="s">
        <v>105</v>
      </c>
      <c r="J210" s="15" t="s">
        <v>106</v>
      </c>
      <c r="K210" s="15" t="s">
        <v>46</v>
      </c>
      <c r="L210" s="15" t="s">
        <v>47</v>
      </c>
      <c r="M210" s="15">
        <v>7</v>
      </c>
      <c r="N210" s="15">
        <v>12000</v>
      </c>
      <c r="O210" s="15">
        <v>5</v>
      </c>
      <c r="P210" s="15">
        <v>79800</v>
      </c>
      <c r="Q210" s="15">
        <v>3</v>
      </c>
      <c r="R210" s="15" t="s">
        <v>79</v>
      </c>
      <c r="S210" s="15" t="s">
        <v>151</v>
      </c>
      <c r="T210" s="15" t="s">
        <v>50</v>
      </c>
      <c r="U210" s="17" t="s">
        <v>1046</v>
      </c>
      <c r="V210" s="15" t="s">
        <v>64</v>
      </c>
      <c r="W210" t="str">
        <f t="shared" si="21"/>
        <v>Blacklisted</v>
      </c>
      <c r="X210" s="27" t="str">
        <f t="shared" si="22"/>
        <v>Kavya Nair</v>
      </c>
      <c r="Y210" s="29" t="str">
        <f t="shared" si="23"/>
        <v>Kav00IDMu</v>
      </c>
      <c r="Z210" s="30" t="str">
        <f t="shared" si="24"/>
        <v>kavya.nair@company.com</v>
      </c>
      <c r="AA210" s="32">
        <f t="shared" ca="1" si="25"/>
        <v>30</v>
      </c>
      <c r="AB210" s="33">
        <f t="shared" si="26"/>
        <v>9</v>
      </c>
      <c r="AC210" s="34" t="str">
        <f t="shared" si="27"/>
        <v>Delayed</v>
      </c>
    </row>
    <row r="211" spans="1:29">
      <c r="A211" s="18" t="s">
        <v>1047</v>
      </c>
      <c r="B211" s="18" t="s">
        <v>251</v>
      </c>
      <c r="C211" s="18" t="s">
        <v>40</v>
      </c>
      <c r="D211" s="18" t="s">
        <v>1048</v>
      </c>
      <c r="E211" s="18" t="s">
        <v>129</v>
      </c>
      <c r="F211" s="18" t="s">
        <v>254</v>
      </c>
      <c r="G211" s="18" t="s">
        <v>28</v>
      </c>
      <c r="H211" s="18" t="s">
        <v>1049</v>
      </c>
      <c r="I211" s="18" t="s">
        <v>105</v>
      </c>
      <c r="J211" s="18" t="s">
        <v>106</v>
      </c>
      <c r="K211" s="18" t="s">
        <v>46</v>
      </c>
      <c r="L211" s="18" t="s">
        <v>47</v>
      </c>
      <c r="M211" s="18">
        <v>8</v>
      </c>
      <c r="N211" s="18">
        <v>12000</v>
      </c>
      <c r="O211" s="18">
        <v>15</v>
      </c>
      <c r="P211" s="18">
        <v>81600</v>
      </c>
      <c r="Q211" s="18">
        <v>4</v>
      </c>
      <c r="R211" s="18" t="s">
        <v>79</v>
      </c>
      <c r="S211" s="18" t="s">
        <v>49</v>
      </c>
      <c r="T211" s="18" t="s">
        <v>256</v>
      </c>
      <c r="U211" s="19" t="s">
        <v>1050</v>
      </c>
      <c r="V211" s="18" t="s">
        <v>38</v>
      </c>
      <c r="W211" t="str">
        <f t="shared" si="21"/>
        <v>Gold</v>
      </c>
      <c r="X211" s="27" t="str">
        <f t="shared" si="22"/>
        <v>Sneha Joshi</v>
      </c>
      <c r="Y211" s="29" t="str">
        <f t="shared" si="23"/>
        <v>Sne00IDMu</v>
      </c>
      <c r="Z211" s="30" t="str">
        <f t="shared" si="24"/>
        <v>sneha.joshi@company.com</v>
      </c>
      <c r="AA211" s="32">
        <f t="shared" ca="1" si="25"/>
        <v>50</v>
      </c>
      <c r="AB211" s="33">
        <f t="shared" si="26"/>
        <v>2</v>
      </c>
      <c r="AC211" s="34" t="str">
        <f t="shared" si="27"/>
        <v>On Time</v>
      </c>
    </row>
    <row r="212" spans="1:29">
      <c r="A212" s="15" t="s">
        <v>1051</v>
      </c>
      <c r="B212" s="15" t="s">
        <v>327</v>
      </c>
      <c r="C212" s="15" t="s">
        <v>92</v>
      </c>
      <c r="D212" s="15" t="s">
        <v>788</v>
      </c>
      <c r="E212" s="15" t="s">
        <v>1052</v>
      </c>
      <c r="F212" s="15" t="s">
        <v>394</v>
      </c>
      <c r="G212" s="15" t="s">
        <v>76</v>
      </c>
      <c r="H212" s="15" t="s">
        <v>1053</v>
      </c>
      <c r="I212" s="15" t="s">
        <v>105</v>
      </c>
      <c r="J212" s="15" t="s">
        <v>106</v>
      </c>
      <c r="K212" s="15" t="s">
        <v>32</v>
      </c>
      <c r="L212" s="15" t="s">
        <v>97</v>
      </c>
      <c r="M212" s="15">
        <v>19</v>
      </c>
      <c r="N212" s="15">
        <v>3500</v>
      </c>
      <c r="O212" s="15">
        <v>5</v>
      </c>
      <c r="P212" s="15">
        <v>63175</v>
      </c>
      <c r="Q212" s="15">
        <v>3</v>
      </c>
      <c r="R212" s="15" t="s">
        <v>79</v>
      </c>
      <c r="S212" s="15" t="s">
        <v>61</v>
      </c>
      <c r="T212" s="15" t="s">
        <v>332</v>
      </c>
      <c r="U212" s="17" t="s">
        <v>1054</v>
      </c>
      <c r="V212" s="15" t="s">
        <v>64</v>
      </c>
      <c r="W212" t="str">
        <f t="shared" si="21"/>
        <v>Blacklisted</v>
      </c>
      <c r="X212" s="27" t="str">
        <f t="shared" si="22"/>
        <v>Amit Sharma</v>
      </c>
      <c r="Y212" s="29" t="str">
        <f t="shared" si="23"/>
        <v>Ami00IDMu</v>
      </c>
      <c r="Z212" s="30" t="str">
        <f t="shared" si="24"/>
        <v>amit.sharma@company.com</v>
      </c>
      <c r="AA212" s="32">
        <f t="shared" ca="1" si="25"/>
        <v>38</v>
      </c>
      <c r="AB212" s="33">
        <f t="shared" si="26"/>
        <v>9</v>
      </c>
      <c r="AC212" s="34" t="str">
        <f t="shared" si="27"/>
        <v>Delayed</v>
      </c>
    </row>
    <row r="213" spans="1:29">
      <c r="A213" s="18" t="s">
        <v>1055</v>
      </c>
      <c r="B213" s="18" t="s">
        <v>251</v>
      </c>
      <c r="C213" s="18" t="s">
        <v>259</v>
      </c>
      <c r="D213" s="18" t="s">
        <v>900</v>
      </c>
      <c r="E213" s="18" t="s">
        <v>987</v>
      </c>
      <c r="F213" s="18" t="s">
        <v>254</v>
      </c>
      <c r="G213" s="18" t="s">
        <v>28</v>
      </c>
      <c r="H213" s="18" t="s">
        <v>1056</v>
      </c>
      <c r="I213" s="18" t="s">
        <v>138</v>
      </c>
      <c r="J213" s="18" t="s">
        <v>106</v>
      </c>
      <c r="K213" s="18" t="s">
        <v>122</v>
      </c>
      <c r="L213" s="18" t="s">
        <v>263</v>
      </c>
      <c r="M213" s="18">
        <v>7</v>
      </c>
      <c r="N213" s="18">
        <v>45</v>
      </c>
      <c r="O213" s="18">
        <v>5</v>
      </c>
      <c r="P213" s="18">
        <v>299.25</v>
      </c>
      <c r="Q213" s="18">
        <v>3</v>
      </c>
      <c r="R213" s="18" t="s">
        <v>79</v>
      </c>
      <c r="S213" s="18" t="s">
        <v>35</v>
      </c>
      <c r="T213" s="18" t="s">
        <v>256</v>
      </c>
      <c r="U213" s="19" t="s">
        <v>1057</v>
      </c>
      <c r="V213" s="18" t="s">
        <v>69</v>
      </c>
      <c r="W213" t="str">
        <f t="shared" si="21"/>
        <v>Blacklisted</v>
      </c>
      <c r="X213" s="27" t="str">
        <f t="shared" si="22"/>
        <v>Sneha Joshi</v>
      </c>
      <c r="Y213" s="29" t="str">
        <f t="shared" si="23"/>
        <v>Sne00IDAh</v>
      </c>
      <c r="Z213" s="30" t="str">
        <f t="shared" si="24"/>
        <v>sneha.joshi@company.com</v>
      </c>
      <c r="AA213" s="32">
        <f t="shared" ca="1" si="25"/>
        <v>36</v>
      </c>
      <c r="AB213" s="33">
        <f t="shared" si="26"/>
        <v>10</v>
      </c>
      <c r="AC213" s="34" t="str">
        <f t="shared" si="27"/>
        <v>Delayed</v>
      </c>
    </row>
    <row r="214" spans="1:29">
      <c r="A214" s="15" t="s">
        <v>1058</v>
      </c>
      <c r="B214" s="15" t="s">
        <v>23</v>
      </c>
      <c r="C214" s="15" t="s">
        <v>118</v>
      </c>
      <c r="D214" s="15" t="s">
        <v>684</v>
      </c>
      <c r="E214" s="15" t="s">
        <v>750</v>
      </c>
      <c r="F214" s="15" t="s">
        <v>27</v>
      </c>
      <c r="G214" s="15" t="s">
        <v>28</v>
      </c>
      <c r="H214" s="15" t="s">
        <v>331</v>
      </c>
      <c r="I214" s="15" t="s">
        <v>30</v>
      </c>
      <c r="J214" s="15" t="s">
        <v>31</v>
      </c>
      <c r="K214" s="15" t="s">
        <v>122</v>
      </c>
      <c r="L214" s="15" t="s">
        <v>123</v>
      </c>
      <c r="M214" s="15">
        <v>3</v>
      </c>
      <c r="N214" s="15">
        <v>60</v>
      </c>
      <c r="O214" s="15">
        <v>15</v>
      </c>
      <c r="P214" s="15">
        <v>153</v>
      </c>
      <c r="Q214" s="15">
        <v>3</v>
      </c>
      <c r="R214" s="15" t="s">
        <v>48</v>
      </c>
      <c r="S214" s="15" t="s">
        <v>49</v>
      </c>
      <c r="T214" s="15" t="s">
        <v>50</v>
      </c>
      <c r="U214" s="17" t="s">
        <v>1059</v>
      </c>
      <c r="V214" s="15" t="s">
        <v>69</v>
      </c>
      <c r="W214" t="str">
        <f t="shared" si="21"/>
        <v>Blacklisted</v>
      </c>
      <c r="X214" s="27" t="str">
        <f t="shared" si="22"/>
        <v>Kavya Nair</v>
      </c>
      <c r="Y214" s="29" t="str">
        <f t="shared" si="23"/>
        <v>Kav00IDHy</v>
      </c>
      <c r="Z214" s="30" t="str">
        <f t="shared" si="24"/>
        <v>kavya.nair@company.com</v>
      </c>
      <c r="AA214" s="32">
        <f t="shared" ca="1" si="25"/>
        <v>35</v>
      </c>
      <c r="AB214" s="33">
        <f t="shared" si="26"/>
        <v>6</v>
      </c>
      <c r="AC214" s="34" t="str">
        <f t="shared" si="27"/>
        <v>Delayed</v>
      </c>
    </row>
    <row r="215" spans="1:29">
      <c r="A215" s="18" t="s">
        <v>1060</v>
      </c>
      <c r="B215" s="18" t="s">
        <v>53</v>
      </c>
      <c r="C215" s="18" t="s">
        <v>259</v>
      </c>
      <c r="D215" s="18" t="s">
        <v>1061</v>
      </c>
      <c r="E215" s="18" t="s">
        <v>582</v>
      </c>
      <c r="F215" s="18" t="s">
        <v>163</v>
      </c>
      <c r="G215" s="18" t="s">
        <v>28</v>
      </c>
      <c r="H215" s="18" t="s">
        <v>1062</v>
      </c>
      <c r="I215" s="18" t="s">
        <v>114</v>
      </c>
      <c r="J215" s="18" t="s">
        <v>106</v>
      </c>
      <c r="K215" s="18" t="s">
        <v>122</v>
      </c>
      <c r="L215" s="18" t="s">
        <v>263</v>
      </c>
      <c r="M215" s="18">
        <v>19</v>
      </c>
      <c r="N215" s="18">
        <v>45</v>
      </c>
      <c r="O215" s="18">
        <v>0</v>
      </c>
      <c r="P215" s="18">
        <v>855</v>
      </c>
      <c r="Q215" s="18">
        <v>2</v>
      </c>
      <c r="R215" s="18" t="s">
        <v>34</v>
      </c>
      <c r="S215" s="18" t="s">
        <v>61</v>
      </c>
      <c r="T215" s="18" t="s">
        <v>62</v>
      </c>
      <c r="U215" s="19" t="s">
        <v>1063</v>
      </c>
      <c r="V215" s="18" t="s">
        <v>38</v>
      </c>
      <c r="W215" t="str">
        <f t="shared" si="21"/>
        <v>Blacklisted</v>
      </c>
      <c r="X215" s="27" t="str">
        <f t="shared" si="22"/>
        <v>Pooja Shah</v>
      </c>
      <c r="Y215" s="29" t="str">
        <f t="shared" si="23"/>
        <v>Poo01IDPu</v>
      </c>
      <c r="Z215" s="30" t="str">
        <f t="shared" si="24"/>
        <v>pooja.shah@company.com</v>
      </c>
      <c r="AA215" s="32">
        <f t="shared" ca="1" si="25"/>
        <v>48</v>
      </c>
      <c r="AB215" s="33">
        <f t="shared" si="26"/>
        <v>12</v>
      </c>
      <c r="AC215" s="34" t="str">
        <f t="shared" si="27"/>
        <v>Delayed</v>
      </c>
    </row>
    <row r="216" spans="1:29">
      <c r="A216" s="15" t="s">
        <v>1064</v>
      </c>
      <c r="B216" s="15" t="s">
        <v>100</v>
      </c>
      <c r="C216" s="15" t="s">
        <v>40</v>
      </c>
      <c r="D216" s="15" t="s">
        <v>1065</v>
      </c>
      <c r="E216" s="15" t="s">
        <v>543</v>
      </c>
      <c r="F216" s="15" t="s">
        <v>103</v>
      </c>
      <c r="G216" s="15" t="s">
        <v>28</v>
      </c>
      <c r="H216" s="15" t="s">
        <v>1066</v>
      </c>
      <c r="I216" s="15" t="s">
        <v>59</v>
      </c>
      <c r="J216" s="15" t="s">
        <v>31</v>
      </c>
      <c r="K216" s="15" t="s">
        <v>46</v>
      </c>
      <c r="L216" s="15" t="s">
        <v>47</v>
      </c>
      <c r="M216" s="15">
        <v>10</v>
      </c>
      <c r="N216" s="15">
        <v>12000</v>
      </c>
      <c r="O216" s="15">
        <v>5</v>
      </c>
      <c r="P216" s="15">
        <v>114000</v>
      </c>
      <c r="Q216" s="15">
        <v>1</v>
      </c>
      <c r="R216" s="15" t="s">
        <v>79</v>
      </c>
      <c r="S216" s="15" t="s">
        <v>115</v>
      </c>
      <c r="T216" s="15" t="s">
        <v>144</v>
      </c>
      <c r="U216" s="17" t="s">
        <v>1067</v>
      </c>
      <c r="V216" s="15" t="s">
        <v>69</v>
      </c>
      <c r="W216" t="str">
        <f t="shared" si="21"/>
        <v>Blacklisted</v>
      </c>
      <c r="X216" s="27" t="str">
        <f t="shared" si="22"/>
        <v>Priya Patel</v>
      </c>
      <c r="Y216" s="29" t="str">
        <f t="shared" si="23"/>
        <v>Pri00IDBe</v>
      </c>
      <c r="Z216" s="30" t="str">
        <f t="shared" si="24"/>
        <v>priya.patel@company.com</v>
      </c>
      <c r="AA216" s="32">
        <f t="shared" ca="1" si="25"/>
        <v>31</v>
      </c>
      <c r="AB216" s="33">
        <f t="shared" si="26"/>
        <v>10</v>
      </c>
      <c r="AC216" s="34" t="str">
        <f t="shared" si="27"/>
        <v>Delayed</v>
      </c>
    </row>
    <row r="217" spans="1:29">
      <c r="A217" s="18" t="s">
        <v>1068</v>
      </c>
      <c r="B217" s="18" t="s">
        <v>23</v>
      </c>
      <c r="C217" s="18" t="s">
        <v>72</v>
      </c>
      <c r="D217" s="18" t="s">
        <v>1069</v>
      </c>
      <c r="E217" s="18" t="s">
        <v>1031</v>
      </c>
      <c r="F217" s="18" t="s">
        <v>27</v>
      </c>
      <c r="G217" s="18" t="s">
        <v>28</v>
      </c>
      <c r="H217" s="18" t="s">
        <v>1070</v>
      </c>
      <c r="I217" s="18" t="s">
        <v>294</v>
      </c>
      <c r="J217" s="18" t="s">
        <v>295</v>
      </c>
      <c r="K217" s="18" t="s">
        <v>46</v>
      </c>
      <c r="L217" s="18" t="s">
        <v>78</v>
      </c>
      <c r="M217" s="18">
        <v>4</v>
      </c>
      <c r="N217" s="18">
        <v>1200</v>
      </c>
      <c r="O217" s="18">
        <v>0</v>
      </c>
      <c r="P217" s="18">
        <v>4800</v>
      </c>
      <c r="Q217" s="18">
        <v>4</v>
      </c>
      <c r="R217" s="18" t="s">
        <v>34</v>
      </c>
      <c r="S217" s="18" t="s">
        <v>61</v>
      </c>
      <c r="T217" s="18" t="s">
        <v>50</v>
      </c>
      <c r="U217" s="19" t="s">
        <v>1071</v>
      </c>
      <c r="V217" s="18" t="s">
        <v>38</v>
      </c>
      <c r="W217" t="str">
        <f t="shared" si="21"/>
        <v>Silver</v>
      </c>
      <c r="X217" s="27" t="str">
        <f t="shared" si="22"/>
        <v>Kavya Nair</v>
      </c>
      <c r="Y217" s="29" t="str">
        <f t="shared" si="23"/>
        <v>Kav00IDKo</v>
      </c>
      <c r="Z217" s="30" t="str">
        <f t="shared" si="24"/>
        <v>kavya.nair@company.com</v>
      </c>
      <c r="AA217" s="32">
        <f t="shared" ca="1" si="25"/>
        <v>42</v>
      </c>
      <c r="AB217" s="33">
        <f t="shared" si="26"/>
        <v>12</v>
      </c>
      <c r="AC217" s="34" t="str">
        <f t="shared" si="27"/>
        <v>Delayed</v>
      </c>
    </row>
    <row r="218" spans="1:29">
      <c r="A218" s="15" t="s">
        <v>1072</v>
      </c>
      <c r="B218" s="15" t="s">
        <v>221</v>
      </c>
      <c r="C218" s="15" t="s">
        <v>169</v>
      </c>
      <c r="D218" s="15" t="s">
        <v>531</v>
      </c>
      <c r="E218" s="15" t="s">
        <v>1073</v>
      </c>
      <c r="F218" s="15" t="s">
        <v>225</v>
      </c>
      <c r="G218" s="15" t="s">
        <v>76</v>
      </c>
      <c r="H218" s="15" t="s">
        <v>1074</v>
      </c>
      <c r="I218" s="15" t="s">
        <v>59</v>
      </c>
      <c r="J218" s="15" t="s">
        <v>31</v>
      </c>
      <c r="K218" s="15" t="s">
        <v>32</v>
      </c>
      <c r="L218" s="15" t="s">
        <v>174</v>
      </c>
      <c r="M218" s="15">
        <v>2</v>
      </c>
      <c r="N218" s="15">
        <v>8500</v>
      </c>
      <c r="O218" s="15">
        <v>20</v>
      </c>
      <c r="P218" s="15">
        <v>13600</v>
      </c>
      <c r="Q218" s="15">
        <v>3</v>
      </c>
      <c r="R218" s="15" t="s">
        <v>79</v>
      </c>
      <c r="S218" s="15" t="s">
        <v>151</v>
      </c>
      <c r="T218" s="15" t="s">
        <v>228</v>
      </c>
      <c r="U218" s="17" t="s">
        <v>1075</v>
      </c>
      <c r="V218" s="15" t="s">
        <v>38</v>
      </c>
      <c r="W218" t="str">
        <f t="shared" si="21"/>
        <v>Silver</v>
      </c>
      <c r="X218" s="27" t="str">
        <f t="shared" si="22"/>
        <v>Vikas Mehta</v>
      </c>
      <c r="Y218" s="29" t="str">
        <f t="shared" si="23"/>
        <v>Vik00IDBe</v>
      </c>
      <c r="Z218" s="30" t="str">
        <f t="shared" si="24"/>
        <v>vikas.mehta@company.com</v>
      </c>
      <c r="AA218" s="32">
        <f t="shared" ca="1" si="25"/>
        <v>40</v>
      </c>
      <c r="AB218" s="33">
        <f t="shared" si="26"/>
        <v>7</v>
      </c>
      <c r="AC218" s="34" t="str">
        <f t="shared" si="27"/>
        <v>Delayed</v>
      </c>
    </row>
    <row r="219" spans="1:29">
      <c r="A219" s="18" t="s">
        <v>1076</v>
      </c>
      <c r="B219" s="18" t="s">
        <v>83</v>
      </c>
      <c r="C219" s="18" t="s">
        <v>184</v>
      </c>
      <c r="D219" s="18" t="s">
        <v>1077</v>
      </c>
      <c r="E219" s="18" t="s">
        <v>322</v>
      </c>
      <c r="F219" s="18" t="s">
        <v>180</v>
      </c>
      <c r="G219" s="18" t="s">
        <v>76</v>
      </c>
      <c r="H219" s="18" t="s">
        <v>1078</v>
      </c>
      <c r="I219" s="18" t="s">
        <v>294</v>
      </c>
      <c r="J219" s="18" t="s">
        <v>295</v>
      </c>
      <c r="K219" s="18" t="s">
        <v>46</v>
      </c>
      <c r="L219" s="18" t="s">
        <v>189</v>
      </c>
      <c r="M219" s="18">
        <v>7</v>
      </c>
      <c r="N219" s="18">
        <v>700</v>
      </c>
      <c r="O219" s="18">
        <v>20</v>
      </c>
      <c r="P219" s="18">
        <v>3920</v>
      </c>
      <c r="Q219" s="18">
        <v>2</v>
      </c>
      <c r="R219" s="18" t="s">
        <v>79</v>
      </c>
      <c r="S219" s="18" t="s">
        <v>151</v>
      </c>
      <c r="T219" s="18" t="s">
        <v>89</v>
      </c>
      <c r="U219" s="19" t="s">
        <v>1079</v>
      </c>
      <c r="V219" s="18" t="s">
        <v>64</v>
      </c>
      <c r="W219" t="str">
        <f t="shared" si="21"/>
        <v>Blacklisted</v>
      </c>
      <c r="X219" s="27" t="str">
        <f t="shared" si="22"/>
        <v>Arjun Rao</v>
      </c>
      <c r="Y219" s="29" t="str">
        <f t="shared" si="23"/>
        <v>Arj00IDKo</v>
      </c>
      <c r="Z219" s="30" t="str">
        <f t="shared" si="24"/>
        <v>arjun.rao@company.com</v>
      </c>
      <c r="AA219" s="32">
        <f t="shared" ca="1" si="25"/>
        <v>24</v>
      </c>
      <c r="AB219" s="33">
        <f t="shared" si="26"/>
        <v>9</v>
      </c>
      <c r="AC219" s="34" t="str">
        <f t="shared" si="27"/>
        <v>Delayed</v>
      </c>
    </row>
    <row r="220" spans="1:29">
      <c r="A220" s="15" t="s">
        <v>1080</v>
      </c>
      <c r="B220" s="15" t="s">
        <v>53</v>
      </c>
      <c r="C220" s="15" t="s">
        <v>222</v>
      </c>
      <c r="D220" s="15" t="s">
        <v>1081</v>
      </c>
      <c r="E220" s="15" t="s">
        <v>518</v>
      </c>
      <c r="F220" s="15" t="s">
        <v>163</v>
      </c>
      <c r="G220" s="15" t="s">
        <v>28</v>
      </c>
      <c r="H220" s="15" t="s">
        <v>1082</v>
      </c>
      <c r="I220" s="15" t="s">
        <v>114</v>
      </c>
      <c r="J220" s="15" t="s">
        <v>106</v>
      </c>
      <c r="K220" s="15" t="s">
        <v>122</v>
      </c>
      <c r="L220" s="15" t="s">
        <v>227</v>
      </c>
      <c r="M220" s="15">
        <v>9</v>
      </c>
      <c r="N220" s="15">
        <v>20</v>
      </c>
      <c r="O220" s="15">
        <v>15</v>
      </c>
      <c r="P220" s="15">
        <v>153</v>
      </c>
      <c r="Q220" s="15">
        <v>3</v>
      </c>
      <c r="R220" s="15" t="s">
        <v>48</v>
      </c>
      <c r="S220" s="15" t="s">
        <v>115</v>
      </c>
      <c r="T220" s="15" t="s">
        <v>62</v>
      </c>
      <c r="U220" s="17" t="s">
        <v>1083</v>
      </c>
      <c r="V220" s="15" t="s">
        <v>38</v>
      </c>
      <c r="W220" t="str">
        <f t="shared" si="21"/>
        <v>Silver</v>
      </c>
      <c r="X220" s="27" t="str">
        <f t="shared" si="22"/>
        <v>Pooja Shah</v>
      </c>
      <c r="Y220" s="29" t="str">
        <f t="shared" si="23"/>
        <v>Poo01IDPu</v>
      </c>
      <c r="Z220" s="30" t="str">
        <f t="shared" si="24"/>
        <v>pooja.shah@company.com</v>
      </c>
      <c r="AA220" s="32">
        <f t="shared" ca="1" si="25"/>
        <v>27</v>
      </c>
      <c r="AB220" s="33">
        <f t="shared" si="26"/>
        <v>4</v>
      </c>
      <c r="AC220" s="34" t="str">
        <f t="shared" si="27"/>
        <v>On Time</v>
      </c>
    </row>
    <row r="221" spans="1:29">
      <c r="A221" s="18" t="s">
        <v>1084</v>
      </c>
      <c r="B221" s="18" t="s">
        <v>100</v>
      </c>
      <c r="C221" s="18" t="s">
        <v>169</v>
      </c>
      <c r="D221" s="18" t="s">
        <v>1085</v>
      </c>
      <c r="E221" s="18" t="s">
        <v>1086</v>
      </c>
      <c r="F221" s="18" t="s">
        <v>103</v>
      </c>
      <c r="G221" s="18" t="s">
        <v>28</v>
      </c>
      <c r="H221" s="18" t="s">
        <v>1087</v>
      </c>
      <c r="I221" s="18" t="s">
        <v>294</v>
      </c>
      <c r="J221" s="18" t="s">
        <v>295</v>
      </c>
      <c r="K221" s="18" t="s">
        <v>32</v>
      </c>
      <c r="L221" s="18" t="s">
        <v>174</v>
      </c>
      <c r="M221" s="18">
        <v>16</v>
      </c>
      <c r="N221" s="18">
        <v>8500</v>
      </c>
      <c r="O221" s="18">
        <v>0</v>
      </c>
      <c r="P221" s="18">
        <v>136000</v>
      </c>
      <c r="Q221" s="18">
        <v>4</v>
      </c>
      <c r="R221" s="18" t="s">
        <v>48</v>
      </c>
      <c r="S221" s="18" t="s">
        <v>35</v>
      </c>
      <c r="T221" s="18" t="s">
        <v>144</v>
      </c>
      <c r="U221" s="19" t="s">
        <v>1088</v>
      </c>
      <c r="V221" s="18" t="s">
        <v>38</v>
      </c>
      <c r="W221" t="str">
        <f t="shared" si="21"/>
        <v>Platinum</v>
      </c>
      <c r="X221" s="27" t="str">
        <f t="shared" si="22"/>
        <v>Priya Patel</v>
      </c>
      <c r="Y221" s="29" t="str">
        <f t="shared" si="23"/>
        <v>Pri00IDKo</v>
      </c>
      <c r="Z221" s="30" t="str">
        <f t="shared" si="24"/>
        <v>priya.patel@company.com</v>
      </c>
      <c r="AA221" s="32">
        <f t="shared" ca="1" si="25"/>
        <v>36</v>
      </c>
      <c r="AB221" s="33">
        <f t="shared" si="26"/>
        <v>2</v>
      </c>
      <c r="AC221" s="34" t="str">
        <f t="shared" si="27"/>
        <v>On Time</v>
      </c>
    </row>
    <row r="222" spans="1:29">
      <c r="A222" s="15" t="s">
        <v>1089</v>
      </c>
      <c r="B222" s="15" t="s">
        <v>251</v>
      </c>
      <c r="C222" s="15" t="s">
        <v>92</v>
      </c>
      <c r="D222" s="15" t="s">
        <v>544</v>
      </c>
      <c r="E222" s="15" t="s">
        <v>1090</v>
      </c>
      <c r="F222" s="15" t="s">
        <v>254</v>
      </c>
      <c r="G222" s="15" t="s">
        <v>28</v>
      </c>
      <c r="H222" s="15" t="s">
        <v>1091</v>
      </c>
      <c r="I222" s="15" t="s">
        <v>44</v>
      </c>
      <c r="J222" s="15" t="s">
        <v>45</v>
      </c>
      <c r="K222" s="15" t="s">
        <v>32</v>
      </c>
      <c r="L222" s="15" t="s">
        <v>97</v>
      </c>
      <c r="M222" s="15">
        <v>10</v>
      </c>
      <c r="N222" s="15">
        <v>3500</v>
      </c>
      <c r="O222" s="15">
        <v>5</v>
      </c>
      <c r="P222" s="15">
        <v>33250</v>
      </c>
      <c r="Q222" s="15">
        <v>3</v>
      </c>
      <c r="R222" s="15" t="s">
        <v>48</v>
      </c>
      <c r="S222" s="15" t="s">
        <v>115</v>
      </c>
      <c r="T222" s="15" t="s">
        <v>256</v>
      </c>
      <c r="U222" s="17" t="s">
        <v>1092</v>
      </c>
      <c r="V222" s="15" t="s">
        <v>38</v>
      </c>
      <c r="W222" t="str">
        <f t="shared" si="21"/>
        <v>Silver</v>
      </c>
      <c r="X222" s="27" t="str">
        <f t="shared" si="22"/>
        <v>Sneha Joshi</v>
      </c>
      <c r="Y222" s="29" t="str">
        <f t="shared" si="23"/>
        <v>Sne00IDDe</v>
      </c>
      <c r="Z222" s="30" t="str">
        <f t="shared" si="24"/>
        <v>sneha.joshi@company.com</v>
      </c>
      <c r="AA222" s="32">
        <f t="shared" ca="1" si="25"/>
        <v>34</v>
      </c>
      <c r="AB222" s="33">
        <f t="shared" si="26"/>
        <v>2</v>
      </c>
      <c r="AC222" s="34" t="str">
        <f t="shared" si="27"/>
        <v>On Time</v>
      </c>
    </row>
    <row r="223" spans="1:29">
      <c r="A223" s="18" t="s">
        <v>1093</v>
      </c>
      <c r="B223" s="18" t="s">
        <v>53</v>
      </c>
      <c r="C223" s="18" t="s">
        <v>40</v>
      </c>
      <c r="D223" s="18" t="s">
        <v>1094</v>
      </c>
      <c r="E223" s="18" t="s">
        <v>588</v>
      </c>
      <c r="F223" s="18" t="s">
        <v>163</v>
      </c>
      <c r="G223" s="18" t="s">
        <v>28</v>
      </c>
      <c r="H223" s="18" t="s">
        <v>1095</v>
      </c>
      <c r="I223" s="18" t="s">
        <v>294</v>
      </c>
      <c r="J223" s="18" t="s">
        <v>295</v>
      </c>
      <c r="K223" s="18" t="s">
        <v>46</v>
      </c>
      <c r="L223" s="18" t="s">
        <v>47</v>
      </c>
      <c r="M223" s="18">
        <v>1</v>
      </c>
      <c r="N223" s="18">
        <v>12000</v>
      </c>
      <c r="O223" s="18">
        <v>0</v>
      </c>
      <c r="P223" s="18">
        <v>12000</v>
      </c>
      <c r="Q223" s="18">
        <v>5</v>
      </c>
      <c r="R223" s="18" t="s">
        <v>88</v>
      </c>
      <c r="S223" s="18" t="s">
        <v>115</v>
      </c>
      <c r="T223" s="18" t="s">
        <v>62</v>
      </c>
      <c r="U223" s="19" t="s">
        <v>1096</v>
      </c>
      <c r="V223" s="18" t="s">
        <v>64</v>
      </c>
      <c r="W223" t="str">
        <f t="shared" si="21"/>
        <v>Blacklisted</v>
      </c>
      <c r="X223" s="27" t="str">
        <f t="shared" si="22"/>
        <v>Pooja Shah</v>
      </c>
      <c r="Y223" s="29" t="str">
        <f t="shared" si="23"/>
        <v>Poo01IDKo</v>
      </c>
      <c r="Z223" s="30" t="str">
        <f t="shared" si="24"/>
        <v>pooja.shah@company.com</v>
      </c>
      <c r="AA223" s="32">
        <f t="shared" ca="1" si="25"/>
        <v>46</v>
      </c>
      <c r="AB223" s="33">
        <f t="shared" si="26"/>
        <v>8</v>
      </c>
      <c r="AC223" s="34" t="str">
        <f t="shared" si="27"/>
        <v>Delayed</v>
      </c>
    </row>
    <row r="224" spans="1:29">
      <c r="A224" s="15" t="s">
        <v>1097</v>
      </c>
      <c r="B224" s="15" t="s">
        <v>327</v>
      </c>
      <c r="C224" s="15" t="s">
        <v>259</v>
      </c>
      <c r="D224" s="15" t="s">
        <v>1098</v>
      </c>
      <c r="E224" s="15" t="s">
        <v>601</v>
      </c>
      <c r="F224" s="15" t="s">
        <v>394</v>
      </c>
      <c r="G224" s="15" t="s">
        <v>76</v>
      </c>
      <c r="H224" s="15" t="s">
        <v>1099</v>
      </c>
      <c r="I224" s="15" t="s">
        <v>294</v>
      </c>
      <c r="J224" s="15" t="s">
        <v>295</v>
      </c>
      <c r="K224" s="15" t="s">
        <v>122</v>
      </c>
      <c r="L224" s="15" t="s">
        <v>263</v>
      </c>
      <c r="M224" s="15">
        <v>19</v>
      </c>
      <c r="N224" s="15">
        <v>45</v>
      </c>
      <c r="O224" s="15">
        <v>15</v>
      </c>
      <c r="P224" s="15">
        <v>726.75</v>
      </c>
      <c r="Q224" s="15">
        <v>2</v>
      </c>
      <c r="R224" s="15" t="s">
        <v>88</v>
      </c>
      <c r="S224" s="15" t="s">
        <v>151</v>
      </c>
      <c r="T224" s="15" t="s">
        <v>332</v>
      </c>
      <c r="U224" s="17" t="s">
        <v>1100</v>
      </c>
      <c r="V224" s="15" t="s">
        <v>64</v>
      </c>
      <c r="W224" t="str">
        <f t="shared" si="21"/>
        <v>Blacklisted</v>
      </c>
      <c r="X224" s="27" t="str">
        <f t="shared" si="22"/>
        <v>Amit Sharma</v>
      </c>
      <c r="Y224" s="29" t="str">
        <f t="shared" si="23"/>
        <v>Ami00IDKo</v>
      </c>
      <c r="Z224" s="30" t="str">
        <f t="shared" si="24"/>
        <v>amit.sharma@company.com</v>
      </c>
      <c r="AA224" s="32">
        <f t="shared" ca="1" si="25"/>
        <v>37</v>
      </c>
      <c r="AB224" s="33">
        <f t="shared" si="26"/>
        <v>8</v>
      </c>
      <c r="AC224" s="34" t="str">
        <f t="shared" si="27"/>
        <v>Delayed</v>
      </c>
    </row>
    <row r="225" spans="1:29">
      <c r="A225" s="18" t="s">
        <v>1101</v>
      </c>
      <c r="B225" s="18" t="s">
        <v>23</v>
      </c>
      <c r="C225" s="18" t="s">
        <v>54</v>
      </c>
      <c r="D225" s="18" t="s">
        <v>531</v>
      </c>
      <c r="E225" s="18" t="s">
        <v>1102</v>
      </c>
      <c r="F225" s="18" t="s">
        <v>27</v>
      </c>
      <c r="G225" s="18" t="s">
        <v>28</v>
      </c>
      <c r="H225" s="18" t="s">
        <v>1103</v>
      </c>
      <c r="I225" s="18" t="s">
        <v>44</v>
      </c>
      <c r="J225" s="18" t="s">
        <v>45</v>
      </c>
      <c r="K225" s="18" t="s">
        <v>46</v>
      </c>
      <c r="L225" s="18" t="s">
        <v>60</v>
      </c>
      <c r="M225" s="18">
        <v>13</v>
      </c>
      <c r="N225" s="18">
        <v>55000</v>
      </c>
      <c r="O225" s="18">
        <v>5</v>
      </c>
      <c r="P225" s="18">
        <v>679250</v>
      </c>
      <c r="Q225" s="18">
        <v>4</v>
      </c>
      <c r="R225" s="18" t="s">
        <v>79</v>
      </c>
      <c r="S225" s="18" t="s">
        <v>49</v>
      </c>
      <c r="T225" s="18" t="s">
        <v>50</v>
      </c>
      <c r="U225" s="19" t="s">
        <v>1104</v>
      </c>
      <c r="V225" s="18" t="s">
        <v>69</v>
      </c>
      <c r="W225" t="str">
        <f t="shared" si="21"/>
        <v>Blacklisted</v>
      </c>
      <c r="X225" s="27" t="str">
        <f t="shared" si="22"/>
        <v>Kavya Nair</v>
      </c>
      <c r="Y225" s="29" t="str">
        <f t="shared" si="23"/>
        <v>Kav00IDDe</v>
      </c>
      <c r="Z225" s="30" t="str">
        <f t="shared" si="24"/>
        <v>kavya.nair@company.com</v>
      </c>
      <c r="AA225" s="32">
        <f t="shared" ca="1" si="25"/>
        <v>33</v>
      </c>
      <c r="AB225" s="33">
        <f t="shared" si="26"/>
        <v>2</v>
      </c>
      <c r="AC225" s="34" t="str">
        <f t="shared" si="27"/>
        <v>On Time</v>
      </c>
    </row>
    <row r="226" spans="1:29">
      <c r="A226" s="15" t="s">
        <v>1105</v>
      </c>
      <c r="B226" s="15" t="s">
        <v>83</v>
      </c>
      <c r="C226" s="15" t="s">
        <v>259</v>
      </c>
      <c r="D226" s="15" t="s">
        <v>1106</v>
      </c>
      <c r="E226" s="15" t="s">
        <v>155</v>
      </c>
      <c r="F226" s="15" t="s">
        <v>180</v>
      </c>
      <c r="G226" s="15" t="s">
        <v>76</v>
      </c>
      <c r="H226" s="15" t="s">
        <v>1107</v>
      </c>
      <c r="I226" s="15" t="s">
        <v>105</v>
      </c>
      <c r="J226" s="15" t="s">
        <v>106</v>
      </c>
      <c r="K226" s="15" t="s">
        <v>122</v>
      </c>
      <c r="L226" s="15" t="s">
        <v>263</v>
      </c>
      <c r="M226" s="15">
        <v>2</v>
      </c>
      <c r="N226" s="15">
        <v>45</v>
      </c>
      <c r="O226" s="15">
        <v>15</v>
      </c>
      <c r="P226" s="15">
        <v>76.5</v>
      </c>
      <c r="Q226" s="15">
        <v>1</v>
      </c>
      <c r="R226" s="15" t="s">
        <v>48</v>
      </c>
      <c r="S226" s="15" t="s">
        <v>115</v>
      </c>
      <c r="T226" s="15" t="s">
        <v>89</v>
      </c>
      <c r="U226" s="17" t="s">
        <v>1108</v>
      </c>
      <c r="V226" s="15" t="s">
        <v>38</v>
      </c>
      <c r="W226" t="str">
        <f t="shared" si="21"/>
        <v>Blacklisted</v>
      </c>
      <c r="X226" s="27" t="str">
        <f t="shared" si="22"/>
        <v>Arjun Rao</v>
      </c>
      <c r="Y226" s="29" t="str">
        <f t="shared" si="23"/>
        <v>Arj00IDMu</v>
      </c>
      <c r="Z226" s="30" t="str">
        <f t="shared" si="24"/>
        <v>arjun.rao@company.com</v>
      </c>
      <c r="AA226" s="32">
        <f t="shared" ca="1" si="25"/>
        <v>44</v>
      </c>
      <c r="AB226" s="33">
        <f t="shared" si="26"/>
        <v>6</v>
      </c>
      <c r="AC226" s="34" t="str">
        <f t="shared" si="27"/>
        <v>Delayed</v>
      </c>
    </row>
    <row r="227" spans="1:29">
      <c r="A227" s="18" t="s">
        <v>1109</v>
      </c>
      <c r="B227" s="18" t="s">
        <v>100</v>
      </c>
      <c r="C227" s="18" t="s">
        <v>222</v>
      </c>
      <c r="D227" s="18" t="s">
        <v>303</v>
      </c>
      <c r="E227" s="18" t="s">
        <v>1110</v>
      </c>
      <c r="F227" s="18" t="s">
        <v>103</v>
      </c>
      <c r="G227" s="18" t="s">
        <v>28</v>
      </c>
      <c r="H227" s="18" t="s">
        <v>1111</v>
      </c>
      <c r="I227" s="18" t="s">
        <v>30</v>
      </c>
      <c r="J227" s="18" t="s">
        <v>31</v>
      </c>
      <c r="K227" s="18" t="s">
        <v>122</v>
      </c>
      <c r="L227" s="18" t="s">
        <v>227</v>
      </c>
      <c r="M227" s="18">
        <v>8</v>
      </c>
      <c r="N227" s="18">
        <v>20</v>
      </c>
      <c r="O227" s="18">
        <v>15</v>
      </c>
      <c r="P227" s="18">
        <v>136</v>
      </c>
      <c r="Q227" s="18">
        <v>1</v>
      </c>
      <c r="R227" s="18" t="s">
        <v>79</v>
      </c>
      <c r="S227" s="18" t="s">
        <v>35</v>
      </c>
      <c r="T227" s="18" t="s">
        <v>144</v>
      </c>
      <c r="U227" s="19" t="s">
        <v>1112</v>
      </c>
      <c r="V227" s="18" t="s">
        <v>64</v>
      </c>
      <c r="W227" t="str">
        <f t="shared" si="21"/>
        <v>Blacklisted</v>
      </c>
      <c r="X227" s="27" t="str">
        <f t="shared" si="22"/>
        <v>Priya Patel</v>
      </c>
      <c r="Y227" s="29" t="str">
        <f t="shared" si="23"/>
        <v>Pri00IDHy</v>
      </c>
      <c r="Z227" s="30" t="str">
        <f t="shared" si="24"/>
        <v>priya.patel@company.com</v>
      </c>
      <c r="AA227" s="32">
        <f t="shared" ca="1" si="25"/>
        <v>23</v>
      </c>
      <c r="AB227" s="33">
        <f t="shared" si="26"/>
        <v>5</v>
      </c>
      <c r="AC227" s="34" t="str">
        <f t="shared" si="27"/>
        <v>On Time</v>
      </c>
    </row>
    <row r="228" spans="1:29">
      <c r="A228" s="15" t="s">
        <v>1113</v>
      </c>
      <c r="B228" s="15" t="s">
        <v>168</v>
      </c>
      <c r="C228" s="15" t="s">
        <v>40</v>
      </c>
      <c r="D228" s="15" t="s">
        <v>1114</v>
      </c>
      <c r="E228" s="15" t="s">
        <v>1115</v>
      </c>
      <c r="F228" s="15" t="s">
        <v>361</v>
      </c>
      <c r="G228" s="15" t="s">
        <v>28</v>
      </c>
      <c r="H228" s="15" t="s">
        <v>1116</v>
      </c>
      <c r="I228" s="15" t="s">
        <v>30</v>
      </c>
      <c r="J228" s="15" t="s">
        <v>31</v>
      </c>
      <c r="K228" s="15" t="s">
        <v>46</v>
      </c>
      <c r="L228" s="15" t="s">
        <v>47</v>
      </c>
      <c r="M228" s="15">
        <v>9</v>
      </c>
      <c r="N228" s="15">
        <v>12000</v>
      </c>
      <c r="O228" s="15">
        <v>5</v>
      </c>
      <c r="P228" s="15">
        <v>102600</v>
      </c>
      <c r="Q228" s="15">
        <v>2</v>
      </c>
      <c r="R228" s="15" t="s">
        <v>79</v>
      </c>
      <c r="S228" s="15" t="s">
        <v>35</v>
      </c>
      <c r="T228" s="15" t="s">
        <v>175</v>
      </c>
      <c r="U228" s="17" t="s">
        <v>1117</v>
      </c>
      <c r="V228" s="15" t="s">
        <v>69</v>
      </c>
      <c r="W228" t="str">
        <f t="shared" si="21"/>
        <v>Blacklisted</v>
      </c>
      <c r="X228" s="27" t="str">
        <f t="shared" si="22"/>
        <v>Anita Gupta</v>
      </c>
      <c r="Y228" s="29" t="str">
        <f t="shared" si="23"/>
        <v>Ani00IDHy</v>
      </c>
      <c r="Z228" s="30" t="str">
        <f t="shared" si="24"/>
        <v>anita.gupta@company.com</v>
      </c>
      <c r="AA228" s="32">
        <f t="shared" ca="1" si="25"/>
        <v>41</v>
      </c>
      <c r="AB228" s="33">
        <f t="shared" si="26"/>
        <v>11</v>
      </c>
      <c r="AC228" s="34" t="str">
        <f t="shared" si="27"/>
        <v>Delayed</v>
      </c>
    </row>
    <row r="229" spans="1:29">
      <c r="A229" s="18" t="s">
        <v>1118</v>
      </c>
      <c r="B229" s="18" t="s">
        <v>71</v>
      </c>
      <c r="C229" s="18" t="s">
        <v>92</v>
      </c>
      <c r="D229" s="18" t="s">
        <v>1119</v>
      </c>
      <c r="E229" s="18" t="s">
        <v>1120</v>
      </c>
      <c r="F229" s="18" t="s">
        <v>217</v>
      </c>
      <c r="G229" s="18" t="s">
        <v>76</v>
      </c>
      <c r="H229" s="18" t="s">
        <v>1121</v>
      </c>
      <c r="I229" s="18" t="s">
        <v>294</v>
      </c>
      <c r="J229" s="18" t="s">
        <v>295</v>
      </c>
      <c r="K229" s="18" t="s">
        <v>32</v>
      </c>
      <c r="L229" s="18" t="s">
        <v>97</v>
      </c>
      <c r="M229" s="18">
        <v>3</v>
      </c>
      <c r="N229" s="18">
        <v>3500</v>
      </c>
      <c r="O229" s="18">
        <v>15</v>
      </c>
      <c r="P229" s="18">
        <v>8925</v>
      </c>
      <c r="Q229" s="18">
        <v>1</v>
      </c>
      <c r="R229" s="18" t="s">
        <v>34</v>
      </c>
      <c r="S229" s="18" t="s">
        <v>49</v>
      </c>
      <c r="T229" s="18" t="s">
        <v>80</v>
      </c>
      <c r="U229" s="19" t="s">
        <v>1122</v>
      </c>
      <c r="V229" s="18" t="s">
        <v>69</v>
      </c>
      <c r="W229" t="str">
        <f t="shared" si="21"/>
        <v>Blacklisted</v>
      </c>
      <c r="X229" s="27" t="str">
        <f t="shared" si="22"/>
        <v>Mohit Verma</v>
      </c>
      <c r="Y229" s="29" t="str">
        <f t="shared" si="23"/>
        <v>Moh00IDKo</v>
      </c>
      <c r="Z229" s="30" t="str">
        <f t="shared" si="24"/>
        <v>mohit.verma@company.com</v>
      </c>
      <c r="AA229" s="32">
        <f t="shared" ca="1" si="25"/>
        <v>32</v>
      </c>
      <c r="AB229" s="33">
        <f t="shared" si="26"/>
        <v>8</v>
      </c>
      <c r="AC229" s="34" t="str">
        <f t="shared" si="27"/>
        <v>Delayed</v>
      </c>
    </row>
    <row r="230" spans="1:29">
      <c r="A230" s="15" t="s">
        <v>1123</v>
      </c>
      <c r="B230" s="15" t="s">
        <v>100</v>
      </c>
      <c r="C230" s="15" t="s">
        <v>184</v>
      </c>
      <c r="D230" s="15" t="s">
        <v>1086</v>
      </c>
      <c r="E230" s="15" t="s">
        <v>1124</v>
      </c>
      <c r="F230" s="15" t="s">
        <v>103</v>
      </c>
      <c r="G230" s="15" t="s">
        <v>28</v>
      </c>
      <c r="H230" s="15" t="s">
        <v>1125</v>
      </c>
      <c r="I230" s="15" t="s">
        <v>30</v>
      </c>
      <c r="J230" s="15" t="s">
        <v>31</v>
      </c>
      <c r="K230" s="15" t="s">
        <v>46</v>
      </c>
      <c r="L230" s="15" t="s">
        <v>189</v>
      </c>
      <c r="M230" s="15">
        <v>18</v>
      </c>
      <c r="N230" s="15">
        <v>700</v>
      </c>
      <c r="O230" s="15">
        <v>20</v>
      </c>
      <c r="P230" s="15">
        <v>10080</v>
      </c>
      <c r="Q230" s="15">
        <v>1</v>
      </c>
      <c r="R230" s="15" t="s">
        <v>79</v>
      </c>
      <c r="S230" s="15" t="s">
        <v>151</v>
      </c>
      <c r="T230" s="15" t="s">
        <v>144</v>
      </c>
      <c r="U230" s="17" t="s">
        <v>1126</v>
      </c>
      <c r="V230" s="15" t="s">
        <v>38</v>
      </c>
      <c r="W230" t="str">
        <f t="shared" si="21"/>
        <v>Blacklisted</v>
      </c>
      <c r="X230" s="27" t="str">
        <f t="shared" si="22"/>
        <v>Priya Patel</v>
      </c>
      <c r="Y230" s="29" t="str">
        <f t="shared" si="23"/>
        <v>Pri00IDHy</v>
      </c>
      <c r="Z230" s="30" t="str">
        <f t="shared" si="24"/>
        <v>priya.patel@company.com</v>
      </c>
      <c r="AA230" s="32">
        <f t="shared" ca="1" si="25"/>
        <v>33</v>
      </c>
      <c r="AB230" s="33">
        <f t="shared" si="26"/>
        <v>3</v>
      </c>
      <c r="AC230" s="34" t="str">
        <f t="shared" si="27"/>
        <v>On Time</v>
      </c>
    </row>
    <row r="231" spans="1:29">
      <c r="A231" s="18" t="s">
        <v>1127</v>
      </c>
      <c r="B231" s="18" t="s">
        <v>71</v>
      </c>
      <c r="C231" s="18" t="s">
        <v>92</v>
      </c>
      <c r="D231" s="18" t="s">
        <v>1128</v>
      </c>
      <c r="E231" s="18" t="s">
        <v>110</v>
      </c>
      <c r="F231" s="18" t="s">
        <v>217</v>
      </c>
      <c r="G231" s="18" t="s">
        <v>76</v>
      </c>
      <c r="H231" s="18" t="s">
        <v>1129</v>
      </c>
      <c r="I231" s="18" t="s">
        <v>114</v>
      </c>
      <c r="J231" s="18" t="s">
        <v>106</v>
      </c>
      <c r="K231" s="18" t="s">
        <v>32</v>
      </c>
      <c r="L231" s="18" t="s">
        <v>97</v>
      </c>
      <c r="M231" s="18">
        <v>14</v>
      </c>
      <c r="N231" s="18">
        <v>3500</v>
      </c>
      <c r="O231" s="18">
        <v>5</v>
      </c>
      <c r="P231" s="18">
        <v>46550</v>
      </c>
      <c r="Q231" s="18">
        <v>1</v>
      </c>
      <c r="R231" s="18" t="s">
        <v>34</v>
      </c>
      <c r="S231" s="18" t="s">
        <v>61</v>
      </c>
      <c r="T231" s="18" t="s">
        <v>80</v>
      </c>
      <c r="U231" s="19" t="s">
        <v>1130</v>
      </c>
      <c r="V231" s="18" t="s">
        <v>38</v>
      </c>
      <c r="W231" t="str">
        <f t="shared" si="21"/>
        <v>Blacklisted</v>
      </c>
      <c r="X231" s="27" t="str">
        <f t="shared" si="22"/>
        <v>Mohit Verma</v>
      </c>
      <c r="Y231" s="29" t="str">
        <f t="shared" si="23"/>
        <v>Moh00IDPu</v>
      </c>
      <c r="Z231" s="30" t="str">
        <f t="shared" si="24"/>
        <v>mohit.verma@company.com</v>
      </c>
      <c r="AA231" s="32">
        <f t="shared" ca="1" si="25"/>
        <v>47</v>
      </c>
      <c r="AB231" s="33">
        <f t="shared" si="26"/>
        <v>7</v>
      </c>
      <c r="AC231" s="34" t="str">
        <f t="shared" si="27"/>
        <v>Delayed</v>
      </c>
    </row>
    <row r="232" spans="1:29">
      <c r="A232" s="15" t="s">
        <v>1131</v>
      </c>
      <c r="B232" s="15" t="s">
        <v>100</v>
      </c>
      <c r="C232" s="15" t="s">
        <v>184</v>
      </c>
      <c r="D232" s="15" t="s">
        <v>684</v>
      </c>
      <c r="E232" s="15" t="s">
        <v>318</v>
      </c>
      <c r="F232" s="15" t="s">
        <v>103</v>
      </c>
      <c r="G232" s="15" t="s">
        <v>28</v>
      </c>
      <c r="H232" s="15" t="s">
        <v>1132</v>
      </c>
      <c r="I232" s="15" t="s">
        <v>294</v>
      </c>
      <c r="J232" s="15" t="s">
        <v>295</v>
      </c>
      <c r="K232" s="15" t="s">
        <v>46</v>
      </c>
      <c r="L232" s="15" t="s">
        <v>189</v>
      </c>
      <c r="M232" s="15">
        <v>6</v>
      </c>
      <c r="N232" s="15">
        <v>700</v>
      </c>
      <c r="O232" s="15">
        <v>5</v>
      </c>
      <c r="P232" s="15">
        <v>3990</v>
      </c>
      <c r="Q232" s="15">
        <v>5</v>
      </c>
      <c r="R232" s="15" t="s">
        <v>34</v>
      </c>
      <c r="S232" s="15" t="s">
        <v>35</v>
      </c>
      <c r="T232" s="15" t="s">
        <v>144</v>
      </c>
      <c r="U232" s="17" t="s">
        <v>1133</v>
      </c>
      <c r="V232" s="15" t="s">
        <v>38</v>
      </c>
      <c r="W232" t="str">
        <f t="shared" si="21"/>
        <v>Silver</v>
      </c>
      <c r="X232" s="27" t="str">
        <f t="shared" si="22"/>
        <v>Priya Patel</v>
      </c>
      <c r="Y232" s="29" t="str">
        <f t="shared" si="23"/>
        <v>Pri00IDKo</v>
      </c>
      <c r="Z232" s="30" t="str">
        <f t="shared" si="24"/>
        <v>priya.patel@company.com</v>
      </c>
      <c r="AA232" s="32">
        <f t="shared" ca="1" si="25"/>
        <v>35</v>
      </c>
      <c r="AB232" s="33">
        <f t="shared" si="26"/>
        <v>2</v>
      </c>
      <c r="AC232" s="34" t="str">
        <f t="shared" si="27"/>
        <v>On Time</v>
      </c>
    </row>
    <row r="233" spans="1:29">
      <c r="A233" s="18" t="s">
        <v>1134</v>
      </c>
      <c r="B233" s="18" t="s">
        <v>100</v>
      </c>
      <c r="C233" s="18" t="s">
        <v>92</v>
      </c>
      <c r="D233" s="18" t="s">
        <v>679</v>
      </c>
      <c r="E233" s="18" t="s">
        <v>872</v>
      </c>
      <c r="F233" s="18" t="s">
        <v>103</v>
      </c>
      <c r="G233" s="18" t="s">
        <v>28</v>
      </c>
      <c r="H233" s="18" t="s">
        <v>1135</v>
      </c>
      <c r="I233" s="18" t="s">
        <v>105</v>
      </c>
      <c r="J233" s="18" t="s">
        <v>106</v>
      </c>
      <c r="K233" s="18" t="s">
        <v>32</v>
      </c>
      <c r="L233" s="18" t="s">
        <v>97</v>
      </c>
      <c r="M233" s="18">
        <v>17</v>
      </c>
      <c r="N233" s="18">
        <v>3500</v>
      </c>
      <c r="O233" s="18">
        <v>15</v>
      </c>
      <c r="P233" s="18">
        <v>50575</v>
      </c>
      <c r="Q233" s="18">
        <v>3</v>
      </c>
      <c r="R233" s="18" t="s">
        <v>48</v>
      </c>
      <c r="S233" s="18" t="s">
        <v>49</v>
      </c>
      <c r="T233" s="18" t="s">
        <v>144</v>
      </c>
      <c r="U233" s="19" t="s">
        <v>1136</v>
      </c>
      <c r="V233" s="18" t="s">
        <v>64</v>
      </c>
      <c r="W233" t="str">
        <f t="shared" si="21"/>
        <v>Blacklisted</v>
      </c>
      <c r="X233" s="27" t="str">
        <f t="shared" si="22"/>
        <v>Priya Patel</v>
      </c>
      <c r="Y233" s="29" t="str">
        <f t="shared" si="23"/>
        <v>Pri00IDMu</v>
      </c>
      <c r="Z233" s="30" t="str">
        <f t="shared" si="24"/>
        <v>priya.patel@company.com</v>
      </c>
      <c r="AA233" s="32">
        <f t="shared" ca="1" si="25"/>
        <v>22</v>
      </c>
      <c r="AB233" s="33">
        <f t="shared" si="26"/>
        <v>8</v>
      </c>
      <c r="AC233" s="34" t="str">
        <f t="shared" si="27"/>
        <v>Delayed</v>
      </c>
    </row>
    <row r="234" spans="1:29">
      <c r="A234" s="15" t="s">
        <v>1137</v>
      </c>
      <c r="B234" s="15" t="s">
        <v>251</v>
      </c>
      <c r="C234" s="15" t="s">
        <v>222</v>
      </c>
      <c r="D234" s="15" t="s">
        <v>253</v>
      </c>
      <c r="E234" s="15" t="s">
        <v>1128</v>
      </c>
      <c r="F234" s="15" t="s">
        <v>254</v>
      </c>
      <c r="G234" s="15" t="s">
        <v>28</v>
      </c>
      <c r="H234" s="15" t="s">
        <v>1138</v>
      </c>
      <c r="I234" s="15" t="s">
        <v>294</v>
      </c>
      <c r="J234" s="15" t="s">
        <v>295</v>
      </c>
      <c r="K234" s="15" t="s">
        <v>122</v>
      </c>
      <c r="L234" s="15" t="s">
        <v>227</v>
      </c>
      <c r="M234" s="15">
        <v>7</v>
      </c>
      <c r="N234" s="15">
        <v>20</v>
      </c>
      <c r="O234" s="15">
        <v>5</v>
      </c>
      <c r="P234" s="15">
        <v>133</v>
      </c>
      <c r="Q234" s="15">
        <v>2</v>
      </c>
      <c r="R234" s="15" t="s">
        <v>88</v>
      </c>
      <c r="S234" s="15" t="s">
        <v>151</v>
      </c>
      <c r="T234" s="15" t="s">
        <v>256</v>
      </c>
      <c r="U234" s="17" t="s">
        <v>1139</v>
      </c>
      <c r="V234" s="15" t="s">
        <v>38</v>
      </c>
      <c r="W234" t="str">
        <f t="shared" si="21"/>
        <v>Blacklisted</v>
      </c>
      <c r="X234" s="27" t="str">
        <f t="shared" si="22"/>
        <v>Sneha Joshi</v>
      </c>
      <c r="Y234" s="29" t="str">
        <f t="shared" si="23"/>
        <v>Sne00IDKo</v>
      </c>
      <c r="Z234" s="30" t="str">
        <f t="shared" si="24"/>
        <v>sneha.joshi@company.com</v>
      </c>
      <c r="AA234" s="32">
        <f t="shared" ca="1" si="25"/>
        <v>49</v>
      </c>
      <c r="AB234" s="33">
        <f t="shared" si="26"/>
        <v>8</v>
      </c>
      <c r="AC234" s="34" t="str">
        <f t="shared" si="27"/>
        <v>Delayed</v>
      </c>
    </row>
    <row r="235" spans="1:29">
      <c r="A235" s="18" t="s">
        <v>1140</v>
      </c>
      <c r="B235" s="18" t="s">
        <v>23</v>
      </c>
      <c r="C235" s="18" t="s">
        <v>24</v>
      </c>
      <c r="D235" s="18" t="s">
        <v>1141</v>
      </c>
      <c r="E235" s="18" t="s">
        <v>1142</v>
      </c>
      <c r="F235" s="18" t="s">
        <v>27</v>
      </c>
      <c r="G235" s="18" t="s">
        <v>28</v>
      </c>
      <c r="H235" s="18" t="s">
        <v>1143</v>
      </c>
      <c r="I235" s="18" t="s">
        <v>59</v>
      </c>
      <c r="J235" s="18" t="s">
        <v>31</v>
      </c>
      <c r="K235" s="18" t="s">
        <v>32</v>
      </c>
      <c r="L235" s="18" t="s">
        <v>33</v>
      </c>
      <c r="M235" s="18">
        <v>15</v>
      </c>
      <c r="N235" s="18">
        <v>2200</v>
      </c>
      <c r="O235" s="18">
        <v>20</v>
      </c>
      <c r="P235" s="18">
        <v>26400</v>
      </c>
      <c r="Q235" s="18">
        <v>2</v>
      </c>
      <c r="R235" s="18" t="s">
        <v>34</v>
      </c>
      <c r="S235" s="18" t="s">
        <v>61</v>
      </c>
      <c r="T235" s="18" t="s">
        <v>50</v>
      </c>
      <c r="U235" s="19" t="s">
        <v>1144</v>
      </c>
      <c r="V235" s="18" t="s">
        <v>38</v>
      </c>
      <c r="W235" t="str">
        <f t="shared" si="21"/>
        <v>Blacklisted</v>
      </c>
      <c r="X235" s="27" t="str">
        <f t="shared" si="22"/>
        <v>Kavya Nair</v>
      </c>
      <c r="Y235" s="29" t="str">
        <f t="shared" si="23"/>
        <v>Kav00IDBe</v>
      </c>
      <c r="Z235" s="30" t="str">
        <f t="shared" si="24"/>
        <v>kavya.nair@company.com</v>
      </c>
      <c r="AA235" s="32">
        <f t="shared" ca="1" si="25"/>
        <v>32</v>
      </c>
      <c r="AB235" s="33">
        <f t="shared" si="26"/>
        <v>12</v>
      </c>
      <c r="AC235" s="34" t="str">
        <f t="shared" si="27"/>
        <v>Delayed</v>
      </c>
    </row>
    <row r="236" spans="1:29">
      <c r="A236" s="15" t="s">
        <v>1145</v>
      </c>
      <c r="B236" s="15" t="s">
        <v>71</v>
      </c>
      <c r="C236" s="15" t="s">
        <v>222</v>
      </c>
      <c r="D236" s="15" t="s">
        <v>736</v>
      </c>
      <c r="E236" s="15" t="s">
        <v>94</v>
      </c>
      <c r="F236" s="15" t="s">
        <v>217</v>
      </c>
      <c r="G236" s="15" t="s">
        <v>76</v>
      </c>
      <c r="H236" s="15" t="s">
        <v>1146</v>
      </c>
      <c r="I236" s="15" t="s">
        <v>105</v>
      </c>
      <c r="J236" s="15" t="s">
        <v>106</v>
      </c>
      <c r="K236" s="15" t="s">
        <v>122</v>
      </c>
      <c r="L236" s="15" t="s">
        <v>227</v>
      </c>
      <c r="M236" s="15">
        <v>5</v>
      </c>
      <c r="N236" s="15">
        <v>20</v>
      </c>
      <c r="O236" s="15">
        <v>0</v>
      </c>
      <c r="P236" s="15">
        <v>100</v>
      </c>
      <c r="Q236" s="15">
        <v>3</v>
      </c>
      <c r="R236" s="15" t="s">
        <v>34</v>
      </c>
      <c r="S236" s="15" t="s">
        <v>151</v>
      </c>
      <c r="T236" s="15" t="s">
        <v>80</v>
      </c>
      <c r="U236" s="17" t="s">
        <v>1147</v>
      </c>
      <c r="V236" s="15" t="s">
        <v>38</v>
      </c>
      <c r="W236" t="str">
        <f t="shared" si="21"/>
        <v>Silver</v>
      </c>
      <c r="X236" s="27" t="str">
        <f t="shared" si="22"/>
        <v>Mohit Verma</v>
      </c>
      <c r="Y236" s="29" t="str">
        <f t="shared" si="23"/>
        <v>Moh00IDMu</v>
      </c>
      <c r="Z236" s="30" t="str">
        <f t="shared" si="24"/>
        <v>mohit.verma@company.com</v>
      </c>
      <c r="AA236" s="32">
        <f t="shared" ca="1" si="25"/>
        <v>46</v>
      </c>
      <c r="AB236" s="33">
        <f t="shared" si="26"/>
        <v>8</v>
      </c>
      <c r="AC236" s="34" t="str">
        <f t="shared" si="27"/>
        <v>Delayed</v>
      </c>
    </row>
    <row r="237" spans="1:29">
      <c r="A237" s="18" t="s">
        <v>1148</v>
      </c>
      <c r="B237" s="18" t="s">
        <v>127</v>
      </c>
      <c r="C237" s="18" t="s">
        <v>40</v>
      </c>
      <c r="D237" s="18" t="s">
        <v>1149</v>
      </c>
      <c r="E237" s="18" t="s">
        <v>779</v>
      </c>
      <c r="F237" s="18" t="s">
        <v>200</v>
      </c>
      <c r="G237" s="18" t="s">
        <v>76</v>
      </c>
      <c r="H237" s="18" t="s">
        <v>1150</v>
      </c>
      <c r="I237" s="18" t="s">
        <v>44</v>
      </c>
      <c r="J237" s="18" t="s">
        <v>45</v>
      </c>
      <c r="K237" s="18" t="s">
        <v>46</v>
      </c>
      <c r="L237" s="18" t="s">
        <v>47</v>
      </c>
      <c r="M237" s="18">
        <v>8</v>
      </c>
      <c r="N237" s="18">
        <v>12000</v>
      </c>
      <c r="O237" s="18">
        <v>20</v>
      </c>
      <c r="P237" s="18">
        <v>76800</v>
      </c>
      <c r="Q237" s="18">
        <v>3</v>
      </c>
      <c r="R237" s="18" t="s">
        <v>79</v>
      </c>
      <c r="S237" s="18" t="s">
        <v>61</v>
      </c>
      <c r="T237" s="18" t="s">
        <v>132</v>
      </c>
      <c r="U237" s="19" t="s">
        <v>1151</v>
      </c>
      <c r="V237" s="18" t="s">
        <v>64</v>
      </c>
      <c r="W237" t="str">
        <f t="shared" si="21"/>
        <v>Blacklisted</v>
      </c>
      <c r="X237" s="27" t="str">
        <f t="shared" si="22"/>
        <v>Rohit Singh</v>
      </c>
      <c r="Y237" s="29" t="str">
        <f t="shared" si="23"/>
        <v>Roh00IDDe</v>
      </c>
      <c r="Z237" s="30" t="str">
        <f t="shared" si="24"/>
        <v>rohit.singh@company.com</v>
      </c>
      <c r="AA237" s="32">
        <f t="shared" ca="1" si="25"/>
        <v>31</v>
      </c>
      <c r="AB237" s="33">
        <f t="shared" si="26"/>
        <v>5</v>
      </c>
      <c r="AC237" s="34" t="str">
        <f t="shared" si="27"/>
        <v>On Time</v>
      </c>
    </row>
    <row r="238" spans="1:29">
      <c r="A238" s="15" t="s">
        <v>1152</v>
      </c>
      <c r="B238" s="15" t="s">
        <v>127</v>
      </c>
      <c r="C238" s="15" t="s">
        <v>92</v>
      </c>
      <c r="D238" s="15" t="s">
        <v>1153</v>
      </c>
      <c r="E238" s="15" t="s">
        <v>987</v>
      </c>
      <c r="F238" s="15" t="s">
        <v>200</v>
      </c>
      <c r="G238" s="15" t="s">
        <v>76</v>
      </c>
      <c r="H238" s="15" t="s">
        <v>1154</v>
      </c>
      <c r="I238" s="15" t="s">
        <v>105</v>
      </c>
      <c r="J238" s="15" t="s">
        <v>106</v>
      </c>
      <c r="K238" s="15" t="s">
        <v>32</v>
      </c>
      <c r="L238" s="15" t="s">
        <v>97</v>
      </c>
      <c r="M238" s="15">
        <v>4</v>
      </c>
      <c r="N238" s="15">
        <v>3500</v>
      </c>
      <c r="O238" s="15">
        <v>20</v>
      </c>
      <c r="P238" s="15">
        <v>11200</v>
      </c>
      <c r="Q238" s="15">
        <v>1</v>
      </c>
      <c r="R238" s="15" t="s">
        <v>79</v>
      </c>
      <c r="S238" s="15" t="s">
        <v>115</v>
      </c>
      <c r="T238" s="15" t="s">
        <v>132</v>
      </c>
      <c r="U238" s="17" t="s">
        <v>1155</v>
      </c>
      <c r="V238" s="15" t="s">
        <v>38</v>
      </c>
      <c r="W238" t="str">
        <f t="shared" si="21"/>
        <v>Blacklisted</v>
      </c>
      <c r="X238" s="27" t="str">
        <f t="shared" si="22"/>
        <v>Rohit Singh</v>
      </c>
      <c r="Y238" s="29" t="str">
        <f t="shared" si="23"/>
        <v>Roh00IDMu</v>
      </c>
      <c r="Z238" s="30" t="str">
        <f t="shared" si="24"/>
        <v>rohit.singh@company.com</v>
      </c>
      <c r="AA238" s="32">
        <f t="shared" ca="1" si="25"/>
        <v>28</v>
      </c>
      <c r="AB238" s="33">
        <f t="shared" si="26"/>
        <v>8</v>
      </c>
      <c r="AC238" s="34" t="str">
        <f t="shared" si="27"/>
        <v>Delayed</v>
      </c>
    </row>
    <row r="239" spans="1:29">
      <c r="A239" s="18" t="s">
        <v>1156</v>
      </c>
      <c r="B239" s="18" t="s">
        <v>221</v>
      </c>
      <c r="C239" s="18" t="s">
        <v>259</v>
      </c>
      <c r="D239" s="18" t="s">
        <v>628</v>
      </c>
      <c r="E239" s="18" t="s">
        <v>1157</v>
      </c>
      <c r="F239" s="18" t="s">
        <v>225</v>
      </c>
      <c r="G239" s="18" t="s">
        <v>76</v>
      </c>
      <c r="H239" s="18" t="s">
        <v>1158</v>
      </c>
      <c r="I239" s="18" t="s">
        <v>30</v>
      </c>
      <c r="J239" s="18" t="s">
        <v>31</v>
      </c>
      <c r="K239" s="18" t="s">
        <v>122</v>
      </c>
      <c r="L239" s="18" t="s">
        <v>263</v>
      </c>
      <c r="M239" s="18">
        <v>19</v>
      </c>
      <c r="N239" s="18">
        <v>45</v>
      </c>
      <c r="O239" s="18">
        <v>10</v>
      </c>
      <c r="P239" s="18">
        <v>769.5</v>
      </c>
      <c r="Q239" s="18">
        <v>1</v>
      </c>
      <c r="R239" s="18" t="s">
        <v>34</v>
      </c>
      <c r="S239" s="18" t="s">
        <v>115</v>
      </c>
      <c r="T239" s="18" t="s">
        <v>228</v>
      </c>
      <c r="U239" s="19" t="s">
        <v>1159</v>
      </c>
      <c r="V239" s="18" t="s">
        <v>38</v>
      </c>
      <c r="W239" t="str">
        <f t="shared" si="21"/>
        <v>Blacklisted</v>
      </c>
      <c r="X239" s="27" t="str">
        <f t="shared" si="22"/>
        <v>Vikas Mehta</v>
      </c>
      <c r="Y239" s="29" t="str">
        <f t="shared" si="23"/>
        <v>Vik00IDHy</v>
      </c>
      <c r="Z239" s="30" t="str">
        <f t="shared" si="24"/>
        <v>vikas.mehta@company.com</v>
      </c>
      <c r="AA239" s="32">
        <f t="shared" ca="1" si="25"/>
        <v>43</v>
      </c>
      <c r="AB239" s="33">
        <f t="shared" si="26"/>
        <v>7</v>
      </c>
      <c r="AC239" s="34" t="str">
        <f t="shared" si="27"/>
        <v>Delayed</v>
      </c>
    </row>
    <row r="240" spans="1:29">
      <c r="A240" s="15" t="s">
        <v>1160</v>
      </c>
      <c r="B240" s="15" t="s">
        <v>53</v>
      </c>
      <c r="C240" s="15" t="s">
        <v>259</v>
      </c>
      <c r="D240" s="15" t="s">
        <v>588</v>
      </c>
      <c r="E240" s="15" t="s">
        <v>1161</v>
      </c>
      <c r="F240" s="15" t="s">
        <v>163</v>
      </c>
      <c r="G240" s="15" t="s">
        <v>28</v>
      </c>
      <c r="H240" s="15" t="s">
        <v>1162</v>
      </c>
      <c r="I240" s="15" t="s">
        <v>114</v>
      </c>
      <c r="J240" s="15" t="s">
        <v>106</v>
      </c>
      <c r="K240" s="15" t="s">
        <v>122</v>
      </c>
      <c r="L240" s="15" t="s">
        <v>263</v>
      </c>
      <c r="M240" s="15">
        <v>10</v>
      </c>
      <c r="N240" s="15">
        <v>45</v>
      </c>
      <c r="O240" s="15">
        <v>0</v>
      </c>
      <c r="P240" s="15">
        <v>450</v>
      </c>
      <c r="Q240" s="15">
        <v>4</v>
      </c>
      <c r="R240" s="15" t="s">
        <v>88</v>
      </c>
      <c r="S240" s="15" t="s">
        <v>61</v>
      </c>
      <c r="T240" s="15" t="s">
        <v>62</v>
      </c>
      <c r="U240" s="17" t="s">
        <v>1163</v>
      </c>
      <c r="V240" s="15" t="s">
        <v>38</v>
      </c>
      <c r="W240" t="str">
        <f t="shared" si="21"/>
        <v>Silver</v>
      </c>
      <c r="X240" s="27" t="str">
        <f t="shared" si="22"/>
        <v>Pooja Shah</v>
      </c>
      <c r="Y240" s="29" t="str">
        <f t="shared" si="23"/>
        <v>Poo01IDPu</v>
      </c>
      <c r="Z240" s="30" t="str">
        <f t="shared" si="24"/>
        <v>pooja.shah@company.com</v>
      </c>
      <c r="AA240" s="32">
        <f t="shared" ca="1" si="25"/>
        <v>48</v>
      </c>
      <c r="AB240" s="33">
        <f t="shared" si="26"/>
        <v>10</v>
      </c>
      <c r="AC240" s="34" t="str">
        <f t="shared" si="27"/>
        <v>Delayed</v>
      </c>
    </row>
    <row r="241" spans="1:29">
      <c r="A241" s="18" t="s">
        <v>1164</v>
      </c>
      <c r="B241" s="18" t="s">
        <v>53</v>
      </c>
      <c r="C241" s="18" t="s">
        <v>259</v>
      </c>
      <c r="D241" s="18" t="s">
        <v>1165</v>
      </c>
      <c r="E241" s="18" t="s">
        <v>1039</v>
      </c>
      <c r="F241" s="18" t="s">
        <v>163</v>
      </c>
      <c r="G241" s="18" t="s">
        <v>28</v>
      </c>
      <c r="H241" s="18" t="s">
        <v>1166</v>
      </c>
      <c r="I241" s="18" t="s">
        <v>30</v>
      </c>
      <c r="J241" s="18" t="s">
        <v>31</v>
      </c>
      <c r="K241" s="18" t="s">
        <v>122</v>
      </c>
      <c r="L241" s="18" t="s">
        <v>263</v>
      </c>
      <c r="M241" s="18">
        <v>16</v>
      </c>
      <c r="N241" s="18">
        <v>45</v>
      </c>
      <c r="O241" s="18">
        <v>15</v>
      </c>
      <c r="P241" s="18">
        <v>612</v>
      </c>
      <c r="Q241" s="18">
        <v>3</v>
      </c>
      <c r="R241" s="18" t="s">
        <v>34</v>
      </c>
      <c r="S241" s="18" t="s">
        <v>115</v>
      </c>
      <c r="T241" s="18" t="s">
        <v>62</v>
      </c>
      <c r="U241" s="19" t="s">
        <v>1167</v>
      </c>
      <c r="V241" s="18" t="s">
        <v>69</v>
      </c>
      <c r="W241" t="str">
        <f t="shared" si="21"/>
        <v>Blacklisted</v>
      </c>
      <c r="X241" s="27" t="str">
        <f t="shared" si="22"/>
        <v>Pooja Shah</v>
      </c>
      <c r="Y241" s="29" t="str">
        <f t="shared" si="23"/>
        <v>Poo01IDHy</v>
      </c>
      <c r="Z241" s="30" t="str">
        <f t="shared" si="24"/>
        <v>pooja.shah@company.com</v>
      </c>
      <c r="AA241" s="32">
        <f t="shared" ca="1" si="25"/>
        <v>29</v>
      </c>
      <c r="AB241" s="33">
        <f t="shared" si="26"/>
        <v>9</v>
      </c>
      <c r="AC241" s="34" t="str">
        <f t="shared" si="27"/>
        <v>Delayed</v>
      </c>
    </row>
    <row r="242" spans="1:29">
      <c r="A242" s="15" t="s">
        <v>1168</v>
      </c>
      <c r="B242" s="15" t="s">
        <v>168</v>
      </c>
      <c r="C242" s="15" t="s">
        <v>169</v>
      </c>
      <c r="D242" s="15" t="s">
        <v>119</v>
      </c>
      <c r="E242" s="15" t="s">
        <v>120</v>
      </c>
      <c r="F242" s="15" t="s">
        <v>361</v>
      </c>
      <c r="G242" s="15" t="s">
        <v>28</v>
      </c>
      <c r="H242" s="15" t="s">
        <v>1169</v>
      </c>
      <c r="I242" s="15" t="s">
        <v>114</v>
      </c>
      <c r="J242" s="15" t="s">
        <v>106</v>
      </c>
      <c r="K242" s="15" t="s">
        <v>32</v>
      </c>
      <c r="L242" s="15" t="s">
        <v>174</v>
      </c>
      <c r="M242" s="15">
        <v>16</v>
      </c>
      <c r="N242" s="15">
        <v>8500</v>
      </c>
      <c r="O242" s="15">
        <v>15</v>
      </c>
      <c r="P242" s="15">
        <v>115600</v>
      </c>
      <c r="Q242" s="15">
        <v>4</v>
      </c>
      <c r="R242" s="15" t="s">
        <v>48</v>
      </c>
      <c r="S242" s="15" t="s">
        <v>35</v>
      </c>
      <c r="T242" s="15" t="s">
        <v>175</v>
      </c>
      <c r="U242" s="17" t="s">
        <v>1170</v>
      </c>
      <c r="V242" s="15" t="s">
        <v>69</v>
      </c>
      <c r="W242" t="str">
        <f t="shared" si="21"/>
        <v>Blacklisted</v>
      </c>
      <c r="X242" s="27" t="str">
        <f t="shared" si="22"/>
        <v>Anita Gupta</v>
      </c>
      <c r="Y242" s="29" t="str">
        <f t="shared" si="23"/>
        <v>Ani00IDPu</v>
      </c>
      <c r="Z242" s="30" t="str">
        <f t="shared" si="24"/>
        <v>anita.gupta@company.com</v>
      </c>
      <c r="AA242" s="32">
        <f t="shared" ca="1" si="25"/>
        <v>50</v>
      </c>
      <c r="AB242" s="33">
        <f t="shared" si="26"/>
        <v>2</v>
      </c>
      <c r="AC242" s="34" t="str">
        <f t="shared" si="27"/>
        <v>On Time</v>
      </c>
    </row>
    <row r="243" spans="1:29">
      <c r="A243" s="18" t="s">
        <v>1171</v>
      </c>
      <c r="B243" s="18" t="s">
        <v>168</v>
      </c>
      <c r="C243" s="18" t="s">
        <v>222</v>
      </c>
      <c r="D243" s="18" t="s">
        <v>445</v>
      </c>
      <c r="E243" s="18" t="s">
        <v>1172</v>
      </c>
      <c r="F243" s="18" t="s">
        <v>361</v>
      </c>
      <c r="G243" s="18" t="s">
        <v>28</v>
      </c>
      <c r="H243" s="18" t="s">
        <v>1173</v>
      </c>
      <c r="I243" s="18" t="s">
        <v>294</v>
      </c>
      <c r="J243" s="18" t="s">
        <v>295</v>
      </c>
      <c r="K243" s="18" t="s">
        <v>122</v>
      </c>
      <c r="L243" s="18" t="s">
        <v>227</v>
      </c>
      <c r="M243" s="18">
        <v>15</v>
      </c>
      <c r="N243" s="18">
        <v>20</v>
      </c>
      <c r="O243" s="18">
        <v>20</v>
      </c>
      <c r="P243" s="18">
        <v>240</v>
      </c>
      <c r="Q243" s="18">
        <v>3</v>
      </c>
      <c r="R243" s="18" t="s">
        <v>48</v>
      </c>
      <c r="S243" s="18" t="s">
        <v>49</v>
      </c>
      <c r="T243" s="18" t="s">
        <v>175</v>
      </c>
      <c r="U243" s="19" t="s">
        <v>1174</v>
      </c>
      <c r="V243" s="18" t="s">
        <v>69</v>
      </c>
      <c r="W243" t="str">
        <f t="shared" si="21"/>
        <v>Blacklisted</v>
      </c>
      <c r="X243" s="27" t="str">
        <f t="shared" si="22"/>
        <v>Anita Gupta</v>
      </c>
      <c r="Y243" s="29" t="str">
        <f t="shared" si="23"/>
        <v>Ani00IDKo</v>
      </c>
      <c r="Z243" s="30" t="str">
        <f t="shared" si="24"/>
        <v>anita.gupta@company.com</v>
      </c>
      <c r="AA243" s="32">
        <f t="shared" ca="1" si="25"/>
        <v>30</v>
      </c>
      <c r="AB243" s="33">
        <f t="shared" si="26"/>
        <v>11</v>
      </c>
      <c r="AC243" s="34" t="str">
        <f t="shared" si="27"/>
        <v>Delayed</v>
      </c>
    </row>
    <row r="244" spans="1:29">
      <c r="A244" s="15" t="s">
        <v>1175</v>
      </c>
      <c r="B244" s="15" t="s">
        <v>83</v>
      </c>
      <c r="C244" s="15" t="s">
        <v>118</v>
      </c>
      <c r="D244" s="15" t="s">
        <v>440</v>
      </c>
      <c r="E244" s="15" t="s">
        <v>1176</v>
      </c>
      <c r="F244" s="15" t="s">
        <v>180</v>
      </c>
      <c r="G244" s="15" t="s">
        <v>76</v>
      </c>
      <c r="H244" s="15" t="s">
        <v>1177</v>
      </c>
      <c r="I244" s="15" t="s">
        <v>59</v>
      </c>
      <c r="J244" s="15" t="s">
        <v>31</v>
      </c>
      <c r="K244" s="15" t="s">
        <v>122</v>
      </c>
      <c r="L244" s="15" t="s">
        <v>123</v>
      </c>
      <c r="M244" s="15">
        <v>14</v>
      </c>
      <c r="N244" s="15">
        <v>60</v>
      </c>
      <c r="O244" s="15">
        <v>5</v>
      </c>
      <c r="P244" s="15">
        <v>798</v>
      </c>
      <c r="Q244" s="15">
        <v>4</v>
      </c>
      <c r="R244" s="15" t="s">
        <v>34</v>
      </c>
      <c r="S244" s="15" t="s">
        <v>49</v>
      </c>
      <c r="T244" s="15" t="s">
        <v>89</v>
      </c>
      <c r="U244" s="17" t="s">
        <v>1178</v>
      </c>
      <c r="V244" s="15" t="s">
        <v>38</v>
      </c>
      <c r="W244" t="str">
        <f t="shared" si="21"/>
        <v>Silver</v>
      </c>
      <c r="X244" s="27" t="str">
        <f t="shared" si="22"/>
        <v>Arjun Rao</v>
      </c>
      <c r="Y244" s="29" t="str">
        <f t="shared" si="23"/>
        <v>Arj00IDBe</v>
      </c>
      <c r="Z244" s="30" t="str">
        <f t="shared" si="24"/>
        <v>arjun.rao@company.com</v>
      </c>
      <c r="AA244" s="32">
        <f t="shared" ca="1" si="25"/>
        <v>24</v>
      </c>
      <c r="AB244" s="33">
        <f t="shared" si="26"/>
        <v>4</v>
      </c>
      <c r="AC244" s="34" t="str">
        <f t="shared" si="27"/>
        <v>On Time</v>
      </c>
    </row>
    <row r="245" spans="1:29">
      <c r="A245" s="18" t="s">
        <v>1179</v>
      </c>
      <c r="B245" s="18" t="s">
        <v>53</v>
      </c>
      <c r="C245" s="18" t="s">
        <v>72</v>
      </c>
      <c r="D245" s="18" t="s">
        <v>1180</v>
      </c>
      <c r="E245" s="18" t="s">
        <v>1181</v>
      </c>
      <c r="F245" s="18" t="s">
        <v>163</v>
      </c>
      <c r="G245" s="18" t="s">
        <v>28</v>
      </c>
      <c r="H245" s="18" t="s">
        <v>1182</v>
      </c>
      <c r="I245" s="18" t="s">
        <v>105</v>
      </c>
      <c r="J245" s="18" t="s">
        <v>106</v>
      </c>
      <c r="K245" s="18" t="s">
        <v>46</v>
      </c>
      <c r="L245" s="18" t="s">
        <v>78</v>
      </c>
      <c r="M245" s="18">
        <v>19</v>
      </c>
      <c r="N245" s="18">
        <v>1200</v>
      </c>
      <c r="O245" s="18">
        <v>20</v>
      </c>
      <c r="P245" s="18">
        <v>18240</v>
      </c>
      <c r="Q245" s="18">
        <v>2</v>
      </c>
      <c r="R245" s="18" t="s">
        <v>34</v>
      </c>
      <c r="S245" s="18" t="s">
        <v>115</v>
      </c>
      <c r="T245" s="18" t="s">
        <v>62</v>
      </c>
      <c r="U245" s="19" t="s">
        <v>1183</v>
      </c>
      <c r="V245" s="18" t="s">
        <v>69</v>
      </c>
      <c r="W245" t="str">
        <f t="shared" si="21"/>
        <v>Blacklisted</v>
      </c>
      <c r="X245" s="27" t="str">
        <f t="shared" si="22"/>
        <v>Pooja Shah</v>
      </c>
      <c r="Y245" s="29" t="str">
        <f t="shared" si="23"/>
        <v>Poo01IDMu</v>
      </c>
      <c r="Z245" s="30" t="str">
        <f t="shared" si="24"/>
        <v>pooja.shah@company.com</v>
      </c>
      <c r="AA245" s="32">
        <f t="shared" ca="1" si="25"/>
        <v>31</v>
      </c>
      <c r="AB245" s="33">
        <f t="shared" si="26"/>
        <v>3</v>
      </c>
      <c r="AC245" s="34" t="str">
        <f t="shared" si="27"/>
        <v>On Time</v>
      </c>
    </row>
    <row r="246" spans="1:29">
      <c r="A246" s="15" t="s">
        <v>1184</v>
      </c>
      <c r="B246" s="15" t="s">
        <v>23</v>
      </c>
      <c r="C246" s="15" t="s">
        <v>259</v>
      </c>
      <c r="D246" s="15" t="s">
        <v>340</v>
      </c>
      <c r="E246" s="15" t="s">
        <v>346</v>
      </c>
      <c r="F246" s="15" t="s">
        <v>27</v>
      </c>
      <c r="G246" s="15" t="s">
        <v>28</v>
      </c>
      <c r="H246" s="15" t="s">
        <v>1185</v>
      </c>
      <c r="I246" s="15" t="s">
        <v>59</v>
      </c>
      <c r="J246" s="15" t="s">
        <v>31</v>
      </c>
      <c r="K246" s="15" t="s">
        <v>122</v>
      </c>
      <c r="L246" s="15" t="s">
        <v>263</v>
      </c>
      <c r="M246" s="15">
        <v>5</v>
      </c>
      <c r="N246" s="15">
        <v>45</v>
      </c>
      <c r="O246" s="15">
        <v>15</v>
      </c>
      <c r="P246" s="15">
        <v>191.25</v>
      </c>
      <c r="Q246" s="15">
        <v>2</v>
      </c>
      <c r="R246" s="15" t="s">
        <v>34</v>
      </c>
      <c r="S246" s="15" t="s">
        <v>61</v>
      </c>
      <c r="T246" s="15" t="s">
        <v>50</v>
      </c>
      <c r="U246" s="17" t="s">
        <v>1186</v>
      </c>
      <c r="V246" s="15" t="s">
        <v>69</v>
      </c>
      <c r="W246" t="str">
        <f t="shared" si="21"/>
        <v>Blacklisted</v>
      </c>
      <c r="X246" s="27" t="str">
        <f t="shared" si="22"/>
        <v>Kavya Nair</v>
      </c>
      <c r="Y246" s="29" t="str">
        <f t="shared" si="23"/>
        <v>Kav00IDBe</v>
      </c>
      <c r="Z246" s="30" t="str">
        <f t="shared" si="24"/>
        <v>kavya.nair@company.com</v>
      </c>
      <c r="AA246" s="32">
        <f t="shared" ca="1" si="25"/>
        <v>26</v>
      </c>
      <c r="AB246" s="33">
        <f t="shared" si="26"/>
        <v>1</v>
      </c>
      <c r="AC246" s="34" t="str">
        <f t="shared" si="27"/>
        <v>On Time</v>
      </c>
    </row>
    <row r="247" spans="1:29">
      <c r="A247" s="18" t="s">
        <v>1187</v>
      </c>
      <c r="B247" s="18" t="s">
        <v>327</v>
      </c>
      <c r="C247" s="18" t="s">
        <v>184</v>
      </c>
      <c r="D247" s="18" t="s">
        <v>237</v>
      </c>
      <c r="E247" s="18" t="s">
        <v>1188</v>
      </c>
      <c r="F247" s="18" t="s">
        <v>394</v>
      </c>
      <c r="G247" s="18" t="s">
        <v>76</v>
      </c>
      <c r="H247" s="18" t="s">
        <v>1189</v>
      </c>
      <c r="I247" s="18" t="s">
        <v>30</v>
      </c>
      <c r="J247" s="18" t="s">
        <v>31</v>
      </c>
      <c r="K247" s="18" t="s">
        <v>46</v>
      </c>
      <c r="L247" s="18" t="s">
        <v>189</v>
      </c>
      <c r="M247" s="18">
        <v>19</v>
      </c>
      <c r="N247" s="18">
        <v>700</v>
      </c>
      <c r="O247" s="18">
        <v>5</v>
      </c>
      <c r="P247" s="18">
        <v>12635</v>
      </c>
      <c r="Q247" s="18">
        <v>5</v>
      </c>
      <c r="R247" s="18" t="s">
        <v>88</v>
      </c>
      <c r="S247" s="18" t="s">
        <v>151</v>
      </c>
      <c r="T247" s="18" t="s">
        <v>332</v>
      </c>
      <c r="U247" s="19" t="s">
        <v>1190</v>
      </c>
      <c r="V247" s="18" t="s">
        <v>38</v>
      </c>
      <c r="W247" t="str">
        <f t="shared" si="21"/>
        <v>Silver</v>
      </c>
      <c r="X247" s="27" t="str">
        <f t="shared" si="22"/>
        <v>Amit Sharma</v>
      </c>
      <c r="Y247" s="29" t="str">
        <f t="shared" si="23"/>
        <v>Ami00IDHy</v>
      </c>
      <c r="Z247" s="30" t="str">
        <f t="shared" si="24"/>
        <v>amit.sharma@company.com</v>
      </c>
      <c r="AA247" s="32">
        <f t="shared" ca="1" si="25"/>
        <v>24</v>
      </c>
      <c r="AB247" s="33">
        <f t="shared" si="26"/>
        <v>7</v>
      </c>
      <c r="AC247" s="34" t="str">
        <f t="shared" si="27"/>
        <v>Delayed</v>
      </c>
    </row>
    <row r="248" spans="1:29">
      <c r="A248" s="15" t="s">
        <v>1191</v>
      </c>
      <c r="B248" s="15" t="s">
        <v>127</v>
      </c>
      <c r="C248" s="15" t="s">
        <v>118</v>
      </c>
      <c r="D248" s="15" t="s">
        <v>464</v>
      </c>
      <c r="E248" s="15" t="s">
        <v>84</v>
      </c>
      <c r="F248" s="15" t="s">
        <v>200</v>
      </c>
      <c r="G248" s="15" t="s">
        <v>76</v>
      </c>
      <c r="H248" s="15" t="s">
        <v>1192</v>
      </c>
      <c r="I248" s="15" t="s">
        <v>294</v>
      </c>
      <c r="J248" s="15" t="s">
        <v>295</v>
      </c>
      <c r="K248" s="15" t="s">
        <v>122</v>
      </c>
      <c r="L248" s="15" t="s">
        <v>123</v>
      </c>
      <c r="M248" s="15">
        <v>7</v>
      </c>
      <c r="N248" s="15">
        <v>60</v>
      </c>
      <c r="O248" s="15">
        <v>0</v>
      </c>
      <c r="P248" s="15">
        <v>420</v>
      </c>
      <c r="Q248" s="15">
        <v>4</v>
      </c>
      <c r="R248" s="15" t="s">
        <v>34</v>
      </c>
      <c r="S248" s="15" t="s">
        <v>115</v>
      </c>
      <c r="T248" s="15" t="s">
        <v>132</v>
      </c>
      <c r="U248" s="17" t="s">
        <v>1193</v>
      </c>
      <c r="V248" s="15" t="s">
        <v>64</v>
      </c>
      <c r="W248" t="str">
        <f t="shared" si="21"/>
        <v>Blacklisted</v>
      </c>
      <c r="X248" s="27" t="str">
        <f t="shared" si="22"/>
        <v>Rohit Singh</v>
      </c>
      <c r="Y248" s="29" t="str">
        <f t="shared" si="23"/>
        <v>Roh00IDKo</v>
      </c>
      <c r="Z248" s="30" t="str">
        <f t="shared" si="24"/>
        <v>rohit.singh@company.com</v>
      </c>
      <c r="AA248" s="32">
        <f t="shared" ca="1" si="25"/>
        <v>51</v>
      </c>
      <c r="AB248" s="33">
        <f t="shared" si="26"/>
        <v>1</v>
      </c>
      <c r="AC248" s="34" t="str">
        <f t="shared" si="27"/>
        <v>On Time</v>
      </c>
    </row>
    <row r="249" spans="1:29">
      <c r="A249" s="18" t="s">
        <v>1194</v>
      </c>
      <c r="B249" s="18" t="s">
        <v>71</v>
      </c>
      <c r="C249" s="18" t="s">
        <v>24</v>
      </c>
      <c r="D249" s="18" t="s">
        <v>215</v>
      </c>
      <c r="E249" s="18" t="s">
        <v>711</v>
      </c>
      <c r="F249" s="18" t="s">
        <v>217</v>
      </c>
      <c r="G249" s="18" t="s">
        <v>76</v>
      </c>
      <c r="H249" s="18" t="s">
        <v>1195</v>
      </c>
      <c r="I249" s="18" t="s">
        <v>105</v>
      </c>
      <c r="J249" s="18" t="s">
        <v>106</v>
      </c>
      <c r="K249" s="18" t="s">
        <v>32</v>
      </c>
      <c r="L249" s="18" t="s">
        <v>33</v>
      </c>
      <c r="M249" s="18">
        <v>13</v>
      </c>
      <c r="N249" s="18">
        <v>2200</v>
      </c>
      <c r="O249" s="18">
        <v>10</v>
      </c>
      <c r="P249" s="18">
        <v>25740</v>
      </c>
      <c r="Q249" s="18">
        <v>1</v>
      </c>
      <c r="R249" s="18" t="s">
        <v>79</v>
      </c>
      <c r="S249" s="18" t="s">
        <v>151</v>
      </c>
      <c r="T249" s="18" t="s">
        <v>80</v>
      </c>
      <c r="U249" s="19" t="s">
        <v>1196</v>
      </c>
      <c r="V249" s="18" t="s">
        <v>38</v>
      </c>
      <c r="W249" t="str">
        <f t="shared" si="21"/>
        <v>Blacklisted</v>
      </c>
      <c r="X249" s="27" t="str">
        <f t="shared" si="22"/>
        <v>Mohit Verma</v>
      </c>
      <c r="Y249" s="29" t="str">
        <f t="shared" si="23"/>
        <v>Moh00IDMu</v>
      </c>
      <c r="Z249" s="30" t="str">
        <f t="shared" si="24"/>
        <v>mohit.verma@company.com</v>
      </c>
      <c r="AA249" s="32">
        <f t="shared" ca="1" si="25"/>
        <v>37</v>
      </c>
      <c r="AB249" s="33">
        <f t="shared" si="26"/>
        <v>11</v>
      </c>
      <c r="AC249" s="34" t="str">
        <f t="shared" si="27"/>
        <v>Delayed</v>
      </c>
    </row>
    <row r="250" spans="1:29">
      <c r="A250" s="15" t="s">
        <v>1197</v>
      </c>
      <c r="B250" s="15" t="s">
        <v>71</v>
      </c>
      <c r="C250" s="15" t="s">
        <v>24</v>
      </c>
      <c r="D250" s="15" t="s">
        <v>1198</v>
      </c>
      <c r="E250" s="15" t="s">
        <v>1199</v>
      </c>
      <c r="F250" s="15" t="s">
        <v>217</v>
      </c>
      <c r="G250" s="15" t="s">
        <v>76</v>
      </c>
      <c r="H250" s="15" t="s">
        <v>1200</v>
      </c>
      <c r="I250" s="15" t="s">
        <v>59</v>
      </c>
      <c r="J250" s="15" t="s">
        <v>31</v>
      </c>
      <c r="K250" s="15" t="s">
        <v>32</v>
      </c>
      <c r="L250" s="15" t="s">
        <v>33</v>
      </c>
      <c r="M250" s="15">
        <v>9</v>
      </c>
      <c r="N250" s="15">
        <v>2200</v>
      </c>
      <c r="O250" s="15">
        <v>10</v>
      </c>
      <c r="P250" s="15">
        <v>17820</v>
      </c>
      <c r="Q250" s="15">
        <v>2</v>
      </c>
      <c r="R250" s="15" t="s">
        <v>1201</v>
      </c>
      <c r="S250" s="15" t="s">
        <v>61</v>
      </c>
      <c r="T250" s="15" t="s">
        <v>80</v>
      </c>
      <c r="U250" s="17" t="s">
        <v>1202</v>
      </c>
      <c r="V250" s="15" t="s">
        <v>69</v>
      </c>
      <c r="W250" t="str">
        <f t="shared" si="21"/>
        <v>Blacklisted</v>
      </c>
      <c r="X250" s="27" t="str">
        <f t="shared" si="22"/>
        <v>Mohit Verma</v>
      </c>
      <c r="Y250" s="29" t="str">
        <f t="shared" si="23"/>
        <v>Moh00IDBe</v>
      </c>
      <c r="Z250" s="30" t="str">
        <f t="shared" si="24"/>
        <v>mohit.verma@company.com</v>
      </c>
      <c r="AA250" s="32">
        <f t="shared" ca="1" si="25"/>
        <v>41</v>
      </c>
      <c r="AB250" s="33">
        <f t="shared" si="26"/>
        <v>8</v>
      </c>
      <c r="AC250" s="34" t="str">
        <f t="shared" si="27"/>
        <v>Delayed</v>
      </c>
    </row>
    <row r="251" spans="1:29">
      <c r="A251" s="18" t="s">
        <v>1203</v>
      </c>
      <c r="B251" s="18" t="s">
        <v>327</v>
      </c>
      <c r="C251" s="18" t="s">
        <v>169</v>
      </c>
      <c r="D251" s="18" t="s">
        <v>944</v>
      </c>
      <c r="E251" s="18" t="s">
        <v>1204</v>
      </c>
      <c r="F251" s="18" t="s">
        <v>394</v>
      </c>
      <c r="G251" s="18" t="s">
        <v>76</v>
      </c>
      <c r="H251" s="18" t="s">
        <v>1205</v>
      </c>
      <c r="I251" s="18" t="s">
        <v>59</v>
      </c>
      <c r="J251" s="18" t="s">
        <v>31</v>
      </c>
      <c r="K251" s="18" t="s">
        <v>32</v>
      </c>
      <c r="L251" s="18" t="s">
        <v>174</v>
      </c>
      <c r="M251" s="18">
        <v>6</v>
      </c>
      <c r="N251" s="18">
        <v>8500</v>
      </c>
      <c r="O251" s="18">
        <v>15</v>
      </c>
      <c r="P251" s="18">
        <v>43350</v>
      </c>
      <c r="Q251" s="18">
        <v>2</v>
      </c>
      <c r="R251" s="18" t="s">
        <v>34</v>
      </c>
      <c r="S251" s="18" t="s">
        <v>151</v>
      </c>
      <c r="T251" s="18" t="s">
        <v>332</v>
      </c>
      <c r="U251" s="19" t="s">
        <v>1206</v>
      </c>
      <c r="V251" s="18" t="s">
        <v>69</v>
      </c>
      <c r="W251" t="str">
        <f t="shared" si="21"/>
        <v>Blacklisted</v>
      </c>
      <c r="X251" s="27" t="str">
        <f t="shared" si="22"/>
        <v>Amit Sharma</v>
      </c>
      <c r="Y251" s="29" t="str">
        <f t="shared" si="23"/>
        <v>Ami00IDBe</v>
      </c>
      <c r="Z251" s="30" t="str">
        <f t="shared" si="24"/>
        <v>amit.sharma@company.com</v>
      </c>
      <c r="AA251" s="32">
        <f t="shared" ca="1" si="25"/>
        <v>36</v>
      </c>
      <c r="AB251" s="33">
        <f t="shared" si="26"/>
        <v>2</v>
      </c>
      <c r="AC251" s="34" t="str">
        <f t="shared" si="27"/>
        <v>On Time</v>
      </c>
    </row>
    <row r="252" spans="1:29">
      <c r="A252" s="15" t="s">
        <v>1207</v>
      </c>
      <c r="B252" s="15" t="s">
        <v>221</v>
      </c>
      <c r="C252" s="15" t="s">
        <v>24</v>
      </c>
      <c r="D252" s="15" t="s">
        <v>736</v>
      </c>
      <c r="E252" s="15" t="s">
        <v>94</v>
      </c>
      <c r="F252" s="15" t="s">
        <v>225</v>
      </c>
      <c r="G252" s="15" t="s">
        <v>76</v>
      </c>
      <c r="H252" s="15" t="s">
        <v>1208</v>
      </c>
      <c r="I252" s="15" t="s">
        <v>44</v>
      </c>
      <c r="J252" s="15" t="s">
        <v>45</v>
      </c>
      <c r="K252" s="15" t="s">
        <v>32</v>
      </c>
      <c r="L252" s="15" t="s">
        <v>33</v>
      </c>
      <c r="M252" s="15">
        <v>9</v>
      </c>
      <c r="N252" s="15">
        <v>2200</v>
      </c>
      <c r="O252" s="15">
        <v>10</v>
      </c>
      <c r="P252" s="15">
        <v>17820</v>
      </c>
      <c r="Q252" s="15">
        <v>3</v>
      </c>
      <c r="R252" s="15" t="s">
        <v>79</v>
      </c>
      <c r="S252" s="15" t="s">
        <v>35</v>
      </c>
      <c r="T252" s="15" t="s">
        <v>228</v>
      </c>
      <c r="U252" s="17" t="s">
        <v>1209</v>
      </c>
      <c r="V252" s="15" t="s">
        <v>64</v>
      </c>
      <c r="W252" t="str">
        <f t="shared" si="21"/>
        <v>Blacklisted</v>
      </c>
      <c r="X252" s="27" t="str">
        <f t="shared" si="22"/>
        <v>Vikas Mehta</v>
      </c>
      <c r="Y252" s="29" t="str">
        <f t="shared" si="23"/>
        <v>Vik00IDDe</v>
      </c>
      <c r="Z252" s="30" t="str">
        <f t="shared" si="24"/>
        <v>vikas.mehta@company.com</v>
      </c>
      <c r="AA252" s="32">
        <f t="shared" ca="1" si="25"/>
        <v>38</v>
      </c>
      <c r="AB252" s="33">
        <f t="shared" si="26"/>
        <v>8</v>
      </c>
      <c r="AC252" s="34" t="str">
        <f t="shared" si="27"/>
        <v>Delayed</v>
      </c>
    </row>
    <row r="253" spans="1:29">
      <c r="A253" s="18" t="s">
        <v>1210</v>
      </c>
      <c r="B253" s="18" t="s">
        <v>23</v>
      </c>
      <c r="C253" s="18" t="s">
        <v>169</v>
      </c>
      <c r="D253" s="18" t="s">
        <v>825</v>
      </c>
      <c r="E253" s="18" t="s">
        <v>876</v>
      </c>
      <c r="F253" s="18" t="s">
        <v>27</v>
      </c>
      <c r="G253" s="18" t="s">
        <v>28</v>
      </c>
      <c r="H253" s="18" t="s">
        <v>1211</v>
      </c>
      <c r="I253" s="18" t="s">
        <v>294</v>
      </c>
      <c r="J253" s="18" t="s">
        <v>295</v>
      </c>
      <c r="K253" s="18" t="s">
        <v>32</v>
      </c>
      <c r="L253" s="18" t="s">
        <v>174</v>
      </c>
      <c r="M253" s="18">
        <v>16</v>
      </c>
      <c r="N253" s="18">
        <v>8500</v>
      </c>
      <c r="O253" s="18">
        <v>0</v>
      </c>
      <c r="P253" s="18">
        <v>136000</v>
      </c>
      <c r="Q253" s="18">
        <v>5</v>
      </c>
      <c r="R253" s="18" t="s">
        <v>88</v>
      </c>
      <c r="S253" s="18" t="s">
        <v>115</v>
      </c>
      <c r="T253" s="18" t="s">
        <v>50</v>
      </c>
      <c r="U253" s="19" t="s">
        <v>1212</v>
      </c>
      <c r="V253" s="18" t="s">
        <v>69</v>
      </c>
      <c r="W253" t="str">
        <f t="shared" si="21"/>
        <v>Blacklisted</v>
      </c>
      <c r="X253" s="27" t="str">
        <f t="shared" si="22"/>
        <v>Kavya Nair</v>
      </c>
      <c r="Y253" s="29" t="str">
        <f t="shared" si="23"/>
        <v>Kav00IDKo</v>
      </c>
      <c r="Z253" s="30" t="str">
        <f t="shared" si="24"/>
        <v>kavya.nair@company.com</v>
      </c>
      <c r="AA253" s="32">
        <f t="shared" ca="1" si="25"/>
        <v>44</v>
      </c>
      <c r="AB253" s="33">
        <f t="shared" si="26"/>
        <v>3</v>
      </c>
      <c r="AC253" s="34" t="str">
        <f t="shared" si="27"/>
        <v>On Time</v>
      </c>
    </row>
    <row r="254" spans="1:29">
      <c r="A254" s="15" t="s">
        <v>1213</v>
      </c>
      <c r="B254" s="15" t="s">
        <v>327</v>
      </c>
      <c r="C254" s="15" t="s">
        <v>72</v>
      </c>
      <c r="D254" s="15" t="s">
        <v>1214</v>
      </c>
      <c r="E254" s="15" t="s">
        <v>692</v>
      </c>
      <c r="F254" s="15" t="s">
        <v>394</v>
      </c>
      <c r="G254" s="15" t="s">
        <v>76</v>
      </c>
      <c r="H254" s="15" t="s">
        <v>1215</v>
      </c>
      <c r="I254" s="15" t="s">
        <v>44</v>
      </c>
      <c r="J254" s="15" t="s">
        <v>45</v>
      </c>
      <c r="K254" s="15" t="s">
        <v>46</v>
      </c>
      <c r="L254" s="15" t="s">
        <v>78</v>
      </c>
      <c r="M254" s="15">
        <v>10</v>
      </c>
      <c r="N254" s="15">
        <v>1200</v>
      </c>
      <c r="O254" s="15">
        <v>15</v>
      </c>
      <c r="P254" s="15">
        <v>10200</v>
      </c>
      <c r="Q254" s="15">
        <v>5</v>
      </c>
      <c r="R254" s="15" t="s">
        <v>34</v>
      </c>
      <c r="S254" s="15" t="s">
        <v>49</v>
      </c>
      <c r="T254" s="15" t="s">
        <v>332</v>
      </c>
      <c r="U254" s="17" t="s">
        <v>1216</v>
      </c>
      <c r="V254" s="15" t="s">
        <v>38</v>
      </c>
      <c r="W254" t="str">
        <f t="shared" si="21"/>
        <v>Silver</v>
      </c>
      <c r="X254" s="27" t="str">
        <f t="shared" si="22"/>
        <v>Amit Sharma</v>
      </c>
      <c r="Y254" s="29" t="str">
        <f t="shared" si="23"/>
        <v>Ami00IDDe</v>
      </c>
      <c r="Z254" s="30" t="str">
        <f t="shared" si="24"/>
        <v>amit.sharma@company.com</v>
      </c>
      <c r="AA254" s="32">
        <f t="shared" ca="1" si="25"/>
        <v>49</v>
      </c>
      <c r="AB254" s="33">
        <f t="shared" si="26"/>
        <v>1</v>
      </c>
      <c r="AC254" s="34" t="str">
        <f t="shared" si="27"/>
        <v>On Time</v>
      </c>
    </row>
    <row r="255" spans="1:29">
      <c r="A255" s="18" t="s">
        <v>1217</v>
      </c>
      <c r="B255" s="18" t="s">
        <v>127</v>
      </c>
      <c r="C255" s="18" t="s">
        <v>40</v>
      </c>
      <c r="D255" s="18" t="s">
        <v>413</v>
      </c>
      <c r="E255" s="18" t="s">
        <v>136</v>
      </c>
      <c r="F255" s="18" t="s">
        <v>200</v>
      </c>
      <c r="G255" s="18" t="s">
        <v>76</v>
      </c>
      <c r="H255" s="18" t="s">
        <v>1218</v>
      </c>
      <c r="I255" s="18" t="s">
        <v>294</v>
      </c>
      <c r="J255" s="18" t="s">
        <v>295</v>
      </c>
      <c r="K255" s="18" t="s">
        <v>46</v>
      </c>
      <c r="L255" s="18" t="s">
        <v>47</v>
      </c>
      <c r="M255" s="18">
        <v>7</v>
      </c>
      <c r="N255" s="18">
        <v>12000</v>
      </c>
      <c r="O255" s="18">
        <v>0</v>
      </c>
      <c r="P255" s="18">
        <v>84000</v>
      </c>
      <c r="Q255" s="18">
        <v>1</v>
      </c>
      <c r="R255" s="18" t="s">
        <v>88</v>
      </c>
      <c r="S255" s="18" t="s">
        <v>151</v>
      </c>
      <c r="T255" s="18" t="s">
        <v>132</v>
      </c>
      <c r="U255" s="19" t="s">
        <v>1219</v>
      </c>
      <c r="V255" s="18" t="s">
        <v>64</v>
      </c>
      <c r="W255" t="str">
        <f t="shared" si="21"/>
        <v>Blacklisted</v>
      </c>
      <c r="X255" s="27" t="str">
        <f t="shared" si="22"/>
        <v>Rohit Singh</v>
      </c>
      <c r="Y255" s="29" t="str">
        <f t="shared" si="23"/>
        <v>Roh00IDKo</v>
      </c>
      <c r="Z255" s="30" t="str">
        <f t="shared" si="24"/>
        <v>rohit.singh@company.com</v>
      </c>
      <c r="AA255" s="32">
        <f t="shared" ca="1" si="25"/>
        <v>23</v>
      </c>
      <c r="AB255" s="33">
        <f t="shared" si="26"/>
        <v>10</v>
      </c>
      <c r="AC255" s="34" t="str">
        <f t="shared" si="27"/>
        <v>Delayed</v>
      </c>
    </row>
    <row r="256" spans="1:29">
      <c r="A256" s="15" t="s">
        <v>1220</v>
      </c>
      <c r="B256" s="15" t="s">
        <v>221</v>
      </c>
      <c r="C256" s="15" t="s">
        <v>40</v>
      </c>
      <c r="D256" s="15" t="s">
        <v>128</v>
      </c>
      <c r="E256" s="15" t="s">
        <v>1221</v>
      </c>
      <c r="F256" s="15" t="s">
        <v>225</v>
      </c>
      <c r="G256" s="15" t="s">
        <v>76</v>
      </c>
      <c r="H256" s="15" t="s">
        <v>1222</v>
      </c>
      <c r="I256" s="15" t="s">
        <v>114</v>
      </c>
      <c r="J256" s="15" t="s">
        <v>106</v>
      </c>
      <c r="K256" s="15" t="s">
        <v>46</v>
      </c>
      <c r="L256" s="15" t="s">
        <v>47</v>
      </c>
      <c r="M256" s="15">
        <v>3</v>
      </c>
      <c r="N256" s="15">
        <v>12000</v>
      </c>
      <c r="O256" s="15">
        <v>10</v>
      </c>
      <c r="P256" s="15">
        <v>32400</v>
      </c>
      <c r="Q256" s="15">
        <v>4</v>
      </c>
      <c r="R256" s="15" t="s">
        <v>79</v>
      </c>
      <c r="S256" s="15" t="s">
        <v>151</v>
      </c>
      <c r="T256" s="15" t="s">
        <v>228</v>
      </c>
      <c r="U256" s="17" t="s">
        <v>1223</v>
      </c>
      <c r="V256" s="15" t="s">
        <v>38</v>
      </c>
      <c r="W256" t="str">
        <f t="shared" si="21"/>
        <v>Silver</v>
      </c>
      <c r="X256" s="27" t="str">
        <f t="shared" si="22"/>
        <v>Vikas Mehta</v>
      </c>
      <c r="Y256" s="29" t="str">
        <f t="shared" si="23"/>
        <v>Vik00IDPu</v>
      </c>
      <c r="Z256" s="30" t="str">
        <f t="shared" si="24"/>
        <v>vikas.mehta@company.com</v>
      </c>
      <c r="AA256" s="32">
        <f t="shared" ca="1" si="25"/>
        <v>40</v>
      </c>
      <c r="AB256" s="33">
        <f t="shared" si="26"/>
        <v>12</v>
      </c>
      <c r="AC256" s="34" t="str">
        <f t="shared" si="27"/>
        <v>Delayed</v>
      </c>
    </row>
    <row r="257" spans="1:29">
      <c r="A257" s="18" t="s">
        <v>1224</v>
      </c>
      <c r="B257" s="18" t="s">
        <v>221</v>
      </c>
      <c r="C257" s="18" t="s">
        <v>40</v>
      </c>
      <c r="D257" s="18" t="s">
        <v>1225</v>
      </c>
      <c r="E257" s="18" t="s">
        <v>927</v>
      </c>
      <c r="F257" s="18" t="s">
        <v>225</v>
      </c>
      <c r="G257" s="18" t="s">
        <v>76</v>
      </c>
      <c r="H257" s="18" t="s">
        <v>1226</v>
      </c>
      <c r="I257" s="18" t="s">
        <v>30</v>
      </c>
      <c r="J257" s="18" t="s">
        <v>31</v>
      </c>
      <c r="K257" s="18" t="s">
        <v>46</v>
      </c>
      <c r="L257" s="18" t="s">
        <v>47</v>
      </c>
      <c r="M257" s="18">
        <v>4</v>
      </c>
      <c r="N257" s="18">
        <v>12000</v>
      </c>
      <c r="O257" s="18">
        <v>15</v>
      </c>
      <c r="P257" s="18">
        <v>40800</v>
      </c>
      <c r="Q257" s="18">
        <v>3</v>
      </c>
      <c r="R257" s="18" t="s">
        <v>79</v>
      </c>
      <c r="S257" s="18" t="s">
        <v>35</v>
      </c>
      <c r="T257" s="18" t="s">
        <v>228</v>
      </c>
      <c r="U257" s="19" t="s">
        <v>1227</v>
      </c>
      <c r="V257" s="18" t="s">
        <v>64</v>
      </c>
      <c r="W257" t="str">
        <f t="shared" si="21"/>
        <v>Blacklisted</v>
      </c>
      <c r="X257" s="27" t="str">
        <f t="shared" si="22"/>
        <v>Vikas Mehta</v>
      </c>
      <c r="Y257" s="29" t="str">
        <f t="shared" si="23"/>
        <v>Vik00IDHy</v>
      </c>
      <c r="Z257" s="30" t="str">
        <f t="shared" si="24"/>
        <v>vikas.mehta@company.com</v>
      </c>
      <c r="AA257" s="32">
        <f t="shared" ca="1" si="25"/>
        <v>37</v>
      </c>
      <c r="AB257" s="33">
        <f t="shared" si="26"/>
        <v>6</v>
      </c>
      <c r="AC257" s="34" t="str">
        <f t="shared" si="27"/>
        <v>Delayed</v>
      </c>
    </row>
    <row r="258" spans="1:29">
      <c r="A258" s="15" t="s">
        <v>1228</v>
      </c>
      <c r="B258" s="15" t="s">
        <v>127</v>
      </c>
      <c r="C258" s="15" t="s">
        <v>40</v>
      </c>
      <c r="D258" s="15" t="s">
        <v>260</v>
      </c>
      <c r="E258" s="15" t="s">
        <v>498</v>
      </c>
      <c r="F258" s="15" t="s">
        <v>200</v>
      </c>
      <c r="G258" s="15" t="s">
        <v>76</v>
      </c>
      <c r="H258" s="15" t="s">
        <v>1229</v>
      </c>
      <c r="I258" s="15" t="s">
        <v>30</v>
      </c>
      <c r="J258" s="15" t="s">
        <v>31</v>
      </c>
      <c r="K258" s="15" t="s">
        <v>46</v>
      </c>
      <c r="L258" s="15" t="s">
        <v>47</v>
      </c>
      <c r="M258" s="15">
        <v>13</v>
      </c>
      <c r="N258" s="15">
        <v>12000</v>
      </c>
      <c r="O258" s="15">
        <v>10</v>
      </c>
      <c r="P258" s="15">
        <v>140400</v>
      </c>
      <c r="Q258" s="15">
        <v>2</v>
      </c>
      <c r="R258" s="15" t="s">
        <v>34</v>
      </c>
      <c r="S258" s="15" t="s">
        <v>151</v>
      </c>
      <c r="T258" s="15" t="s">
        <v>132</v>
      </c>
      <c r="U258" s="17" t="s">
        <v>1230</v>
      </c>
      <c r="V258" s="15" t="s">
        <v>69</v>
      </c>
      <c r="W258" t="str">
        <f t="shared" si="21"/>
        <v>Blacklisted</v>
      </c>
      <c r="X258" s="27" t="str">
        <f t="shared" si="22"/>
        <v>Rohit Singh</v>
      </c>
      <c r="Y258" s="29" t="str">
        <f t="shared" si="23"/>
        <v>Roh00IDHy</v>
      </c>
      <c r="Z258" s="30" t="str">
        <f t="shared" si="24"/>
        <v>rohit.singh@company.com</v>
      </c>
      <c r="AA258" s="32">
        <f t="shared" ca="1" si="25"/>
        <v>46</v>
      </c>
      <c r="AB258" s="33">
        <f t="shared" si="26"/>
        <v>2</v>
      </c>
      <c r="AC258" s="34" t="str">
        <f t="shared" si="27"/>
        <v>On Time</v>
      </c>
    </row>
    <row r="259" spans="1:29">
      <c r="A259" s="18" t="s">
        <v>1231</v>
      </c>
      <c r="B259" s="18" t="s">
        <v>23</v>
      </c>
      <c r="C259" s="18" t="s">
        <v>92</v>
      </c>
      <c r="D259" s="18" t="s">
        <v>318</v>
      </c>
      <c r="E259" s="18" t="s">
        <v>679</v>
      </c>
      <c r="F259" s="18" t="s">
        <v>27</v>
      </c>
      <c r="G259" s="18" t="s">
        <v>28</v>
      </c>
      <c r="H259" s="18" t="s">
        <v>1232</v>
      </c>
      <c r="I259" s="18" t="s">
        <v>59</v>
      </c>
      <c r="J259" s="18" t="s">
        <v>31</v>
      </c>
      <c r="K259" s="18" t="s">
        <v>32</v>
      </c>
      <c r="L259" s="18" t="s">
        <v>97</v>
      </c>
      <c r="M259" s="18">
        <v>19</v>
      </c>
      <c r="N259" s="18">
        <v>3500</v>
      </c>
      <c r="O259" s="18">
        <v>20</v>
      </c>
      <c r="P259" s="18">
        <v>53200</v>
      </c>
      <c r="Q259" s="18">
        <v>1</v>
      </c>
      <c r="R259" s="18" t="s">
        <v>34</v>
      </c>
      <c r="S259" s="18" t="s">
        <v>61</v>
      </c>
      <c r="T259" s="18" t="s">
        <v>50</v>
      </c>
      <c r="U259" s="19" t="s">
        <v>1233</v>
      </c>
      <c r="V259" s="18" t="s">
        <v>69</v>
      </c>
      <c r="W259" t="str">
        <f t="shared" ref="W259:W322" si="28">IF(OR(Q259&lt;=2,V259="Cancelled"),"Blacklisted",IF(AND(P259&gt;=100000,Q259&gt;=4,O259&lt;10,V259="Completed"),"Platinum",IF(AND(P259&gt;=50000,P259&lt;=99999,Q259&gt;=3,V259="Completed"),"Gold",IF(AND(P259&lt;50000,V259="Completed"),"Silver","Blacklisted"))))</f>
        <v>Blacklisted</v>
      </c>
      <c r="X259" s="27" t="str">
        <f t="shared" ref="X259:X322" si="29">PROPER(TRIM(F259))</f>
        <v>Kavya Nair</v>
      </c>
      <c r="Y259" s="29" t="str">
        <f t="shared" ref="Y259:Y322" si="30">LEFT(X259,3)&amp;MID(B259,2,2)&amp;"ID"&amp;LEFT(I259,2)</f>
        <v>Kav00IDBe</v>
      </c>
      <c r="Z259" s="30" t="str">
        <f t="shared" ref="Z259:Z322" si="31">IF(ISNUMBER(SEARCH("@",T259)),LOWER(TRIM(T259)),"Invalid Email")</f>
        <v>kavya.nair@company.com</v>
      </c>
      <c r="AA259" s="32">
        <f t="shared" ref="AA259:AA322" ca="1" si="32">DATEDIF(H259,TODAY(),"Y")</f>
        <v>41</v>
      </c>
      <c r="AB259" s="33">
        <f t="shared" ref="AB259:AB322" si="33">IF(E259="","",E259-D259)</f>
        <v>7</v>
      </c>
      <c r="AC259" s="34" t="str">
        <f t="shared" ref="AC259:AC322" si="34">IF(E259="","Pending",IF(AB259&lt;=5,"On Time","Delayed"))</f>
        <v>Delayed</v>
      </c>
    </row>
    <row r="260" spans="1:29">
      <c r="A260" s="15" t="s">
        <v>1234</v>
      </c>
      <c r="B260" s="15" t="s">
        <v>23</v>
      </c>
      <c r="C260" s="15" t="s">
        <v>24</v>
      </c>
      <c r="D260" s="15" t="s">
        <v>932</v>
      </c>
      <c r="E260" s="15" t="s">
        <v>436</v>
      </c>
      <c r="F260" s="15" t="s">
        <v>27</v>
      </c>
      <c r="G260" s="15" t="s">
        <v>28</v>
      </c>
      <c r="H260" s="15" t="s">
        <v>1235</v>
      </c>
      <c r="I260" s="15" t="s">
        <v>105</v>
      </c>
      <c r="J260" s="15" t="s">
        <v>106</v>
      </c>
      <c r="K260" s="15" t="s">
        <v>32</v>
      </c>
      <c r="L260" s="15" t="s">
        <v>33</v>
      </c>
      <c r="M260" s="15">
        <v>7</v>
      </c>
      <c r="N260" s="15">
        <v>2200</v>
      </c>
      <c r="O260" s="15">
        <v>5</v>
      </c>
      <c r="P260" s="15">
        <v>14630</v>
      </c>
      <c r="Q260" s="15">
        <v>3</v>
      </c>
      <c r="R260" s="15" t="s">
        <v>88</v>
      </c>
      <c r="S260" s="15" t="s">
        <v>61</v>
      </c>
      <c r="T260" s="15" t="s">
        <v>50</v>
      </c>
      <c r="U260" s="17" t="s">
        <v>1236</v>
      </c>
      <c r="V260" s="15" t="s">
        <v>69</v>
      </c>
      <c r="W260" t="str">
        <f t="shared" si="28"/>
        <v>Blacklisted</v>
      </c>
      <c r="X260" s="27" t="str">
        <f t="shared" si="29"/>
        <v>Kavya Nair</v>
      </c>
      <c r="Y260" s="29" t="str">
        <f t="shared" si="30"/>
        <v>Kav00IDMu</v>
      </c>
      <c r="Z260" s="30" t="str">
        <f t="shared" si="31"/>
        <v>kavya.nair@company.com</v>
      </c>
      <c r="AA260" s="32">
        <f t="shared" ca="1" si="32"/>
        <v>47</v>
      </c>
      <c r="AB260" s="33">
        <f t="shared" si="33"/>
        <v>5</v>
      </c>
      <c r="AC260" s="34" t="str">
        <f t="shared" si="34"/>
        <v>On Time</v>
      </c>
    </row>
    <row r="261" spans="1:29">
      <c r="A261" s="18" t="s">
        <v>1237</v>
      </c>
      <c r="B261" s="18" t="s">
        <v>83</v>
      </c>
      <c r="C261" s="18" t="s">
        <v>184</v>
      </c>
      <c r="D261" s="18" t="s">
        <v>1238</v>
      </c>
      <c r="E261" s="18" t="s">
        <v>426</v>
      </c>
      <c r="F261" s="18" t="s">
        <v>180</v>
      </c>
      <c r="G261" s="18" t="s">
        <v>76</v>
      </c>
      <c r="H261" s="18" t="s">
        <v>1239</v>
      </c>
      <c r="I261" s="18" t="s">
        <v>212</v>
      </c>
      <c r="J261" s="18" t="s">
        <v>45</v>
      </c>
      <c r="K261" s="18" t="s">
        <v>46</v>
      </c>
      <c r="L261" s="18" t="s">
        <v>189</v>
      </c>
      <c r="M261" s="18">
        <v>18</v>
      </c>
      <c r="N261" s="18">
        <v>700</v>
      </c>
      <c r="O261" s="18">
        <v>5</v>
      </c>
      <c r="P261" s="18">
        <v>11970</v>
      </c>
      <c r="Q261" s="18">
        <v>2</v>
      </c>
      <c r="R261" s="18" t="s">
        <v>88</v>
      </c>
      <c r="S261" s="18" t="s">
        <v>61</v>
      </c>
      <c r="T261" s="18" t="s">
        <v>89</v>
      </c>
      <c r="U261" s="19" t="s">
        <v>1240</v>
      </c>
      <c r="V261" s="18" t="s">
        <v>69</v>
      </c>
      <c r="W261" t="str">
        <f t="shared" si="28"/>
        <v>Blacklisted</v>
      </c>
      <c r="X261" s="27" t="str">
        <f t="shared" si="29"/>
        <v>Arjun Rao</v>
      </c>
      <c r="Y261" s="29" t="str">
        <f t="shared" si="30"/>
        <v>Arj00IDJa</v>
      </c>
      <c r="Z261" s="30" t="str">
        <f t="shared" si="31"/>
        <v>arjun.rao@company.com</v>
      </c>
      <c r="AA261" s="32">
        <f t="shared" ca="1" si="32"/>
        <v>33</v>
      </c>
      <c r="AB261" s="33">
        <f t="shared" si="33"/>
        <v>4</v>
      </c>
      <c r="AC261" s="34" t="str">
        <f t="shared" si="34"/>
        <v>On Time</v>
      </c>
    </row>
    <row r="262" spans="1:29">
      <c r="A262" s="15" t="s">
        <v>1241</v>
      </c>
      <c r="B262" s="15" t="s">
        <v>23</v>
      </c>
      <c r="C262" s="15" t="s">
        <v>222</v>
      </c>
      <c r="D262" s="15" t="s">
        <v>1106</v>
      </c>
      <c r="E262" s="15" t="s">
        <v>1242</v>
      </c>
      <c r="F262" s="15" t="s">
        <v>27</v>
      </c>
      <c r="G262" s="15" t="s">
        <v>28</v>
      </c>
      <c r="H262" s="15" t="s">
        <v>1243</v>
      </c>
      <c r="I262" s="15" t="s">
        <v>294</v>
      </c>
      <c r="J262" s="15" t="s">
        <v>295</v>
      </c>
      <c r="K262" s="15" t="s">
        <v>122</v>
      </c>
      <c r="L262" s="15" t="s">
        <v>227</v>
      </c>
      <c r="M262" s="15">
        <v>11</v>
      </c>
      <c r="N262" s="15">
        <v>20</v>
      </c>
      <c r="O262" s="15">
        <v>0</v>
      </c>
      <c r="P262" s="15">
        <v>220</v>
      </c>
      <c r="Q262" s="15">
        <v>2</v>
      </c>
      <c r="R262" s="15" t="s">
        <v>48</v>
      </c>
      <c r="S262" s="15" t="s">
        <v>115</v>
      </c>
      <c r="T262" s="15" t="s">
        <v>50</v>
      </c>
      <c r="U262" s="17" t="s">
        <v>1244</v>
      </c>
      <c r="V262" s="15" t="s">
        <v>69</v>
      </c>
      <c r="W262" t="str">
        <f t="shared" si="28"/>
        <v>Blacklisted</v>
      </c>
      <c r="X262" s="27" t="str">
        <f t="shared" si="29"/>
        <v>Kavya Nair</v>
      </c>
      <c r="Y262" s="29" t="str">
        <f t="shared" si="30"/>
        <v>Kav00IDKo</v>
      </c>
      <c r="Z262" s="30" t="str">
        <f t="shared" si="31"/>
        <v>kavya.nair@company.com</v>
      </c>
      <c r="AA262" s="32">
        <f t="shared" ca="1" si="32"/>
        <v>51</v>
      </c>
      <c r="AB262" s="33">
        <f t="shared" si="33"/>
        <v>10</v>
      </c>
      <c r="AC262" s="34" t="str">
        <f t="shared" si="34"/>
        <v>Delayed</v>
      </c>
    </row>
    <row r="263" spans="1:29">
      <c r="A263" s="18" t="s">
        <v>1245</v>
      </c>
      <c r="B263" s="18" t="s">
        <v>327</v>
      </c>
      <c r="C263" s="18" t="s">
        <v>40</v>
      </c>
      <c r="D263" s="18" t="s">
        <v>1069</v>
      </c>
      <c r="E263" s="18" t="s">
        <v>272</v>
      </c>
      <c r="F263" s="18" t="s">
        <v>394</v>
      </c>
      <c r="G263" s="18" t="s">
        <v>76</v>
      </c>
      <c r="H263" s="18" t="s">
        <v>1246</v>
      </c>
      <c r="I263" s="18" t="s">
        <v>114</v>
      </c>
      <c r="J263" s="18" t="s">
        <v>106</v>
      </c>
      <c r="K263" s="18" t="s">
        <v>46</v>
      </c>
      <c r="L263" s="18" t="s">
        <v>47</v>
      </c>
      <c r="M263" s="18">
        <v>17</v>
      </c>
      <c r="N263" s="18">
        <v>12000</v>
      </c>
      <c r="O263" s="18">
        <v>20</v>
      </c>
      <c r="P263" s="18">
        <v>163200</v>
      </c>
      <c r="Q263" s="18">
        <v>4</v>
      </c>
      <c r="R263" s="18" t="s">
        <v>88</v>
      </c>
      <c r="S263" s="18" t="s">
        <v>151</v>
      </c>
      <c r="T263" s="18" t="s">
        <v>332</v>
      </c>
      <c r="U263" s="19" t="s">
        <v>1247</v>
      </c>
      <c r="V263" s="18" t="s">
        <v>38</v>
      </c>
      <c r="W263" t="str">
        <f t="shared" si="28"/>
        <v>Blacklisted</v>
      </c>
      <c r="X263" s="27" t="str">
        <f t="shared" si="29"/>
        <v>Amit Sharma</v>
      </c>
      <c r="Y263" s="29" t="str">
        <f t="shared" si="30"/>
        <v>Ami00IDPu</v>
      </c>
      <c r="Z263" s="30" t="str">
        <f t="shared" si="31"/>
        <v>amit.sharma@company.com</v>
      </c>
      <c r="AA263" s="32">
        <f t="shared" ca="1" si="32"/>
        <v>48</v>
      </c>
      <c r="AB263" s="33">
        <f t="shared" si="33"/>
        <v>7</v>
      </c>
      <c r="AC263" s="34" t="str">
        <f t="shared" si="34"/>
        <v>Delayed</v>
      </c>
    </row>
    <row r="264" spans="1:29">
      <c r="A264" s="15" t="s">
        <v>1248</v>
      </c>
      <c r="B264" s="15" t="s">
        <v>251</v>
      </c>
      <c r="C264" s="15" t="s">
        <v>24</v>
      </c>
      <c r="D264" s="15" t="s">
        <v>1249</v>
      </c>
      <c r="E264" s="15" t="s">
        <v>267</v>
      </c>
      <c r="F264" s="15" t="s">
        <v>254</v>
      </c>
      <c r="G264" s="15" t="s">
        <v>28</v>
      </c>
      <c r="H264" s="15" t="s">
        <v>1250</v>
      </c>
      <c r="I264" s="15" t="s">
        <v>294</v>
      </c>
      <c r="J264" s="15" t="s">
        <v>295</v>
      </c>
      <c r="K264" s="15" t="s">
        <v>32</v>
      </c>
      <c r="L264" s="15" t="s">
        <v>33</v>
      </c>
      <c r="M264" s="15">
        <v>4</v>
      </c>
      <c r="N264" s="15">
        <v>2200</v>
      </c>
      <c r="O264" s="15">
        <v>5</v>
      </c>
      <c r="P264" s="15">
        <v>8360</v>
      </c>
      <c r="Q264" s="15">
        <v>2</v>
      </c>
      <c r="R264" s="15" t="s">
        <v>34</v>
      </c>
      <c r="S264" s="15" t="s">
        <v>35</v>
      </c>
      <c r="T264" s="15" t="s">
        <v>256</v>
      </c>
      <c r="U264" s="17" t="s">
        <v>1251</v>
      </c>
      <c r="V264" s="15" t="s">
        <v>38</v>
      </c>
      <c r="W264" t="str">
        <f t="shared" si="28"/>
        <v>Blacklisted</v>
      </c>
      <c r="X264" s="27" t="str">
        <f t="shared" si="29"/>
        <v>Sneha Joshi</v>
      </c>
      <c r="Y264" s="29" t="str">
        <f t="shared" si="30"/>
        <v>Sne00IDKo</v>
      </c>
      <c r="Z264" s="30" t="str">
        <f t="shared" si="31"/>
        <v>sneha.joshi@company.com</v>
      </c>
      <c r="AA264" s="32">
        <f t="shared" ca="1" si="32"/>
        <v>23</v>
      </c>
      <c r="AB264" s="33">
        <f t="shared" si="33"/>
        <v>5</v>
      </c>
      <c r="AC264" s="34" t="str">
        <f t="shared" si="34"/>
        <v>On Time</v>
      </c>
    </row>
    <row r="265" spans="1:29">
      <c r="A265" s="18" t="s">
        <v>1252</v>
      </c>
      <c r="B265" s="18" t="s">
        <v>23</v>
      </c>
      <c r="C265" s="18" t="s">
        <v>54</v>
      </c>
      <c r="D265" s="18" t="s">
        <v>1253</v>
      </c>
      <c r="E265" s="18" t="s">
        <v>455</v>
      </c>
      <c r="F265" s="18" t="s">
        <v>27</v>
      </c>
      <c r="G265" s="18" t="s">
        <v>28</v>
      </c>
      <c r="H265" s="18" t="s">
        <v>1254</v>
      </c>
      <c r="I265" s="18" t="s">
        <v>138</v>
      </c>
      <c r="J265" s="18" t="s">
        <v>106</v>
      </c>
      <c r="K265" s="18" t="s">
        <v>46</v>
      </c>
      <c r="L265" s="18" t="s">
        <v>60</v>
      </c>
      <c r="M265" s="18">
        <v>6</v>
      </c>
      <c r="N265" s="18">
        <v>55000</v>
      </c>
      <c r="O265" s="18">
        <v>20</v>
      </c>
      <c r="P265" s="18">
        <v>264000</v>
      </c>
      <c r="Q265" s="18">
        <v>2</v>
      </c>
      <c r="R265" s="18" t="s">
        <v>88</v>
      </c>
      <c r="S265" s="18" t="s">
        <v>151</v>
      </c>
      <c r="T265" s="18" t="s">
        <v>50</v>
      </c>
      <c r="U265" s="19" t="s">
        <v>1255</v>
      </c>
      <c r="V265" s="18" t="s">
        <v>69</v>
      </c>
      <c r="W265" t="str">
        <f t="shared" si="28"/>
        <v>Blacklisted</v>
      </c>
      <c r="X265" s="27" t="str">
        <f t="shared" si="29"/>
        <v>Kavya Nair</v>
      </c>
      <c r="Y265" s="29" t="str">
        <f t="shared" si="30"/>
        <v>Kav00IDAh</v>
      </c>
      <c r="Z265" s="30" t="str">
        <f t="shared" si="31"/>
        <v>kavya.nair@company.com</v>
      </c>
      <c r="AA265" s="32">
        <f t="shared" ca="1" si="32"/>
        <v>24</v>
      </c>
      <c r="AB265" s="33">
        <f t="shared" si="33"/>
        <v>7</v>
      </c>
      <c r="AC265" s="34" t="str">
        <f t="shared" si="34"/>
        <v>Delayed</v>
      </c>
    </row>
    <row r="266" spans="1:29">
      <c r="A266" s="15" t="s">
        <v>1256</v>
      </c>
      <c r="B266" s="15" t="s">
        <v>71</v>
      </c>
      <c r="C266" s="15" t="s">
        <v>169</v>
      </c>
      <c r="D266" s="15" t="s">
        <v>84</v>
      </c>
      <c r="E266" s="15" t="s">
        <v>998</v>
      </c>
      <c r="F266" s="15" t="s">
        <v>217</v>
      </c>
      <c r="G266" s="15" t="s">
        <v>76</v>
      </c>
      <c r="H266" s="15" t="s">
        <v>1257</v>
      </c>
      <c r="I266" s="15" t="s">
        <v>44</v>
      </c>
      <c r="J266" s="15" t="s">
        <v>45</v>
      </c>
      <c r="K266" s="15" t="s">
        <v>32</v>
      </c>
      <c r="L266" s="15" t="s">
        <v>174</v>
      </c>
      <c r="M266" s="15">
        <v>6</v>
      </c>
      <c r="N266" s="15">
        <v>8500</v>
      </c>
      <c r="O266" s="15">
        <v>10</v>
      </c>
      <c r="P266" s="15">
        <v>45900</v>
      </c>
      <c r="Q266" s="15">
        <v>5</v>
      </c>
      <c r="R266" s="15" t="s">
        <v>88</v>
      </c>
      <c r="S266" s="15" t="s">
        <v>61</v>
      </c>
      <c r="T266" s="15" t="s">
        <v>80</v>
      </c>
      <c r="U266" s="17" t="s">
        <v>1258</v>
      </c>
      <c r="V266" s="15" t="s">
        <v>38</v>
      </c>
      <c r="W266" t="str">
        <f t="shared" si="28"/>
        <v>Silver</v>
      </c>
      <c r="X266" s="27" t="str">
        <f t="shared" si="29"/>
        <v>Mohit Verma</v>
      </c>
      <c r="Y266" s="29" t="str">
        <f t="shared" si="30"/>
        <v>Moh00IDDe</v>
      </c>
      <c r="Z266" s="30" t="str">
        <f t="shared" si="31"/>
        <v>mohit.verma@company.com</v>
      </c>
      <c r="AA266" s="32">
        <f t="shared" ca="1" si="32"/>
        <v>41</v>
      </c>
      <c r="AB266" s="33">
        <f t="shared" si="33"/>
        <v>10</v>
      </c>
      <c r="AC266" s="34" t="str">
        <f t="shared" si="34"/>
        <v>Delayed</v>
      </c>
    </row>
    <row r="267" spans="1:29">
      <c r="A267" s="18" t="s">
        <v>1259</v>
      </c>
      <c r="B267" s="18" t="s">
        <v>23</v>
      </c>
      <c r="C267" s="18" t="s">
        <v>222</v>
      </c>
      <c r="D267" s="18" t="s">
        <v>558</v>
      </c>
      <c r="E267" s="18" t="s">
        <v>371</v>
      </c>
      <c r="F267" s="18" t="s">
        <v>27</v>
      </c>
      <c r="G267" s="18" t="s">
        <v>28</v>
      </c>
      <c r="H267" s="18" t="s">
        <v>1260</v>
      </c>
      <c r="I267" s="18" t="s">
        <v>212</v>
      </c>
      <c r="J267" s="18" t="s">
        <v>45</v>
      </c>
      <c r="K267" s="18" t="s">
        <v>122</v>
      </c>
      <c r="L267" s="18" t="s">
        <v>227</v>
      </c>
      <c r="M267" s="18">
        <v>6</v>
      </c>
      <c r="N267" s="18">
        <v>20</v>
      </c>
      <c r="O267" s="18">
        <v>15</v>
      </c>
      <c r="P267" s="18">
        <v>102</v>
      </c>
      <c r="Q267" s="18">
        <v>2</v>
      </c>
      <c r="R267" s="18" t="s">
        <v>88</v>
      </c>
      <c r="S267" s="18" t="s">
        <v>49</v>
      </c>
      <c r="T267" s="18" t="s">
        <v>50</v>
      </c>
      <c r="U267" s="19" t="s">
        <v>1261</v>
      </c>
      <c r="V267" s="18" t="s">
        <v>69</v>
      </c>
      <c r="W267" t="str">
        <f t="shared" si="28"/>
        <v>Blacklisted</v>
      </c>
      <c r="X267" s="27" t="str">
        <f t="shared" si="29"/>
        <v>Kavya Nair</v>
      </c>
      <c r="Y267" s="29" t="str">
        <f t="shared" si="30"/>
        <v>Kav00IDJa</v>
      </c>
      <c r="Z267" s="30" t="str">
        <f t="shared" si="31"/>
        <v>kavya.nair@company.com</v>
      </c>
      <c r="AA267" s="32">
        <f t="shared" ca="1" si="32"/>
        <v>41</v>
      </c>
      <c r="AB267" s="33">
        <f t="shared" si="33"/>
        <v>5</v>
      </c>
      <c r="AC267" s="34" t="str">
        <f t="shared" si="34"/>
        <v>On Time</v>
      </c>
    </row>
    <row r="268" spans="1:29">
      <c r="A268" s="15" t="s">
        <v>1262</v>
      </c>
      <c r="B268" s="15" t="s">
        <v>53</v>
      </c>
      <c r="C268" s="15" t="s">
        <v>118</v>
      </c>
      <c r="D268" s="15" t="s">
        <v>1263</v>
      </c>
      <c r="E268" s="15" t="s">
        <v>597</v>
      </c>
      <c r="F268" s="15" t="s">
        <v>163</v>
      </c>
      <c r="G268" s="15" t="s">
        <v>28</v>
      </c>
      <c r="H268" s="15" t="s">
        <v>1264</v>
      </c>
      <c r="I268" s="15" t="s">
        <v>105</v>
      </c>
      <c r="J268" s="15" t="s">
        <v>106</v>
      </c>
      <c r="K268" s="15" t="s">
        <v>122</v>
      </c>
      <c r="L268" s="15" t="s">
        <v>123</v>
      </c>
      <c r="M268" s="15">
        <v>6</v>
      </c>
      <c r="N268" s="15">
        <v>60</v>
      </c>
      <c r="O268" s="15">
        <v>5</v>
      </c>
      <c r="P268" s="15">
        <v>342</v>
      </c>
      <c r="Q268" s="15">
        <v>1</v>
      </c>
      <c r="R268" s="15" t="s">
        <v>48</v>
      </c>
      <c r="S268" s="15" t="s">
        <v>61</v>
      </c>
      <c r="T268" s="15" t="s">
        <v>62</v>
      </c>
      <c r="U268" s="17" t="s">
        <v>1265</v>
      </c>
      <c r="V268" s="15" t="s">
        <v>38</v>
      </c>
      <c r="W268" t="str">
        <f t="shared" si="28"/>
        <v>Blacklisted</v>
      </c>
      <c r="X268" s="27" t="str">
        <f t="shared" si="29"/>
        <v>Pooja Shah</v>
      </c>
      <c r="Y268" s="29" t="str">
        <f t="shared" si="30"/>
        <v>Poo01IDMu</v>
      </c>
      <c r="Z268" s="30" t="str">
        <f t="shared" si="31"/>
        <v>pooja.shah@company.com</v>
      </c>
      <c r="AA268" s="32">
        <f t="shared" ca="1" si="32"/>
        <v>42</v>
      </c>
      <c r="AB268" s="33">
        <f t="shared" si="33"/>
        <v>8</v>
      </c>
      <c r="AC268" s="34" t="str">
        <f t="shared" si="34"/>
        <v>Delayed</v>
      </c>
    </row>
    <row r="269" spans="1:29">
      <c r="A269" s="18" t="s">
        <v>1266</v>
      </c>
      <c r="B269" s="18" t="s">
        <v>127</v>
      </c>
      <c r="C269" s="18" t="s">
        <v>169</v>
      </c>
      <c r="D269" s="18" t="s">
        <v>1267</v>
      </c>
      <c r="E269" s="18" t="s">
        <v>1268</v>
      </c>
      <c r="F269" s="18" t="s">
        <v>200</v>
      </c>
      <c r="G269" s="18" t="s">
        <v>76</v>
      </c>
      <c r="H269" s="18" t="s">
        <v>1269</v>
      </c>
      <c r="I269" s="18" t="s">
        <v>30</v>
      </c>
      <c r="J269" s="18" t="s">
        <v>31</v>
      </c>
      <c r="K269" s="18" t="s">
        <v>32</v>
      </c>
      <c r="L269" s="18" t="s">
        <v>174</v>
      </c>
      <c r="M269" s="18">
        <v>19</v>
      </c>
      <c r="N269" s="18">
        <v>8500</v>
      </c>
      <c r="O269" s="18">
        <v>0</v>
      </c>
      <c r="P269" s="18">
        <v>161500</v>
      </c>
      <c r="Q269" s="18">
        <v>5</v>
      </c>
      <c r="R269" s="18" t="s">
        <v>88</v>
      </c>
      <c r="S269" s="18" t="s">
        <v>151</v>
      </c>
      <c r="T269" s="18" t="s">
        <v>132</v>
      </c>
      <c r="U269" s="19" t="s">
        <v>1270</v>
      </c>
      <c r="V269" s="18" t="s">
        <v>38</v>
      </c>
      <c r="W269" t="str">
        <f t="shared" si="28"/>
        <v>Platinum</v>
      </c>
      <c r="X269" s="27" t="str">
        <f t="shared" si="29"/>
        <v>Rohit Singh</v>
      </c>
      <c r="Y269" s="29" t="str">
        <f t="shared" si="30"/>
        <v>Roh00IDHy</v>
      </c>
      <c r="Z269" s="30" t="str">
        <f t="shared" si="31"/>
        <v>rohit.singh@company.com</v>
      </c>
      <c r="AA269" s="32">
        <f t="shared" ca="1" si="32"/>
        <v>38</v>
      </c>
      <c r="AB269" s="33">
        <f t="shared" si="33"/>
        <v>3</v>
      </c>
      <c r="AC269" s="34" t="str">
        <f t="shared" si="34"/>
        <v>On Time</v>
      </c>
    </row>
    <row r="270" spans="1:29">
      <c r="A270" s="15" t="s">
        <v>1271</v>
      </c>
      <c r="B270" s="15" t="s">
        <v>251</v>
      </c>
      <c r="C270" s="15" t="s">
        <v>54</v>
      </c>
      <c r="D270" s="15" t="s">
        <v>445</v>
      </c>
      <c r="E270" s="15" t="s">
        <v>573</v>
      </c>
      <c r="F270" s="15" t="s">
        <v>254</v>
      </c>
      <c r="G270" s="15" t="s">
        <v>28</v>
      </c>
      <c r="H270" s="15" t="s">
        <v>1272</v>
      </c>
      <c r="I270" s="15" t="s">
        <v>212</v>
      </c>
      <c r="J270" s="15" t="s">
        <v>45</v>
      </c>
      <c r="K270" s="15" t="s">
        <v>46</v>
      </c>
      <c r="L270" s="15" t="s">
        <v>60</v>
      </c>
      <c r="M270" s="15">
        <v>8</v>
      </c>
      <c r="N270" s="15">
        <v>55000</v>
      </c>
      <c r="O270" s="15">
        <v>0</v>
      </c>
      <c r="P270" s="15">
        <v>440000</v>
      </c>
      <c r="Q270" s="15">
        <v>3</v>
      </c>
      <c r="R270" s="15" t="s">
        <v>79</v>
      </c>
      <c r="S270" s="15" t="s">
        <v>115</v>
      </c>
      <c r="T270" s="15" t="s">
        <v>256</v>
      </c>
      <c r="U270" s="17" t="s">
        <v>1273</v>
      </c>
      <c r="V270" s="15" t="s">
        <v>64</v>
      </c>
      <c r="W270" t="str">
        <f t="shared" si="28"/>
        <v>Blacklisted</v>
      </c>
      <c r="X270" s="27" t="str">
        <f t="shared" si="29"/>
        <v>Sneha Joshi</v>
      </c>
      <c r="Y270" s="29" t="str">
        <f t="shared" si="30"/>
        <v>Sne00IDJa</v>
      </c>
      <c r="Z270" s="30" t="str">
        <f t="shared" si="31"/>
        <v>sneha.joshi@company.com</v>
      </c>
      <c r="AA270" s="32">
        <f t="shared" ca="1" si="32"/>
        <v>39</v>
      </c>
      <c r="AB270" s="33">
        <f t="shared" si="33"/>
        <v>9</v>
      </c>
      <c r="AC270" s="34" t="str">
        <f t="shared" si="34"/>
        <v>Delayed</v>
      </c>
    </row>
    <row r="271" spans="1:29">
      <c r="A271" s="18" t="s">
        <v>1274</v>
      </c>
      <c r="B271" s="18" t="s">
        <v>71</v>
      </c>
      <c r="C271" s="18" t="s">
        <v>40</v>
      </c>
      <c r="D271" s="18" t="s">
        <v>1098</v>
      </c>
      <c r="E271" s="18" t="s">
        <v>583</v>
      </c>
      <c r="F271" s="18" t="s">
        <v>217</v>
      </c>
      <c r="G271" s="18" t="s">
        <v>76</v>
      </c>
      <c r="H271" s="18" t="s">
        <v>1275</v>
      </c>
      <c r="I271" s="18" t="s">
        <v>294</v>
      </c>
      <c r="J271" s="18" t="s">
        <v>295</v>
      </c>
      <c r="K271" s="18" t="s">
        <v>46</v>
      </c>
      <c r="L271" s="18" t="s">
        <v>47</v>
      </c>
      <c r="M271" s="18">
        <v>18</v>
      </c>
      <c r="N271" s="18">
        <v>12000</v>
      </c>
      <c r="O271" s="18">
        <v>20</v>
      </c>
      <c r="P271" s="18">
        <v>172800</v>
      </c>
      <c r="Q271" s="18">
        <v>5</v>
      </c>
      <c r="R271" s="18" t="s">
        <v>88</v>
      </c>
      <c r="S271" s="18" t="s">
        <v>61</v>
      </c>
      <c r="T271" s="18" t="s">
        <v>80</v>
      </c>
      <c r="U271" s="19" t="s">
        <v>1276</v>
      </c>
      <c r="V271" s="18" t="s">
        <v>69</v>
      </c>
      <c r="W271" t="str">
        <f t="shared" si="28"/>
        <v>Blacklisted</v>
      </c>
      <c r="X271" s="27" t="str">
        <f t="shared" si="29"/>
        <v>Mohit Verma</v>
      </c>
      <c r="Y271" s="29" t="str">
        <f t="shared" si="30"/>
        <v>Moh00IDKo</v>
      </c>
      <c r="Z271" s="30" t="str">
        <f t="shared" si="31"/>
        <v>mohit.verma@company.com</v>
      </c>
      <c r="AA271" s="32">
        <f t="shared" ca="1" si="32"/>
        <v>37</v>
      </c>
      <c r="AB271" s="33">
        <f t="shared" si="33"/>
        <v>5</v>
      </c>
      <c r="AC271" s="34" t="str">
        <f t="shared" si="34"/>
        <v>On Time</v>
      </c>
    </row>
    <row r="272" spans="1:29">
      <c r="A272" s="15" t="s">
        <v>1277</v>
      </c>
      <c r="B272" s="15" t="s">
        <v>127</v>
      </c>
      <c r="C272" s="15" t="s">
        <v>169</v>
      </c>
      <c r="D272" s="15" t="s">
        <v>1278</v>
      </c>
      <c r="E272" s="15" t="s">
        <v>198</v>
      </c>
      <c r="F272" s="15" t="s">
        <v>200</v>
      </c>
      <c r="G272" s="15" t="s">
        <v>76</v>
      </c>
      <c r="H272" s="15" t="s">
        <v>1279</v>
      </c>
      <c r="I272" s="15" t="s">
        <v>138</v>
      </c>
      <c r="J272" s="15" t="s">
        <v>106</v>
      </c>
      <c r="K272" s="15" t="s">
        <v>32</v>
      </c>
      <c r="L272" s="15" t="s">
        <v>174</v>
      </c>
      <c r="M272" s="15">
        <v>8</v>
      </c>
      <c r="N272" s="15">
        <v>8500</v>
      </c>
      <c r="O272" s="15">
        <v>5</v>
      </c>
      <c r="P272" s="15">
        <v>64600</v>
      </c>
      <c r="Q272" s="15">
        <v>2</v>
      </c>
      <c r="R272" s="15" t="s">
        <v>79</v>
      </c>
      <c r="S272" s="15" t="s">
        <v>61</v>
      </c>
      <c r="T272" s="15" t="s">
        <v>132</v>
      </c>
      <c r="U272" s="17" t="s">
        <v>1280</v>
      </c>
      <c r="V272" s="15" t="s">
        <v>69</v>
      </c>
      <c r="W272" t="str">
        <f t="shared" si="28"/>
        <v>Blacklisted</v>
      </c>
      <c r="X272" s="27" t="str">
        <f t="shared" si="29"/>
        <v>Rohit Singh</v>
      </c>
      <c r="Y272" s="29" t="str">
        <f t="shared" si="30"/>
        <v>Roh00IDAh</v>
      </c>
      <c r="Z272" s="30" t="str">
        <f t="shared" si="31"/>
        <v>rohit.singh@company.com</v>
      </c>
      <c r="AA272" s="32">
        <f t="shared" ca="1" si="32"/>
        <v>35</v>
      </c>
      <c r="AB272" s="33">
        <f t="shared" si="33"/>
        <v>9</v>
      </c>
      <c r="AC272" s="34" t="str">
        <f t="shared" si="34"/>
        <v>Delayed</v>
      </c>
    </row>
    <row r="273" spans="1:29">
      <c r="A273" s="18" t="s">
        <v>1281</v>
      </c>
      <c r="B273" s="18" t="s">
        <v>23</v>
      </c>
      <c r="C273" s="18" t="s">
        <v>222</v>
      </c>
      <c r="D273" s="18" t="s">
        <v>1282</v>
      </c>
      <c r="E273" s="18" t="s">
        <v>724</v>
      </c>
      <c r="F273" s="18" t="s">
        <v>27</v>
      </c>
      <c r="G273" s="18" t="s">
        <v>28</v>
      </c>
      <c r="H273" s="18" t="s">
        <v>1283</v>
      </c>
      <c r="I273" s="18" t="s">
        <v>105</v>
      </c>
      <c r="J273" s="18" t="s">
        <v>106</v>
      </c>
      <c r="K273" s="18" t="s">
        <v>122</v>
      </c>
      <c r="L273" s="18" t="s">
        <v>227</v>
      </c>
      <c r="M273" s="18">
        <v>13</v>
      </c>
      <c r="N273" s="18">
        <v>20</v>
      </c>
      <c r="O273" s="18">
        <v>5</v>
      </c>
      <c r="P273" s="18">
        <v>247</v>
      </c>
      <c r="Q273" s="18">
        <v>3</v>
      </c>
      <c r="R273" s="18" t="s">
        <v>48</v>
      </c>
      <c r="S273" s="18" t="s">
        <v>115</v>
      </c>
      <c r="T273" s="18" t="s">
        <v>50</v>
      </c>
      <c r="U273" s="19" t="s">
        <v>1284</v>
      </c>
      <c r="V273" s="18" t="s">
        <v>64</v>
      </c>
      <c r="W273" t="str">
        <f t="shared" si="28"/>
        <v>Blacklisted</v>
      </c>
      <c r="X273" s="27" t="str">
        <f t="shared" si="29"/>
        <v>Kavya Nair</v>
      </c>
      <c r="Y273" s="29" t="str">
        <f t="shared" si="30"/>
        <v>Kav00IDMu</v>
      </c>
      <c r="Z273" s="30" t="str">
        <f t="shared" si="31"/>
        <v>kavya.nair@company.com</v>
      </c>
      <c r="AA273" s="32">
        <f t="shared" ca="1" si="32"/>
        <v>45</v>
      </c>
      <c r="AB273" s="33">
        <f t="shared" si="33"/>
        <v>9</v>
      </c>
      <c r="AC273" s="34" t="str">
        <f t="shared" si="34"/>
        <v>Delayed</v>
      </c>
    </row>
    <row r="274" spans="1:29">
      <c r="A274" s="15" t="s">
        <v>1285</v>
      </c>
      <c r="B274" s="15" t="s">
        <v>83</v>
      </c>
      <c r="C274" s="15" t="s">
        <v>118</v>
      </c>
      <c r="D274" s="15" t="s">
        <v>740</v>
      </c>
      <c r="E274" s="15" t="s">
        <v>1286</v>
      </c>
      <c r="F274" s="15" t="s">
        <v>180</v>
      </c>
      <c r="G274" s="15" t="s">
        <v>76</v>
      </c>
      <c r="H274" s="15" t="s">
        <v>1287</v>
      </c>
      <c r="I274" s="15" t="s">
        <v>212</v>
      </c>
      <c r="J274" s="15" t="s">
        <v>45</v>
      </c>
      <c r="K274" s="15" t="s">
        <v>122</v>
      </c>
      <c r="L274" s="15" t="s">
        <v>123</v>
      </c>
      <c r="M274" s="15">
        <v>1</v>
      </c>
      <c r="N274" s="15">
        <v>60</v>
      </c>
      <c r="O274" s="15">
        <v>15</v>
      </c>
      <c r="P274" s="15">
        <v>51</v>
      </c>
      <c r="Q274" s="15">
        <v>2</v>
      </c>
      <c r="R274" s="15" t="s">
        <v>79</v>
      </c>
      <c r="S274" s="15" t="s">
        <v>61</v>
      </c>
      <c r="T274" s="15" t="s">
        <v>89</v>
      </c>
      <c r="U274" s="17" t="s">
        <v>1288</v>
      </c>
      <c r="V274" s="15" t="s">
        <v>69</v>
      </c>
      <c r="W274" t="str">
        <f t="shared" si="28"/>
        <v>Blacklisted</v>
      </c>
      <c r="X274" s="27" t="str">
        <f t="shared" si="29"/>
        <v>Arjun Rao</v>
      </c>
      <c r="Y274" s="29" t="str">
        <f t="shared" si="30"/>
        <v>Arj00IDJa</v>
      </c>
      <c r="Z274" s="30" t="str">
        <f t="shared" si="31"/>
        <v>arjun.rao@company.com</v>
      </c>
      <c r="AA274" s="32">
        <f t="shared" ca="1" si="32"/>
        <v>41</v>
      </c>
      <c r="AB274" s="33">
        <f t="shared" si="33"/>
        <v>12</v>
      </c>
      <c r="AC274" s="34" t="str">
        <f t="shared" si="34"/>
        <v>Delayed</v>
      </c>
    </row>
    <row r="275" spans="1:29">
      <c r="A275" s="18" t="s">
        <v>1289</v>
      </c>
      <c r="B275" s="18" t="s">
        <v>53</v>
      </c>
      <c r="C275" s="18" t="s">
        <v>222</v>
      </c>
      <c r="D275" s="18" t="s">
        <v>1290</v>
      </c>
      <c r="E275" s="18" t="s">
        <v>965</v>
      </c>
      <c r="F275" s="18" t="s">
        <v>163</v>
      </c>
      <c r="G275" s="18" t="s">
        <v>28</v>
      </c>
      <c r="H275" s="18" t="s">
        <v>1291</v>
      </c>
      <c r="I275" s="18" t="s">
        <v>114</v>
      </c>
      <c r="J275" s="18" t="s">
        <v>106</v>
      </c>
      <c r="K275" s="18" t="s">
        <v>122</v>
      </c>
      <c r="L275" s="18" t="s">
        <v>227</v>
      </c>
      <c r="M275" s="18">
        <v>5</v>
      </c>
      <c r="N275" s="18">
        <v>20</v>
      </c>
      <c r="O275" s="18">
        <v>5</v>
      </c>
      <c r="P275" s="18">
        <v>95</v>
      </c>
      <c r="Q275" s="18">
        <v>2</v>
      </c>
      <c r="R275" s="18" t="s">
        <v>48</v>
      </c>
      <c r="S275" s="18" t="s">
        <v>49</v>
      </c>
      <c r="T275" s="18" t="s">
        <v>62</v>
      </c>
      <c r="U275" s="19" t="s">
        <v>1292</v>
      </c>
      <c r="V275" s="18" t="s">
        <v>64</v>
      </c>
      <c r="W275" t="str">
        <f t="shared" si="28"/>
        <v>Blacklisted</v>
      </c>
      <c r="X275" s="27" t="str">
        <f t="shared" si="29"/>
        <v>Pooja Shah</v>
      </c>
      <c r="Y275" s="29" t="str">
        <f t="shared" si="30"/>
        <v>Poo01IDPu</v>
      </c>
      <c r="Z275" s="30" t="str">
        <f t="shared" si="31"/>
        <v>pooja.shah@company.com</v>
      </c>
      <c r="AA275" s="32">
        <f t="shared" ca="1" si="32"/>
        <v>50</v>
      </c>
      <c r="AB275" s="33">
        <f t="shared" si="33"/>
        <v>6</v>
      </c>
      <c r="AC275" s="34" t="str">
        <f t="shared" si="34"/>
        <v>Delayed</v>
      </c>
    </row>
    <row r="276" spans="1:29">
      <c r="A276" s="15" t="s">
        <v>1293</v>
      </c>
      <c r="B276" s="15" t="s">
        <v>221</v>
      </c>
      <c r="C276" s="15" t="s">
        <v>222</v>
      </c>
      <c r="D276" s="15" t="s">
        <v>1294</v>
      </c>
      <c r="E276" s="15" t="s">
        <v>1017</v>
      </c>
      <c r="F276" s="15" t="s">
        <v>225</v>
      </c>
      <c r="G276" s="15" t="s">
        <v>76</v>
      </c>
      <c r="H276" s="15" t="s">
        <v>1295</v>
      </c>
      <c r="I276" s="15" t="s">
        <v>294</v>
      </c>
      <c r="J276" s="15" t="s">
        <v>295</v>
      </c>
      <c r="K276" s="15" t="s">
        <v>122</v>
      </c>
      <c r="L276" s="15" t="s">
        <v>227</v>
      </c>
      <c r="M276" s="15">
        <v>19</v>
      </c>
      <c r="N276" s="15">
        <v>20</v>
      </c>
      <c r="O276" s="15">
        <v>20</v>
      </c>
      <c r="P276" s="15">
        <v>304</v>
      </c>
      <c r="Q276" s="15">
        <v>3</v>
      </c>
      <c r="R276" s="15" t="s">
        <v>34</v>
      </c>
      <c r="S276" s="15" t="s">
        <v>35</v>
      </c>
      <c r="T276" s="15" t="s">
        <v>228</v>
      </c>
      <c r="U276" s="17" t="s">
        <v>1296</v>
      </c>
      <c r="V276" s="15" t="s">
        <v>69</v>
      </c>
      <c r="W276" t="str">
        <f t="shared" si="28"/>
        <v>Blacklisted</v>
      </c>
      <c r="X276" s="27" t="str">
        <f t="shared" si="29"/>
        <v>Vikas Mehta</v>
      </c>
      <c r="Y276" s="29" t="str">
        <f t="shared" si="30"/>
        <v>Vik00IDKo</v>
      </c>
      <c r="Z276" s="30" t="str">
        <f t="shared" si="31"/>
        <v>vikas.mehta@company.com</v>
      </c>
      <c r="AA276" s="32">
        <f t="shared" ca="1" si="32"/>
        <v>48</v>
      </c>
      <c r="AB276" s="33">
        <f t="shared" si="33"/>
        <v>5</v>
      </c>
      <c r="AC276" s="34" t="str">
        <f t="shared" si="34"/>
        <v>On Time</v>
      </c>
    </row>
    <row r="277" spans="1:29">
      <c r="A277" s="18" t="s">
        <v>1297</v>
      </c>
      <c r="B277" s="18" t="s">
        <v>100</v>
      </c>
      <c r="C277" s="18" t="s">
        <v>259</v>
      </c>
      <c r="D277" s="18" t="s">
        <v>1298</v>
      </c>
      <c r="E277" s="18" t="s">
        <v>366</v>
      </c>
      <c r="F277" s="18" t="s">
        <v>103</v>
      </c>
      <c r="G277" s="18" t="s">
        <v>28</v>
      </c>
      <c r="H277" s="18" t="s">
        <v>1299</v>
      </c>
      <c r="I277" s="18" t="s">
        <v>138</v>
      </c>
      <c r="J277" s="18" t="s">
        <v>106</v>
      </c>
      <c r="K277" s="18" t="s">
        <v>122</v>
      </c>
      <c r="L277" s="18" t="s">
        <v>263</v>
      </c>
      <c r="M277" s="18">
        <v>17</v>
      </c>
      <c r="N277" s="18">
        <v>45</v>
      </c>
      <c r="O277" s="18">
        <v>5</v>
      </c>
      <c r="P277" s="18">
        <v>726.75</v>
      </c>
      <c r="Q277" s="18">
        <v>4</v>
      </c>
      <c r="R277" s="18" t="s">
        <v>34</v>
      </c>
      <c r="S277" s="18" t="s">
        <v>115</v>
      </c>
      <c r="T277" s="18" t="s">
        <v>144</v>
      </c>
      <c r="U277" s="19" t="s">
        <v>1300</v>
      </c>
      <c r="V277" s="18" t="s">
        <v>64</v>
      </c>
      <c r="W277" t="str">
        <f t="shared" si="28"/>
        <v>Blacklisted</v>
      </c>
      <c r="X277" s="27" t="str">
        <f t="shared" si="29"/>
        <v>Priya Patel</v>
      </c>
      <c r="Y277" s="29" t="str">
        <f t="shared" si="30"/>
        <v>Pri00IDAh</v>
      </c>
      <c r="Z277" s="30" t="str">
        <f t="shared" si="31"/>
        <v>priya.patel@company.com</v>
      </c>
      <c r="AA277" s="32">
        <f t="shared" ca="1" si="32"/>
        <v>28</v>
      </c>
      <c r="AB277" s="33">
        <f t="shared" si="33"/>
        <v>9</v>
      </c>
      <c r="AC277" s="34" t="str">
        <f t="shared" si="34"/>
        <v>Delayed</v>
      </c>
    </row>
    <row r="278" spans="1:29">
      <c r="A278" s="15" t="s">
        <v>1301</v>
      </c>
      <c r="B278" s="15" t="s">
        <v>83</v>
      </c>
      <c r="C278" s="15" t="s">
        <v>184</v>
      </c>
      <c r="D278" s="15" t="s">
        <v>1302</v>
      </c>
      <c r="E278" s="15" t="s">
        <v>170</v>
      </c>
      <c r="F278" s="15" t="s">
        <v>180</v>
      </c>
      <c r="G278" s="15" t="s">
        <v>76</v>
      </c>
      <c r="H278" s="15" t="s">
        <v>1303</v>
      </c>
      <c r="I278" s="15" t="s">
        <v>59</v>
      </c>
      <c r="J278" s="15" t="s">
        <v>31</v>
      </c>
      <c r="K278" s="15" t="s">
        <v>46</v>
      </c>
      <c r="L278" s="15" t="s">
        <v>189</v>
      </c>
      <c r="M278" s="15">
        <v>8</v>
      </c>
      <c r="N278" s="15">
        <v>700</v>
      </c>
      <c r="O278" s="15">
        <v>15</v>
      </c>
      <c r="P278" s="15">
        <v>4760</v>
      </c>
      <c r="Q278" s="15">
        <v>4</v>
      </c>
      <c r="R278" s="15" t="s">
        <v>48</v>
      </c>
      <c r="S278" s="15" t="s">
        <v>35</v>
      </c>
      <c r="T278" s="15" t="s">
        <v>89</v>
      </c>
      <c r="U278" s="17" t="s">
        <v>1304</v>
      </c>
      <c r="V278" s="15" t="s">
        <v>64</v>
      </c>
      <c r="W278" t="str">
        <f t="shared" si="28"/>
        <v>Blacklisted</v>
      </c>
      <c r="X278" s="27" t="str">
        <f t="shared" si="29"/>
        <v>Arjun Rao</v>
      </c>
      <c r="Y278" s="29" t="str">
        <f t="shared" si="30"/>
        <v>Arj00IDBe</v>
      </c>
      <c r="Z278" s="30" t="str">
        <f t="shared" si="31"/>
        <v>arjun.rao@company.com</v>
      </c>
      <c r="AA278" s="32">
        <f t="shared" ca="1" si="32"/>
        <v>50</v>
      </c>
      <c r="AB278" s="33">
        <f t="shared" si="33"/>
        <v>4</v>
      </c>
      <c r="AC278" s="34" t="str">
        <f t="shared" si="34"/>
        <v>On Time</v>
      </c>
    </row>
    <row r="279" spans="1:29">
      <c r="A279" s="18" t="s">
        <v>1305</v>
      </c>
      <c r="B279" s="18" t="s">
        <v>168</v>
      </c>
      <c r="C279" s="18" t="s">
        <v>24</v>
      </c>
      <c r="D279" s="18" t="s">
        <v>1306</v>
      </c>
      <c r="E279" s="18" t="s">
        <v>1307</v>
      </c>
      <c r="F279" s="18" t="s">
        <v>361</v>
      </c>
      <c r="G279" s="18" t="s">
        <v>28</v>
      </c>
      <c r="H279" s="18" t="s">
        <v>1308</v>
      </c>
      <c r="I279" s="18" t="s">
        <v>105</v>
      </c>
      <c r="J279" s="18" t="s">
        <v>106</v>
      </c>
      <c r="K279" s="18" t="s">
        <v>32</v>
      </c>
      <c r="L279" s="18" t="s">
        <v>33</v>
      </c>
      <c r="M279" s="18">
        <v>15</v>
      </c>
      <c r="N279" s="18">
        <v>2200</v>
      </c>
      <c r="O279" s="18">
        <v>10</v>
      </c>
      <c r="P279" s="18">
        <v>29700</v>
      </c>
      <c r="Q279" s="18">
        <v>5</v>
      </c>
      <c r="R279" s="18" t="s">
        <v>88</v>
      </c>
      <c r="S279" s="18" t="s">
        <v>151</v>
      </c>
      <c r="T279" s="18" t="s">
        <v>175</v>
      </c>
      <c r="U279" s="19" t="s">
        <v>1309</v>
      </c>
      <c r="V279" s="18" t="s">
        <v>38</v>
      </c>
      <c r="W279" t="str">
        <f t="shared" si="28"/>
        <v>Silver</v>
      </c>
      <c r="X279" s="27" t="str">
        <f t="shared" si="29"/>
        <v>Anita Gupta</v>
      </c>
      <c r="Y279" s="29" t="str">
        <f t="shared" si="30"/>
        <v>Ani00IDMu</v>
      </c>
      <c r="Z279" s="30" t="str">
        <f t="shared" si="31"/>
        <v>anita.gupta@company.com</v>
      </c>
      <c r="AA279" s="32">
        <f t="shared" ca="1" si="32"/>
        <v>51</v>
      </c>
      <c r="AB279" s="33">
        <f t="shared" si="33"/>
        <v>8</v>
      </c>
      <c r="AC279" s="34" t="str">
        <f t="shared" si="34"/>
        <v>Delayed</v>
      </c>
    </row>
    <row r="280" spans="1:29">
      <c r="A280" s="15" t="s">
        <v>1310</v>
      </c>
      <c r="B280" s="15" t="s">
        <v>100</v>
      </c>
      <c r="C280" s="15" t="s">
        <v>24</v>
      </c>
      <c r="D280" s="15" t="s">
        <v>860</v>
      </c>
      <c r="E280" s="15" t="s">
        <v>1311</v>
      </c>
      <c r="F280" s="15" t="s">
        <v>103</v>
      </c>
      <c r="G280" s="15" t="s">
        <v>28</v>
      </c>
      <c r="H280" s="15" t="s">
        <v>1312</v>
      </c>
      <c r="I280" s="15" t="s">
        <v>105</v>
      </c>
      <c r="J280" s="15" t="s">
        <v>106</v>
      </c>
      <c r="K280" s="15" t="s">
        <v>32</v>
      </c>
      <c r="L280" s="15" t="s">
        <v>33</v>
      </c>
      <c r="M280" s="15">
        <v>1</v>
      </c>
      <c r="N280" s="15">
        <v>2200</v>
      </c>
      <c r="O280" s="15">
        <v>0</v>
      </c>
      <c r="P280" s="15">
        <v>2200</v>
      </c>
      <c r="Q280" s="15">
        <v>4</v>
      </c>
      <c r="R280" s="15" t="s">
        <v>34</v>
      </c>
      <c r="S280" s="15" t="s">
        <v>49</v>
      </c>
      <c r="T280" s="15" t="s">
        <v>144</v>
      </c>
      <c r="U280" s="17" t="s">
        <v>1313</v>
      </c>
      <c r="V280" s="15" t="s">
        <v>69</v>
      </c>
      <c r="W280" t="str">
        <f t="shared" si="28"/>
        <v>Blacklisted</v>
      </c>
      <c r="X280" s="27" t="str">
        <f t="shared" si="29"/>
        <v>Priya Patel</v>
      </c>
      <c r="Y280" s="29" t="str">
        <f t="shared" si="30"/>
        <v>Pri00IDMu</v>
      </c>
      <c r="Z280" s="30" t="str">
        <f t="shared" si="31"/>
        <v>priya.patel@company.com</v>
      </c>
      <c r="AA280" s="32">
        <f t="shared" ca="1" si="32"/>
        <v>24</v>
      </c>
      <c r="AB280" s="33">
        <f t="shared" si="33"/>
        <v>12</v>
      </c>
      <c r="AC280" s="34" t="str">
        <f t="shared" si="34"/>
        <v>Delayed</v>
      </c>
    </row>
    <row r="281" spans="1:29">
      <c r="A281" s="18" t="s">
        <v>1314</v>
      </c>
      <c r="B281" s="18" t="s">
        <v>251</v>
      </c>
      <c r="C281" s="18" t="s">
        <v>92</v>
      </c>
      <c r="D281" s="18" t="s">
        <v>872</v>
      </c>
      <c r="E281" s="18" t="s">
        <v>1315</v>
      </c>
      <c r="F281" s="18" t="s">
        <v>254</v>
      </c>
      <c r="G281" s="18" t="s">
        <v>28</v>
      </c>
      <c r="H281" s="18" t="s">
        <v>1316</v>
      </c>
      <c r="I281" s="18" t="s">
        <v>138</v>
      </c>
      <c r="J281" s="18" t="s">
        <v>106</v>
      </c>
      <c r="K281" s="18" t="s">
        <v>32</v>
      </c>
      <c r="L281" s="18" t="s">
        <v>97</v>
      </c>
      <c r="M281" s="18">
        <v>10</v>
      </c>
      <c r="N281" s="18">
        <v>3500</v>
      </c>
      <c r="O281" s="18">
        <v>10</v>
      </c>
      <c r="P281" s="18">
        <v>31500</v>
      </c>
      <c r="Q281" s="18">
        <v>4</v>
      </c>
      <c r="R281" s="18" t="s">
        <v>48</v>
      </c>
      <c r="S281" s="18" t="s">
        <v>35</v>
      </c>
      <c r="T281" s="18" t="s">
        <v>256</v>
      </c>
      <c r="U281" s="19" t="s">
        <v>1317</v>
      </c>
      <c r="V281" s="18" t="s">
        <v>69</v>
      </c>
      <c r="W281" t="str">
        <f t="shared" si="28"/>
        <v>Blacklisted</v>
      </c>
      <c r="X281" s="27" t="str">
        <f t="shared" si="29"/>
        <v>Sneha Joshi</v>
      </c>
      <c r="Y281" s="29" t="str">
        <f t="shared" si="30"/>
        <v>Sne00IDAh</v>
      </c>
      <c r="Z281" s="30" t="str">
        <f t="shared" si="31"/>
        <v>sneha.joshi@company.com</v>
      </c>
      <c r="AA281" s="32">
        <f t="shared" ca="1" si="32"/>
        <v>38</v>
      </c>
      <c r="AB281" s="33">
        <f t="shared" si="33"/>
        <v>11</v>
      </c>
      <c r="AC281" s="34" t="str">
        <f t="shared" si="34"/>
        <v>Delayed</v>
      </c>
    </row>
    <row r="282" spans="1:29">
      <c r="A282" s="15" t="s">
        <v>1318</v>
      </c>
      <c r="B282" s="15" t="s">
        <v>71</v>
      </c>
      <c r="C282" s="15" t="s">
        <v>92</v>
      </c>
      <c r="D282" s="15" t="s">
        <v>1319</v>
      </c>
      <c r="E282" s="15" t="s">
        <v>1320</v>
      </c>
      <c r="F282" s="15" t="s">
        <v>217</v>
      </c>
      <c r="G282" s="15" t="s">
        <v>76</v>
      </c>
      <c r="H282" s="15" t="s">
        <v>1321</v>
      </c>
      <c r="I282" s="15" t="s">
        <v>212</v>
      </c>
      <c r="J282" s="15" t="s">
        <v>45</v>
      </c>
      <c r="K282" s="15" t="s">
        <v>32</v>
      </c>
      <c r="L282" s="15" t="s">
        <v>97</v>
      </c>
      <c r="M282" s="15">
        <v>16</v>
      </c>
      <c r="N282" s="15">
        <v>3500</v>
      </c>
      <c r="O282" s="15">
        <v>15</v>
      </c>
      <c r="P282" s="15">
        <v>47600</v>
      </c>
      <c r="Q282" s="15">
        <v>1</v>
      </c>
      <c r="R282" s="15" t="s">
        <v>79</v>
      </c>
      <c r="S282" s="15" t="s">
        <v>115</v>
      </c>
      <c r="T282" s="15" t="s">
        <v>80</v>
      </c>
      <c r="U282" s="17" t="s">
        <v>1322</v>
      </c>
      <c r="V282" s="15" t="s">
        <v>64</v>
      </c>
      <c r="W282" t="str">
        <f t="shared" si="28"/>
        <v>Blacklisted</v>
      </c>
      <c r="X282" s="27" t="str">
        <f t="shared" si="29"/>
        <v>Mohit Verma</v>
      </c>
      <c r="Y282" s="29" t="str">
        <f t="shared" si="30"/>
        <v>Moh00IDJa</v>
      </c>
      <c r="Z282" s="30" t="str">
        <f t="shared" si="31"/>
        <v>mohit.verma@company.com</v>
      </c>
      <c r="AA282" s="32">
        <f t="shared" ca="1" si="32"/>
        <v>35</v>
      </c>
      <c r="AB282" s="33">
        <f t="shared" si="33"/>
        <v>4</v>
      </c>
      <c r="AC282" s="34" t="str">
        <f t="shared" si="34"/>
        <v>On Time</v>
      </c>
    </row>
    <row r="283" spans="1:29">
      <c r="A283" s="18" t="s">
        <v>1323</v>
      </c>
      <c r="B283" s="18" t="s">
        <v>251</v>
      </c>
      <c r="C283" s="18" t="s">
        <v>40</v>
      </c>
      <c r="D283" s="18" t="s">
        <v>1324</v>
      </c>
      <c r="E283" s="18" t="s">
        <v>25</v>
      </c>
      <c r="F283" s="18" t="s">
        <v>254</v>
      </c>
      <c r="G283" s="18" t="s">
        <v>28</v>
      </c>
      <c r="H283" s="18" t="s">
        <v>1325</v>
      </c>
      <c r="I283" s="18" t="s">
        <v>212</v>
      </c>
      <c r="J283" s="18" t="s">
        <v>45</v>
      </c>
      <c r="K283" s="18" t="s">
        <v>46</v>
      </c>
      <c r="L283" s="18" t="s">
        <v>47</v>
      </c>
      <c r="M283" s="18">
        <v>1</v>
      </c>
      <c r="N283" s="18">
        <v>12000</v>
      </c>
      <c r="O283" s="18">
        <v>0</v>
      </c>
      <c r="P283" s="18">
        <v>12000</v>
      </c>
      <c r="Q283" s="18">
        <v>4</v>
      </c>
      <c r="R283" s="18" t="s">
        <v>48</v>
      </c>
      <c r="S283" s="18" t="s">
        <v>115</v>
      </c>
      <c r="T283" s="18" t="s">
        <v>256</v>
      </c>
      <c r="U283" s="19" t="s">
        <v>1326</v>
      </c>
      <c r="V283" s="18" t="s">
        <v>69</v>
      </c>
      <c r="W283" t="str">
        <f t="shared" si="28"/>
        <v>Blacklisted</v>
      </c>
      <c r="X283" s="27" t="str">
        <f t="shared" si="29"/>
        <v>Sneha Joshi</v>
      </c>
      <c r="Y283" s="29" t="str">
        <f t="shared" si="30"/>
        <v>Sne00IDJa</v>
      </c>
      <c r="Z283" s="30" t="str">
        <f t="shared" si="31"/>
        <v>sneha.joshi@company.com</v>
      </c>
      <c r="AA283" s="32">
        <f t="shared" ca="1" si="32"/>
        <v>48</v>
      </c>
      <c r="AB283" s="33">
        <f t="shared" si="33"/>
        <v>12</v>
      </c>
      <c r="AC283" s="34" t="str">
        <f t="shared" si="34"/>
        <v>Delayed</v>
      </c>
    </row>
    <row r="284" spans="1:29">
      <c r="A284" s="15" t="s">
        <v>1327</v>
      </c>
      <c r="B284" s="15" t="s">
        <v>83</v>
      </c>
      <c r="C284" s="15" t="s">
        <v>184</v>
      </c>
      <c r="D284" s="15" t="s">
        <v>1328</v>
      </c>
      <c r="E284" s="15" t="s">
        <v>606</v>
      </c>
      <c r="F284" s="15" t="s">
        <v>180</v>
      </c>
      <c r="G284" s="15" t="s">
        <v>76</v>
      </c>
      <c r="H284" s="15" t="s">
        <v>1329</v>
      </c>
      <c r="I284" s="15" t="s">
        <v>105</v>
      </c>
      <c r="J284" s="15" t="s">
        <v>106</v>
      </c>
      <c r="K284" s="15" t="s">
        <v>46</v>
      </c>
      <c r="L284" s="15" t="s">
        <v>189</v>
      </c>
      <c r="M284" s="15">
        <v>6</v>
      </c>
      <c r="N284" s="15">
        <v>700</v>
      </c>
      <c r="O284" s="15">
        <v>20</v>
      </c>
      <c r="P284" s="15">
        <v>3360</v>
      </c>
      <c r="Q284" s="15">
        <v>2</v>
      </c>
      <c r="R284" s="15" t="s">
        <v>48</v>
      </c>
      <c r="S284" s="15" t="s">
        <v>115</v>
      </c>
      <c r="T284" s="15" t="s">
        <v>89</v>
      </c>
      <c r="U284" s="17" t="s">
        <v>1330</v>
      </c>
      <c r="V284" s="15" t="s">
        <v>64</v>
      </c>
      <c r="W284" t="str">
        <f t="shared" si="28"/>
        <v>Blacklisted</v>
      </c>
      <c r="X284" s="27" t="str">
        <f t="shared" si="29"/>
        <v>Arjun Rao</v>
      </c>
      <c r="Y284" s="29" t="str">
        <f t="shared" si="30"/>
        <v>Arj00IDMu</v>
      </c>
      <c r="Z284" s="30" t="str">
        <f t="shared" si="31"/>
        <v>arjun.rao@company.com</v>
      </c>
      <c r="AA284" s="32">
        <f t="shared" ca="1" si="32"/>
        <v>32</v>
      </c>
      <c r="AB284" s="33">
        <f t="shared" si="33"/>
        <v>6</v>
      </c>
      <c r="AC284" s="34" t="str">
        <f t="shared" si="34"/>
        <v>Delayed</v>
      </c>
    </row>
    <row r="285" spans="1:29">
      <c r="A285" s="18" t="s">
        <v>1331</v>
      </c>
      <c r="B285" s="18" t="s">
        <v>71</v>
      </c>
      <c r="C285" s="18" t="s">
        <v>24</v>
      </c>
      <c r="D285" s="18" t="s">
        <v>923</v>
      </c>
      <c r="E285" s="18" t="s">
        <v>1332</v>
      </c>
      <c r="F285" s="18" t="s">
        <v>217</v>
      </c>
      <c r="G285" s="18" t="s">
        <v>76</v>
      </c>
      <c r="H285" s="18" t="s">
        <v>1333</v>
      </c>
      <c r="I285" s="18" t="s">
        <v>138</v>
      </c>
      <c r="J285" s="18" t="s">
        <v>106</v>
      </c>
      <c r="K285" s="18" t="s">
        <v>32</v>
      </c>
      <c r="L285" s="18" t="s">
        <v>33</v>
      </c>
      <c r="M285" s="18">
        <v>3</v>
      </c>
      <c r="N285" s="18">
        <v>2200</v>
      </c>
      <c r="O285" s="18">
        <v>0</v>
      </c>
      <c r="P285" s="18">
        <v>6600</v>
      </c>
      <c r="Q285" s="18">
        <v>4</v>
      </c>
      <c r="R285" s="18" t="s">
        <v>79</v>
      </c>
      <c r="S285" s="18" t="s">
        <v>35</v>
      </c>
      <c r="T285" s="18" t="s">
        <v>80</v>
      </c>
      <c r="U285" s="19" t="s">
        <v>1334</v>
      </c>
      <c r="V285" s="18" t="s">
        <v>38</v>
      </c>
      <c r="W285" t="str">
        <f t="shared" si="28"/>
        <v>Silver</v>
      </c>
      <c r="X285" s="27" t="str">
        <f t="shared" si="29"/>
        <v>Mohit Verma</v>
      </c>
      <c r="Y285" s="29" t="str">
        <f t="shared" si="30"/>
        <v>Moh00IDAh</v>
      </c>
      <c r="Z285" s="30" t="str">
        <f t="shared" si="31"/>
        <v>mohit.verma@company.com</v>
      </c>
      <c r="AA285" s="32">
        <f t="shared" ca="1" si="32"/>
        <v>31</v>
      </c>
      <c r="AB285" s="33">
        <f t="shared" si="33"/>
        <v>6</v>
      </c>
      <c r="AC285" s="34" t="str">
        <f t="shared" si="34"/>
        <v>Delayed</v>
      </c>
    </row>
    <row r="286" spans="1:29">
      <c r="A286" s="15" t="s">
        <v>1335</v>
      </c>
      <c r="B286" s="15" t="s">
        <v>251</v>
      </c>
      <c r="C286" s="15" t="s">
        <v>259</v>
      </c>
      <c r="D286" s="15" t="s">
        <v>1198</v>
      </c>
      <c r="E286" s="15" t="s">
        <v>216</v>
      </c>
      <c r="F286" s="15" t="s">
        <v>254</v>
      </c>
      <c r="G286" s="15" t="s">
        <v>28</v>
      </c>
      <c r="H286" s="15" t="s">
        <v>1336</v>
      </c>
      <c r="I286" s="15" t="s">
        <v>30</v>
      </c>
      <c r="J286" s="15" t="s">
        <v>31</v>
      </c>
      <c r="K286" s="15" t="s">
        <v>122</v>
      </c>
      <c r="L286" s="15" t="s">
        <v>263</v>
      </c>
      <c r="M286" s="15">
        <v>6</v>
      </c>
      <c r="N286" s="15">
        <v>45</v>
      </c>
      <c r="O286" s="15">
        <v>15</v>
      </c>
      <c r="P286" s="15">
        <v>229.5</v>
      </c>
      <c r="Q286" s="15">
        <v>1</v>
      </c>
      <c r="R286" s="15" t="s">
        <v>88</v>
      </c>
      <c r="S286" s="15" t="s">
        <v>49</v>
      </c>
      <c r="T286" s="15" t="s">
        <v>256</v>
      </c>
      <c r="U286" s="17" t="s">
        <v>1337</v>
      </c>
      <c r="V286" s="15" t="s">
        <v>38</v>
      </c>
      <c r="W286" t="str">
        <f t="shared" si="28"/>
        <v>Blacklisted</v>
      </c>
      <c r="X286" s="27" t="str">
        <f t="shared" si="29"/>
        <v>Sneha Joshi</v>
      </c>
      <c r="Y286" s="29" t="str">
        <f t="shared" si="30"/>
        <v>Sne00IDHy</v>
      </c>
      <c r="Z286" s="30" t="str">
        <f t="shared" si="31"/>
        <v>sneha.joshi@company.com</v>
      </c>
      <c r="AA286" s="32">
        <f t="shared" ca="1" si="32"/>
        <v>34</v>
      </c>
      <c r="AB286" s="33">
        <f t="shared" si="33"/>
        <v>4</v>
      </c>
      <c r="AC286" s="34" t="str">
        <f t="shared" si="34"/>
        <v>On Time</v>
      </c>
    </row>
    <row r="287" spans="1:29">
      <c r="A287" s="18" t="s">
        <v>1338</v>
      </c>
      <c r="B287" s="18" t="s">
        <v>251</v>
      </c>
      <c r="C287" s="18" t="s">
        <v>72</v>
      </c>
      <c r="D287" s="18" t="s">
        <v>26</v>
      </c>
      <c r="E287" s="18" t="s">
        <v>1339</v>
      </c>
      <c r="F287" s="18" t="s">
        <v>254</v>
      </c>
      <c r="G287" s="18" t="s">
        <v>28</v>
      </c>
      <c r="H287" s="18" t="s">
        <v>1340</v>
      </c>
      <c r="I287" s="18" t="s">
        <v>59</v>
      </c>
      <c r="J287" s="18" t="s">
        <v>31</v>
      </c>
      <c r="K287" s="18" t="s">
        <v>46</v>
      </c>
      <c r="L287" s="18" t="s">
        <v>78</v>
      </c>
      <c r="M287" s="18">
        <v>2</v>
      </c>
      <c r="N287" s="18">
        <v>1200</v>
      </c>
      <c r="O287" s="18">
        <v>0</v>
      </c>
      <c r="P287" s="18">
        <v>2400</v>
      </c>
      <c r="Q287" s="18">
        <v>1</v>
      </c>
      <c r="R287" s="18" t="s">
        <v>34</v>
      </c>
      <c r="S287" s="18" t="s">
        <v>151</v>
      </c>
      <c r="T287" s="18" t="s">
        <v>256</v>
      </c>
      <c r="U287" s="19" t="s">
        <v>1341</v>
      </c>
      <c r="V287" s="18" t="s">
        <v>69</v>
      </c>
      <c r="W287" t="str">
        <f t="shared" si="28"/>
        <v>Blacklisted</v>
      </c>
      <c r="X287" s="27" t="str">
        <f t="shared" si="29"/>
        <v>Sneha Joshi</v>
      </c>
      <c r="Y287" s="29" t="str">
        <f t="shared" si="30"/>
        <v>Sne00IDBe</v>
      </c>
      <c r="Z287" s="30" t="str">
        <f t="shared" si="31"/>
        <v>sneha.joshi@company.com</v>
      </c>
      <c r="AA287" s="32">
        <f t="shared" ca="1" si="32"/>
        <v>45</v>
      </c>
      <c r="AB287" s="33">
        <f t="shared" si="33"/>
        <v>8</v>
      </c>
      <c r="AC287" s="34" t="str">
        <f t="shared" si="34"/>
        <v>Delayed</v>
      </c>
    </row>
    <row r="288" spans="1:29">
      <c r="A288" s="15" t="s">
        <v>1342</v>
      </c>
      <c r="B288" s="15" t="s">
        <v>168</v>
      </c>
      <c r="C288" s="15" t="s">
        <v>184</v>
      </c>
      <c r="D288" s="15" t="s">
        <v>1343</v>
      </c>
      <c r="E288" s="15" t="s">
        <v>1344</v>
      </c>
      <c r="F288" s="15" t="s">
        <v>361</v>
      </c>
      <c r="G288" s="15" t="s">
        <v>28</v>
      </c>
      <c r="H288" s="15" t="s">
        <v>1345</v>
      </c>
      <c r="I288" s="15" t="s">
        <v>30</v>
      </c>
      <c r="J288" s="15" t="s">
        <v>31</v>
      </c>
      <c r="K288" s="15" t="s">
        <v>46</v>
      </c>
      <c r="L288" s="15" t="s">
        <v>189</v>
      </c>
      <c r="M288" s="15">
        <v>14</v>
      </c>
      <c r="N288" s="15">
        <v>700</v>
      </c>
      <c r="O288" s="15">
        <v>15</v>
      </c>
      <c r="P288" s="15">
        <v>8330</v>
      </c>
      <c r="Q288" s="15">
        <v>5</v>
      </c>
      <c r="R288" s="15" t="s">
        <v>34</v>
      </c>
      <c r="S288" s="15" t="s">
        <v>115</v>
      </c>
      <c r="T288" s="15" t="s">
        <v>175</v>
      </c>
      <c r="U288" s="17" t="s">
        <v>1346</v>
      </c>
      <c r="V288" s="15" t="s">
        <v>64</v>
      </c>
      <c r="W288" t="str">
        <f t="shared" si="28"/>
        <v>Blacklisted</v>
      </c>
      <c r="X288" s="27" t="str">
        <f t="shared" si="29"/>
        <v>Anita Gupta</v>
      </c>
      <c r="Y288" s="29" t="str">
        <f t="shared" si="30"/>
        <v>Ani00IDHy</v>
      </c>
      <c r="Z288" s="30" t="str">
        <f t="shared" si="31"/>
        <v>anita.gupta@company.com</v>
      </c>
      <c r="AA288" s="32">
        <f t="shared" ca="1" si="32"/>
        <v>42</v>
      </c>
      <c r="AB288" s="33">
        <f t="shared" si="33"/>
        <v>3</v>
      </c>
      <c r="AC288" s="34" t="str">
        <f t="shared" si="34"/>
        <v>On Time</v>
      </c>
    </row>
    <row r="289" spans="1:29">
      <c r="A289" s="18" t="s">
        <v>1347</v>
      </c>
      <c r="B289" s="18" t="s">
        <v>100</v>
      </c>
      <c r="C289" s="18" t="s">
        <v>222</v>
      </c>
      <c r="D289" s="18" t="s">
        <v>291</v>
      </c>
      <c r="E289" s="18" t="s">
        <v>507</v>
      </c>
      <c r="F289" s="18" t="s">
        <v>103</v>
      </c>
      <c r="G289" s="18" t="s">
        <v>28</v>
      </c>
      <c r="H289" s="18" t="s">
        <v>1348</v>
      </c>
      <c r="I289" s="18" t="s">
        <v>105</v>
      </c>
      <c r="J289" s="18" t="s">
        <v>106</v>
      </c>
      <c r="K289" s="18" t="s">
        <v>122</v>
      </c>
      <c r="L289" s="18" t="s">
        <v>227</v>
      </c>
      <c r="M289" s="18">
        <v>13</v>
      </c>
      <c r="N289" s="18">
        <v>20</v>
      </c>
      <c r="O289" s="18">
        <v>5</v>
      </c>
      <c r="P289" s="18">
        <v>247</v>
      </c>
      <c r="Q289" s="18">
        <v>1</v>
      </c>
      <c r="R289" s="18" t="s">
        <v>79</v>
      </c>
      <c r="S289" s="18" t="s">
        <v>35</v>
      </c>
      <c r="T289" s="18" t="s">
        <v>1349</v>
      </c>
      <c r="U289" s="19" t="s">
        <v>1350</v>
      </c>
      <c r="V289" s="18" t="s">
        <v>64</v>
      </c>
      <c r="W289" t="str">
        <f t="shared" si="28"/>
        <v>Blacklisted</v>
      </c>
      <c r="X289" s="27" t="str">
        <f t="shared" si="29"/>
        <v>Priya Patel</v>
      </c>
      <c r="Y289" s="29" t="str">
        <f t="shared" si="30"/>
        <v>Pri00IDMu</v>
      </c>
      <c r="Z289" s="30" t="str">
        <f t="shared" si="31"/>
        <v>Invalid Email</v>
      </c>
      <c r="AA289" s="32">
        <f t="shared" ca="1" si="32"/>
        <v>50</v>
      </c>
      <c r="AB289" s="33">
        <f t="shared" si="33"/>
        <v>1</v>
      </c>
      <c r="AC289" s="34" t="str">
        <f t="shared" si="34"/>
        <v>On Time</v>
      </c>
    </row>
    <row r="290" spans="1:29">
      <c r="A290" s="15" t="s">
        <v>1351</v>
      </c>
      <c r="B290" s="15" t="s">
        <v>71</v>
      </c>
      <c r="C290" s="15" t="s">
        <v>24</v>
      </c>
      <c r="D290" s="15" t="s">
        <v>135</v>
      </c>
      <c r="E290" s="15" t="s">
        <v>136</v>
      </c>
      <c r="F290" s="15" t="s">
        <v>217</v>
      </c>
      <c r="G290" s="15" t="s">
        <v>76</v>
      </c>
      <c r="H290" s="15" t="s">
        <v>1352</v>
      </c>
      <c r="I290" s="15" t="s">
        <v>114</v>
      </c>
      <c r="J290" s="15" t="s">
        <v>106</v>
      </c>
      <c r="K290" s="15" t="s">
        <v>32</v>
      </c>
      <c r="L290" s="15" t="s">
        <v>33</v>
      </c>
      <c r="M290" s="15">
        <v>3</v>
      </c>
      <c r="N290" s="15">
        <v>2200</v>
      </c>
      <c r="O290" s="15">
        <v>0</v>
      </c>
      <c r="P290" s="15">
        <v>6600</v>
      </c>
      <c r="Q290" s="15">
        <v>4</v>
      </c>
      <c r="R290" s="15" t="s">
        <v>48</v>
      </c>
      <c r="S290" s="15" t="s">
        <v>61</v>
      </c>
      <c r="T290" s="15" t="s">
        <v>80</v>
      </c>
      <c r="U290" s="17" t="s">
        <v>1353</v>
      </c>
      <c r="V290" s="15" t="s">
        <v>69</v>
      </c>
      <c r="W290" t="str">
        <f t="shared" si="28"/>
        <v>Blacklisted</v>
      </c>
      <c r="X290" s="27" t="str">
        <f t="shared" si="29"/>
        <v>Mohit Verma</v>
      </c>
      <c r="Y290" s="29" t="str">
        <f t="shared" si="30"/>
        <v>Moh00IDPu</v>
      </c>
      <c r="Z290" s="30" t="str">
        <f t="shared" si="31"/>
        <v>mohit.verma@company.com</v>
      </c>
      <c r="AA290" s="32">
        <f t="shared" ca="1" si="32"/>
        <v>31</v>
      </c>
      <c r="AB290" s="33">
        <f t="shared" si="33"/>
        <v>7</v>
      </c>
      <c r="AC290" s="34" t="str">
        <f t="shared" si="34"/>
        <v>Delayed</v>
      </c>
    </row>
    <row r="291" spans="1:29">
      <c r="A291" s="18" t="s">
        <v>1354</v>
      </c>
      <c r="B291" s="18" t="s">
        <v>71</v>
      </c>
      <c r="C291" s="18" t="s">
        <v>118</v>
      </c>
      <c r="D291" s="18" t="s">
        <v>450</v>
      </c>
      <c r="E291" s="18" t="s">
        <v>923</v>
      </c>
      <c r="F291" s="18" t="s">
        <v>217</v>
      </c>
      <c r="G291" s="18" t="s">
        <v>76</v>
      </c>
      <c r="H291" s="18" t="s">
        <v>1355</v>
      </c>
      <c r="I291" s="18" t="s">
        <v>114</v>
      </c>
      <c r="J291" s="18" t="s">
        <v>106</v>
      </c>
      <c r="K291" s="18" t="s">
        <v>122</v>
      </c>
      <c r="L291" s="18" t="s">
        <v>123</v>
      </c>
      <c r="M291" s="18">
        <v>3</v>
      </c>
      <c r="N291" s="18">
        <v>60</v>
      </c>
      <c r="O291" s="18">
        <v>15</v>
      </c>
      <c r="P291" s="18">
        <v>153</v>
      </c>
      <c r="Q291" s="18">
        <v>4</v>
      </c>
      <c r="R291" s="18" t="s">
        <v>88</v>
      </c>
      <c r="S291" s="18" t="s">
        <v>115</v>
      </c>
      <c r="T291" s="18" t="s">
        <v>80</v>
      </c>
      <c r="U291" s="19" t="s">
        <v>1356</v>
      </c>
      <c r="V291" s="18" t="s">
        <v>38</v>
      </c>
      <c r="W291" t="str">
        <f t="shared" si="28"/>
        <v>Silver</v>
      </c>
      <c r="X291" s="27" t="str">
        <f t="shared" si="29"/>
        <v>Mohit Verma</v>
      </c>
      <c r="Y291" s="29" t="str">
        <f t="shared" si="30"/>
        <v>Moh00IDPu</v>
      </c>
      <c r="Z291" s="30" t="str">
        <f t="shared" si="31"/>
        <v>mohit.verma@company.com</v>
      </c>
      <c r="AA291" s="32">
        <f t="shared" ca="1" si="32"/>
        <v>46</v>
      </c>
      <c r="AB291" s="33">
        <f t="shared" si="33"/>
        <v>12</v>
      </c>
      <c r="AC291" s="34" t="str">
        <f t="shared" si="34"/>
        <v>Delayed</v>
      </c>
    </row>
    <row r="292" spans="1:29">
      <c r="A292" s="15" t="s">
        <v>1357</v>
      </c>
      <c r="B292" s="15" t="s">
        <v>127</v>
      </c>
      <c r="C292" s="15" t="s">
        <v>92</v>
      </c>
      <c r="D292" s="15" t="s">
        <v>624</v>
      </c>
      <c r="E292" s="15" t="s">
        <v>825</v>
      </c>
      <c r="F292" s="15" t="s">
        <v>200</v>
      </c>
      <c r="G292" s="15" t="s">
        <v>76</v>
      </c>
      <c r="H292" s="15" t="s">
        <v>584</v>
      </c>
      <c r="I292" s="15" t="s">
        <v>105</v>
      </c>
      <c r="J292" s="15" t="s">
        <v>106</v>
      </c>
      <c r="K292" s="15" t="s">
        <v>32</v>
      </c>
      <c r="L292" s="15" t="s">
        <v>97</v>
      </c>
      <c r="M292" s="15">
        <v>9</v>
      </c>
      <c r="N292" s="15">
        <v>3500</v>
      </c>
      <c r="O292" s="15">
        <v>5</v>
      </c>
      <c r="P292" s="15">
        <v>29925</v>
      </c>
      <c r="Q292" s="15">
        <v>1</v>
      </c>
      <c r="R292" s="15" t="s">
        <v>34</v>
      </c>
      <c r="S292" s="15" t="s">
        <v>61</v>
      </c>
      <c r="T292" s="15" t="s">
        <v>132</v>
      </c>
      <c r="U292" s="17" t="s">
        <v>1358</v>
      </c>
      <c r="V292" s="15" t="s">
        <v>64</v>
      </c>
      <c r="W292" t="str">
        <f t="shared" si="28"/>
        <v>Blacklisted</v>
      </c>
      <c r="X292" s="27" t="str">
        <f t="shared" si="29"/>
        <v>Rohit Singh</v>
      </c>
      <c r="Y292" s="29" t="str">
        <f t="shared" si="30"/>
        <v>Roh00IDMu</v>
      </c>
      <c r="Z292" s="30" t="str">
        <f t="shared" si="31"/>
        <v>rohit.singh@company.com</v>
      </c>
      <c r="AA292" s="32">
        <f t="shared" ca="1" si="32"/>
        <v>39</v>
      </c>
      <c r="AB292" s="33">
        <f t="shared" si="33"/>
        <v>6</v>
      </c>
      <c r="AC292" s="34" t="str">
        <f t="shared" si="34"/>
        <v>Delayed</v>
      </c>
    </row>
    <row r="293" spans="1:29">
      <c r="A293" s="18" t="s">
        <v>1359</v>
      </c>
      <c r="B293" s="18" t="s">
        <v>327</v>
      </c>
      <c r="C293" s="18" t="s">
        <v>72</v>
      </c>
      <c r="D293" s="18" t="s">
        <v>120</v>
      </c>
      <c r="E293" s="18" t="s">
        <v>1360</v>
      </c>
      <c r="F293" s="18" t="s">
        <v>394</v>
      </c>
      <c r="G293" s="18" t="s">
        <v>76</v>
      </c>
      <c r="H293" s="18" t="s">
        <v>1361</v>
      </c>
      <c r="I293" s="18" t="s">
        <v>212</v>
      </c>
      <c r="J293" s="18" t="s">
        <v>45</v>
      </c>
      <c r="K293" s="18" t="s">
        <v>46</v>
      </c>
      <c r="L293" s="18" t="s">
        <v>78</v>
      </c>
      <c r="M293" s="18">
        <v>5</v>
      </c>
      <c r="N293" s="18">
        <v>1200</v>
      </c>
      <c r="O293" s="18">
        <v>20</v>
      </c>
      <c r="P293" s="18">
        <v>4800</v>
      </c>
      <c r="Q293" s="18">
        <v>2</v>
      </c>
      <c r="R293" s="18" t="s">
        <v>88</v>
      </c>
      <c r="S293" s="18" t="s">
        <v>115</v>
      </c>
      <c r="T293" s="18" t="s">
        <v>332</v>
      </c>
      <c r="U293" s="19" t="s">
        <v>1362</v>
      </c>
      <c r="V293" s="18" t="s">
        <v>64</v>
      </c>
      <c r="W293" t="str">
        <f t="shared" si="28"/>
        <v>Blacklisted</v>
      </c>
      <c r="X293" s="27" t="str">
        <f t="shared" si="29"/>
        <v>Amit Sharma</v>
      </c>
      <c r="Y293" s="29" t="str">
        <f t="shared" si="30"/>
        <v>Ami00IDJa</v>
      </c>
      <c r="Z293" s="30" t="str">
        <f t="shared" si="31"/>
        <v>amit.sharma@company.com</v>
      </c>
      <c r="AA293" s="32">
        <f t="shared" ca="1" si="32"/>
        <v>25</v>
      </c>
      <c r="AB293" s="33">
        <f t="shared" si="33"/>
        <v>5</v>
      </c>
      <c r="AC293" s="34" t="str">
        <f t="shared" si="34"/>
        <v>On Time</v>
      </c>
    </row>
    <row r="294" spans="1:29">
      <c r="A294" s="15" t="s">
        <v>1363</v>
      </c>
      <c r="B294" s="15" t="s">
        <v>53</v>
      </c>
      <c r="C294" s="15" t="s">
        <v>72</v>
      </c>
      <c r="D294" s="15" t="s">
        <v>1031</v>
      </c>
      <c r="E294" s="15" t="s">
        <v>910</v>
      </c>
      <c r="F294" s="15" t="s">
        <v>163</v>
      </c>
      <c r="G294" s="15" t="s">
        <v>28</v>
      </c>
      <c r="H294" s="15" t="s">
        <v>1364</v>
      </c>
      <c r="I294" s="15" t="s">
        <v>212</v>
      </c>
      <c r="J294" s="15" t="s">
        <v>45</v>
      </c>
      <c r="K294" s="15" t="s">
        <v>46</v>
      </c>
      <c r="L294" s="15" t="s">
        <v>78</v>
      </c>
      <c r="M294" s="15">
        <v>10</v>
      </c>
      <c r="N294" s="15">
        <v>1200</v>
      </c>
      <c r="O294" s="15">
        <v>20</v>
      </c>
      <c r="P294" s="15">
        <v>9600</v>
      </c>
      <c r="Q294" s="15">
        <v>4</v>
      </c>
      <c r="R294" s="15" t="s">
        <v>34</v>
      </c>
      <c r="S294" s="15" t="s">
        <v>49</v>
      </c>
      <c r="T294" s="16" t="s">
        <v>1365</v>
      </c>
      <c r="U294" s="17" t="s">
        <v>1366</v>
      </c>
      <c r="V294" s="15" t="s">
        <v>38</v>
      </c>
      <c r="W294" t="str">
        <f t="shared" si="28"/>
        <v>Silver</v>
      </c>
      <c r="X294" s="27" t="str">
        <f t="shared" si="29"/>
        <v>Pooja Shah</v>
      </c>
      <c r="Y294" s="29" t="str">
        <f t="shared" si="30"/>
        <v>Poo01IDJa</v>
      </c>
      <c r="Z294" s="30" t="str">
        <f t="shared" si="31"/>
        <v>pooja.shah@company.com</v>
      </c>
      <c r="AA294" s="32">
        <f t="shared" ca="1" si="32"/>
        <v>36</v>
      </c>
      <c r="AB294" s="33">
        <f t="shared" si="33"/>
        <v>2</v>
      </c>
      <c r="AC294" s="34" t="str">
        <f t="shared" si="34"/>
        <v>On Time</v>
      </c>
    </row>
    <row r="295" spans="1:29">
      <c r="A295" s="18" t="s">
        <v>1367</v>
      </c>
      <c r="B295" s="18" t="s">
        <v>23</v>
      </c>
      <c r="C295" s="18" t="s">
        <v>72</v>
      </c>
      <c r="D295" s="18" t="s">
        <v>1368</v>
      </c>
      <c r="E295" s="18" t="s">
        <v>1369</v>
      </c>
      <c r="F295" s="18" t="s">
        <v>27</v>
      </c>
      <c r="G295" s="18" t="s">
        <v>28</v>
      </c>
      <c r="H295" s="18" t="s">
        <v>1370</v>
      </c>
      <c r="I295" s="18" t="s">
        <v>138</v>
      </c>
      <c r="J295" s="18" t="s">
        <v>106</v>
      </c>
      <c r="K295" s="18" t="s">
        <v>46</v>
      </c>
      <c r="L295" s="18" t="s">
        <v>78</v>
      </c>
      <c r="M295" s="18">
        <v>5</v>
      </c>
      <c r="N295" s="18">
        <v>1200</v>
      </c>
      <c r="O295" s="18">
        <v>20</v>
      </c>
      <c r="P295" s="18">
        <v>4800</v>
      </c>
      <c r="Q295" s="18">
        <v>3</v>
      </c>
      <c r="R295" s="18" t="s">
        <v>48</v>
      </c>
      <c r="S295" s="18" t="s">
        <v>151</v>
      </c>
      <c r="T295" s="18" t="s">
        <v>50</v>
      </c>
      <c r="U295" s="19" t="s">
        <v>1371</v>
      </c>
      <c r="V295" s="18" t="s">
        <v>38</v>
      </c>
      <c r="W295" t="str">
        <f t="shared" si="28"/>
        <v>Silver</v>
      </c>
      <c r="X295" s="27" t="str">
        <f t="shared" si="29"/>
        <v>Kavya Nair</v>
      </c>
      <c r="Y295" s="29" t="str">
        <f t="shared" si="30"/>
        <v>Kav00IDAh</v>
      </c>
      <c r="Z295" s="30" t="str">
        <f t="shared" si="31"/>
        <v>kavya.nair@company.com</v>
      </c>
      <c r="AA295" s="32">
        <f t="shared" ca="1" si="32"/>
        <v>37</v>
      </c>
      <c r="AB295" s="33">
        <f t="shared" si="33"/>
        <v>11</v>
      </c>
      <c r="AC295" s="34" t="str">
        <f t="shared" si="34"/>
        <v>Delayed</v>
      </c>
    </row>
    <row r="296" spans="1:29">
      <c r="A296" s="15" t="s">
        <v>1372</v>
      </c>
      <c r="B296" s="15" t="s">
        <v>168</v>
      </c>
      <c r="C296" s="15" t="s">
        <v>222</v>
      </c>
      <c r="D296" s="15" t="s">
        <v>1373</v>
      </c>
      <c r="E296" s="15" t="s">
        <v>1374</v>
      </c>
      <c r="F296" s="15" t="s">
        <v>361</v>
      </c>
      <c r="G296" s="15" t="s">
        <v>28</v>
      </c>
      <c r="H296" s="15" t="s">
        <v>1375</v>
      </c>
      <c r="I296" s="15" t="s">
        <v>105</v>
      </c>
      <c r="J296" s="15" t="s">
        <v>106</v>
      </c>
      <c r="K296" s="15" t="s">
        <v>122</v>
      </c>
      <c r="L296" s="15" t="s">
        <v>227</v>
      </c>
      <c r="M296" s="15">
        <v>10</v>
      </c>
      <c r="N296" s="15">
        <v>20</v>
      </c>
      <c r="O296" s="15">
        <v>5</v>
      </c>
      <c r="P296" s="15">
        <v>190</v>
      </c>
      <c r="Q296" s="15">
        <v>4</v>
      </c>
      <c r="R296" s="15" t="s">
        <v>34</v>
      </c>
      <c r="S296" s="15" t="s">
        <v>151</v>
      </c>
      <c r="T296" s="15" t="s">
        <v>175</v>
      </c>
      <c r="U296" s="17" t="s">
        <v>1376</v>
      </c>
      <c r="V296" s="15" t="s">
        <v>64</v>
      </c>
      <c r="W296" t="str">
        <f t="shared" si="28"/>
        <v>Blacklisted</v>
      </c>
      <c r="X296" s="27" t="str">
        <f t="shared" si="29"/>
        <v>Anita Gupta</v>
      </c>
      <c r="Y296" s="29" t="str">
        <f t="shared" si="30"/>
        <v>Ani00IDMu</v>
      </c>
      <c r="Z296" s="30" t="str">
        <f t="shared" si="31"/>
        <v>anita.gupta@company.com</v>
      </c>
      <c r="AA296" s="32">
        <f t="shared" ca="1" si="32"/>
        <v>35</v>
      </c>
      <c r="AB296" s="33">
        <f t="shared" si="33"/>
        <v>3</v>
      </c>
      <c r="AC296" s="34" t="str">
        <f t="shared" si="34"/>
        <v>On Time</v>
      </c>
    </row>
    <row r="297" spans="1:29">
      <c r="A297" s="18" t="s">
        <v>1377</v>
      </c>
      <c r="B297" s="18" t="s">
        <v>100</v>
      </c>
      <c r="C297" s="18" t="s">
        <v>118</v>
      </c>
      <c r="D297" s="18" t="s">
        <v>1378</v>
      </c>
      <c r="E297" s="18" t="s">
        <v>1379</v>
      </c>
      <c r="F297" s="18" t="s">
        <v>103</v>
      </c>
      <c r="G297" s="18" t="s">
        <v>28</v>
      </c>
      <c r="H297" s="18" t="s">
        <v>1380</v>
      </c>
      <c r="I297" s="18" t="s">
        <v>44</v>
      </c>
      <c r="J297" s="18" t="s">
        <v>45</v>
      </c>
      <c r="K297" s="18" t="s">
        <v>122</v>
      </c>
      <c r="L297" s="18" t="s">
        <v>123</v>
      </c>
      <c r="M297" s="18">
        <v>20</v>
      </c>
      <c r="N297" s="18">
        <v>60</v>
      </c>
      <c r="O297" s="18">
        <v>15</v>
      </c>
      <c r="P297" s="18">
        <v>1020</v>
      </c>
      <c r="Q297" s="18">
        <v>5</v>
      </c>
      <c r="R297" s="18" t="s">
        <v>79</v>
      </c>
      <c r="S297" s="18" t="s">
        <v>35</v>
      </c>
      <c r="T297" s="18" t="s">
        <v>144</v>
      </c>
      <c r="U297" s="19" t="s">
        <v>1381</v>
      </c>
      <c r="V297" s="18" t="s">
        <v>64</v>
      </c>
      <c r="W297" t="str">
        <f t="shared" si="28"/>
        <v>Blacklisted</v>
      </c>
      <c r="X297" s="27" t="str">
        <f t="shared" si="29"/>
        <v>Priya Patel</v>
      </c>
      <c r="Y297" s="29" t="str">
        <f t="shared" si="30"/>
        <v>Pri00IDDe</v>
      </c>
      <c r="Z297" s="30" t="str">
        <f t="shared" si="31"/>
        <v>priya.patel@company.com</v>
      </c>
      <c r="AA297" s="32">
        <f t="shared" ca="1" si="32"/>
        <v>48</v>
      </c>
      <c r="AB297" s="33">
        <f t="shared" si="33"/>
        <v>10</v>
      </c>
      <c r="AC297" s="34" t="str">
        <f t="shared" si="34"/>
        <v>Delayed</v>
      </c>
    </row>
    <row r="298" spans="1:29">
      <c r="A298" s="15" t="s">
        <v>1382</v>
      </c>
      <c r="B298" s="15" t="s">
        <v>327</v>
      </c>
      <c r="C298" s="15" t="s">
        <v>24</v>
      </c>
      <c r="D298" s="15" t="s">
        <v>1360</v>
      </c>
      <c r="E298" s="15" t="s">
        <v>577</v>
      </c>
      <c r="F298" s="15" t="s">
        <v>394</v>
      </c>
      <c r="G298" s="15" t="s">
        <v>76</v>
      </c>
      <c r="H298" s="15" t="s">
        <v>1383</v>
      </c>
      <c r="I298" s="15" t="s">
        <v>138</v>
      </c>
      <c r="J298" s="15" t="s">
        <v>106</v>
      </c>
      <c r="K298" s="15" t="s">
        <v>32</v>
      </c>
      <c r="L298" s="15" t="s">
        <v>33</v>
      </c>
      <c r="M298" s="15">
        <v>7</v>
      </c>
      <c r="N298" s="15">
        <v>2200</v>
      </c>
      <c r="O298" s="15">
        <v>15</v>
      </c>
      <c r="P298" s="15">
        <v>13090</v>
      </c>
      <c r="Q298" s="15">
        <v>4</v>
      </c>
      <c r="R298" s="15" t="s">
        <v>34</v>
      </c>
      <c r="S298" s="15" t="s">
        <v>61</v>
      </c>
      <c r="T298" s="15" t="s">
        <v>332</v>
      </c>
      <c r="U298" s="17" t="s">
        <v>1384</v>
      </c>
      <c r="V298" s="15" t="s">
        <v>69</v>
      </c>
      <c r="W298" t="str">
        <f t="shared" si="28"/>
        <v>Blacklisted</v>
      </c>
      <c r="X298" s="27" t="str">
        <f t="shared" si="29"/>
        <v>Amit Sharma</v>
      </c>
      <c r="Y298" s="29" t="str">
        <f t="shared" si="30"/>
        <v>Ami00IDAh</v>
      </c>
      <c r="Z298" s="30" t="str">
        <f t="shared" si="31"/>
        <v>amit.sharma@company.com</v>
      </c>
      <c r="AA298" s="32">
        <f t="shared" ca="1" si="32"/>
        <v>48</v>
      </c>
      <c r="AB298" s="33">
        <f t="shared" si="33"/>
        <v>11</v>
      </c>
      <c r="AC298" s="34" t="str">
        <f t="shared" si="34"/>
        <v>Delayed</v>
      </c>
    </row>
    <row r="299" spans="1:29">
      <c r="A299" s="18" t="s">
        <v>1385</v>
      </c>
      <c r="B299" s="18" t="s">
        <v>127</v>
      </c>
      <c r="C299" s="18" t="s">
        <v>54</v>
      </c>
      <c r="D299" s="18" t="s">
        <v>619</v>
      </c>
      <c r="E299" s="18" t="s">
        <v>760</v>
      </c>
      <c r="F299" s="18" t="s">
        <v>200</v>
      </c>
      <c r="G299" s="18" t="s">
        <v>76</v>
      </c>
      <c r="H299" s="18" t="s">
        <v>1386</v>
      </c>
      <c r="I299" s="18" t="s">
        <v>30</v>
      </c>
      <c r="J299" s="18" t="s">
        <v>31</v>
      </c>
      <c r="K299" s="18" t="s">
        <v>46</v>
      </c>
      <c r="L299" s="18" t="s">
        <v>60</v>
      </c>
      <c r="M299" s="18">
        <v>11</v>
      </c>
      <c r="N299" s="18">
        <v>55000</v>
      </c>
      <c r="O299" s="18">
        <v>5</v>
      </c>
      <c r="P299" s="18">
        <v>574750</v>
      </c>
      <c r="Q299" s="18">
        <v>1</v>
      </c>
      <c r="R299" s="18" t="s">
        <v>88</v>
      </c>
      <c r="S299" s="18" t="s">
        <v>35</v>
      </c>
      <c r="T299" s="18" t="s">
        <v>132</v>
      </c>
      <c r="U299" s="19" t="s">
        <v>1387</v>
      </c>
      <c r="V299" s="18" t="s">
        <v>69</v>
      </c>
      <c r="W299" t="str">
        <f t="shared" si="28"/>
        <v>Blacklisted</v>
      </c>
      <c r="X299" s="27" t="str">
        <f t="shared" si="29"/>
        <v>Rohit Singh</v>
      </c>
      <c r="Y299" s="29" t="str">
        <f t="shared" si="30"/>
        <v>Roh00IDHy</v>
      </c>
      <c r="Z299" s="30" t="str">
        <f t="shared" si="31"/>
        <v>rohit.singh@company.com</v>
      </c>
      <c r="AA299" s="32">
        <f t="shared" ca="1" si="32"/>
        <v>22</v>
      </c>
      <c r="AB299" s="33">
        <f t="shared" si="33"/>
        <v>3</v>
      </c>
      <c r="AC299" s="34" t="str">
        <f t="shared" si="34"/>
        <v>On Time</v>
      </c>
    </row>
    <row r="300" spans="1:29">
      <c r="A300" s="15" t="s">
        <v>1388</v>
      </c>
      <c r="B300" s="15" t="s">
        <v>83</v>
      </c>
      <c r="C300" s="15" t="s">
        <v>92</v>
      </c>
      <c r="D300" s="15" t="s">
        <v>308</v>
      </c>
      <c r="E300" s="15" t="s">
        <v>1389</v>
      </c>
      <c r="F300" s="15" t="s">
        <v>180</v>
      </c>
      <c r="G300" s="15" t="s">
        <v>76</v>
      </c>
      <c r="H300" s="15" t="s">
        <v>1390</v>
      </c>
      <c r="I300" s="15" t="s">
        <v>212</v>
      </c>
      <c r="J300" s="15" t="s">
        <v>45</v>
      </c>
      <c r="K300" s="15" t="s">
        <v>32</v>
      </c>
      <c r="L300" s="15" t="s">
        <v>97</v>
      </c>
      <c r="M300" s="15">
        <v>12</v>
      </c>
      <c r="N300" s="15">
        <v>3500</v>
      </c>
      <c r="O300" s="15">
        <v>0</v>
      </c>
      <c r="P300" s="15">
        <v>42000</v>
      </c>
      <c r="Q300" s="15">
        <v>2</v>
      </c>
      <c r="R300" s="15" t="s">
        <v>48</v>
      </c>
      <c r="S300" s="15"/>
      <c r="T300" s="15" t="s">
        <v>89</v>
      </c>
      <c r="U300" s="17" t="s">
        <v>1391</v>
      </c>
      <c r="V300" s="15" t="s">
        <v>64</v>
      </c>
      <c r="W300" t="str">
        <f t="shared" si="28"/>
        <v>Blacklisted</v>
      </c>
      <c r="X300" s="27" t="str">
        <f t="shared" si="29"/>
        <v>Arjun Rao</v>
      </c>
      <c r="Y300" s="29" t="str">
        <f t="shared" si="30"/>
        <v>Arj00IDJa</v>
      </c>
      <c r="Z300" s="30" t="str">
        <f t="shared" si="31"/>
        <v>arjun.rao@company.com</v>
      </c>
      <c r="AA300" s="32">
        <f t="shared" ca="1" si="32"/>
        <v>34</v>
      </c>
      <c r="AB300" s="33">
        <f t="shared" si="33"/>
        <v>12</v>
      </c>
      <c r="AC300" s="34" t="str">
        <f t="shared" si="34"/>
        <v>Delayed</v>
      </c>
    </row>
    <row r="301" spans="1:29">
      <c r="A301" s="18" t="s">
        <v>1392</v>
      </c>
      <c r="B301" s="18" t="s">
        <v>71</v>
      </c>
      <c r="C301" s="18" t="s">
        <v>259</v>
      </c>
      <c r="D301" s="18" t="s">
        <v>94</v>
      </c>
      <c r="E301" s="18" t="s">
        <v>298</v>
      </c>
      <c r="F301" s="18" t="s">
        <v>217</v>
      </c>
      <c r="G301" s="18" t="s">
        <v>76</v>
      </c>
      <c r="H301" s="18" t="s">
        <v>1393</v>
      </c>
      <c r="I301" s="18" t="s">
        <v>30</v>
      </c>
      <c r="J301" s="18" t="s">
        <v>31</v>
      </c>
      <c r="K301" s="18" t="s">
        <v>122</v>
      </c>
      <c r="L301" s="18" t="s">
        <v>263</v>
      </c>
      <c r="M301" s="18">
        <v>15</v>
      </c>
      <c r="N301" s="18">
        <v>45</v>
      </c>
      <c r="O301" s="18">
        <v>10</v>
      </c>
      <c r="P301" s="18">
        <v>607.5</v>
      </c>
      <c r="Q301" s="18">
        <v>2</v>
      </c>
      <c r="R301" s="18" t="s">
        <v>34</v>
      </c>
      <c r="S301" s="18" t="s">
        <v>151</v>
      </c>
      <c r="T301" s="18" t="s">
        <v>80</v>
      </c>
      <c r="U301" s="19" t="s">
        <v>1394</v>
      </c>
      <c r="V301" s="18" t="s">
        <v>64</v>
      </c>
      <c r="W301" t="str">
        <f t="shared" si="28"/>
        <v>Blacklisted</v>
      </c>
      <c r="X301" s="27" t="str">
        <f t="shared" si="29"/>
        <v>Mohit Verma</v>
      </c>
      <c r="Y301" s="29" t="str">
        <f t="shared" si="30"/>
        <v>Moh00IDHy</v>
      </c>
      <c r="Z301" s="30" t="str">
        <f t="shared" si="31"/>
        <v>mohit.verma@company.com</v>
      </c>
      <c r="AA301" s="32">
        <f t="shared" ca="1" si="32"/>
        <v>23</v>
      </c>
      <c r="AB301" s="33">
        <f t="shared" si="33"/>
        <v>11</v>
      </c>
      <c r="AC301" s="34" t="str">
        <f t="shared" si="34"/>
        <v>Delayed</v>
      </c>
    </row>
    <row r="302" spans="1:29">
      <c r="A302" s="15" t="s">
        <v>1395</v>
      </c>
      <c r="B302" s="15" t="s">
        <v>327</v>
      </c>
      <c r="C302" s="15" t="s">
        <v>259</v>
      </c>
      <c r="D302" s="15" t="s">
        <v>1320</v>
      </c>
      <c r="E302" s="15" t="s">
        <v>936</v>
      </c>
      <c r="F302" s="15" t="s">
        <v>394</v>
      </c>
      <c r="G302" s="15" t="s">
        <v>76</v>
      </c>
      <c r="H302" s="15" t="s">
        <v>1396</v>
      </c>
      <c r="I302" s="15" t="s">
        <v>59</v>
      </c>
      <c r="J302" s="15" t="s">
        <v>31</v>
      </c>
      <c r="K302" s="15" t="s">
        <v>122</v>
      </c>
      <c r="L302" s="15" t="s">
        <v>263</v>
      </c>
      <c r="M302" s="15">
        <v>13</v>
      </c>
      <c r="N302" s="15">
        <v>45</v>
      </c>
      <c r="O302" s="15">
        <v>0</v>
      </c>
      <c r="P302" s="15">
        <v>585</v>
      </c>
      <c r="Q302" s="15">
        <v>5</v>
      </c>
      <c r="R302" s="15" t="s">
        <v>48</v>
      </c>
      <c r="S302" s="15" t="s">
        <v>49</v>
      </c>
      <c r="T302" s="15" t="s">
        <v>332</v>
      </c>
      <c r="U302" s="17" t="s">
        <v>1397</v>
      </c>
      <c r="V302" s="15" t="s">
        <v>64</v>
      </c>
      <c r="W302" t="str">
        <f t="shared" si="28"/>
        <v>Blacklisted</v>
      </c>
      <c r="X302" s="27" t="str">
        <f t="shared" si="29"/>
        <v>Amit Sharma</v>
      </c>
      <c r="Y302" s="29" t="str">
        <f t="shared" si="30"/>
        <v>Ami00IDBe</v>
      </c>
      <c r="Z302" s="30" t="str">
        <f t="shared" si="31"/>
        <v>amit.sharma@company.com</v>
      </c>
      <c r="AA302" s="32">
        <f t="shared" ca="1" si="32"/>
        <v>39</v>
      </c>
      <c r="AB302" s="33">
        <f t="shared" si="33"/>
        <v>10</v>
      </c>
      <c r="AC302" s="34" t="str">
        <f t="shared" si="34"/>
        <v>Delayed</v>
      </c>
    </row>
    <row r="303" spans="1:29">
      <c r="A303" s="18" t="s">
        <v>1398</v>
      </c>
      <c r="B303" s="18" t="s">
        <v>127</v>
      </c>
      <c r="C303" s="18" t="s">
        <v>54</v>
      </c>
      <c r="D303" s="18" t="s">
        <v>711</v>
      </c>
      <c r="E303" s="18" t="s">
        <v>1199</v>
      </c>
      <c r="F303" s="18" t="s">
        <v>200</v>
      </c>
      <c r="G303" s="18" t="s">
        <v>76</v>
      </c>
      <c r="H303" s="18" t="s">
        <v>1399</v>
      </c>
      <c r="I303" s="18" t="s">
        <v>59</v>
      </c>
      <c r="J303" s="18" t="s">
        <v>31</v>
      </c>
      <c r="K303" s="18" t="s">
        <v>46</v>
      </c>
      <c r="L303" s="18" t="s">
        <v>60</v>
      </c>
      <c r="M303" s="18">
        <v>8</v>
      </c>
      <c r="N303" s="18">
        <v>55000</v>
      </c>
      <c r="O303" s="18">
        <v>0</v>
      </c>
      <c r="P303" s="18">
        <v>440000</v>
      </c>
      <c r="Q303" s="18">
        <v>2</v>
      </c>
      <c r="R303" s="18" t="s">
        <v>88</v>
      </c>
      <c r="S303" s="18" t="s">
        <v>151</v>
      </c>
      <c r="T303" s="18" t="s">
        <v>132</v>
      </c>
      <c r="U303" s="19" t="s">
        <v>1400</v>
      </c>
      <c r="V303" s="18" t="s">
        <v>69</v>
      </c>
      <c r="W303" t="str">
        <f t="shared" si="28"/>
        <v>Blacklisted</v>
      </c>
      <c r="X303" s="27" t="str">
        <f t="shared" si="29"/>
        <v>Rohit Singh</v>
      </c>
      <c r="Y303" s="29" t="str">
        <f t="shared" si="30"/>
        <v>Roh00IDBe</v>
      </c>
      <c r="Z303" s="30" t="str">
        <f t="shared" si="31"/>
        <v>rohit.singh@company.com</v>
      </c>
      <c r="AA303" s="32">
        <f t="shared" ca="1" si="32"/>
        <v>51</v>
      </c>
      <c r="AB303" s="33">
        <f t="shared" si="33"/>
        <v>3</v>
      </c>
      <c r="AC303" s="34" t="str">
        <f t="shared" si="34"/>
        <v>On Time</v>
      </c>
    </row>
    <row r="304" spans="1:29">
      <c r="A304" s="15" t="s">
        <v>1401</v>
      </c>
      <c r="B304" s="15" t="s">
        <v>251</v>
      </c>
      <c r="C304" s="15" t="s">
        <v>54</v>
      </c>
      <c r="D304" s="15" t="s">
        <v>830</v>
      </c>
      <c r="E304" s="15" t="s">
        <v>381</v>
      </c>
      <c r="F304" s="15" t="s">
        <v>254</v>
      </c>
      <c r="G304" s="15" t="s">
        <v>28</v>
      </c>
      <c r="H304" s="15" t="s">
        <v>1402</v>
      </c>
      <c r="I304" s="15" t="s">
        <v>44</v>
      </c>
      <c r="J304" s="15" t="s">
        <v>45</v>
      </c>
      <c r="K304" s="15" t="s">
        <v>46</v>
      </c>
      <c r="L304" s="15" t="s">
        <v>60</v>
      </c>
      <c r="M304" s="15">
        <v>4</v>
      </c>
      <c r="N304" s="15">
        <v>55000</v>
      </c>
      <c r="O304" s="15">
        <v>20</v>
      </c>
      <c r="P304" s="15">
        <v>176000</v>
      </c>
      <c r="Q304" s="15">
        <v>5</v>
      </c>
      <c r="R304" s="15" t="s">
        <v>34</v>
      </c>
      <c r="S304" s="15" t="s">
        <v>49</v>
      </c>
      <c r="T304" s="15" t="s">
        <v>256</v>
      </c>
      <c r="U304" s="17" t="s">
        <v>1403</v>
      </c>
      <c r="V304" s="15" t="s">
        <v>64</v>
      </c>
      <c r="W304" t="str">
        <f t="shared" si="28"/>
        <v>Blacklisted</v>
      </c>
      <c r="X304" s="27" t="str">
        <f t="shared" si="29"/>
        <v>Sneha Joshi</v>
      </c>
      <c r="Y304" s="29" t="str">
        <f t="shared" si="30"/>
        <v>Sne00IDDe</v>
      </c>
      <c r="Z304" s="30" t="str">
        <f t="shared" si="31"/>
        <v>sneha.joshi@company.com</v>
      </c>
      <c r="AA304" s="32">
        <f t="shared" ca="1" si="32"/>
        <v>46</v>
      </c>
      <c r="AB304" s="33">
        <f t="shared" si="33"/>
        <v>4</v>
      </c>
      <c r="AC304" s="34" t="str">
        <f t="shared" si="34"/>
        <v>On Time</v>
      </c>
    </row>
    <row r="305" spans="1:29">
      <c r="A305" s="18" t="s">
        <v>1404</v>
      </c>
      <c r="B305" s="18" t="s">
        <v>23</v>
      </c>
      <c r="C305" s="18" t="s">
        <v>92</v>
      </c>
      <c r="D305" s="18" t="s">
        <v>1405</v>
      </c>
      <c r="E305" s="18" t="s">
        <v>716</v>
      </c>
      <c r="F305" s="18" t="s">
        <v>27</v>
      </c>
      <c r="G305" s="18" t="s">
        <v>28</v>
      </c>
      <c r="H305" s="18" t="s">
        <v>1406</v>
      </c>
      <c r="I305" s="18" t="s">
        <v>138</v>
      </c>
      <c r="J305" s="18" t="s">
        <v>106</v>
      </c>
      <c r="K305" s="18" t="s">
        <v>32</v>
      </c>
      <c r="L305" s="18" t="s">
        <v>97</v>
      </c>
      <c r="M305" s="18">
        <v>19</v>
      </c>
      <c r="N305" s="18">
        <v>3500</v>
      </c>
      <c r="O305" s="18">
        <v>5</v>
      </c>
      <c r="P305" s="18">
        <v>63175</v>
      </c>
      <c r="Q305" s="18">
        <v>1</v>
      </c>
      <c r="R305" s="18" t="s">
        <v>79</v>
      </c>
      <c r="S305" s="18" t="s">
        <v>115</v>
      </c>
      <c r="T305" s="18" t="s">
        <v>50</v>
      </c>
      <c r="U305" s="19" t="s">
        <v>1407</v>
      </c>
      <c r="V305" s="18" t="s">
        <v>38</v>
      </c>
      <c r="W305" t="str">
        <f t="shared" si="28"/>
        <v>Blacklisted</v>
      </c>
      <c r="X305" s="27" t="str">
        <f t="shared" si="29"/>
        <v>Kavya Nair</v>
      </c>
      <c r="Y305" s="29" t="str">
        <f t="shared" si="30"/>
        <v>Kav00IDAh</v>
      </c>
      <c r="Z305" s="30" t="str">
        <f t="shared" si="31"/>
        <v>kavya.nair@company.com</v>
      </c>
      <c r="AA305" s="32">
        <f t="shared" ca="1" si="32"/>
        <v>37</v>
      </c>
      <c r="AB305" s="33">
        <f t="shared" si="33"/>
        <v>3</v>
      </c>
      <c r="AC305" s="34" t="str">
        <f t="shared" si="34"/>
        <v>On Time</v>
      </c>
    </row>
    <row r="306" spans="1:29">
      <c r="A306" s="15" t="s">
        <v>1408</v>
      </c>
      <c r="B306" s="15" t="s">
        <v>221</v>
      </c>
      <c r="C306" s="15" t="s">
        <v>72</v>
      </c>
      <c r="D306" s="15" t="s">
        <v>1409</v>
      </c>
      <c r="E306" s="15" t="s">
        <v>414</v>
      </c>
      <c r="F306" s="15" t="s">
        <v>225</v>
      </c>
      <c r="G306" s="15" t="s">
        <v>76</v>
      </c>
      <c r="H306" s="15" t="s">
        <v>1410</v>
      </c>
      <c r="I306" s="15" t="s">
        <v>212</v>
      </c>
      <c r="J306" s="15" t="s">
        <v>45</v>
      </c>
      <c r="K306" s="15" t="s">
        <v>46</v>
      </c>
      <c r="L306" s="15" t="s">
        <v>78</v>
      </c>
      <c r="M306" s="15">
        <v>17</v>
      </c>
      <c r="N306" s="15">
        <v>1200</v>
      </c>
      <c r="O306" s="15">
        <v>15</v>
      </c>
      <c r="P306" s="15">
        <v>17340</v>
      </c>
      <c r="Q306" s="15">
        <v>2</v>
      </c>
      <c r="R306" s="15" t="s">
        <v>48</v>
      </c>
      <c r="S306" s="15" t="s">
        <v>49</v>
      </c>
      <c r="T306" s="15" t="s">
        <v>228</v>
      </c>
      <c r="U306" s="17" t="s">
        <v>1411</v>
      </c>
      <c r="V306" s="15" t="s">
        <v>38</v>
      </c>
      <c r="W306" t="str">
        <f t="shared" si="28"/>
        <v>Blacklisted</v>
      </c>
      <c r="X306" s="27" t="str">
        <f t="shared" si="29"/>
        <v>Vikas Mehta</v>
      </c>
      <c r="Y306" s="29" t="str">
        <f t="shared" si="30"/>
        <v>Vik00IDJa</v>
      </c>
      <c r="Z306" s="30" t="str">
        <f t="shared" si="31"/>
        <v>vikas.mehta@company.com</v>
      </c>
      <c r="AA306" s="32">
        <f t="shared" ca="1" si="32"/>
        <v>28</v>
      </c>
      <c r="AB306" s="33">
        <f t="shared" si="33"/>
        <v>4</v>
      </c>
      <c r="AC306" s="34" t="str">
        <f t="shared" si="34"/>
        <v>On Time</v>
      </c>
    </row>
    <row r="307" spans="1:29">
      <c r="A307" s="18" t="s">
        <v>1412</v>
      </c>
      <c r="B307" s="18" t="s">
        <v>23</v>
      </c>
      <c r="C307" s="18" t="s">
        <v>24</v>
      </c>
      <c r="D307" s="18" t="s">
        <v>450</v>
      </c>
      <c r="E307" s="18" t="s">
        <v>736</v>
      </c>
      <c r="F307" s="18" t="s">
        <v>27</v>
      </c>
      <c r="G307" s="18" t="s">
        <v>28</v>
      </c>
      <c r="H307" s="18" t="s">
        <v>1413</v>
      </c>
      <c r="I307" s="18" t="s">
        <v>30</v>
      </c>
      <c r="J307" s="18" t="s">
        <v>31</v>
      </c>
      <c r="K307" s="18" t="s">
        <v>32</v>
      </c>
      <c r="L307" s="18" t="s">
        <v>33</v>
      </c>
      <c r="M307" s="18">
        <v>8</v>
      </c>
      <c r="N307" s="18">
        <v>2200</v>
      </c>
      <c r="O307" s="18">
        <v>5</v>
      </c>
      <c r="P307" s="18">
        <v>16720</v>
      </c>
      <c r="Q307" s="18">
        <v>3</v>
      </c>
      <c r="R307" s="18" t="s">
        <v>79</v>
      </c>
      <c r="S307" s="18" t="s">
        <v>115</v>
      </c>
      <c r="T307" s="18" t="s">
        <v>50</v>
      </c>
      <c r="U307" s="19" t="s">
        <v>1414</v>
      </c>
      <c r="V307" s="18" t="s">
        <v>64</v>
      </c>
      <c r="W307" t="str">
        <f t="shared" si="28"/>
        <v>Blacklisted</v>
      </c>
      <c r="X307" s="27" t="str">
        <f t="shared" si="29"/>
        <v>Kavya Nair</v>
      </c>
      <c r="Y307" s="29" t="str">
        <f t="shared" si="30"/>
        <v>Kav00IDHy</v>
      </c>
      <c r="Z307" s="30" t="str">
        <f t="shared" si="31"/>
        <v>kavya.nair@company.com</v>
      </c>
      <c r="AA307" s="32">
        <f t="shared" ca="1" si="32"/>
        <v>25</v>
      </c>
      <c r="AB307" s="33">
        <f t="shared" si="33"/>
        <v>8</v>
      </c>
      <c r="AC307" s="34" t="str">
        <f t="shared" si="34"/>
        <v>Delayed</v>
      </c>
    </row>
    <row r="308" spans="1:29">
      <c r="A308" s="15" t="s">
        <v>1415</v>
      </c>
      <c r="B308" s="15" t="s">
        <v>251</v>
      </c>
      <c r="C308" s="15" t="s">
        <v>184</v>
      </c>
      <c r="D308" s="15" t="s">
        <v>987</v>
      </c>
      <c r="E308" s="15" t="s">
        <v>387</v>
      </c>
      <c r="F308" s="15" t="s">
        <v>254</v>
      </c>
      <c r="G308" s="15" t="s">
        <v>28</v>
      </c>
      <c r="H308" s="15" t="s">
        <v>813</v>
      </c>
      <c r="I308" s="15" t="s">
        <v>105</v>
      </c>
      <c r="J308" s="15" t="s">
        <v>106</v>
      </c>
      <c r="K308" s="15" t="s">
        <v>46</v>
      </c>
      <c r="L308" s="15" t="s">
        <v>189</v>
      </c>
      <c r="M308" s="15">
        <v>17</v>
      </c>
      <c r="N308" s="15">
        <v>700</v>
      </c>
      <c r="O308" s="15">
        <v>20</v>
      </c>
      <c r="P308" s="15">
        <v>9520</v>
      </c>
      <c r="Q308" s="15">
        <v>4</v>
      </c>
      <c r="R308" s="15" t="s">
        <v>48</v>
      </c>
      <c r="S308" s="15" t="s">
        <v>115</v>
      </c>
      <c r="T308" s="15" t="s">
        <v>256</v>
      </c>
      <c r="U308" s="17" t="s">
        <v>1416</v>
      </c>
      <c r="V308" s="15" t="s">
        <v>38</v>
      </c>
      <c r="W308" t="str">
        <f t="shared" si="28"/>
        <v>Silver</v>
      </c>
      <c r="X308" s="27" t="str">
        <f t="shared" si="29"/>
        <v>Sneha Joshi</v>
      </c>
      <c r="Y308" s="29" t="str">
        <f t="shared" si="30"/>
        <v>Sne00IDMu</v>
      </c>
      <c r="Z308" s="30" t="str">
        <f t="shared" si="31"/>
        <v>sneha.joshi@company.com</v>
      </c>
      <c r="AA308" s="32">
        <f t="shared" ca="1" si="32"/>
        <v>34</v>
      </c>
      <c r="AB308" s="33">
        <f t="shared" si="33"/>
        <v>10</v>
      </c>
      <c r="AC308" s="34" t="str">
        <f t="shared" si="34"/>
        <v>Delayed</v>
      </c>
    </row>
    <row r="309" spans="1:29">
      <c r="A309" s="18" t="s">
        <v>1417</v>
      </c>
      <c r="B309" s="18" t="s">
        <v>251</v>
      </c>
      <c r="C309" s="18" t="s">
        <v>169</v>
      </c>
      <c r="D309" s="18" t="s">
        <v>372</v>
      </c>
      <c r="E309" s="18" t="s">
        <v>246</v>
      </c>
      <c r="F309" s="18" t="s">
        <v>254</v>
      </c>
      <c r="G309" s="18" t="s">
        <v>28</v>
      </c>
      <c r="H309" s="18" t="s">
        <v>1215</v>
      </c>
      <c r="I309" s="18" t="s">
        <v>114</v>
      </c>
      <c r="J309" s="18" t="s">
        <v>106</v>
      </c>
      <c r="K309" s="18" t="s">
        <v>32</v>
      </c>
      <c r="L309" s="18" t="s">
        <v>174</v>
      </c>
      <c r="M309" s="18">
        <v>6</v>
      </c>
      <c r="N309" s="18">
        <v>8500</v>
      </c>
      <c r="O309" s="18">
        <v>15</v>
      </c>
      <c r="P309" s="18">
        <v>43350</v>
      </c>
      <c r="Q309" s="18">
        <v>1</v>
      </c>
      <c r="R309" s="18" t="s">
        <v>34</v>
      </c>
      <c r="S309" s="18" t="s">
        <v>61</v>
      </c>
      <c r="T309" s="18" t="s">
        <v>256</v>
      </c>
      <c r="U309" s="19" t="s">
        <v>1418</v>
      </c>
      <c r="V309" s="18" t="s">
        <v>38</v>
      </c>
      <c r="W309" t="str">
        <f t="shared" si="28"/>
        <v>Blacklisted</v>
      </c>
      <c r="X309" s="27" t="str">
        <f t="shared" si="29"/>
        <v>Sneha Joshi</v>
      </c>
      <c r="Y309" s="29" t="str">
        <f t="shared" si="30"/>
        <v>Sne00IDPu</v>
      </c>
      <c r="Z309" s="30" t="str">
        <f t="shared" si="31"/>
        <v>sneha.joshi@company.com</v>
      </c>
      <c r="AA309" s="32">
        <f t="shared" ca="1" si="32"/>
        <v>49</v>
      </c>
      <c r="AB309" s="33">
        <f t="shared" si="33"/>
        <v>11</v>
      </c>
      <c r="AC309" s="34" t="str">
        <f t="shared" si="34"/>
        <v>Delayed</v>
      </c>
    </row>
    <row r="310" spans="1:29">
      <c r="A310" s="15" t="s">
        <v>1419</v>
      </c>
      <c r="B310" s="15" t="s">
        <v>53</v>
      </c>
      <c r="C310" s="15" t="s">
        <v>92</v>
      </c>
      <c r="D310" s="15" t="s">
        <v>941</v>
      </c>
      <c r="E310" s="15" t="s">
        <v>345</v>
      </c>
      <c r="F310" s="15" t="s">
        <v>163</v>
      </c>
      <c r="G310" s="15" t="s">
        <v>28</v>
      </c>
      <c r="H310" s="15" t="s">
        <v>1420</v>
      </c>
      <c r="I310" s="15" t="s">
        <v>30</v>
      </c>
      <c r="J310" s="15" t="s">
        <v>31</v>
      </c>
      <c r="K310" s="15" t="s">
        <v>32</v>
      </c>
      <c r="L310" s="15" t="s">
        <v>97</v>
      </c>
      <c r="M310" s="15">
        <v>3</v>
      </c>
      <c r="N310" s="15">
        <v>3500</v>
      </c>
      <c r="O310" s="15">
        <v>10</v>
      </c>
      <c r="P310" s="15">
        <v>9450</v>
      </c>
      <c r="Q310" s="15">
        <v>1</v>
      </c>
      <c r="R310" s="15" t="s">
        <v>48</v>
      </c>
      <c r="S310" s="15" t="s">
        <v>49</v>
      </c>
      <c r="T310" s="15" t="s">
        <v>62</v>
      </c>
      <c r="U310" s="17" t="s">
        <v>1421</v>
      </c>
      <c r="V310" s="15" t="s">
        <v>38</v>
      </c>
      <c r="W310" t="str">
        <f t="shared" si="28"/>
        <v>Blacklisted</v>
      </c>
      <c r="X310" s="27" t="str">
        <f t="shared" si="29"/>
        <v>Pooja Shah</v>
      </c>
      <c r="Y310" s="29" t="str">
        <f t="shared" si="30"/>
        <v>Poo01IDHy</v>
      </c>
      <c r="Z310" s="30" t="str">
        <f t="shared" si="31"/>
        <v>pooja.shah@company.com</v>
      </c>
      <c r="AA310" s="32">
        <f t="shared" ca="1" si="32"/>
        <v>40</v>
      </c>
      <c r="AB310" s="33">
        <f t="shared" si="33"/>
        <v>5</v>
      </c>
      <c r="AC310" s="34" t="str">
        <f t="shared" si="34"/>
        <v>On Time</v>
      </c>
    </row>
    <row r="311" spans="1:29">
      <c r="A311" s="18" t="s">
        <v>1422</v>
      </c>
      <c r="B311" s="18" t="s">
        <v>71</v>
      </c>
      <c r="C311" s="18" t="s">
        <v>40</v>
      </c>
      <c r="D311" s="18" t="s">
        <v>1378</v>
      </c>
      <c r="E311" s="18" t="s">
        <v>783</v>
      </c>
      <c r="F311" s="18" t="s">
        <v>217</v>
      </c>
      <c r="G311" s="18" t="s">
        <v>76</v>
      </c>
      <c r="H311" s="18" t="s">
        <v>1423</v>
      </c>
      <c r="I311" s="18" t="s">
        <v>138</v>
      </c>
      <c r="J311" s="18" t="s">
        <v>106</v>
      </c>
      <c r="K311" s="18" t="s">
        <v>46</v>
      </c>
      <c r="L311" s="18" t="s">
        <v>47</v>
      </c>
      <c r="M311" s="18">
        <v>2</v>
      </c>
      <c r="N311" s="18">
        <v>12000</v>
      </c>
      <c r="O311" s="18">
        <v>20</v>
      </c>
      <c r="P311" s="18">
        <v>19200</v>
      </c>
      <c r="Q311" s="18">
        <v>1</v>
      </c>
      <c r="R311" s="18" t="s">
        <v>79</v>
      </c>
      <c r="S311" s="18" t="s">
        <v>61</v>
      </c>
      <c r="T311" s="18" t="s">
        <v>80</v>
      </c>
      <c r="U311" s="19" t="s">
        <v>1424</v>
      </c>
      <c r="V311" s="18" t="s">
        <v>38</v>
      </c>
      <c r="W311" t="str">
        <f t="shared" si="28"/>
        <v>Blacklisted</v>
      </c>
      <c r="X311" s="27" t="str">
        <f t="shared" si="29"/>
        <v>Mohit Verma</v>
      </c>
      <c r="Y311" s="29" t="str">
        <f t="shared" si="30"/>
        <v>Moh00IDAh</v>
      </c>
      <c r="Z311" s="30" t="str">
        <f t="shared" si="31"/>
        <v>mohit.verma@company.com</v>
      </c>
      <c r="AA311" s="32">
        <f t="shared" ca="1" si="32"/>
        <v>37</v>
      </c>
      <c r="AB311" s="33">
        <f t="shared" si="33"/>
        <v>12</v>
      </c>
      <c r="AC311" s="34" t="str">
        <f t="shared" si="34"/>
        <v>Delayed</v>
      </c>
    </row>
    <row r="312" spans="1:29">
      <c r="A312" s="15" t="s">
        <v>1425</v>
      </c>
      <c r="B312" s="15" t="s">
        <v>221</v>
      </c>
      <c r="C312" s="15" t="s">
        <v>222</v>
      </c>
      <c r="D312" s="15" t="s">
        <v>340</v>
      </c>
      <c r="E312" s="15" t="s">
        <v>1426</v>
      </c>
      <c r="F312" s="15" t="s">
        <v>225</v>
      </c>
      <c r="G312" s="15" t="s">
        <v>76</v>
      </c>
      <c r="H312" s="15" t="s">
        <v>1427</v>
      </c>
      <c r="I312" s="15" t="s">
        <v>44</v>
      </c>
      <c r="J312" s="15" t="s">
        <v>45</v>
      </c>
      <c r="K312" s="15" t="s">
        <v>122</v>
      </c>
      <c r="L312" s="15" t="s">
        <v>227</v>
      </c>
      <c r="M312" s="15">
        <v>12</v>
      </c>
      <c r="N312" s="15">
        <v>20</v>
      </c>
      <c r="O312" s="15">
        <v>20</v>
      </c>
      <c r="P312" s="15">
        <v>192</v>
      </c>
      <c r="Q312" s="15">
        <v>2</v>
      </c>
      <c r="R312" s="15" t="s">
        <v>79</v>
      </c>
      <c r="S312" s="15" t="s">
        <v>49</v>
      </c>
      <c r="T312" s="15" t="s">
        <v>228</v>
      </c>
      <c r="U312" s="17" t="s">
        <v>1428</v>
      </c>
      <c r="V312" s="15" t="s">
        <v>38</v>
      </c>
      <c r="W312" t="str">
        <f t="shared" si="28"/>
        <v>Blacklisted</v>
      </c>
      <c r="X312" s="27" t="str">
        <f t="shared" si="29"/>
        <v>Vikas Mehta</v>
      </c>
      <c r="Y312" s="29" t="str">
        <f t="shared" si="30"/>
        <v>Vik00IDDe</v>
      </c>
      <c r="Z312" s="30" t="str">
        <f t="shared" si="31"/>
        <v>vikas.mehta@company.com</v>
      </c>
      <c r="AA312" s="32">
        <f t="shared" ca="1" si="32"/>
        <v>35</v>
      </c>
      <c r="AB312" s="33">
        <f t="shared" si="33"/>
        <v>3</v>
      </c>
      <c r="AC312" s="34" t="str">
        <f t="shared" si="34"/>
        <v>On Time</v>
      </c>
    </row>
    <row r="313" spans="1:29">
      <c r="A313" s="18" t="s">
        <v>1429</v>
      </c>
      <c r="B313" s="18" t="s">
        <v>100</v>
      </c>
      <c r="C313" s="18" t="s">
        <v>40</v>
      </c>
      <c r="D313" s="18" t="s">
        <v>716</v>
      </c>
      <c r="E313" s="18" t="s">
        <v>1430</v>
      </c>
      <c r="F313" s="18" t="s">
        <v>103</v>
      </c>
      <c r="G313" s="18" t="s">
        <v>28</v>
      </c>
      <c r="H313" s="18" t="s">
        <v>1431</v>
      </c>
      <c r="I313" s="18" t="s">
        <v>294</v>
      </c>
      <c r="J313" s="18" t="s">
        <v>295</v>
      </c>
      <c r="K313" s="18" t="s">
        <v>46</v>
      </c>
      <c r="L313" s="18" t="s">
        <v>47</v>
      </c>
      <c r="M313" s="18">
        <v>20</v>
      </c>
      <c r="N313" s="18">
        <v>12000</v>
      </c>
      <c r="O313" s="18">
        <v>15</v>
      </c>
      <c r="P313" s="18">
        <v>204000</v>
      </c>
      <c r="Q313" s="18">
        <v>3</v>
      </c>
      <c r="R313" s="18" t="s">
        <v>34</v>
      </c>
      <c r="S313" s="18" t="s">
        <v>35</v>
      </c>
      <c r="T313" s="18" t="s">
        <v>144</v>
      </c>
      <c r="U313" s="19" t="s">
        <v>1432</v>
      </c>
      <c r="V313" s="18" t="s">
        <v>64</v>
      </c>
      <c r="W313" t="str">
        <f t="shared" si="28"/>
        <v>Blacklisted</v>
      </c>
      <c r="X313" s="27" t="str">
        <f t="shared" si="29"/>
        <v>Priya Patel</v>
      </c>
      <c r="Y313" s="29" t="str">
        <f t="shared" si="30"/>
        <v>Pri00IDKo</v>
      </c>
      <c r="Z313" s="30" t="str">
        <f t="shared" si="31"/>
        <v>priya.patel@company.com</v>
      </c>
      <c r="AA313" s="32">
        <f t="shared" ca="1" si="32"/>
        <v>37</v>
      </c>
      <c r="AB313" s="33">
        <f t="shared" si="33"/>
        <v>2</v>
      </c>
      <c r="AC313" s="34" t="str">
        <f t="shared" si="34"/>
        <v>On Time</v>
      </c>
    </row>
    <row r="314" spans="1:29">
      <c r="A314" s="15" t="s">
        <v>1433</v>
      </c>
      <c r="B314" s="15" t="s">
        <v>53</v>
      </c>
      <c r="C314" s="15" t="s">
        <v>118</v>
      </c>
      <c r="D314" s="15" t="s">
        <v>398</v>
      </c>
      <c r="E314" s="15" t="s">
        <v>740</v>
      </c>
      <c r="F314" s="15" t="s">
        <v>163</v>
      </c>
      <c r="G314" s="15" t="s">
        <v>28</v>
      </c>
      <c r="H314" s="15" t="s">
        <v>1434</v>
      </c>
      <c r="I314" s="15" t="s">
        <v>212</v>
      </c>
      <c r="J314" s="15" t="s">
        <v>45</v>
      </c>
      <c r="K314" s="15" t="s">
        <v>122</v>
      </c>
      <c r="L314" s="15" t="s">
        <v>123</v>
      </c>
      <c r="M314" s="15">
        <v>13</v>
      </c>
      <c r="N314" s="15">
        <v>60</v>
      </c>
      <c r="O314" s="15">
        <v>10</v>
      </c>
      <c r="P314" s="15">
        <v>702</v>
      </c>
      <c r="Q314" s="15">
        <v>5</v>
      </c>
      <c r="R314" s="15" t="s">
        <v>34</v>
      </c>
      <c r="S314" s="15" t="s">
        <v>35</v>
      </c>
      <c r="T314" s="15" t="s">
        <v>62</v>
      </c>
      <c r="U314" s="17" t="s">
        <v>1435</v>
      </c>
      <c r="V314" s="15" t="s">
        <v>64</v>
      </c>
      <c r="W314" t="str">
        <f t="shared" si="28"/>
        <v>Blacklisted</v>
      </c>
      <c r="X314" s="27" t="str">
        <f t="shared" si="29"/>
        <v>Pooja Shah</v>
      </c>
      <c r="Y314" s="29" t="str">
        <f t="shared" si="30"/>
        <v>Poo01IDJa</v>
      </c>
      <c r="Z314" s="30" t="str">
        <f t="shared" si="31"/>
        <v>pooja.shah@company.com</v>
      </c>
      <c r="AA314" s="32">
        <f t="shared" ca="1" si="32"/>
        <v>23</v>
      </c>
      <c r="AB314" s="33">
        <f t="shared" si="33"/>
        <v>11</v>
      </c>
      <c r="AC314" s="34" t="str">
        <f t="shared" si="34"/>
        <v>Delayed</v>
      </c>
    </row>
    <row r="315" spans="1:29">
      <c r="A315" s="18" t="s">
        <v>1436</v>
      </c>
      <c r="B315" s="18" t="s">
        <v>71</v>
      </c>
      <c r="C315" s="18" t="s">
        <v>54</v>
      </c>
      <c r="D315" s="18" t="s">
        <v>1437</v>
      </c>
      <c r="E315" s="18" t="s">
        <v>1294</v>
      </c>
      <c r="F315" s="18" t="s">
        <v>217</v>
      </c>
      <c r="G315" s="18" t="s">
        <v>76</v>
      </c>
      <c r="H315" s="18" t="s">
        <v>1438</v>
      </c>
      <c r="I315" s="18" t="s">
        <v>114</v>
      </c>
      <c r="J315" s="18" t="s">
        <v>106</v>
      </c>
      <c r="K315" s="18" t="s">
        <v>46</v>
      </c>
      <c r="L315" s="18" t="s">
        <v>60</v>
      </c>
      <c r="M315" s="18">
        <v>13</v>
      </c>
      <c r="N315" s="18">
        <v>55000</v>
      </c>
      <c r="O315" s="18">
        <v>5</v>
      </c>
      <c r="P315" s="18">
        <v>679250</v>
      </c>
      <c r="Q315" s="18">
        <v>1</v>
      </c>
      <c r="R315" s="18" t="s">
        <v>88</v>
      </c>
      <c r="S315" s="18" t="s">
        <v>151</v>
      </c>
      <c r="T315" s="18" t="s">
        <v>80</v>
      </c>
      <c r="U315" s="19" t="s">
        <v>1439</v>
      </c>
      <c r="V315" s="18" t="s">
        <v>64</v>
      </c>
      <c r="W315" t="str">
        <f t="shared" si="28"/>
        <v>Blacklisted</v>
      </c>
      <c r="X315" s="27" t="str">
        <f t="shared" si="29"/>
        <v>Mohit Verma</v>
      </c>
      <c r="Y315" s="29" t="str">
        <f t="shared" si="30"/>
        <v>Moh00IDPu</v>
      </c>
      <c r="Z315" s="30" t="str">
        <f t="shared" si="31"/>
        <v>mohit.verma@company.com</v>
      </c>
      <c r="AA315" s="32">
        <f t="shared" ca="1" si="32"/>
        <v>30</v>
      </c>
      <c r="AB315" s="33">
        <f t="shared" si="33"/>
        <v>11</v>
      </c>
      <c r="AC315" s="34" t="str">
        <f t="shared" si="34"/>
        <v>Delayed</v>
      </c>
    </row>
    <row r="316" spans="1:29">
      <c r="A316" s="15" t="s">
        <v>1440</v>
      </c>
      <c r="B316" s="15" t="s">
        <v>100</v>
      </c>
      <c r="C316" s="15" t="s">
        <v>72</v>
      </c>
      <c r="D316" s="15" t="s">
        <v>797</v>
      </c>
      <c r="E316" s="15" t="s">
        <v>798</v>
      </c>
      <c r="F316" s="15" t="s">
        <v>103</v>
      </c>
      <c r="G316" s="15" t="s">
        <v>28</v>
      </c>
      <c r="H316" s="15" t="s">
        <v>1441</v>
      </c>
      <c r="I316" s="15" t="s">
        <v>59</v>
      </c>
      <c r="J316" s="15" t="s">
        <v>31</v>
      </c>
      <c r="K316" s="15" t="s">
        <v>46</v>
      </c>
      <c r="L316" s="15" t="s">
        <v>78</v>
      </c>
      <c r="M316" s="15">
        <v>7</v>
      </c>
      <c r="N316" s="15">
        <v>1200</v>
      </c>
      <c r="O316" s="15">
        <v>15</v>
      </c>
      <c r="P316" s="15">
        <v>7140</v>
      </c>
      <c r="Q316" s="15">
        <v>5</v>
      </c>
      <c r="R316" s="15" t="s">
        <v>88</v>
      </c>
      <c r="S316" s="15" t="s">
        <v>49</v>
      </c>
      <c r="T316" s="15" t="s">
        <v>144</v>
      </c>
      <c r="U316" s="17" t="s">
        <v>1442</v>
      </c>
      <c r="V316" s="15" t="s">
        <v>64</v>
      </c>
      <c r="W316" t="str">
        <f t="shared" si="28"/>
        <v>Blacklisted</v>
      </c>
      <c r="X316" s="27" t="str">
        <f t="shared" si="29"/>
        <v>Priya Patel</v>
      </c>
      <c r="Y316" s="29" t="str">
        <f t="shared" si="30"/>
        <v>Pri00IDBe</v>
      </c>
      <c r="Z316" s="30" t="str">
        <f t="shared" si="31"/>
        <v>priya.patel@company.com</v>
      </c>
      <c r="AA316" s="32">
        <f t="shared" ca="1" si="32"/>
        <v>36</v>
      </c>
      <c r="AB316" s="33">
        <f t="shared" si="33"/>
        <v>3</v>
      </c>
      <c r="AC316" s="34" t="str">
        <f t="shared" si="34"/>
        <v>On Time</v>
      </c>
    </row>
    <row r="317" spans="1:29">
      <c r="A317" s="18" t="s">
        <v>1443</v>
      </c>
      <c r="B317" s="18" t="s">
        <v>83</v>
      </c>
      <c r="C317" s="18" t="s">
        <v>40</v>
      </c>
      <c r="D317" s="18" t="s">
        <v>961</v>
      </c>
      <c r="E317" s="18" t="s">
        <v>1444</v>
      </c>
      <c r="F317" s="18" t="s">
        <v>180</v>
      </c>
      <c r="G317" s="18" t="s">
        <v>76</v>
      </c>
      <c r="H317" s="18" t="s">
        <v>1445</v>
      </c>
      <c r="I317" s="18" t="s">
        <v>212</v>
      </c>
      <c r="J317" s="18" t="s">
        <v>45</v>
      </c>
      <c r="K317" s="18" t="s">
        <v>46</v>
      </c>
      <c r="L317" s="18" t="s">
        <v>47</v>
      </c>
      <c r="M317" s="18">
        <v>17</v>
      </c>
      <c r="N317" s="18">
        <v>12000</v>
      </c>
      <c r="O317" s="18">
        <v>5</v>
      </c>
      <c r="P317" s="18">
        <v>193800</v>
      </c>
      <c r="Q317" s="18">
        <v>1</v>
      </c>
      <c r="R317" s="18" t="s">
        <v>34</v>
      </c>
      <c r="S317" s="18" t="s">
        <v>61</v>
      </c>
      <c r="T317" s="18" t="s">
        <v>89</v>
      </c>
      <c r="U317" s="19" t="s">
        <v>1446</v>
      </c>
      <c r="V317" s="18" t="s">
        <v>69</v>
      </c>
      <c r="W317" t="str">
        <f t="shared" si="28"/>
        <v>Blacklisted</v>
      </c>
      <c r="X317" s="27" t="str">
        <f t="shared" si="29"/>
        <v>Arjun Rao</v>
      </c>
      <c r="Y317" s="29" t="str">
        <f t="shared" si="30"/>
        <v>Arj00IDJa</v>
      </c>
      <c r="Z317" s="30" t="str">
        <f t="shared" si="31"/>
        <v>arjun.rao@company.com</v>
      </c>
      <c r="AA317" s="32">
        <f t="shared" ca="1" si="32"/>
        <v>38</v>
      </c>
      <c r="AB317" s="33">
        <f t="shared" si="33"/>
        <v>4</v>
      </c>
      <c r="AC317" s="34" t="str">
        <f t="shared" si="34"/>
        <v>On Time</v>
      </c>
    </row>
    <row r="318" spans="1:29">
      <c r="A318" s="15" t="s">
        <v>1447</v>
      </c>
      <c r="B318" s="15" t="s">
        <v>83</v>
      </c>
      <c r="C318" s="15" t="s">
        <v>222</v>
      </c>
      <c r="D318" s="15" t="s">
        <v>356</v>
      </c>
      <c r="E318" s="15" t="s">
        <v>517</v>
      </c>
      <c r="F318" s="15" t="s">
        <v>180</v>
      </c>
      <c r="G318" s="15" t="s">
        <v>76</v>
      </c>
      <c r="H318" s="15" t="s">
        <v>1448</v>
      </c>
      <c r="I318" s="15" t="s">
        <v>59</v>
      </c>
      <c r="J318" s="15" t="s">
        <v>31</v>
      </c>
      <c r="K318" s="15" t="s">
        <v>122</v>
      </c>
      <c r="L318" s="15" t="s">
        <v>227</v>
      </c>
      <c r="M318" s="15">
        <v>10</v>
      </c>
      <c r="N318" s="15">
        <v>20</v>
      </c>
      <c r="O318" s="15">
        <v>5</v>
      </c>
      <c r="P318" s="15">
        <v>190</v>
      </c>
      <c r="Q318" s="15">
        <v>2</v>
      </c>
      <c r="R318" s="15" t="s">
        <v>34</v>
      </c>
      <c r="S318" s="15" t="s">
        <v>61</v>
      </c>
      <c r="T318" s="15" t="s">
        <v>89</v>
      </c>
      <c r="U318" s="17" t="s">
        <v>1449</v>
      </c>
      <c r="V318" s="15" t="s">
        <v>69</v>
      </c>
      <c r="W318" t="str">
        <f t="shared" si="28"/>
        <v>Blacklisted</v>
      </c>
      <c r="X318" s="27" t="str">
        <f t="shared" si="29"/>
        <v>Arjun Rao</v>
      </c>
      <c r="Y318" s="29" t="str">
        <f t="shared" si="30"/>
        <v>Arj00IDBe</v>
      </c>
      <c r="Z318" s="30" t="str">
        <f t="shared" si="31"/>
        <v>arjun.rao@company.com</v>
      </c>
      <c r="AA318" s="32">
        <f t="shared" ca="1" si="32"/>
        <v>47</v>
      </c>
      <c r="AB318" s="33">
        <f t="shared" si="33"/>
        <v>6</v>
      </c>
      <c r="AC318" s="34" t="str">
        <f t="shared" si="34"/>
        <v>Delayed</v>
      </c>
    </row>
    <row r="319" spans="1:29">
      <c r="A319" s="18" t="s">
        <v>1450</v>
      </c>
      <c r="B319" s="18" t="s">
        <v>168</v>
      </c>
      <c r="C319" s="18" t="s">
        <v>24</v>
      </c>
      <c r="D319" s="18" t="s">
        <v>291</v>
      </c>
      <c r="E319" s="18" t="s">
        <v>1451</v>
      </c>
      <c r="F319" s="18" t="s">
        <v>361</v>
      </c>
      <c r="G319" s="18" t="s">
        <v>28</v>
      </c>
      <c r="H319" s="18" t="s">
        <v>1452</v>
      </c>
      <c r="I319" s="18" t="s">
        <v>44</v>
      </c>
      <c r="J319" s="18" t="s">
        <v>45</v>
      </c>
      <c r="K319" s="18" t="s">
        <v>32</v>
      </c>
      <c r="L319" s="18" t="s">
        <v>33</v>
      </c>
      <c r="M319" s="18">
        <v>11</v>
      </c>
      <c r="N319" s="18">
        <v>2200</v>
      </c>
      <c r="O319" s="18">
        <v>5</v>
      </c>
      <c r="P319" s="18">
        <v>22990</v>
      </c>
      <c r="Q319" s="18">
        <v>5</v>
      </c>
      <c r="R319" s="18" t="s">
        <v>79</v>
      </c>
      <c r="S319" s="18" t="s">
        <v>49</v>
      </c>
      <c r="T319" s="18" t="s">
        <v>175</v>
      </c>
      <c r="U319" s="19" t="s">
        <v>1453</v>
      </c>
      <c r="V319" s="18" t="s">
        <v>64</v>
      </c>
      <c r="W319" t="str">
        <f t="shared" si="28"/>
        <v>Blacklisted</v>
      </c>
      <c r="X319" s="27" t="str">
        <f t="shared" si="29"/>
        <v>Anita Gupta</v>
      </c>
      <c r="Y319" s="29" t="str">
        <f t="shared" si="30"/>
        <v>Ani00IDDe</v>
      </c>
      <c r="Z319" s="30" t="str">
        <f t="shared" si="31"/>
        <v>anita.gupta@company.com</v>
      </c>
      <c r="AA319" s="32">
        <f t="shared" ca="1" si="32"/>
        <v>36</v>
      </c>
      <c r="AB319" s="33">
        <f t="shared" si="33"/>
        <v>3</v>
      </c>
      <c r="AC319" s="34" t="str">
        <f t="shared" si="34"/>
        <v>On Time</v>
      </c>
    </row>
    <row r="320" spans="1:29">
      <c r="A320" s="15" t="s">
        <v>1454</v>
      </c>
      <c r="B320" s="15" t="s">
        <v>100</v>
      </c>
      <c r="C320" s="15" t="s">
        <v>118</v>
      </c>
      <c r="D320" s="15" t="s">
        <v>1369</v>
      </c>
      <c r="E320" s="15" t="s">
        <v>178</v>
      </c>
      <c r="F320" s="15" t="s">
        <v>103</v>
      </c>
      <c r="G320" s="15" t="s">
        <v>28</v>
      </c>
      <c r="H320" s="15" t="s">
        <v>1455</v>
      </c>
      <c r="I320" s="15" t="s">
        <v>212</v>
      </c>
      <c r="J320" s="15" t="s">
        <v>45</v>
      </c>
      <c r="K320" s="15" t="s">
        <v>122</v>
      </c>
      <c r="L320" s="15" t="s">
        <v>123</v>
      </c>
      <c r="M320" s="15">
        <v>8</v>
      </c>
      <c r="N320" s="15">
        <v>60</v>
      </c>
      <c r="O320" s="15">
        <v>15</v>
      </c>
      <c r="P320" s="15">
        <v>408</v>
      </c>
      <c r="Q320" s="15">
        <v>4</v>
      </c>
      <c r="R320" s="15" t="s">
        <v>34</v>
      </c>
      <c r="S320" s="15" t="s">
        <v>49</v>
      </c>
      <c r="T320" s="15" t="s">
        <v>144</v>
      </c>
      <c r="U320" s="17" t="s">
        <v>1456</v>
      </c>
      <c r="V320" s="15" t="s">
        <v>64</v>
      </c>
      <c r="W320" t="str">
        <f t="shared" si="28"/>
        <v>Blacklisted</v>
      </c>
      <c r="X320" s="27" t="str">
        <f t="shared" si="29"/>
        <v>Priya Patel</v>
      </c>
      <c r="Y320" s="29" t="str">
        <f t="shared" si="30"/>
        <v>Pri00IDJa</v>
      </c>
      <c r="Z320" s="30" t="str">
        <f t="shared" si="31"/>
        <v>priya.patel@company.com</v>
      </c>
      <c r="AA320" s="32">
        <f t="shared" ca="1" si="32"/>
        <v>31</v>
      </c>
      <c r="AB320" s="33">
        <f t="shared" si="33"/>
        <v>4</v>
      </c>
      <c r="AC320" s="34" t="str">
        <f t="shared" si="34"/>
        <v>On Time</v>
      </c>
    </row>
    <row r="321" spans="1:29">
      <c r="A321" s="18" t="s">
        <v>1457</v>
      </c>
      <c r="B321" s="18" t="s">
        <v>221</v>
      </c>
      <c r="C321" s="18" t="s">
        <v>259</v>
      </c>
      <c r="D321" s="18" t="s">
        <v>825</v>
      </c>
      <c r="E321" s="18" t="s">
        <v>119</v>
      </c>
      <c r="F321" s="18" t="s">
        <v>225</v>
      </c>
      <c r="G321" s="18" t="s">
        <v>76</v>
      </c>
      <c r="H321" s="18" t="s">
        <v>1458</v>
      </c>
      <c r="I321" s="18" t="s">
        <v>44</v>
      </c>
      <c r="J321" s="18" t="s">
        <v>45</v>
      </c>
      <c r="K321" s="18" t="s">
        <v>122</v>
      </c>
      <c r="L321" s="18" t="s">
        <v>263</v>
      </c>
      <c r="M321" s="18">
        <v>17</v>
      </c>
      <c r="N321" s="18">
        <v>45</v>
      </c>
      <c r="O321" s="18">
        <v>15</v>
      </c>
      <c r="P321" s="18">
        <v>650.25</v>
      </c>
      <c r="Q321" s="18">
        <v>2</v>
      </c>
      <c r="R321" s="18" t="s">
        <v>88</v>
      </c>
      <c r="S321" s="18" t="s">
        <v>151</v>
      </c>
      <c r="T321" s="18" t="s">
        <v>228</v>
      </c>
      <c r="U321" s="19" t="s">
        <v>1459</v>
      </c>
      <c r="V321" s="18" t="s">
        <v>38</v>
      </c>
      <c r="W321" t="str">
        <f t="shared" si="28"/>
        <v>Blacklisted</v>
      </c>
      <c r="X321" s="27" t="str">
        <f t="shared" si="29"/>
        <v>Vikas Mehta</v>
      </c>
      <c r="Y321" s="29" t="str">
        <f t="shared" si="30"/>
        <v>Vik00IDDe</v>
      </c>
      <c r="Z321" s="30" t="str">
        <f t="shared" si="31"/>
        <v>vikas.mehta@company.com</v>
      </c>
      <c r="AA321" s="32">
        <f t="shared" ca="1" si="32"/>
        <v>31</v>
      </c>
      <c r="AB321" s="33">
        <f t="shared" si="33"/>
        <v>2</v>
      </c>
      <c r="AC321" s="34" t="str">
        <f t="shared" si="34"/>
        <v>On Time</v>
      </c>
    </row>
    <row r="322" spans="1:29">
      <c r="A322" s="15" t="s">
        <v>1460</v>
      </c>
      <c r="B322" s="15" t="s">
        <v>327</v>
      </c>
      <c r="C322" s="15" t="s">
        <v>184</v>
      </c>
      <c r="D322" s="15" t="s">
        <v>632</v>
      </c>
      <c r="E322" s="15" t="s">
        <v>1461</v>
      </c>
      <c r="F322" s="15" t="s">
        <v>394</v>
      </c>
      <c r="G322" s="15" t="s">
        <v>76</v>
      </c>
      <c r="H322" s="15" t="s">
        <v>1462</v>
      </c>
      <c r="I322" s="15" t="s">
        <v>212</v>
      </c>
      <c r="J322" s="15" t="s">
        <v>45</v>
      </c>
      <c r="K322" s="15" t="s">
        <v>46</v>
      </c>
      <c r="L322" s="15" t="s">
        <v>189</v>
      </c>
      <c r="M322" s="15">
        <v>14</v>
      </c>
      <c r="N322" s="15">
        <v>700</v>
      </c>
      <c r="O322" s="15">
        <v>15</v>
      </c>
      <c r="P322" s="15">
        <v>8330</v>
      </c>
      <c r="Q322" s="15">
        <v>1</v>
      </c>
      <c r="R322" s="15" t="s">
        <v>79</v>
      </c>
      <c r="S322" s="15" t="s">
        <v>115</v>
      </c>
      <c r="T322" s="15" t="s">
        <v>332</v>
      </c>
      <c r="U322" s="17" t="s">
        <v>1463</v>
      </c>
      <c r="V322" s="15" t="s">
        <v>38</v>
      </c>
      <c r="W322" t="str">
        <f t="shared" si="28"/>
        <v>Blacklisted</v>
      </c>
      <c r="X322" s="27" t="str">
        <f t="shared" si="29"/>
        <v>Amit Sharma</v>
      </c>
      <c r="Y322" s="29" t="str">
        <f t="shared" si="30"/>
        <v>Ami00IDJa</v>
      </c>
      <c r="Z322" s="30" t="str">
        <f t="shared" si="31"/>
        <v>amit.sharma@company.com</v>
      </c>
      <c r="AA322" s="32">
        <f t="shared" ca="1" si="32"/>
        <v>30</v>
      </c>
      <c r="AB322" s="33">
        <f t="shared" si="33"/>
        <v>11</v>
      </c>
      <c r="AC322" s="34" t="str">
        <f t="shared" si="34"/>
        <v>Delayed</v>
      </c>
    </row>
    <row r="323" spans="1:29">
      <c r="A323" s="18" t="s">
        <v>1464</v>
      </c>
      <c r="B323" s="18" t="s">
        <v>83</v>
      </c>
      <c r="C323" s="18" t="s">
        <v>72</v>
      </c>
      <c r="D323" s="18" t="s">
        <v>1465</v>
      </c>
      <c r="E323" s="18" t="s">
        <v>948</v>
      </c>
      <c r="F323" s="18" t="s">
        <v>180</v>
      </c>
      <c r="G323" s="18" t="s">
        <v>76</v>
      </c>
      <c r="H323" s="18" t="s">
        <v>1466</v>
      </c>
      <c r="I323" s="18" t="s">
        <v>114</v>
      </c>
      <c r="J323" s="18" t="s">
        <v>106</v>
      </c>
      <c r="K323" s="18" t="s">
        <v>46</v>
      </c>
      <c r="L323" s="18" t="s">
        <v>78</v>
      </c>
      <c r="M323" s="18">
        <v>3</v>
      </c>
      <c r="N323" s="18">
        <v>1200</v>
      </c>
      <c r="O323" s="18">
        <v>5</v>
      </c>
      <c r="P323" s="18">
        <v>3420</v>
      </c>
      <c r="Q323" s="18">
        <v>3</v>
      </c>
      <c r="R323" s="18" t="s">
        <v>48</v>
      </c>
      <c r="S323" s="18" t="s">
        <v>151</v>
      </c>
      <c r="T323" s="18" t="s">
        <v>89</v>
      </c>
      <c r="U323" s="19" t="s">
        <v>1467</v>
      </c>
      <c r="V323" s="18" t="s">
        <v>38</v>
      </c>
      <c r="W323" t="str">
        <f t="shared" ref="W323:W386" si="35">IF(OR(Q323&lt;=2,V323="Cancelled"),"Blacklisted",IF(AND(P323&gt;=100000,Q323&gt;=4,O323&lt;10,V323="Completed"),"Platinum",IF(AND(P323&gt;=50000,P323&lt;=99999,Q323&gt;=3,V323="Completed"),"Gold",IF(AND(P323&lt;50000,V323="Completed"),"Silver","Blacklisted"))))</f>
        <v>Silver</v>
      </c>
      <c r="X323" s="27" t="str">
        <f t="shared" ref="X323:X386" si="36">PROPER(TRIM(F323))</f>
        <v>Arjun Rao</v>
      </c>
      <c r="Y323" s="29" t="str">
        <f t="shared" ref="Y323:Y386" si="37">LEFT(X323,3)&amp;MID(B323,2,2)&amp;"ID"&amp;LEFT(I323,2)</f>
        <v>Arj00IDPu</v>
      </c>
      <c r="Z323" s="30" t="str">
        <f t="shared" ref="Z323:Z386" si="38">IF(ISNUMBER(SEARCH("@",T323)),LOWER(TRIM(T323)),"Invalid Email")</f>
        <v>arjun.rao@company.com</v>
      </c>
      <c r="AA323" s="32">
        <f t="shared" ref="AA323:AA386" ca="1" si="39">DATEDIF(H323,TODAY(),"Y")</f>
        <v>44</v>
      </c>
      <c r="AB323" s="33">
        <f t="shared" ref="AB323:AB386" si="40">IF(E323="","",E323-D323)</f>
        <v>11</v>
      </c>
      <c r="AC323" s="34" t="str">
        <f t="shared" ref="AC323:AC386" si="41">IF(E323="","Pending",IF(AB323&lt;=5,"On Time","Delayed"))</f>
        <v>Delayed</v>
      </c>
    </row>
    <row r="324" spans="1:29">
      <c r="A324" s="15" t="s">
        <v>1468</v>
      </c>
      <c r="B324" s="15" t="s">
        <v>23</v>
      </c>
      <c r="C324" s="15" t="s">
        <v>72</v>
      </c>
      <c r="D324" s="15" t="s">
        <v>489</v>
      </c>
      <c r="E324" s="15" t="s">
        <v>914</v>
      </c>
      <c r="F324" s="15" t="s">
        <v>27</v>
      </c>
      <c r="G324" s="15" t="s">
        <v>28</v>
      </c>
      <c r="H324" s="15" t="s">
        <v>1469</v>
      </c>
      <c r="I324" s="15" t="s">
        <v>138</v>
      </c>
      <c r="J324" s="15" t="s">
        <v>106</v>
      </c>
      <c r="K324" s="15" t="s">
        <v>46</v>
      </c>
      <c r="L324" s="15" t="s">
        <v>78</v>
      </c>
      <c r="M324" s="15">
        <v>9</v>
      </c>
      <c r="N324" s="15">
        <v>1200</v>
      </c>
      <c r="O324" s="15">
        <v>15</v>
      </c>
      <c r="P324" s="15">
        <v>9180</v>
      </c>
      <c r="Q324" s="15">
        <v>3</v>
      </c>
      <c r="R324" s="15" t="s">
        <v>34</v>
      </c>
      <c r="S324" s="15" t="s">
        <v>49</v>
      </c>
      <c r="T324" s="15" t="s">
        <v>50</v>
      </c>
      <c r="U324" s="17" t="s">
        <v>1470</v>
      </c>
      <c r="V324" s="15" t="s">
        <v>38</v>
      </c>
      <c r="W324" t="str">
        <f t="shared" si="35"/>
        <v>Silver</v>
      </c>
      <c r="X324" s="27" t="str">
        <f t="shared" si="36"/>
        <v>Kavya Nair</v>
      </c>
      <c r="Y324" s="29" t="str">
        <f t="shared" si="37"/>
        <v>Kav00IDAh</v>
      </c>
      <c r="Z324" s="30" t="str">
        <f t="shared" si="38"/>
        <v>kavya.nair@company.com</v>
      </c>
      <c r="AA324" s="32">
        <f t="shared" ca="1" si="39"/>
        <v>24</v>
      </c>
      <c r="AB324" s="33">
        <f t="shared" si="40"/>
        <v>9</v>
      </c>
      <c r="AC324" s="34" t="str">
        <f t="shared" si="41"/>
        <v>Delayed</v>
      </c>
    </row>
    <row r="325" spans="1:29">
      <c r="A325" s="18" t="s">
        <v>1471</v>
      </c>
      <c r="B325" s="18" t="s">
        <v>251</v>
      </c>
      <c r="C325" s="18" t="s">
        <v>222</v>
      </c>
      <c r="D325" s="18" t="s">
        <v>224</v>
      </c>
      <c r="E325" s="18" t="s">
        <v>360</v>
      </c>
      <c r="F325" s="18" t="s">
        <v>254</v>
      </c>
      <c r="G325" s="18" t="s">
        <v>28</v>
      </c>
      <c r="H325" s="18" t="s">
        <v>1472</v>
      </c>
      <c r="I325" s="18" t="s">
        <v>105</v>
      </c>
      <c r="J325" s="18" t="s">
        <v>106</v>
      </c>
      <c r="K325" s="18" t="s">
        <v>122</v>
      </c>
      <c r="L325" s="18" t="s">
        <v>227</v>
      </c>
      <c r="M325" s="18">
        <v>5</v>
      </c>
      <c r="N325" s="18">
        <v>20</v>
      </c>
      <c r="O325" s="18">
        <v>5</v>
      </c>
      <c r="P325" s="18">
        <v>95</v>
      </c>
      <c r="Q325" s="18">
        <v>4</v>
      </c>
      <c r="R325" s="18" t="s">
        <v>34</v>
      </c>
      <c r="S325" s="18" t="s">
        <v>151</v>
      </c>
      <c r="T325" s="18" t="s">
        <v>256</v>
      </c>
      <c r="U325" s="19" t="s">
        <v>1473</v>
      </c>
      <c r="V325" s="18" t="s">
        <v>38</v>
      </c>
      <c r="W325" t="str">
        <f t="shared" si="35"/>
        <v>Silver</v>
      </c>
      <c r="X325" s="27" t="str">
        <f t="shared" si="36"/>
        <v>Sneha Joshi</v>
      </c>
      <c r="Y325" s="29" t="str">
        <f t="shared" si="37"/>
        <v>Sne00IDMu</v>
      </c>
      <c r="Z325" s="30" t="str">
        <f t="shared" si="38"/>
        <v>sneha.joshi@company.com</v>
      </c>
      <c r="AA325" s="32">
        <f t="shared" ca="1" si="39"/>
        <v>37</v>
      </c>
      <c r="AB325" s="33">
        <f t="shared" si="40"/>
        <v>1</v>
      </c>
      <c r="AC325" s="34" t="str">
        <f t="shared" si="41"/>
        <v>On Time</v>
      </c>
    </row>
    <row r="326" spans="1:29">
      <c r="A326" s="15" t="s">
        <v>1474</v>
      </c>
      <c r="B326" s="15" t="s">
        <v>251</v>
      </c>
      <c r="C326" s="15" t="s">
        <v>24</v>
      </c>
      <c r="D326" s="15" t="s">
        <v>1475</v>
      </c>
      <c r="E326" s="15" t="s">
        <v>1476</v>
      </c>
      <c r="F326" s="15" t="s">
        <v>254</v>
      </c>
      <c r="G326" s="15" t="s">
        <v>28</v>
      </c>
      <c r="H326" s="15" t="s">
        <v>1477</v>
      </c>
      <c r="I326" s="15" t="s">
        <v>138</v>
      </c>
      <c r="J326" s="15" t="s">
        <v>106</v>
      </c>
      <c r="K326" s="15" t="s">
        <v>32</v>
      </c>
      <c r="L326" s="15" t="s">
        <v>33</v>
      </c>
      <c r="M326" s="15">
        <v>8</v>
      </c>
      <c r="N326" s="15">
        <v>2200</v>
      </c>
      <c r="O326" s="15">
        <v>10</v>
      </c>
      <c r="P326" s="15">
        <v>15840</v>
      </c>
      <c r="Q326" s="15">
        <v>4</v>
      </c>
      <c r="R326" s="15" t="s">
        <v>88</v>
      </c>
      <c r="S326" s="15" t="s">
        <v>61</v>
      </c>
      <c r="T326" s="15" t="s">
        <v>256</v>
      </c>
      <c r="U326" s="17" t="s">
        <v>1478</v>
      </c>
      <c r="V326" s="15" t="s">
        <v>69</v>
      </c>
      <c r="W326" t="str">
        <f t="shared" si="35"/>
        <v>Blacklisted</v>
      </c>
      <c r="X326" s="27" t="str">
        <f t="shared" si="36"/>
        <v>Sneha Joshi</v>
      </c>
      <c r="Y326" s="29" t="str">
        <f t="shared" si="37"/>
        <v>Sne00IDAh</v>
      </c>
      <c r="Z326" s="30" t="str">
        <f t="shared" si="38"/>
        <v>sneha.joshi@company.com</v>
      </c>
      <c r="AA326" s="32">
        <f t="shared" ca="1" si="39"/>
        <v>41</v>
      </c>
      <c r="AB326" s="33">
        <f t="shared" si="40"/>
        <v>11</v>
      </c>
      <c r="AC326" s="34" t="str">
        <f t="shared" si="41"/>
        <v>Delayed</v>
      </c>
    </row>
    <row r="327" spans="1:29">
      <c r="A327" s="18" t="s">
        <v>1479</v>
      </c>
      <c r="B327" s="18" t="s">
        <v>251</v>
      </c>
      <c r="C327" s="18" t="s">
        <v>184</v>
      </c>
      <c r="D327" s="18" t="s">
        <v>298</v>
      </c>
      <c r="E327" s="18" t="s">
        <v>1480</v>
      </c>
      <c r="F327" s="18" t="s">
        <v>254</v>
      </c>
      <c r="G327" s="18" t="s">
        <v>28</v>
      </c>
      <c r="H327" s="18" t="s">
        <v>1481</v>
      </c>
      <c r="I327" s="18" t="s">
        <v>105</v>
      </c>
      <c r="J327" s="18" t="s">
        <v>106</v>
      </c>
      <c r="K327" s="18" t="s">
        <v>46</v>
      </c>
      <c r="L327" s="18" t="s">
        <v>189</v>
      </c>
      <c r="M327" s="18">
        <v>10</v>
      </c>
      <c r="N327" s="18">
        <v>700</v>
      </c>
      <c r="O327" s="18">
        <v>20</v>
      </c>
      <c r="P327" s="18">
        <v>5600</v>
      </c>
      <c r="Q327" s="18">
        <v>1</v>
      </c>
      <c r="R327" s="18" t="s">
        <v>88</v>
      </c>
      <c r="S327" s="18" t="s">
        <v>115</v>
      </c>
      <c r="T327" s="18" t="s">
        <v>256</v>
      </c>
      <c r="U327" s="19" t="s">
        <v>1482</v>
      </c>
      <c r="V327" s="18" t="s">
        <v>38</v>
      </c>
      <c r="W327" t="str">
        <f t="shared" si="35"/>
        <v>Blacklisted</v>
      </c>
      <c r="X327" s="27" t="str">
        <f t="shared" si="36"/>
        <v>Sneha Joshi</v>
      </c>
      <c r="Y327" s="29" t="str">
        <f t="shared" si="37"/>
        <v>Sne00IDMu</v>
      </c>
      <c r="Z327" s="30" t="str">
        <f t="shared" si="38"/>
        <v>sneha.joshi@company.com</v>
      </c>
      <c r="AA327" s="32">
        <f t="shared" ca="1" si="39"/>
        <v>46</v>
      </c>
      <c r="AB327" s="33">
        <f t="shared" si="40"/>
        <v>4</v>
      </c>
      <c r="AC327" s="34" t="str">
        <f t="shared" si="41"/>
        <v>On Time</v>
      </c>
    </row>
    <row r="328" spans="1:29">
      <c r="A328" s="15" t="s">
        <v>1483</v>
      </c>
      <c r="B328" s="15" t="s">
        <v>83</v>
      </c>
      <c r="C328" s="15" t="s">
        <v>184</v>
      </c>
      <c r="D328" s="15" t="s">
        <v>1484</v>
      </c>
      <c r="E328" s="15" t="s">
        <v>1485</v>
      </c>
      <c r="F328" s="15" t="s">
        <v>180</v>
      </c>
      <c r="G328" s="15" t="s">
        <v>76</v>
      </c>
      <c r="H328" s="15" t="s">
        <v>1486</v>
      </c>
      <c r="I328" s="15" t="s">
        <v>59</v>
      </c>
      <c r="J328" s="15" t="s">
        <v>31</v>
      </c>
      <c r="K328" s="15" t="s">
        <v>46</v>
      </c>
      <c r="L328" s="15" t="s">
        <v>189</v>
      </c>
      <c r="M328" s="15">
        <v>2</v>
      </c>
      <c r="N328" s="15">
        <v>700</v>
      </c>
      <c r="O328" s="15">
        <v>20</v>
      </c>
      <c r="P328" s="15">
        <v>1120</v>
      </c>
      <c r="Q328" s="15">
        <v>2</v>
      </c>
      <c r="R328" s="15" t="s">
        <v>34</v>
      </c>
      <c r="S328" s="15" t="s">
        <v>115</v>
      </c>
      <c r="T328" s="15" t="s">
        <v>89</v>
      </c>
      <c r="U328" s="17" t="s">
        <v>1487</v>
      </c>
      <c r="V328" s="15" t="s">
        <v>64</v>
      </c>
      <c r="W328" t="str">
        <f t="shared" si="35"/>
        <v>Blacklisted</v>
      </c>
      <c r="X328" s="27" t="str">
        <f t="shared" si="36"/>
        <v>Arjun Rao</v>
      </c>
      <c r="Y328" s="29" t="str">
        <f t="shared" si="37"/>
        <v>Arj00IDBe</v>
      </c>
      <c r="Z328" s="30" t="str">
        <f t="shared" si="38"/>
        <v>arjun.rao@company.com</v>
      </c>
      <c r="AA328" s="32">
        <f t="shared" ca="1" si="39"/>
        <v>48</v>
      </c>
      <c r="AB328" s="33">
        <f t="shared" si="40"/>
        <v>3</v>
      </c>
      <c r="AC328" s="34" t="str">
        <f t="shared" si="41"/>
        <v>On Time</v>
      </c>
    </row>
    <row r="329" spans="1:29">
      <c r="A329" s="18" t="s">
        <v>1488</v>
      </c>
      <c r="B329" s="18" t="s">
        <v>221</v>
      </c>
      <c r="C329" s="18" t="s">
        <v>92</v>
      </c>
      <c r="D329" s="18" t="s">
        <v>872</v>
      </c>
      <c r="E329" s="18" t="s">
        <v>965</v>
      </c>
      <c r="F329" s="18" t="s">
        <v>225</v>
      </c>
      <c r="G329" s="18" t="s">
        <v>76</v>
      </c>
      <c r="H329" s="18" t="s">
        <v>1489</v>
      </c>
      <c r="I329" s="18" t="s">
        <v>114</v>
      </c>
      <c r="J329" s="18" t="s">
        <v>106</v>
      </c>
      <c r="K329" s="18" t="s">
        <v>32</v>
      </c>
      <c r="L329" s="18" t="s">
        <v>97</v>
      </c>
      <c r="M329" s="18">
        <v>16</v>
      </c>
      <c r="N329" s="18">
        <v>3500</v>
      </c>
      <c r="O329" s="18">
        <v>20</v>
      </c>
      <c r="P329" s="18">
        <v>44800</v>
      </c>
      <c r="Q329" s="18">
        <v>2</v>
      </c>
      <c r="R329" s="18" t="s">
        <v>88</v>
      </c>
      <c r="S329" s="18" t="s">
        <v>35</v>
      </c>
      <c r="T329" s="18" t="s">
        <v>228</v>
      </c>
      <c r="U329" s="19" t="s">
        <v>1490</v>
      </c>
      <c r="V329" s="18" t="s">
        <v>64</v>
      </c>
      <c r="W329" t="str">
        <f t="shared" si="35"/>
        <v>Blacklisted</v>
      </c>
      <c r="X329" s="27" t="str">
        <f t="shared" si="36"/>
        <v>Vikas Mehta</v>
      </c>
      <c r="Y329" s="29" t="str">
        <f t="shared" si="37"/>
        <v>Vik00IDPu</v>
      </c>
      <c r="Z329" s="30" t="str">
        <f t="shared" si="38"/>
        <v>vikas.mehta@company.com</v>
      </c>
      <c r="AA329" s="32">
        <f t="shared" ca="1" si="39"/>
        <v>34</v>
      </c>
      <c r="AB329" s="33">
        <f t="shared" si="40"/>
        <v>9</v>
      </c>
      <c r="AC329" s="34" t="str">
        <f t="shared" si="41"/>
        <v>Delayed</v>
      </c>
    </row>
    <row r="330" spans="1:29">
      <c r="A330" s="15" t="s">
        <v>1491</v>
      </c>
      <c r="B330" s="15" t="s">
        <v>168</v>
      </c>
      <c r="C330" s="15" t="s">
        <v>92</v>
      </c>
      <c r="D330" s="15" t="s">
        <v>829</v>
      </c>
      <c r="E330" s="15" t="s">
        <v>756</v>
      </c>
      <c r="F330" s="15" t="s">
        <v>361</v>
      </c>
      <c r="G330" s="15" t="s">
        <v>28</v>
      </c>
      <c r="H330" s="15" t="s">
        <v>1492</v>
      </c>
      <c r="I330" s="15" t="s">
        <v>44</v>
      </c>
      <c r="J330" s="15" t="s">
        <v>45</v>
      </c>
      <c r="K330" s="15" t="s">
        <v>32</v>
      </c>
      <c r="L330" s="15" t="s">
        <v>97</v>
      </c>
      <c r="M330" s="15">
        <v>9</v>
      </c>
      <c r="N330" s="15">
        <v>3500</v>
      </c>
      <c r="O330" s="15">
        <v>20</v>
      </c>
      <c r="P330" s="15">
        <v>25200</v>
      </c>
      <c r="Q330" s="15">
        <v>1</v>
      </c>
      <c r="R330" s="15" t="s">
        <v>79</v>
      </c>
      <c r="S330" s="15" t="s">
        <v>49</v>
      </c>
      <c r="T330" s="15" t="s">
        <v>175</v>
      </c>
      <c r="U330" s="17" t="s">
        <v>1493</v>
      </c>
      <c r="V330" s="15" t="s">
        <v>69</v>
      </c>
      <c r="W330" t="str">
        <f t="shared" si="35"/>
        <v>Blacklisted</v>
      </c>
      <c r="X330" s="27" t="str">
        <f t="shared" si="36"/>
        <v>Anita Gupta</v>
      </c>
      <c r="Y330" s="29" t="str">
        <f t="shared" si="37"/>
        <v>Ani00IDDe</v>
      </c>
      <c r="Z330" s="30" t="str">
        <f t="shared" si="38"/>
        <v>anita.gupta@company.com</v>
      </c>
      <c r="AA330" s="32">
        <f t="shared" ca="1" si="39"/>
        <v>21</v>
      </c>
      <c r="AB330" s="33">
        <f t="shared" si="40"/>
        <v>10</v>
      </c>
      <c r="AC330" s="34" t="str">
        <f t="shared" si="41"/>
        <v>Delayed</v>
      </c>
    </row>
    <row r="331" spans="1:29">
      <c r="A331" s="18" t="s">
        <v>1494</v>
      </c>
      <c r="B331" s="18" t="s">
        <v>127</v>
      </c>
      <c r="C331" s="18" t="s">
        <v>184</v>
      </c>
      <c r="D331" s="18" t="s">
        <v>896</v>
      </c>
      <c r="E331" s="18" t="s">
        <v>530</v>
      </c>
      <c r="F331" s="18" t="s">
        <v>200</v>
      </c>
      <c r="G331" s="18" t="s">
        <v>76</v>
      </c>
      <c r="H331" s="18" t="s">
        <v>1495</v>
      </c>
      <c r="I331" s="18" t="s">
        <v>30</v>
      </c>
      <c r="J331" s="18" t="s">
        <v>31</v>
      </c>
      <c r="K331" s="18" t="s">
        <v>46</v>
      </c>
      <c r="L331" s="18" t="s">
        <v>189</v>
      </c>
      <c r="M331" s="18">
        <v>15</v>
      </c>
      <c r="N331" s="18">
        <v>700</v>
      </c>
      <c r="O331" s="18">
        <v>5</v>
      </c>
      <c r="P331" s="18">
        <v>9975</v>
      </c>
      <c r="Q331" s="18">
        <v>1</v>
      </c>
      <c r="R331" s="18" t="s">
        <v>34</v>
      </c>
      <c r="S331" s="18" t="s">
        <v>49</v>
      </c>
      <c r="T331" s="18" t="s">
        <v>132</v>
      </c>
      <c r="U331" s="19" t="s">
        <v>1496</v>
      </c>
      <c r="V331" s="18" t="s">
        <v>69</v>
      </c>
      <c r="W331" t="str">
        <f t="shared" si="35"/>
        <v>Blacklisted</v>
      </c>
      <c r="X331" s="27" t="str">
        <f t="shared" si="36"/>
        <v>Rohit Singh</v>
      </c>
      <c r="Y331" s="29" t="str">
        <f t="shared" si="37"/>
        <v>Roh00IDHy</v>
      </c>
      <c r="Z331" s="30" t="str">
        <f t="shared" si="38"/>
        <v>rohit.singh@company.com</v>
      </c>
      <c r="AA331" s="32">
        <f t="shared" ca="1" si="39"/>
        <v>23</v>
      </c>
      <c r="AB331" s="33">
        <f t="shared" si="40"/>
        <v>1</v>
      </c>
      <c r="AC331" s="34" t="str">
        <f t="shared" si="41"/>
        <v>On Time</v>
      </c>
    </row>
    <row r="332" spans="1:29">
      <c r="A332" s="15" t="s">
        <v>1497</v>
      </c>
      <c r="B332" s="15" t="s">
        <v>53</v>
      </c>
      <c r="C332" s="15" t="s">
        <v>72</v>
      </c>
      <c r="D332" s="15" t="s">
        <v>179</v>
      </c>
      <c r="E332" s="15" t="s">
        <v>798</v>
      </c>
      <c r="F332" s="15" t="s">
        <v>163</v>
      </c>
      <c r="G332" s="15" t="s">
        <v>28</v>
      </c>
      <c r="H332" s="15" t="s">
        <v>1498</v>
      </c>
      <c r="I332" s="15" t="s">
        <v>138</v>
      </c>
      <c r="J332" s="15" t="s">
        <v>106</v>
      </c>
      <c r="K332" s="15" t="s">
        <v>46</v>
      </c>
      <c r="L332" s="15" t="s">
        <v>78</v>
      </c>
      <c r="M332" s="15">
        <v>13</v>
      </c>
      <c r="N332" s="15">
        <v>1200</v>
      </c>
      <c r="O332" s="15">
        <v>0</v>
      </c>
      <c r="P332" s="15">
        <v>15600</v>
      </c>
      <c r="Q332" s="15">
        <v>3</v>
      </c>
      <c r="R332" s="15" t="s">
        <v>48</v>
      </c>
      <c r="S332" s="15" t="s">
        <v>115</v>
      </c>
      <c r="T332" s="15" t="s">
        <v>62</v>
      </c>
      <c r="U332" s="17" t="s">
        <v>1499</v>
      </c>
      <c r="V332" s="15" t="s">
        <v>69</v>
      </c>
      <c r="W332" t="str">
        <f t="shared" si="35"/>
        <v>Blacklisted</v>
      </c>
      <c r="X332" s="27" t="str">
        <f t="shared" si="36"/>
        <v>Pooja Shah</v>
      </c>
      <c r="Y332" s="29" t="str">
        <f t="shared" si="37"/>
        <v>Poo01IDAh</v>
      </c>
      <c r="Z332" s="30" t="str">
        <f t="shared" si="38"/>
        <v>pooja.shah@company.com</v>
      </c>
      <c r="AA332" s="32">
        <f t="shared" ca="1" si="39"/>
        <v>33</v>
      </c>
      <c r="AB332" s="33">
        <f t="shared" si="40"/>
        <v>5</v>
      </c>
      <c r="AC332" s="34" t="str">
        <f t="shared" si="41"/>
        <v>On Time</v>
      </c>
    </row>
    <row r="333" spans="1:29">
      <c r="A333" s="18" t="s">
        <v>1500</v>
      </c>
      <c r="B333" s="18" t="s">
        <v>327</v>
      </c>
      <c r="C333" s="18" t="s">
        <v>40</v>
      </c>
      <c r="D333" s="18" t="s">
        <v>1501</v>
      </c>
      <c r="E333" s="18" t="s">
        <v>1502</v>
      </c>
      <c r="F333" s="18" t="s">
        <v>394</v>
      </c>
      <c r="G333" s="18" t="s">
        <v>76</v>
      </c>
      <c r="H333" s="18" t="s">
        <v>1503</v>
      </c>
      <c r="I333" s="18" t="s">
        <v>44</v>
      </c>
      <c r="J333" s="18" t="s">
        <v>45</v>
      </c>
      <c r="K333" s="18" t="s">
        <v>46</v>
      </c>
      <c r="L333" s="18" t="s">
        <v>47</v>
      </c>
      <c r="M333" s="18">
        <v>5</v>
      </c>
      <c r="N333" s="18">
        <v>12000</v>
      </c>
      <c r="O333" s="18">
        <v>10</v>
      </c>
      <c r="P333" s="18">
        <v>54000</v>
      </c>
      <c r="Q333" s="18">
        <v>3</v>
      </c>
      <c r="R333" s="18" t="s">
        <v>88</v>
      </c>
      <c r="S333" s="18" t="s">
        <v>49</v>
      </c>
      <c r="T333" s="18" t="s">
        <v>332</v>
      </c>
      <c r="U333" s="19" t="s">
        <v>1504</v>
      </c>
      <c r="V333" s="18" t="s">
        <v>38</v>
      </c>
      <c r="W333" t="str">
        <f t="shared" si="35"/>
        <v>Gold</v>
      </c>
      <c r="X333" s="27" t="str">
        <f t="shared" si="36"/>
        <v>Amit Sharma</v>
      </c>
      <c r="Y333" s="29" t="str">
        <f t="shared" si="37"/>
        <v>Ami00IDDe</v>
      </c>
      <c r="Z333" s="30" t="str">
        <f t="shared" si="38"/>
        <v>amit.sharma@company.com</v>
      </c>
      <c r="AA333" s="32">
        <f t="shared" ca="1" si="39"/>
        <v>33</v>
      </c>
      <c r="AB333" s="33">
        <f t="shared" si="40"/>
        <v>12</v>
      </c>
      <c r="AC333" s="34" t="str">
        <f t="shared" si="41"/>
        <v>Delayed</v>
      </c>
    </row>
    <row r="334" spans="1:29">
      <c r="A334" s="15" t="s">
        <v>1505</v>
      </c>
      <c r="B334" s="15" t="s">
        <v>53</v>
      </c>
      <c r="C334" s="15" t="s">
        <v>259</v>
      </c>
      <c r="D334" s="15" t="s">
        <v>1506</v>
      </c>
      <c r="E334" s="15" t="s">
        <v>1507</v>
      </c>
      <c r="F334" s="15" t="s">
        <v>163</v>
      </c>
      <c r="G334" s="15" t="s">
        <v>28</v>
      </c>
      <c r="H334" s="15" t="s">
        <v>1508</v>
      </c>
      <c r="I334" s="15" t="s">
        <v>59</v>
      </c>
      <c r="J334" s="15" t="s">
        <v>31</v>
      </c>
      <c r="K334" s="15" t="s">
        <v>122</v>
      </c>
      <c r="L334" s="15" t="s">
        <v>263</v>
      </c>
      <c r="M334" s="15">
        <v>12</v>
      </c>
      <c r="N334" s="15">
        <v>45</v>
      </c>
      <c r="O334" s="15">
        <v>20</v>
      </c>
      <c r="P334" s="15">
        <v>432</v>
      </c>
      <c r="Q334" s="15">
        <v>3</v>
      </c>
      <c r="R334" s="15" t="s">
        <v>48</v>
      </c>
      <c r="S334" s="15" t="s">
        <v>61</v>
      </c>
      <c r="T334" s="15" t="s">
        <v>62</v>
      </c>
      <c r="U334" s="17" t="s">
        <v>1509</v>
      </c>
      <c r="V334" s="15" t="s">
        <v>38</v>
      </c>
      <c r="W334" t="str">
        <f t="shared" si="35"/>
        <v>Silver</v>
      </c>
      <c r="X334" s="27" t="str">
        <f t="shared" si="36"/>
        <v>Pooja Shah</v>
      </c>
      <c r="Y334" s="29" t="str">
        <f t="shared" si="37"/>
        <v>Poo01IDBe</v>
      </c>
      <c r="Z334" s="30" t="str">
        <f t="shared" si="38"/>
        <v>pooja.shah@company.com</v>
      </c>
      <c r="AA334" s="32">
        <f t="shared" ca="1" si="39"/>
        <v>26</v>
      </c>
      <c r="AB334" s="33">
        <f t="shared" si="40"/>
        <v>3</v>
      </c>
      <c r="AC334" s="34" t="str">
        <f t="shared" si="41"/>
        <v>On Time</v>
      </c>
    </row>
    <row r="335" spans="1:29">
      <c r="A335" s="18" t="s">
        <v>1510</v>
      </c>
      <c r="B335" s="18" t="s">
        <v>23</v>
      </c>
      <c r="C335" s="18" t="s">
        <v>92</v>
      </c>
      <c r="D335" s="18" t="s">
        <v>652</v>
      </c>
      <c r="E335" s="18" t="s">
        <v>666</v>
      </c>
      <c r="F335" s="18" t="s">
        <v>27</v>
      </c>
      <c r="G335" s="18" t="s">
        <v>28</v>
      </c>
      <c r="H335" s="18" t="s">
        <v>1511</v>
      </c>
      <c r="I335" s="18" t="s">
        <v>59</v>
      </c>
      <c r="J335" s="18" t="s">
        <v>31</v>
      </c>
      <c r="K335" s="18" t="s">
        <v>32</v>
      </c>
      <c r="L335" s="18" t="s">
        <v>97</v>
      </c>
      <c r="M335" s="18">
        <v>2</v>
      </c>
      <c r="N335" s="18">
        <v>3500</v>
      </c>
      <c r="O335" s="18">
        <v>0</v>
      </c>
      <c r="P335" s="18">
        <v>7000</v>
      </c>
      <c r="Q335" s="18">
        <v>1</v>
      </c>
      <c r="R335" s="18" t="s">
        <v>48</v>
      </c>
      <c r="S335" s="18" t="s">
        <v>115</v>
      </c>
      <c r="T335" s="18" t="s">
        <v>50</v>
      </c>
      <c r="U335" s="19" t="s">
        <v>1512</v>
      </c>
      <c r="V335" s="18" t="s">
        <v>64</v>
      </c>
      <c r="W335" t="str">
        <f t="shared" si="35"/>
        <v>Blacklisted</v>
      </c>
      <c r="X335" s="27" t="str">
        <f t="shared" si="36"/>
        <v>Kavya Nair</v>
      </c>
      <c r="Y335" s="29" t="str">
        <f t="shared" si="37"/>
        <v>Kav00IDBe</v>
      </c>
      <c r="Z335" s="30" t="str">
        <f t="shared" si="38"/>
        <v>kavya.nair@company.com</v>
      </c>
      <c r="AA335" s="32">
        <f t="shared" ca="1" si="39"/>
        <v>50</v>
      </c>
      <c r="AB335" s="33">
        <f t="shared" si="40"/>
        <v>5</v>
      </c>
      <c r="AC335" s="34" t="str">
        <f t="shared" si="41"/>
        <v>On Time</v>
      </c>
    </row>
    <row r="336" spans="1:29">
      <c r="A336" s="15" t="s">
        <v>1513</v>
      </c>
      <c r="B336" s="15" t="s">
        <v>23</v>
      </c>
      <c r="C336" s="15" t="s">
        <v>24</v>
      </c>
      <c r="D336" s="15" t="s">
        <v>426</v>
      </c>
      <c r="E336" s="15" t="s">
        <v>1180</v>
      </c>
      <c r="F336" s="15" t="s">
        <v>27</v>
      </c>
      <c r="G336" s="15" t="s">
        <v>28</v>
      </c>
      <c r="H336" s="15" t="s">
        <v>1514</v>
      </c>
      <c r="I336" s="15" t="s">
        <v>114</v>
      </c>
      <c r="J336" s="15" t="s">
        <v>106</v>
      </c>
      <c r="K336" s="15" t="s">
        <v>32</v>
      </c>
      <c r="L336" s="15" t="s">
        <v>33</v>
      </c>
      <c r="M336" s="15">
        <v>15</v>
      </c>
      <c r="N336" s="15">
        <v>2200</v>
      </c>
      <c r="O336" s="15">
        <v>15</v>
      </c>
      <c r="P336" s="15">
        <v>28050</v>
      </c>
      <c r="Q336" s="15">
        <v>2</v>
      </c>
      <c r="R336" s="15" t="s">
        <v>48</v>
      </c>
      <c r="S336" s="15" t="s">
        <v>49</v>
      </c>
      <c r="T336" s="15" t="s">
        <v>50</v>
      </c>
      <c r="U336" s="17" t="s">
        <v>1515</v>
      </c>
      <c r="V336" s="15" t="s">
        <v>64</v>
      </c>
      <c r="W336" t="str">
        <f t="shared" si="35"/>
        <v>Blacklisted</v>
      </c>
      <c r="X336" s="27" t="str">
        <f t="shared" si="36"/>
        <v>Kavya Nair</v>
      </c>
      <c r="Y336" s="29" t="str">
        <f t="shared" si="37"/>
        <v>Kav00IDPu</v>
      </c>
      <c r="Z336" s="30" t="str">
        <f t="shared" si="38"/>
        <v>kavya.nair@company.com</v>
      </c>
      <c r="AA336" s="32">
        <f t="shared" ca="1" si="39"/>
        <v>41</v>
      </c>
      <c r="AB336" s="33">
        <f t="shared" si="40"/>
        <v>3</v>
      </c>
      <c r="AC336" s="34" t="str">
        <f t="shared" si="41"/>
        <v>On Time</v>
      </c>
    </row>
    <row r="337" spans="1:29">
      <c r="A337" s="18" t="s">
        <v>1516</v>
      </c>
      <c r="B337" s="18" t="s">
        <v>100</v>
      </c>
      <c r="C337" s="18" t="s">
        <v>222</v>
      </c>
      <c r="D337" s="18" t="s">
        <v>186</v>
      </c>
      <c r="E337" s="18" t="s">
        <v>1253</v>
      </c>
      <c r="F337" s="18" t="s">
        <v>103</v>
      </c>
      <c r="G337" s="18" t="s">
        <v>28</v>
      </c>
      <c r="H337" s="18" t="s">
        <v>1517</v>
      </c>
      <c r="I337" s="18" t="s">
        <v>138</v>
      </c>
      <c r="J337" s="18" t="s">
        <v>106</v>
      </c>
      <c r="K337" s="18" t="s">
        <v>122</v>
      </c>
      <c r="L337" s="18" t="s">
        <v>227</v>
      </c>
      <c r="M337" s="18">
        <v>8</v>
      </c>
      <c r="N337" s="18">
        <v>20</v>
      </c>
      <c r="O337" s="18">
        <v>20</v>
      </c>
      <c r="P337" s="18">
        <v>128</v>
      </c>
      <c r="Q337" s="18">
        <v>5</v>
      </c>
      <c r="R337" s="18" t="s">
        <v>88</v>
      </c>
      <c r="S337" s="18" t="s">
        <v>49</v>
      </c>
      <c r="T337" s="18" t="s">
        <v>144</v>
      </c>
      <c r="U337" s="19" t="s">
        <v>1518</v>
      </c>
      <c r="V337" s="18" t="s">
        <v>38</v>
      </c>
      <c r="W337" t="str">
        <f t="shared" si="35"/>
        <v>Silver</v>
      </c>
      <c r="X337" s="27" t="str">
        <f t="shared" si="36"/>
        <v>Priya Patel</v>
      </c>
      <c r="Y337" s="29" t="str">
        <f t="shared" si="37"/>
        <v>Pri00IDAh</v>
      </c>
      <c r="Z337" s="30" t="str">
        <f t="shared" si="38"/>
        <v>priya.patel@company.com</v>
      </c>
      <c r="AA337" s="32">
        <f t="shared" ca="1" si="39"/>
        <v>51</v>
      </c>
      <c r="AB337" s="33">
        <f t="shared" si="40"/>
        <v>8</v>
      </c>
      <c r="AC337" s="34" t="str">
        <f t="shared" si="41"/>
        <v>Delayed</v>
      </c>
    </row>
    <row r="338" spans="1:29">
      <c r="A338" s="15" t="s">
        <v>1519</v>
      </c>
      <c r="B338" s="15" t="s">
        <v>127</v>
      </c>
      <c r="C338" s="15" t="s">
        <v>222</v>
      </c>
      <c r="D338" s="15" t="s">
        <v>298</v>
      </c>
      <c r="E338" s="15" t="s">
        <v>798</v>
      </c>
      <c r="F338" s="15" t="s">
        <v>200</v>
      </c>
      <c r="G338" s="15" t="s">
        <v>76</v>
      </c>
      <c r="H338" s="15" t="s">
        <v>1520</v>
      </c>
      <c r="I338" s="15" t="s">
        <v>30</v>
      </c>
      <c r="J338" s="15" t="s">
        <v>31</v>
      </c>
      <c r="K338" s="15" t="s">
        <v>122</v>
      </c>
      <c r="L338" s="15" t="s">
        <v>227</v>
      </c>
      <c r="M338" s="15">
        <v>1</v>
      </c>
      <c r="N338" s="15">
        <v>20</v>
      </c>
      <c r="O338" s="15">
        <v>0</v>
      </c>
      <c r="P338" s="15">
        <v>20</v>
      </c>
      <c r="Q338" s="15">
        <v>3</v>
      </c>
      <c r="R338" s="15" t="s">
        <v>88</v>
      </c>
      <c r="S338" s="15" t="s">
        <v>35</v>
      </c>
      <c r="T338" s="15" t="s">
        <v>132</v>
      </c>
      <c r="U338" s="17" t="s">
        <v>1521</v>
      </c>
      <c r="V338" s="15" t="s">
        <v>38</v>
      </c>
      <c r="W338" t="str">
        <f t="shared" si="35"/>
        <v>Silver</v>
      </c>
      <c r="X338" s="27" t="str">
        <f t="shared" si="36"/>
        <v>Rohit Singh</v>
      </c>
      <c r="Y338" s="29" t="str">
        <f t="shared" si="37"/>
        <v>Roh00IDHy</v>
      </c>
      <c r="Z338" s="30" t="str">
        <f t="shared" si="38"/>
        <v>rohit.singh@company.com</v>
      </c>
      <c r="AA338" s="32">
        <f t="shared" ca="1" si="39"/>
        <v>32</v>
      </c>
      <c r="AB338" s="33">
        <f t="shared" si="40"/>
        <v>2</v>
      </c>
      <c r="AC338" s="34" t="str">
        <f t="shared" si="41"/>
        <v>On Time</v>
      </c>
    </row>
    <row r="339" spans="1:29">
      <c r="A339" s="18" t="s">
        <v>1522</v>
      </c>
      <c r="B339" s="18" t="s">
        <v>23</v>
      </c>
      <c r="C339" s="18" t="s">
        <v>184</v>
      </c>
      <c r="D339" s="18" t="s">
        <v>1199</v>
      </c>
      <c r="E339" s="18" t="s">
        <v>253</v>
      </c>
      <c r="F339" s="18" t="s">
        <v>27</v>
      </c>
      <c r="G339" s="18" t="s">
        <v>28</v>
      </c>
      <c r="H339" s="18" t="s">
        <v>1523</v>
      </c>
      <c r="I339" s="18" t="s">
        <v>212</v>
      </c>
      <c r="J339" s="18" t="s">
        <v>45</v>
      </c>
      <c r="K339" s="18" t="s">
        <v>46</v>
      </c>
      <c r="L339" s="18" t="s">
        <v>189</v>
      </c>
      <c r="M339" s="18">
        <v>15</v>
      </c>
      <c r="N339" s="18">
        <v>700</v>
      </c>
      <c r="O339" s="18">
        <v>0</v>
      </c>
      <c r="P339" s="18">
        <v>10500</v>
      </c>
      <c r="Q339" s="18">
        <v>2</v>
      </c>
      <c r="R339" s="18" t="s">
        <v>88</v>
      </c>
      <c r="S339" s="18" t="s">
        <v>49</v>
      </c>
      <c r="T339" s="18" t="s">
        <v>50</v>
      </c>
      <c r="U339" s="19" t="s">
        <v>1524</v>
      </c>
      <c r="V339" s="18" t="s">
        <v>38</v>
      </c>
      <c r="W339" t="str">
        <f t="shared" si="35"/>
        <v>Blacklisted</v>
      </c>
      <c r="X339" s="27" t="str">
        <f t="shared" si="36"/>
        <v>Kavya Nair</v>
      </c>
      <c r="Y339" s="29" t="str">
        <f t="shared" si="37"/>
        <v>Kav00IDJa</v>
      </c>
      <c r="Z339" s="30" t="str">
        <f t="shared" si="38"/>
        <v>kavya.nair@company.com</v>
      </c>
      <c r="AA339" s="32">
        <f t="shared" ca="1" si="39"/>
        <v>42</v>
      </c>
      <c r="AB339" s="33">
        <f t="shared" si="40"/>
        <v>11</v>
      </c>
      <c r="AC339" s="34" t="str">
        <f t="shared" si="41"/>
        <v>Delayed</v>
      </c>
    </row>
    <row r="340" spans="1:29">
      <c r="A340" s="15" t="s">
        <v>1525</v>
      </c>
      <c r="B340" s="15" t="s">
        <v>327</v>
      </c>
      <c r="C340" s="15" t="s">
        <v>92</v>
      </c>
      <c r="D340" s="15" t="s">
        <v>932</v>
      </c>
      <c r="E340" s="15" t="s">
        <v>1526</v>
      </c>
      <c r="F340" s="15" t="s">
        <v>394</v>
      </c>
      <c r="G340" s="15" t="s">
        <v>76</v>
      </c>
      <c r="H340" s="15" t="s">
        <v>1527</v>
      </c>
      <c r="I340" s="15" t="s">
        <v>30</v>
      </c>
      <c r="J340" s="15" t="s">
        <v>31</v>
      </c>
      <c r="K340" s="15" t="s">
        <v>32</v>
      </c>
      <c r="L340" s="15" t="s">
        <v>97</v>
      </c>
      <c r="M340" s="15">
        <v>15</v>
      </c>
      <c r="N340" s="15">
        <v>3500</v>
      </c>
      <c r="O340" s="15">
        <v>10</v>
      </c>
      <c r="P340" s="15">
        <v>47250</v>
      </c>
      <c r="Q340" s="15">
        <v>3</v>
      </c>
      <c r="R340" s="15" t="s">
        <v>34</v>
      </c>
      <c r="S340" s="15" t="s">
        <v>151</v>
      </c>
      <c r="T340" s="15" t="s">
        <v>332</v>
      </c>
      <c r="U340" s="17" t="s">
        <v>1528</v>
      </c>
      <c r="V340" s="15" t="s">
        <v>64</v>
      </c>
      <c r="W340" t="str">
        <f t="shared" si="35"/>
        <v>Blacklisted</v>
      </c>
      <c r="X340" s="27" t="str">
        <f t="shared" si="36"/>
        <v>Amit Sharma</v>
      </c>
      <c r="Y340" s="29" t="str">
        <f t="shared" si="37"/>
        <v>Ami00IDHy</v>
      </c>
      <c r="Z340" s="30" t="str">
        <f t="shared" si="38"/>
        <v>amit.sharma@company.com</v>
      </c>
      <c r="AA340" s="32">
        <f t="shared" ca="1" si="39"/>
        <v>43</v>
      </c>
      <c r="AB340" s="33">
        <f t="shared" si="40"/>
        <v>3</v>
      </c>
      <c r="AC340" s="34" t="str">
        <f t="shared" si="41"/>
        <v>On Time</v>
      </c>
    </row>
    <row r="341" spans="1:29">
      <c r="A341" s="18" t="s">
        <v>1529</v>
      </c>
      <c r="B341" s="18" t="s">
        <v>23</v>
      </c>
      <c r="C341" s="18" t="s">
        <v>118</v>
      </c>
      <c r="D341" s="18" t="s">
        <v>1530</v>
      </c>
      <c r="E341" s="18" t="s">
        <v>156</v>
      </c>
      <c r="F341" s="18" t="s">
        <v>27</v>
      </c>
      <c r="G341" s="18" t="s">
        <v>28</v>
      </c>
      <c r="H341" s="18" t="s">
        <v>1531</v>
      </c>
      <c r="I341" s="18" t="s">
        <v>294</v>
      </c>
      <c r="J341" s="18" t="s">
        <v>295</v>
      </c>
      <c r="K341" s="18" t="s">
        <v>122</v>
      </c>
      <c r="L341" s="18" t="s">
        <v>123</v>
      </c>
      <c r="M341" s="18">
        <v>16</v>
      </c>
      <c r="N341" s="18">
        <v>60</v>
      </c>
      <c r="O341" s="18">
        <v>10</v>
      </c>
      <c r="P341" s="18">
        <v>864</v>
      </c>
      <c r="Q341" s="18">
        <v>4</v>
      </c>
      <c r="R341" s="18" t="s">
        <v>79</v>
      </c>
      <c r="S341" s="18" t="s">
        <v>61</v>
      </c>
      <c r="T341" s="18" t="s">
        <v>50</v>
      </c>
      <c r="U341" s="19" t="s">
        <v>1532</v>
      </c>
      <c r="V341" s="18" t="s">
        <v>38</v>
      </c>
      <c r="W341" t="str">
        <f t="shared" si="35"/>
        <v>Silver</v>
      </c>
      <c r="X341" s="27" t="str">
        <f t="shared" si="36"/>
        <v>Kavya Nair</v>
      </c>
      <c r="Y341" s="29" t="str">
        <f t="shared" si="37"/>
        <v>Kav00IDKo</v>
      </c>
      <c r="Z341" s="30" t="str">
        <f t="shared" si="38"/>
        <v>kavya.nair@company.com</v>
      </c>
      <c r="AA341" s="32">
        <f t="shared" ca="1" si="39"/>
        <v>42</v>
      </c>
      <c r="AB341" s="33">
        <f t="shared" si="40"/>
        <v>10</v>
      </c>
      <c r="AC341" s="34" t="str">
        <f t="shared" si="41"/>
        <v>Delayed</v>
      </c>
    </row>
    <row r="342" spans="1:29">
      <c r="A342" s="15" t="s">
        <v>1533</v>
      </c>
      <c r="B342" s="15" t="s">
        <v>127</v>
      </c>
      <c r="C342" s="15" t="s">
        <v>259</v>
      </c>
      <c r="D342" s="15" t="s">
        <v>309</v>
      </c>
      <c r="E342" s="15" t="s">
        <v>793</v>
      </c>
      <c r="F342" s="15" t="s">
        <v>200</v>
      </c>
      <c r="G342" s="15" t="s">
        <v>76</v>
      </c>
      <c r="H342" s="15" t="s">
        <v>1534</v>
      </c>
      <c r="I342" s="15" t="s">
        <v>44</v>
      </c>
      <c r="J342" s="15" t="s">
        <v>45</v>
      </c>
      <c r="K342" s="15" t="s">
        <v>122</v>
      </c>
      <c r="L342" s="15" t="s">
        <v>263</v>
      </c>
      <c r="M342" s="15">
        <v>2</v>
      </c>
      <c r="N342" s="15">
        <v>45</v>
      </c>
      <c r="O342" s="15">
        <v>15</v>
      </c>
      <c r="P342" s="15">
        <v>76.5</v>
      </c>
      <c r="Q342" s="15">
        <v>1</v>
      </c>
      <c r="R342" s="15" t="s">
        <v>88</v>
      </c>
      <c r="S342" s="15" t="s">
        <v>151</v>
      </c>
      <c r="T342" s="15" t="s">
        <v>132</v>
      </c>
      <c r="U342" s="17" t="s">
        <v>1535</v>
      </c>
      <c r="V342" s="15" t="s">
        <v>69</v>
      </c>
      <c r="W342" t="str">
        <f t="shared" si="35"/>
        <v>Blacklisted</v>
      </c>
      <c r="X342" s="27" t="str">
        <f t="shared" si="36"/>
        <v>Rohit Singh</v>
      </c>
      <c r="Y342" s="29" t="str">
        <f t="shared" si="37"/>
        <v>Roh00IDDe</v>
      </c>
      <c r="Z342" s="30" t="str">
        <f t="shared" si="38"/>
        <v>rohit.singh@company.com</v>
      </c>
      <c r="AA342" s="32">
        <f t="shared" ca="1" si="39"/>
        <v>43</v>
      </c>
      <c r="AB342" s="33">
        <f t="shared" si="40"/>
        <v>6</v>
      </c>
      <c r="AC342" s="34" t="str">
        <f t="shared" si="41"/>
        <v>Delayed</v>
      </c>
    </row>
    <row r="343" spans="1:29">
      <c r="A343" s="18" t="s">
        <v>1536</v>
      </c>
      <c r="B343" s="18" t="s">
        <v>168</v>
      </c>
      <c r="C343" s="18" t="s">
        <v>118</v>
      </c>
      <c r="D343" s="18" t="s">
        <v>1537</v>
      </c>
      <c r="E343" s="18" t="s">
        <v>1214</v>
      </c>
      <c r="F343" s="18" t="s">
        <v>361</v>
      </c>
      <c r="G343" s="18" t="s">
        <v>28</v>
      </c>
      <c r="H343" s="18" t="s">
        <v>1538</v>
      </c>
      <c r="I343" s="18" t="s">
        <v>44</v>
      </c>
      <c r="J343" s="18" t="s">
        <v>45</v>
      </c>
      <c r="K343" s="18" t="s">
        <v>122</v>
      </c>
      <c r="L343" s="18" t="s">
        <v>123</v>
      </c>
      <c r="M343" s="18">
        <v>13</v>
      </c>
      <c r="N343" s="18">
        <v>60</v>
      </c>
      <c r="O343" s="18">
        <v>15</v>
      </c>
      <c r="P343" s="18">
        <v>663</v>
      </c>
      <c r="Q343" s="18">
        <v>2</v>
      </c>
      <c r="R343" s="18" t="s">
        <v>48</v>
      </c>
      <c r="S343" s="18" t="s">
        <v>61</v>
      </c>
      <c r="T343" s="18" t="s">
        <v>175</v>
      </c>
      <c r="U343" s="19" t="s">
        <v>1539</v>
      </c>
      <c r="V343" s="18" t="s">
        <v>69</v>
      </c>
      <c r="W343" t="str">
        <f t="shared" si="35"/>
        <v>Blacklisted</v>
      </c>
      <c r="X343" s="27" t="str">
        <f t="shared" si="36"/>
        <v>Anita Gupta</v>
      </c>
      <c r="Y343" s="29" t="str">
        <f t="shared" si="37"/>
        <v>Ani00IDDe</v>
      </c>
      <c r="Z343" s="30" t="str">
        <f t="shared" si="38"/>
        <v>anita.gupta@company.com</v>
      </c>
      <c r="AA343" s="32">
        <f t="shared" ca="1" si="39"/>
        <v>51</v>
      </c>
      <c r="AB343" s="33">
        <f t="shared" si="40"/>
        <v>9</v>
      </c>
      <c r="AC343" s="34" t="str">
        <f t="shared" si="41"/>
        <v>Delayed</v>
      </c>
    </row>
    <row r="344" spans="1:29">
      <c r="A344" s="15" t="s">
        <v>1540</v>
      </c>
      <c r="B344" s="15" t="s">
        <v>83</v>
      </c>
      <c r="C344" s="15" t="s">
        <v>40</v>
      </c>
      <c r="D344" s="15" t="s">
        <v>1086</v>
      </c>
      <c r="E344" s="15" t="s">
        <v>236</v>
      </c>
      <c r="F344" s="15" t="s">
        <v>180</v>
      </c>
      <c r="G344" s="15" t="s">
        <v>76</v>
      </c>
      <c r="H344" s="15" t="s">
        <v>1541</v>
      </c>
      <c r="I344" s="15" t="s">
        <v>44</v>
      </c>
      <c r="J344" s="15" t="s">
        <v>45</v>
      </c>
      <c r="K344" s="15" t="s">
        <v>46</v>
      </c>
      <c r="L344" s="15" t="s">
        <v>47</v>
      </c>
      <c r="M344" s="15">
        <v>15</v>
      </c>
      <c r="N344" s="15">
        <v>12000</v>
      </c>
      <c r="O344" s="15">
        <v>20</v>
      </c>
      <c r="P344" s="15">
        <v>144000</v>
      </c>
      <c r="Q344" s="15">
        <v>3</v>
      </c>
      <c r="R344" s="15" t="s">
        <v>79</v>
      </c>
      <c r="S344" s="15" t="s">
        <v>35</v>
      </c>
      <c r="T344" s="15" t="s">
        <v>89</v>
      </c>
      <c r="U344" s="17" t="s">
        <v>1542</v>
      </c>
      <c r="V344" s="15" t="s">
        <v>69</v>
      </c>
      <c r="W344" t="str">
        <f t="shared" si="35"/>
        <v>Blacklisted</v>
      </c>
      <c r="X344" s="27" t="str">
        <f t="shared" si="36"/>
        <v>Arjun Rao</v>
      </c>
      <c r="Y344" s="29" t="str">
        <f t="shared" si="37"/>
        <v>Arj00IDDe</v>
      </c>
      <c r="Z344" s="30" t="str">
        <f t="shared" si="38"/>
        <v>arjun.rao@company.com</v>
      </c>
      <c r="AA344" s="32">
        <f t="shared" ca="1" si="39"/>
        <v>31</v>
      </c>
      <c r="AB344" s="33">
        <f t="shared" si="40"/>
        <v>2</v>
      </c>
      <c r="AC344" s="34" t="str">
        <f t="shared" si="41"/>
        <v>On Time</v>
      </c>
    </row>
    <row r="345" spans="1:29">
      <c r="A345" s="18" t="s">
        <v>1543</v>
      </c>
      <c r="B345" s="18" t="s">
        <v>327</v>
      </c>
      <c r="C345" s="18" t="s">
        <v>222</v>
      </c>
      <c r="D345" s="18" t="s">
        <v>755</v>
      </c>
      <c r="E345" s="18" t="s">
        <v>1544</v>
      </c>
      <c r="F345" s="18" t="s">
        <v>394</v>
      </c>
      <c r="G345" s="18" t="s">
        <v>76</v>
      </c>
      <c r="H345" s="18" t="s">
        <v>1545</v>
      </c>
      <c r="I345" s="18" t="s">
        <v>44</v>
      </c>
      <c r="J345" s="18" t="s">
        <v>45</v>
      </c>
      <c r="K345" s="18" t="s">
        <v>122</v>
      </c>
      <c r="L345" s="18" t="s">
        <v>227</v>
      </c>
      <c r="M345" s="18">
        <v>2</v>
      </c>
      <c r="N345" s="18">
        <v>20</v>
      </c>
      <c r="O345" s="18">
        <v>20</v>
      </c>
      <c r="P345" s="18">
        <v>32</v>
      </c>
      <c r="Q345" s="18">
        <v>4</v>
      </c>
      <c r="R345" s="18" t="s">
        <v>34</v>
      </c>
      <c r="S345" s="18" t="s">
        <v>35</v>
      </c>
      <c r="T345" s="18" t="s">
        <v>332</v>
      </c>
      <c r="U345" s="19" t="s">
        <v>1546</v>
      </c>
      <c r="V345" s="18" t="s">
        <v>64</v>
      </c>
      <c r="W345" t="str">
        <f t="shared" si="35"/>
        <v>Blacklisted</v>
      </c>
      <c r="X345" s="27" t="str">
        <f t="shared" si="36"/>
        <v>Amit Sharma</v>
      </c>
      <c r="Y345" s="29" t="str">
        <f t="shared" si="37"/>
        <v>Ami00IDDe</v>
      </c>
      <c r="Z345" s="30" t="str">
        <f t="shared" si="38"/>
        <v>amit.sharma@company.com</v>
      </c>
      <c r="AA345" s="32">
        <f t="shared" ca="1" si="39"/>
        <v>38</v>
      </c>
      <c r="AB345" s="33">
        <f t="shared" si="40"/>
        <v>8</v>
      </c>
      <c r="AC345" s="34" t="str">
        <f t="shared" si="41"/>
        <v>Delayed</v>
      </c>
    </row>
    <row r="346" spans="1:29">
      <c r="A346" s="15" t="s">
        <v>1547</v>
      </c>
      <c r="B346" s="15" t="s">
        <v>127</v>
      </c>
      <c r="C346" s="15" t="s">
        <v>92</v>
      </c>
      <c r="D346" s="15" t="s">
        <v>382</v>
      </c>
      <c r="E346" s="15" t="s">
        <v>1548</v>
      </c>
      <c r="F346" s="15" t="s">
        <v>200</v>
      </c>
      <c r="G346" s="15" t="s">
        <v>76</v>
      </c>
      <c r="H346" s="15" t="s">
        <v>1549</v>
      </c>
      <c r="I346" s="15" t="s">
        <v>59</v>
      </c>
      <c r="J346" s="15" t="s">
        <v>31</v>
      </c>
      <c r="K346" s="15" t="s">
        <v>32</v>
      </c>
      <c r="L346" s="15" t="s">
        <v>97</v>
      </c>
      <c r="M346" s="15">
        <v>16</v>
      </c>
      <c r="N346" s="15">
        <v>3500</v>
      </c>
      <c r="O346" s="15">
        <v>0</v>
      </c>
      <c r="P346" s="15">
        <v>56000</v>
      </c>
      <c r="Q346" s="15">
        <v>4</v>
      </c>
      <c r="R346" s="15" t="s">
        <v>34</v>
      </c>
      <c r="S346" s="15" t="s">
        <v>115</v>
      </c>
      <c r="T346" s="15" t="s">
        <v>132</v>
      </c>
      <c r="U346" s="17" t="s">
        <v>1550</v>
      </c>
      <c r="V346" s="15" t="s">
        <v>38</v>
      </c>
      <c r="W346" t="str">
        <f t="shared" si="35"/>
        <v>Gold</v>
      </c>
      <c r="X346" s="27" t="str">
        <f t="shared" si="36"/>
        <v>Rohit Singh</v>
      </c>
      <c r="Y346" s="29" t="str">
        <f t="shared" si="37"/>
        <v>Roh00IDBe</v>
      </c>
      <c r="Z346" s="30" t="str">
        <f t="shared" si="38"/>
        <v>rohit.singh@company.com</v>
      </c>
      <c r="AA346" s="32">
        <f t="shared" ca="1" si="39"/>
        <v>51</v>
      </c>
      <c r="AB346" s="33">
        <f t="shared" si="40"/>
        <v>12</v>
      </c>
      <c r="AC346" s="34" t="str">
        <f t="shared" si="41"/>
        <v>Delayed</v>
      </c>
    </row>
    <row r="347" spans="1:29">
      <c r="A347" s="18" t="s">
        <v>1551</v>
      </c>
      <c r="B347" s="18" t="s">
        <v>53</v>
      </c>
      <c r="C347" s="18" t="s">
        <v>92</v>
      </c>
      <c r="D347" s="18" t="s">
        <v>1302</v>
      </c>
      <c r="E347" s="18" t="s">
        <v>94</v>
      </c>
      <c r="F347" s="18" t="s">
        <v>163</v>
      </c>
      <c r="G347" s="18" t="s">
        <v>28</v>
      </c>
      <c r="H347" s="18" t="s">
        <v>1552</v>
      </c>
      <c r="I347" s="18" t="s">
        <v>138</v>
      </c>
      <c r="J347" s="18" t="s">
        <v>106</v>
      </c>
      <c r="K347" s="18" t="s">
        <v>32</v>
      </c>
      <c r="L347" s="18" t="s">
        <v>97</v>
      </c>
      <c r="M347" s="18">
        <v>18</v>
      </c>
      <c r="N347" s="18">
        <v>3500</v>
      </c>
      <c r="O347" s="18">
        <v>15</v>
      </c>
      <c r="P347" s="18">
        <v>53550</v>
      </c>
      <c r="Q347" s="18">
        <v>5</v>
      </c>
      <c r="R347" s="18" t="s">
        <v>34</v>
      </c>
      <c r="S347" s="18" t="s">
        <v>151</v>
      </c>
      <c r="T347" s="18" t="s">
        <v>62</v>
      </c>
      <c r="U347" s="19" t="s">
        <v>1553</v>
      </c>
      <c r="V347" s="18" t="s">
        <v>69</v>
      </c>
      <c r="W347" t="str">
        <f t="shared" si="35"/>
        <v>Blacklisted</v>
      </c>
      <c r="X347" s="27" t="str">
        <f t="shared" si="36"/>
        <v>Pooja Shah</v>
      </c>
      <c r="Y347" s="29" t="str">
        <f t="shared" si="37"/>
        <v>Poo01IDAh</v>
      </c>
      <c r="Z347" s="30" t="str">
        <f t="shared" si="38"/>
        <v>pooja.shah@company.com</v>
      </c>
      <c r="AA347" s="32">
        <f t="shared" ca="1" si="39"/>
        <v>49</v>
      </c>
      <c r="AB347" s="33">
        <f t="shared" si="40"/>
        <v>7</v>
      </c>
      <c r="AC347" s="34" t="str">
        <f t="shared" si="41"/>
        <v>Delayed</v>
      </c>
    </row>
    <row r="348" spans="1:29">
      <c r="A348" s="15" t="s">
        <v>1554</v>
      </c>
      <c r="B348" s="15" t="s">
        <v>23</v>
      </c>
      <c r="C348" s="15" t="s">
        <v>259</v>
      </c>
      <c r="D348" s="15" t="s">
        <v>65</v>
      </c>
      <c r="E348" s="15" t="s">
        <v>544</v>
      </c>
      <c r="F348" s="15" t="s">
        <v>27</v>
      </c>
      <c r="G348" s="15" t="s">
        <v>28</v>
      </c>
      <c r="H348" s="15" t="s">
        <v>1555</v>
      </c>
      <c r="I348" s="15" t="s">
        <v>138</v>
      </c>
      <c r="J348" s="15" t="s">
        <v>106</v>
      </c>
      <c r="K348" s="15" t="s">
        <v>122</v>
      </c>
      <c r="L348" s="15" t="s">
        <v>263</v>
      </c>
      <c r="M348" s="15">
        <v>20</v>
      </c>
      <c r="N348" s="15">
        <v>45</v>
      </c>
      <c r="O348" s="15">
        <v>15</v>
      </c>
      <c r="P348" s="15">
        <v>765</v>
      </c>
      <c r="Q348" s="15">
        <v>4</v>
      </c>
      <c r="R348" s="15" t="s">
        <v>34</v>
      </c>
      <c r="S348" s="15" t="s">
        <v>151</v>
      </c>
      <c r="T348" s="15" t="s">
        <v>50</v>
      </c>
      <c r="U348" s="17" t="s">
        <v>1556</v>
      </c>
      <c r="V348" s="15" t="s">
        <v>69</v>
      </c>
      <c r="W348" t="str">
        <f t="shared" si="35"/>
        <v>Blacklisted</v>
      </c>
      <c r="X348" s="27" t="str">
        <f t="shared" si="36"/>
        <v>Kavya Nair</v>
      </c>
      <c r="Y348" s="29" t="str">
        <f t="shared" si="37"/>
        <v>Kav00IDAh</v>
      </c>
      <c r="Z348" s="30" t="str">
        <f t="shared" si="38"/>
        <v>kavya.nair@company.com</v>
      </c>
      <c r="AA348" s="32">
        <f t="shared" ca="1" si="39"/>
        <v>33</v>
      </c>
      <c r="AB348" s="33">
        <f t="shared" si="40"/>
        <v>5</v>
      </c>
      <c r="AC348" s="34" t="str">
        <f t="shared" si="41"/>
        <v>On Time</v>
      </c>
    </row>
    <row r="349" spans="1:29">
      <c r="A349" s="18" t="s">
        <v>1557</v>
      </c>
      <c r="B349" s="18" t="s">
        <v>251</v>
      </c>
      <c r="C349" s="18" t="s">
        <v>24</v>
      </c>
      <c r="D349" s="18" t="s">
        <v>1286</v>
      </c>
      <c r="E349" s="18" t="s">
        <v>356</v>
      </c>
      <c r="F349" s="18" t="s">
        <v>254</v>
      </c>
      <c r="G349" s="18" t="s">
        <v>28</v>
      </c>
      <c r="H349" s="18" t="s">
        <v>1558</v>
      </c>
      <c r="I349" s="18" t="s">
        <v>44</v>
      </c>
      <c r="J349" s="18" t="s">
        <v>45</v>
      </c>
      <c r="K349" s="18" t="s">
        <v>32</v>
      </c>
      <c r="L349" s="18" t="s">
        <v>33</v>
      </c>
      <c r="M349" s="18">
        <v>13</v>
      </c>
      <c r="N349" s="18">
        <v>2200</v>
      </c>
      <c r="O349" s="18">
        <v>15</v>
      </c>
      <c r="P349" s="18">
        <v>24310</v>
      </c>
      <c r="Q349" s="18">
        <v>2</v>
      </c>
      <c r="R349" s="18" t="s">
        <v>48</v>
      </c>
      <c r="S349" s="18" t="s">
        <v>115</v>
      </c>
      <c r="T349" s="18" t="s">
        <v>256</v>
      </c>
      <c r="U349" s="19" t="s">
        <v>1559</v>
      </c>
      <c r="V349" s="18" t="s">
        <v>64</v>
      </c>
      <c r="W349" t="str">
        <f t="shared" si="35"/>
        <v>Blacklisted</v>
      </c>
      <c r="X349" s="27" t="str">
        <f t="shared" si="36"/>
        <v>Sneha Joshi</v>
      </c>
      <c r="Y349" s="29" t="str">
        <f t="shared" si="37"/>
        <v>Sne00IDDe</v>
      </c>
      <c r="Z349" s="30" t="str">
        <f t="shared" si="38"/>
        <v>sneha.joshi@company.com</v>
      </c>
      <c r="AA349" s="32">
        <f t="shared" ca="1" si="39"/>
        <v>29</v>
      </c>
      <c r="AB349" s="33">
        <f t="shared" si="40"/>
        <v>3</v>
      </c>
      <c r="AC349" s="34" t="str">
        <f t="shared" si="41"/>
        <v>On Time</v>
      </c>
    </row>
    <row r="350" spans="1:29">
      <c r="A350" s="15" t="s">
        <v>1560</v>
      </c>
      <c r="B350" s="15" t="s">
        <v>53</v>
      </c>
      <c r="C350" s="15" t="s">
        <v>1561</v>
      </c>
      <c r="D350" s="15" t="s">
        <v>340</v>
      </c>
      <c r="E350" s="15" t="s">
        <v>346</v>
      </c>
      <c r="F350" s="15" t="s">
        <v>163</v>
      </c>
      <c r="G350" s="15" t="s">
        <v>28</v>
      </c>
      <c r="H350" s="15" t="s">
        <v>1562</v>
      </c>
      <c r="I350" s="15" t="s">
        <v>294</v>
      </c>
      <c r="J350" s="15" t="s">
        <v>295</v>
      </c>
      <c r="K350" s="15" t="s">
        <v>32</v>
      </c>
      <c r="L350" s="15" t="s">
        <v>174</v>
      </c>
      <c r="M350" s="15">
        <v>11</v>
      </c>
      <c r="N350" s="15">
        <v>8500</v>
      </c>
      <c r="O350" s="15">
        <v>5</v>
      </c>
      <c r="P350" s="15">
        <v>88825</v>
      </c>
      <c r="Q350" s="15">
        <v>1</v>
      </c>
      <c r="R350" s="15" t="s">
        <v>88</v>
      </c>
      <c r="S350" s="15" t="s">
        <v>115</v>
      </c>
      <c r="T350" s="15" t="s">
        <v>62</v>
      </c>
      <c r="U350" s="17" t="s">
        <v>1563</v>
      </c>
      <c r="V350" s="15" t="s">
        <v>69</v>
      </c>
      <c r="W350" t="str">
        <f t="shared" si="35"/>
        <v>Blacklisted</v>
      </c>
      <c r="X350" s="27" t="str">
        <f t="shared" si="36"/>
        <v>Pooja Shah</v>
      </c>
      <c r="Y350" s="29" t="str">
        <f t="shared" si="37"/>
        <v>Poo01IDKo</v>
      </c>
      <c r="Z350" s="30" t="str">
        <f t="shared" si="38"/>
        <v>pooja.shah@company.com</v>
      </c>
      <c r="AA350" s="32">
        <f t="shared" ca="1" si="39"/>
        <v>24</v>
      </c>
      <c r="AB350" s="33">
        <f t="shared" si="40"/>
        <v>1</v>
      </c>
      <c r="AC350" s="34" t="str">
        <f t="shared" si="41"/>
        <v>On Time</v>
      </c>
    </row>
    <row r="351" spans="1:29">
      <c r="A351" s="18" t="s">
        <v>1564</v>
      </c>
      <c r="B351" s="18" t="s">
        <v>53</v>
      </c>
      <c r="C351" s="18" t="s">
        <v>24</v>
      </c>
      <c r="D351" s="18" t="s">
        <v>1565</v>
      </c>
      <c r="E351" s="18" t="s">
        <v>1475</v>
      </c>
      <c r="F351" s="18" t="s">
        <v>163</v>
      </c>
      <c r="G351" s="18" t="s">
        <v>28</v>
      </c>
      <c r="H351" s="18" t="s">
        <v>1566</v>
      </c>
      <c r="I351" s="18" t="s">
        <v>212</v>
      </c>
      <c r="J351" s="18" t="s">
        <v>45</v>
      </c>
      <c r="K351" s="18" t="s">
        <v>32</v>
      </c>
      <c r="L351" s="18" t="s">
        <v>33</v>
      </c>
      <c r="M351" s="18">
        <v>2</v>
      </c>
      <c r="N351" s="18">
        <v>2200</v>
      </c>
      <c r="O351" s="18">
        <v>0</v>
      </c>
      <c r="P351" s="18">
        <v>4400</v>
      </c>
      <c r="Q351" s="18">
        <v>4</v>
      </c>
      <c r="R351" s="18" t="s">
        <v>88</v>
      </c>
      <c r="S351" s="18" t="s">
        <v>151</v>
      </c>
      <c r="T351" s="18" t="s">
        <v>62</v>
      </c>
      <c r="U351" s="19" t="s">
        <v>1567</v>
      </c>
      <c r="V351" s="18" t="s">
        <v>64</v>
      </c>
      <c r="W351" t="str">
        <f t="shared" si="35"/>
        <v>Blacklisted</v>
      </c>
      <c r="X351" s="27" t="str">
        <f t="shared" si="36"/>
        <v>Pooja Shah</v>
      </c>
      <c r="Y351" s="29" t="str">
        <f t="shared" si="37"/>
        <v>Poo01IDJa</v>
      </c>
      <c r="Z351" s="30" t="str">
        <f t="shared" si="38"/>
        <v>pooja.shah@company.com</v>
      </c>
      <c r="AA351" s="32">
        <f t="shared" ca="1" si="39"/>
        <v>42</v>
      </c>
      <c r="AB351" s="33">
        <f t="shared" si="40"/>
        <v>5</v>
      </c>
      <c r="AC351" s="34" t="str">
        <f t="shared" si="41"/>
        <v>On Time</v>
      </c>
    </row>
    <row r="352" spans="1:29">
      <c r="A352" s="15" t="s">
        <v>1568</v>
      </c>
      <c r="B352" s="15" t="s">
        <v>83</v>
      </c>
      <c r="C352" s="15" t="s">
        <v>184</v>
      </c>
      <c r="D352" s="15" t="s">
        <v>1242</v>
      </c>
      <c r="E352" s="15" t="s">
        <v>720</v>
      </c>
      <c r="F352" s="15" t="s">
        <v>180</v>
      </c>
      <c r="G352" s="15" t="s">
        <v>76</v>
      </c>
      <c r="H352" s="15" t="s">
        <v>1569</v>
      </c>
      <c r="I352" s="15" t="s">
        <v>105</v>
      </c>
      <c r="J352" s="15" t="s">
        <v>106</v>
      </c>
      <c r="K352" s="15" t="s">
        <v>46</v>
      </c>
      <c r="L352" s="15" t="s">
        <v>189</v>
      </c>
      <c r="M352" s="15">
        <v>15</v>
      </c>
      <c r="N352" s="15">
        <v>700</v>
      </c>
      <c r="O352" s="15">
        <v>15</v>
      </c>
      <c r="P352" s="15">
        <v>8925</v>
      </c>
      <c r="Q352" s="15">
        <v>3</v>
      </c>
      <c r="R352" s="15" t="s">
        <v>48</v>
      </c>
      <c r="S352" s="15" t="s">
        <v>115</v>
      </c>
      <c r="T352" s="15" t="s">
        <v>89</v>
      </c>
      <c r="U352" s="17" t="s">
        <v>1570</v>
      </c>
      <c r="V352" s="15" t="s">
        <v>38</v>
      </c>
      <c r="W352" t="str">
        <f t="shared" si="35"/>
        <v>Silver</v>
      </c>
      <c r="X352" s="27" t="str">
        <f t="shared" si="36"/>
        <v>Arjun Rao</v>
      </c>
      <c r="Y352" s="29" t="str">
        <f t="shared" si="37"/>
        <v>Arj00IDMu</v>
      </c>
      <c r="Z352" s="30" t="str">
        <f t="shared" si="38"/>
        <v>arjun.rao@company.com</v>
      </c>
      <c r="AA352" s="32">
        <f t="shared" ca="1" si="39"/>
        <v>23</v>
      </c>
      <c r="AB352" s="33">
        <f t="shared" si="40"/>
        <v>5</v>
      </c>
      <c r="AC352" s="34" t="str">
        <f t="shared" si="41"/>
        <v>On Time</v>
      </c>
    </row>
    <row r="353" spans="1:29">
      <c r="A353" s="18" t="s">
        <v>1571</v>
      </c>
      <c r="B353" s="18" t="s">
        <v>127</v>
      </c>
      <c r="C353" s="18" t="s">
        <v>24</v>
      </c>
      <c r="D353" s="18" t="s">
        <v>1572</v>
      </c>
      <c r="E353" s="18" t="s">
        <v>835</v>
      </c>
      <c r="F353" s="18" t="s">
        <v>200</v>
      </c>
      <c r="G353" s="18" t="s">
        <v>76</v>
      </c>
      <c r="H353" s="18" t="s">
        <v>1573</v>
      </c>
      <c r="I353" s="18" t="s">
        <v>138</v>
      </c>
      <c r="J353" s="18" t="s">
        <v>106</v>
      </c>
      <c r="K353" s="18" t="s">
        <v>32</v>
      </c>
      <c r="L353" s="18" t="s">
        <v>33</v>
      </c>
      <c r="M353" s="18">
        <v>5</v>
      </c>
      <c r="N353" s="18">
        <v>2200</v>
      </c>
      <c r="O353" s="18">
        <v>15</v>
      </c>
      <c r="P353" s="18">
        <v>9350</v>
      </c>
      <c r="Q353" s="18">
        <v>1</v>
      </c>
      <c r="R353" s="18" t="s">
        <v>48</v>
      </c>
      <c r="S353" s="18" t="s">
        <v>115</v>
      </c>
      <c r="T353" s="18" t="s">
        <v>132</v>
      </c>
      <c r="U353" s="19" t="s">
        <v>1574</v>
      </c>
      <c r="V353" s="18" t="s">
        <v>64</v>
      </c>
      <c r="W353" t="str">
        <f t="shared" si="35"/>
        <v>Blacklisted</v>
      </c>
      <c r="X353" s="27" t="str">
        <f t="shared" si="36"/>
        <v>Rohit Singh</v>
      </c>
      <c r="Y353" s="29" t="str">
        <f t="shared" si="37"/>
        <v>Roh00IDAh</v>
      </c>
      <c r="Z353" s="30" t="str">
        <f t="shared" si="38"/>
        <v>rohit.singh@company.com</v>
      </c>
      <c r="AA353" s="32">
        <f t="shared" ca="1" si="39"/>
        <v>33</v>
      </c>
      <c r="AB353" s="33">
        <f t="shared" si="40"/>
        <v>6</v>
      </c>
      <c r="AC353" s="34" t="str">
        <f t="shared" si="41"/>
        <v>Delayed</v>
      </c>
    </row>
    <row r="354" spans="1:29">
      <c r="A354" s="15" t="s">
        <v>1575</v>
      </c>
      <c r="B354" s="15" t="s">
        <v>83</v>
      </c>
      <c r="C354" s="15" t="s">
        <v>72</v>
      </c>
      <c r="D354" s="15" t="s">
        <v>554</v>
      </c>
      <c r="E354" s="15" t="s">
        <v>1480</v>
      </c>
      <c r="F354" s="15" t="s">
        <v>180</v>
      </c>
      <c r="G354" s="15" t="s">
        <v>76</v>
      </c>
      <c r="H354" s="15" t="s">
        <v>1576</v>
      </c>
      <c r="I354" s="15" t="s">
        <v>138</v>
      </c>
      <c r="J354" s="15" t="s">
        <v>106</v>
      </c>
      <c r="K354" s="15" t="s">
        <v>46</v>
      </c>
      <c r="L354" s="15" t="s">
        <v>78</v>
      </c>
      <c r="M354" s="15">
        <v>15</v>
      </c>
      <c r="N354" s="15">
        <v>1200</v>
      </c>
      <c r="O354" s="15">
        <v>0</v>
      </c>
      <c r="P354" s="15">
        <v>18000</v>
      </c>
      <c r="Q354" s="15">
        <v>3</v>
      </c>
      <c r="R354" s="15" t="s">
        <v>48</v>
      </c>
      <c r="S354" s="15" t="s">
        <v>61</v>
      </c>
      <c r="T354" s="15" t="s">
        <v>89</v>
      </c>
      <c r="U354" s="17" t="s">
        <v>1577</v>
      </c>
      <c r="V354" s="15" t="s">
        <v>69</v>
      </c>
      <c r="W354" t="str">
        <f t="shared" si="35"/>
        <v>Blacklisted</v>
      </c>
      <c r="X354" s="27" t="str">
        <f t="shared" si="36"/>
        <v>Arjun Rao</v>
      </c>
      <c r="Y354" s="29" t="str">
        <f t="shared" si="37"/>
        <v>Arj00IDAh</v>
      </c>
      <c r="Z354" s="30" t="str">
        <f t="shared" si="38"/>
        <v>arjun.rao@company.com</v>
      </c>
      <c r="AA354" s="32">
        <f t="shared" ca="1" si="39"/>
        <v>38</v>
      </c>
      <c r="AB354" s="33">
        <f t="shared" si="40"/>
        <v>1</v>
      </c>
      <c r="AC354" s="34" t="str">
        <f t="shared" si="41"/>
        <v>On Time</v>
      </c>
    </row>
    <row r="355" spans="1:29">
      <c r="A355" s="18" t="s">
        <v>1578</v>
      </c>
      <c r="B355" s="18" t="s">
        <v>251</v>
      </c>
      <c r="C355" s="18" t="s">
        <v>72</v>
      </c>
      <c r="D355" s="18" t="s">
        <v>161</v>
      </c>
      <c r="E355" s="18" t="s">
        <v>657</v>
      </c>
      <c r="F355" s="18" t="s">
        <v>254</v>
      </c>
      <c r="G355" s="18" t="s">
        <v>28</v>
      </c>
      <c r="H355" s="18" t="s">
        <v>1579</v>
      </c>
      <c r="I355" s="18" t="s">
        <v>105</v>
      </c>
      <c r="J355" s="18" t="s">
        <v>106</v>
      </c>
      <c r="K355" s="18" t="s">
        <v>46</v>
      </c>
      <c r="L355" s="18" t="s">
        <v>78</v>
      </c>
      <c r="M355" s="18">
        <v>19</v>
      </c>
      <c r="N355" s="18">
        <v>1200</v>
      </c>
      <c r="O355" s="18">
        <v>0</v>
      </c>
      <c r="P355" s="18">
        <v>22800</v>
      </c>
      <c r="Q355" s="18">
        <v>1</v>
      </c>
      <c r="R355" s="18" t="s">
        <v>34</v>
      </c>
      <c r="S355" s="18" t="s">
        <v>49</v>
      </c>
      <c r="T355" s="18" t="s">
        <v>256</v>
      </c>
      <c r="U355" s="19" t="s">
        <v>1580</v>
      </c>
      <c r="V355" s="18" t="s">
        <v>69</v>
      </c>
      <c r="W355" t="str">
        <f t="shared" si="35"/>
        <v>Blacklisted</v>
      </c>
      <c r="X355" s="27" t="str">
        <f t="shared" si="36"/>
        <v>Sneha Joshi</v>
      </c>
      <c r="Y355" s="29" t="str">
        <f t="shared" si="37"/>
        <v>Sne00IDMu</v>
      </c>
      <c r="Z355" s="30" t="str">
        <f t="shared" si="38"/>
        <v>sneha.joshi@company.com</v>
      </c>
      <c r="AA355" s="32">
        <f t="shared" ca="1" si="39"/>
        <v>39</v>
      </c>
      <c r="AB355" s="33">
        <f t="shared" si="40"/>
        <v>2</v>
      </c>
      <c r="AC355" s="34" t="str">
        <f t="shared" si="41"/>
        <v>On Time</v>
      </c>
    </row>
    <row r="356" spans="1:29">
      <c r="A356" s="15" t="s">
        <v>1581</v>
      </c>
      <c r="B356" s="15" t="s">
        <v>168</v>
      </c>
      <c r="C356" s="15" t="s">
        <v>40</v>
      </c>
      <c r="D356" s="15" t="s">
        <v>25</v>
      </c>
      <c r="E356" s="15" t="s">
        <v>1582</v>
      </c>
      <c r="F356" s="15" t="s">
        <v>361</v>
      </c>
      <c r="G356" s="15" t="s">
        <v>28</v>
      </c>
      <c r="H356" s="15" t="s">
        <v>1583</v>
      </c>
      <c r="I356" s="15" t="s">
        <v>105</v>
      </c>
      <c r="J356" s="15" t="s">
        <v>106</v>
      </c>
      <c r="K356" s="15" t="s">
        <v>46</v>
      </c>
      <c r="L356" s="15" t="s">
        <v>47</v>
      </c>
      <c r="M356" s="15">
        <v>9</v>
      </c>
      <c r="N356" s="15">
        <v>12000</v>
      </c>
      <c r="O356" s="15">
        <v>15</v>
      </c>
      <c r="P356" s="15">
        <v>91800</v>
      </c>
      <c r="Q356" s="15">
        <v>3</v>
      </c>
      <c r="R356" s="15" t="s">
        <v>88</v>
      </c>
      <c r="S356" s="15" t="s">
        <v>49</v>
      </c>
      <c r="T356" s="15" t="s">
        <v>175</v>
      </c>
      <c r="U356" s="17" t="s">
        <v>1584</v>
      </c>
      <c r="V356" s="15" t="s">
        <v>69</v>
      </c>
      <c r="W356" t="str">
        <f t="shared" si="35"/>
        <v>Blacklisted</v>
      </c>
      <c r="X356" s="27" t="str">
        <f t="shared" si="36"/>
        <v>Anita Gupta</v>
      </c>
      <c r="Y356" s="29" t="str">
        <f t="shared" si="37"/>
        <v>Ani00IDMu</v>
      </c>
      <c r="Z356" s="30" t="str">
        <f t="shared" si="38"/>
        <v>anita.gupta@company.com</v>
      </c>
      <c r="AA356" s="32">
        <f t="shared" ca="1" si="39"/>
        <v>36</v>
      </c>
      <c r="AB356" s="33">
        <f t="shared" si="40"/>
        <v>7</v>
      </c>
      <c r="AC356" s="34" t="str">
        <f t="shared" si="41"/>
        <v>Delayed</v>
      </c>
    </row>
    <row r="357" spans="1:29">
      <c r="A357" s="18" t="s">
        <v>1585</v>
      </c>
      <c r="B357" s="18" t="s">
        <v>23</v>
      </c>
      <c r="C357" s="18" t="s">
        <v>259</v>
      </c>
      <c r="D357" s="18" t="s">
        <v>345</v>
      </c>
      <c r="E357" s="18" t="s">
        <v>793</v>
      </c>
      <c r="F357" s="18" t="s">
        <v>27</v>
      </c>
      <c r="G357" s="18" t="s">
        <v>28</v>
      </c>
      <c r="H357" s="18" t="s">
        <v>1586</v>
      </c>
      <c r="I357" s="18" t="s">
        <v>212</v>
      </c>
      <c r="J357" s="18" t="s">
        <v>45</v>
      </c>
      <c r="K357" s="18" t="s">
        <v>122</v>
      </c>
      <c r="L357" s="18" t="s">
        <v>263</v>
      </c>
      <c r="M357" s="18">
        <v>5</v>
      </c>
      <c r="N357" s="18">
        <v>45</v>
      </c>
      <c r="O357" s="18">
        <v>5</v>
      </c>
      <c r="P357" s="18">
        <v>213.75</v>
      </c>
      <c r="Q357" s="18">
        <v>1</v>
      </c>
      <c r="R357" s="18" t="s">
        <v>79</v>
      </c>
      <c r="S357" s="18" t="s">
        <v>115</v>
      </c>
      <c r="T357" s="18" t="s">
        <v>50</v>
      </c>
      <c r="U357" s="19" t="s">
        <v>1587</v>
      </c>
      <c r="V357" s="18" t="s">
        <v>38</v>
      </c>
      <c r="W357" t="str">
        <f t="shared" si="35"/>
        <v>Blacklisted</v>
      </c>
      <c r="X357" s="27" t="str">
        <f t="shared" si="36"/>
        <v>Kavya Nair</v>
      </c>
      <c r="Y357" s="29" t="str">
        <f t="shared" si="37"/>
        <v>Kav00IDJa</v>
      </c>
      <c r="Z357" s="30" t="str">
        <f t="shared" si="38"/>
        <v>kavya.nair@company.com</v>
      </c>
      <c r="AA357" s="32">
        <f t="shared" ca="1" si="39"/>
        <v>34</v>
      </c>
      <c r="AB357" s="33">
        <f t="shared" si="40"/>
        <v>10</v>
      </c>
      <c r="AC357" s="34" t="str">
        <f t="shared" si="41"/>
        <v>Delayed</v>
      </c>
    </row>
    <row r="358" spans="1:29">
      <c r="A358" s="15" t="s">
        <v>1588</v>
      </c>
      <c r="B358" s="15" t="s">
        <v>251</v>
      </c>
      <c r="C358" s="15" t="s">
        <v>184</v>
      </c>
      <c r="D358" s="15" t="s">
        <v>1589</v>
      </c>
      <c r="E358" s="15" t="s">
        <v>1373</v>
      </c>
      <c r="F358" s="15" t="s">
        <v>254</v>
      </c>
      <c r="G358" s="15" t="s">
        <v>28</v>
      </c>
      <c r="H358" s="15" t="s">
        <v>1590</v>
      </c>
      <c r="I358" s="15" t="s">
        <v>105</v>
      </c>
      <c r="J358" s="15" t="s">
        <v>106</v>
      </c>
      <c r="K358" s="15" t="s">
        <v>46</v>
      </c>
      <c r="L358" s="15" t="s">
        <v>189</v>
      </c>
      <c r="M358" s="15">
        <v>3</v>
      </c>
      <c r="N358" s="15">
        <v>700</v>
      </c>
      <c r="O358" s="15">
        <v>15</v>
      </c>
      <c r="P358" s="15">
        <v>1785</v>
      </c>
      <c r="Q358" s="15">
        <v>4</v>
      </c>
      <c r="R358" s="15" t="s">
        <v>34</v>
      </c>
      <c r="S358" s="15" t="s">
        <v>151</v>
      </c>
      <c r="T358" s="15" t="s">
        <v>256</v>
      </c>
      <c r="U358" s="17" t="s">
        <v>1591</v>
      </c>
      <c r="V358" s="15" t="s">
        <v>38</v>
      </c>
      <c r="W358" t="str">
        <f t="shared" si="35"/>
        <v>Silver</v>
      </c>
      <c r="X358" s="27" t="str">
        <f t="shared" si="36"/>
        <v>Sneha Joshi</v>
      </c>
      <c r="Y358" s="29" t="str">
        <f t="shared" si="37"/>
        <v>Sne00IDMu</v>
      </c>
      <c r="Z358" s="30" t="str">
        <f t="shared" si="38"/>
        <v>sneha.joshi@company.com</v>
      </c>
      <c r="AA358" s="32">
        <f t="shared" ca="1" si="39"/>
        <v>36</v>
      </c>
      <c r="AB358" s="33" t="e">
        <f t="shared" si="40"/>
        <v>#VALUE!</v>
      </c>
      <c r="AC358" s="34" t="e">
        <f t="shared" si="41"/>
        <v>#VALUE!</v>
      </c>
    </row>
    <row r="359" spans="1:29">
      <c r="A359" s="18" t="s">
        <v>1592</v>
      </c>
      <c r="B359" s="18" t="s">
        <v>71</v>
      </c>
      <c r="C359" s="18" t="s">
        <v>169</v>
      </c>
      <c r="D359" s="18" t="s">
        <v>454</v>
      </c>
      <c r="E359" s="18" t="s">
        <v>961</v>
      </c>
      <c r="F359" s="18" t="s">
        <v>217</v>
      </c>
      <c r="G359" s="18" t="s">
        <v>76</v>
      </c>
      <c r="H359" s="18" t="s">
        <v>1593</v>
      </c>
      <c r="I359" s="18" t="s">
        <v>212</v>
      </c>
      <c r="J359" s="18" t="s">
        <v>45</v>
      </c>
      <c r="K359" s="18" t="s">
        <v>32</v>
      </c>
      <c r="L359" s="18" t="s">
        <v>174</v>
      </c>
      <c r="M359" s="18">
        <v>12</v>
      </c>
      <c r="N359" s="18">
        <v>8500</v>
      </c>
      <c r="O359" s="18">
        <v>5</v>
      </c>
      <c r="P359" s="18">
        <v>96900</v>
      </c>
      <c r="Q359" s="18">
        <v>3</v>
      </c>
      <c r="R359" s="18" t="s">
        <v>79</v>
      </c>
      <c r="S359" s="18" t="s">
        <v>61</v>
      </c>
      <c r="T359" s="18" t="s">
        <v>80</v>
      </c>
      <c r="U359" s="19" t="s">
        <v>1594</v>
      </c>
      <c r="V359" s="18" t="s">
        <v>64</v>
      </c>
      <c r="W359" t="str">
        <f t="shared" si="35"/>
        <v>Blacklisted</v>
      </c>
      <c r="X359" s="27" t="str">
        <f t="shared" si="36"/>
        <v>Mohit Verma</v>
      </c>
      <c r="Y359" s="29" t="str">
        <f t="shared" si="37"/>
        <v>Moh00IDJa</v>
      </c>
      <c r="Z359" s="30" t="str">
        <f t="shared" si="38"/>
        <v>mohit.verma@company.com</v>
      </c>
      <c r="AA359" s="32">
        <f t="shared" ca="1" si="39"/>
        <v>46</v>
      </c>
      <c r="AB359" s="33">
        <f t="shared" si="40"/>
        <v>12</v>
      </c>
      <c r="AC359" s="34" t="str">
        <f t="shared" si="41"/>
        <v>Delayed</v>
      </c>
    </row>
    <row r="360" spans="1:29">
      <c r="A360" s="15" t="s">
        <v>1595</v>
      </c>
      <c r="B360" s="15" t="s">
        <v>251</v>
      </c>
      <c r="C360" s="15" t="s">
        <v>169</v>
      </c>
      <c r="D360" s="15" t="s">
        <v>162</v>
      </c>
      <c r="E360" s="15" t="s">
        <v>356</v>
      </c>
      <c r="F360" s="15" t="s">
        <v>254</v>
      </c>
      <c r="G360" s="15" t="s">
        <v>28</v>
      </c>
      <c r="H360" s="15" t="s">
        <v>1596</v>
      </c>
      <c r="I360" s="15" t="s">
        <v>114</v>
      </c>
      <c r="J360" s="15" t="s">
        <v>106</v>
      </c>
      <c r="K360" s="15" t="s">
        <v>32</v>
      </c>
      <c r="L360" s="15" t="s">
        <v>174</v>
      </c>
      <c r="M360" s="15">
        <v>4</v>
      </c>
      <c r="N360" s="15">
        <v>8500</v>
      </c>
      <c r="O360" s="15">
        <v>15</v>
      </c>
      <c r="P360" s="15">
        <v>28900</v>
      </c>
      <c r="Q360" s="15">
        <v>4</v>
      </c>
      <c r="R360" s="15" t="s">
        <v>48</v>
      </c>
      <c r="S360" s="15" t="s">
        <v>61</v>
      </c>
      <c r="T360" s="15" t="s">
        <v>256</v>
      </c>
      <c r="U360" s="17" t="s">
        <v>1597</v>
      </c>
      <c r="V360" s="15" t="s">
        <v>64</v>
      </c>
      <c r="W360" t="str">
        <f t="shared" si="35"/>
        <v>Blacklisted</v>
      </c>
      <c r="X360" s="27" t="str">
        <f t="shared" si="36"/>
        <v>Sneha Joshi</v>
      </c>
      <c r="Y360" s="29" t="str">
        <f t="shared" si="37"/>
        <v>Sne00IDPu</v>
      </c>
      <c r="Z360" s="30" t="str">
        <f t="shared" si="38"/>
        <v>sneha.joshi@company.com</v>
      </c>
      <c r="AA360" s="32">
        <f t="shared" ca="1" si="39"/>
        <v>47</v>
      </c>
      <c r="AB360" s="33">
        <f t="shared" si="40"/>
        <v>8</v>
      </c>
      <c r="AC360" s="34" t="str">
        <f t="shared" si="41"/>
        <v>Delayed</v>
      </c>
    </row>
    <row r="361" spans="1:29">
      <c r="A361" s="18" t="s">
        <v>1598</v>
      </c>
      <c r="B361" s="18" t="s">
        <v>127</v>
      </c>
      <c r="C361" s="18" t="s">
        <v>222</v>
      </c>
      <c r="D361" s="18" t="s">
        <v>102</v>
      </c>
      <c r="E361" s="18" t="s">
        <v>953</v>
      </c>
      <c r="F361" s="18" t="s">
        <v>200</v>
      </c>
      <c r="G361" s="18" t="s">
        <v>76</v>
      </c>
      <c r="H361" s="18" t="s">
        <v>1599</v>
      </c>
      <c r="I361" s="18" t="s">
        <v>212</v>
      </c>
      <c r="J361" s="18" t="s">
        <v>45</v>
      </c>
      <c r="K361" s="18" t="s">
        <v>122</v>
      </c>
      <c r="L361" s="18" t="s">
        <v>227</v>
      </c>
      <c r="M361" s="18">
        <v>16</v>
      </c>
      <c r="N361" s="18">
        <v>20</v>
      </c>
      <c r="O361" s="18">
        <v>10</v>
      </c>
      <c r="P361" s="18">
        <v>288</v>
      </c>
      <c r="Q361" s="18">
        <v>4</v>
      </c>
      <c r="R361" s="18" t="s">
        <v>34</v>
      </c>
      <c r="S361" s="18" t="s">
        <v>115</v>
      </c>
      <c r="T361" s="18" t="s">
        <v>132</v>
      </c>
      <c r="U361" s="19" t="s">
        <v>1600</v>
      </c>
      <c r="V361" s="18" t="s">
        <v>69</v>
      </c>
      <c r="W361" t="str">
        <f t="shared" si="35"/>
        <v>Blacklisted</v>
      </c>
      <c r="X361" s="27" t="str">
        <f t="shared" si="36"/>
        <v>Rohit Singh</v>
      </c>
      <c r="Y361" s="29" t="str">
        <f t="shared" si="37"/>
        <v>Roh00IDJa</v>
      </c>
      <c r="Z361" s="30" t="str">
        <f t="shared" si="38"/>
        <v>rohit.singh@company.com</v>
      </c>
      <c r="AA361" s="32">
        <f t="shared" ca="1" si="39"/>
        <v>30</v>
      </c>
      <c r="AB361" s="33">
        <f t="shared" si="40"/>
        <v>3</v>
      </c>
      <c r="AC361" s="34" t="str">
        <f t="shared" si="41"/>
        <v>On Time</v>
      </c>
    </row>
    <row r="362" spans="1:29">
      <c r="A362" s="15" t="s">
        <v>1601</v>
      </c>
      <c r="B362" s="15" t="s">
        <v>127</v>
      </c>
      <c r="C362" s="15" t="s">
        <v>118</v>
      </c>
      <c r="D362" s="15" t="s">
        <v>601</v>
      </c>
      <c r="E362" s="15" t="s">
        <v>1602</v>
      </c>
      <c r="F362" s="15" t="s">
        <v>200</v>
      </c>
      <c r="G362" s="15" t="s">
        <v>76</v>
      </c>
      <c r="H362" s="15" t="s">
        <v>1603</v>
      </c>
      <c r="I362" s="15" t="s">
        <v>105</v>
      </c>
      <c r="J362" s="15" t="s">
        <v>106</v>
      </c>
      <c r="K362" s="15" t="s">
        <v>122</v>
      </c>
      <c r="L362" s="15" t="s">
        <v>123</v>
      </c>
      <c r="M362" s="15">
        <v>3</v>
      </c>
      <c r="N362" s="15">
        <v>60</v>
      </c>
      <c r="O362" s="15">
        <v>20</v>
      </c>
      <c r="P362" s="15">
        <v>144</v>
      </c>
      <c r="Q362" s="15">
        <v>4</v>
      </c>
      <c r="R362" s="15" t="s">
        <v>88</v>
      </c>
      <c r="S362" s="15" t="s">
        <v>151</v>
      </c>
      <c r="T362" s="15" t="s">
        <v>132</v>
      </c>
      <c r="U362" s="17" t="s">
        <v>1604</v>
      </c>
      <c r="V362" s="15" t="s">
        <v>64</v>
      </c>
      <c r="W362" t="str">
        <f t="shared" si="35"/>
        <v>Blacklisted</v>
      </c>
      <c r="X362" s="27" t="str">
        <f t="shared" si="36"/>
        <v>Rohit Singh</v>
      </c>
      <c r="Y362" s="29" t="str">
        <f t="shared" si="37"/>
        <v>Roh00IDMu</v>
      </c>
      <c r="Z362" s="30" t="str">
        <f t="shared" si="38"/>
        <v>rohit.singh@company.com</v>
      </c>
      <c r="AA362" s="32">
        <f t="shared" ca="1" si="39"/>
        <v>27</v>
      </c>
      <c r="AB362" s="33">
        <f t="shared" si="40"/>
        <v>8</v>
      </c>
      <c r="AC362" s="34" t="str">
        <f t="shared" si="41"/>
        <v>Delayed</v>
      </c>
    </row>
    <row r="363" spans="1:29">
      <c r="A363" s="18" t="s">
        <v>1605</v>
      </c>
      <c r="B363" s="18" t="s">
        <v>71</v>
      </c>
      <c r="C363" s="18" t="s">
        <v>24</v>
      </c>
      <c r="D363" s="18" t="s">
        <v>1106</v>
      </c>
      <c r="E363" s="18" t="s">
        <v>155</v>
      </c>
      <c r="F363" s="18" t="s">
        <v>217</v>
      </c>
      <c r="G363" s="18" t="s">
        <v>76</v>
      </c>
      <c r="H363" s="18" t="s">
        <v>1606</v>
      </c>
      <c r="I363" s="18" t="s">
        <v>105</v>
      </c>
      <c r="J363" s="18" t="s">
        <v>106</v>
      </c>
      <c r="K363" s="18" t="s">
        <v>32</v>
      </c>
      <c r="L363" s="18" t="s">
        <v>33</v>
      </c>
      <c r="M363" s="18">
        <v>19</v>
      </c>
      <c r="N363" s="18">
        <v>2200</v>
      </c>
      <c r="O363" s="18">
        <v>10</v>
      </c>
      <c r="P363" s="18">
        <v>37620</v>
      </c>
      <c r="Q363" s="18">
        <v>2</v>
      </c>
      <c r="R363" s="18" t="s">
        <v>34</v>
      </c>
      <c r="S363" s="18" t="s">
        <v>151</v>
      </c>
      <c r="T363" s="18" t="s">
        <v>80</v>
      </c>
      <c r="U363" s="19" t="s">
        <v>1607</v>
      </c>
      <c r="V363" s="18" t="s">
        <v>64</v>
      </c>
      <c r="W363" t="str">
        <f t="shared" si="35"/>
        <v>Blacklisted</v>
      </c>
      <c r="X363" s="27" t="str">
        <f t="shared" si="36"/>
        <v>Mohit Verma</v>
      </c>
      <c r="Y363" s="29" t="str">
        <f t="shared" si="37"/>
        <v>Moh00IDMu</v>
      </c>
      <c r="Z363" s="30" t="str">
        <f t="shared" si="38"/>
        <v>mohit.verma@company.com</v>
      </c>
      <c r="AA363" s="32">
        <f t="shared" ca="1" si="39"/>
        <v>42</v>
      </c>
      <c r="AB363" s="33">
        <f t="shared" si="40"/>
        <v>6</v>
      </c>
      <c r="AC363" s="34" t="str">
        <f t="shared" si="41"/>
        <v>Delayed</v>
      </c>
    </row>
    <row r="364" spans="1:29">
      <c r="A364" s="15" t="s">
        <v>1608</v>
      </c>
      <c r="B364" s="15" t="s">
        <v>71</v>
      </c>
      <c r="C364" s="15" t="s">
        <v>72</v>
      </c>
      <c r="D364" s="15" t="s">
        <v>1609</v>
      </c>
      <c r="E364" s="15" t="s">
        <v>588</v>
      </c>
      <c r="F364" s="15" t="s">
        <v>217</v>
      </c>
      <c r="G364" s="15" t="s">
        <v>76</v>
      </c>
      <c r="H364" s="15" t="s">
        <v>1610</v>
      </c>
      <c r="I364" s="15" t="s">
        <v>30</v>
      </c>
      <c r="J364" s="15" t="s">
        <v>31</v>
      </c>
      <c r="K364" s="15" t="s">
        <v>46</v>
      </c>
      <c r="L364" s="15" t="s">
        <v>78</v>
      </c>
      <c r="M364" s="15">
        <v>7</v>
      </c>
      <c r="N364" s="15">
        <v>1200</v>
      </c>
      <c r="O364" s="15">
        <v>20</v>
      </c>
      <c r="P364" s="15">
        <v>6720</v>
      </c>
      <c r="Q364" s="15">
        <v>3</v>
      </c>
      <c r="R364" s="15" t="s">
        <v>79</v>
      </c>
      <c r="S364" s="15" t="s">
        <v>115</v>
      </c>
      <c r="T364" s="15" t="s">
        <v>80</v>
      </c>
      <c r="U364" s="17" t="s">
        <v>1611</v>
      </c>
      <c r="V364" s="15" t="s">
        <v>69</v>
      </c>
      <c r="W364" t="str">
        <f t="shared" si="35"/>
        <v>Blacklisted</v>
      </c>
      <c r="X364" s="27" t="str">
        <f t="shared" si="36"/>
        <v>Mohit Verma</v>
      </c>
      <c r="Y364" s="29" t="str">
        <f t="shared" si="37"/>
        <v>Moh00IDHy</v>
      </c>
      <c r="Z364" s="30" t="str">
        <f t="shared" si="38"/>
        <v>mohit.verma@company.com</v>
      </c>
      <c r="AA364" s="32">
        <f t="shared" ca="1" si="39"/>
        <v>42</v>
      </c>
      <c r="AB364" s="33">
        <f t="shared" si="40"/>
        <v>4</v>
      </c>
      <c r="AC364" s="34" t="str">
        <f t="shared" si="41"/>
        <v>On Time</v>
      </c>
    </row>
    <row r="365" spans="1:29">
      <c r="A365" s="18" t="s">
        <v>1612</v>
      </c>
      <c r="B365" s="18" t="s">
        <v>53</v>
      </c>
      <c r="C365" s="18" t="s">
        <v>222</v>
      </c>
      <c r="D365" s="18" t="s">
        <v>543</v>
      </c>
      <c r="E365" s="18" t="s">
        <v>65</v>
      </c>
      <c r="F365" s="18" t="s">
        <v>163</v>
      </c>
      <c r="G365" s="18" t="s">
        <v>28</v>
      </c>
      <c r="H365" s="18" t="s">
        <v>1613</v>
      </c>
      <c r="I365" s="18" t="s">
        <v>59</v>
      </c>
      <c r="J365" s="18" t="s">
        <v>31</v>
      </c>
      <c r="K365" s="18" t="s">
        <v>122</v>
      </c>
      <c r="L365" s="18" t="s">
        <v>227</v>
      </c>
      <c r="M365" s="18">
        <v>20</v>
      </c>
      <c r="N365" s="18">
        <v>20</v>
      </c>
      <c r="O365" s="18">
        <v>20</v>
      </c>
      <c r="P365" s="18">
        <v>320</v>
      </c>
      <c r="Q365" s="18">
        <v>5</v>
      </c>
      <c r="R365" s="18" t="s">
        <v>79</v>
      </c>
      <c r="S365" s="18" t="s">
        <v>115</v>
      </c>
      <c r="T365" s="18" t="s">
        <v>62</v>
      </c>
      <c r="U365" s="19" t="s">
        <v>1614</v>
      </c>
      <c r="V365" s="18" t="s">
        <v>64</v>
      </c>
      <c r="W365" t="str">
        <f t="shared" si="35"/>
        <v>Blacklisted</v>
      </c>
      <c r="X365" s="27" t="str">
        <f t="shared" si="36"/>
        <v>Pooja Shah</v>
      </c>
      <c r="Y365" s="29" t="str">
        <f t="shared" si="37"/>
        <v>Poo01IDBe</v>
      </c>
      <c r="Z365" s="30" t="str">
        <f t="shared" si="38"/>
        <v>pooja.shah@company.com</v>
      </c>
      <c r="AA365" s="32">
        <f t="shared" ca="1" si="39"/>
        <v>37</v>
      </c>
      <c r="AB365" s="33">
        <f t="shared" si="40"/>
        <v>5</v>
      </c>
      <c r="AC365" s="34" t="str">
        <f t="shared" si="41"/>
        <v>On Time</v>
      </c>
    </row>
    <row r="366" spans="1:29">
      <c r="A366" s="15" t="s">
        <v>1615</v>
      </c>
      <c r="B366" s="15" t="s">
        <v>100</v>
      </c>
      <c r="C366" s="15" t="s">
        <v>72</v>
      </c>
      <c r="D366" s="15" t="s">
        <v>210</v>
      </c>
      <c r="E366" s="15" t="s">
        <v>1616</v>
      </c>
      <c r="F366" s="15" t="s">
        <v>103</v>
      </c>
      <c r="G366" s="15" t="s">
        <v>28</v>
      </c>
      <c r="H366" s="15" t="s">
        <v>1617</v>
      </c>
      <c r="I366" s="15" t="s">
        <v>30</v>
      </c>
      <c r="J366" s="15" t="s">
        <v>31</v>
      </c>
      <c r="K366" s="15" t="s">
        <v>46</v>
      </c>
      <c r="L366" s="15" t="s">
        <v>78</v>
      </c>
      <c r="M366" s="15">
        <v>19</v>
      </c>
      <c r="N366" s="15">
        <v>1200</v>
      </c>
      <c r="O366" s="15">
        <v>5</v>
      </c>
      <c r="P366" s="15">
        <v>21660</v>
      </c>
      <c r="Q366" s="15">
        <v>3</v>
      </c>
      <c r="R366" s="15" t="s">
        <v>79</v>
      </c>
      <c r="S366" s="15" t="s">
        <v>35</v>
      </c>
      <c r="T366" s="15" t="s">
        <v>144</v>
      </c>
      <c r="U366" s="17" t="s">
        <v>1618</v>
      </c>
      <c r="V366" s="15" t="s">
        <v>64</v>
      </c>
      <c r="W366" t="str">
        <f t="shared" si="35"/>
        <v>Blacklisted</v>
      </c>
      <c r="X366" s="27" t="str">
        <f t="shared" si="36"/>
        <v>Priya Patel</v>
      </c>
      <c r="Y366" s="29" t="str">
        <f t="shared" si="37"/>
        <v>Pri00IDHy</v>
      </c>
      <c r="Z366" s="30" t="str">
        <f t="shared" si="38"/>
        <v>priya.patel@company.com</v>
      </c>
      <c r="AA366" s="32">
        <f t="shared" ca="1" si="39"/>
        <v>41</v>
      </c>
      <c r="AB366" s="33">
        <f t="shared" si="40"/>
        <v>7</v>
      </c>
      <c r="AC366" s="34" t="str">
        <f t="shared" si="41"/>
        <v>Delayed</v>
      </c>
    </row>
    <row r="367" spans="1:29">
      <c r="A367" s="18" t="s">
        <v>1619</v>
      </c>
      <c r="B367" s="18" t="s">
        <v>53</v>
      </c>
      <c r="C367" s="18" t="s">
        <v>222</v>
      </c>
      <c r="D367" s="18" t="s">
        <v>1620</v>
      </c>
      <c r="E367" s="18" t="s">
        <v>302</v>
      </c>
      <c r="F367" s="18" t="s">
        <v>163</v>
      </c>
      <c r="G367" s="18" t="s">
        <v>28</v>
      </c>
      <c r="H367" s="18" t="s">
        <v>1621</v>
      </c>
      <c r="I367" s="18" t="s">
        <v>30</v>
      </c>
      <c r="J367" s="18" t="s">
        <v>31</v>
      </c>
      <c r="K367" s="18" t="s">
        <v>122</v>
      </c>
      <c r="L367" s="18" t="s">
        <v>227</v>
      </c>
      <c r="M367" s="18">
        <v>5</v>
      </c>
      <c r="N367" s="18">
        <v>20</v>
      </c>
      <c r="O367" s="18">
        <v>0</v>
      </c>
      <c r="P367" s="18">
        <v>100</v>
      </c>
      <c r="Q367" s="18">
        <v>2</v>
      </c>
      <c r="R367" s="18" t="s">
        <v>88</v>
      </c>
      <c r="S367" s="18" t="s">
        <v>49</v>
      </c>
      <c r="T367" s="18" t="s">
        <v>62</v>
      </c>
      <c r="U367" s="19" t="s">
        <v>1622</v>
      </c>
      <c r="V367" s="18" t="s">
        <v>64</v>
      </c>
      <c r="W367" t="str">
        <f t="shared" si="35"/>
        <v>Blacklisted</v>
      </c>
      <c r="X367" s="27" t="str">
        <f t="shared" si="36"/>
        <v>Pooja Shah</v>
      </c>
      <c r="Y367" s="29" t="str">
        <f t="shared" si="37"/>
        <v>Poo01IDHy</v>
      </c>
      <c r="Z367" s="30" t="str">
        <f t="shared" si="38"/>
        <v>pooja.shah@company.com</v>
      </c>
      <c r="AA367" s="32">
        <f t="shared" ca="1" si="39"/>
        <v>23</v>
      </c>
      <c r="AB367" s="33">
        <f t="shared" si="40"/>
        <v>10</v>
      </c>
      <c r="AC367" s="34" t="str">
        <f t="shared" si="41"/>
        <v>Delayed</v>
      </c>
    </row>
    <row r="368" spans="1:29">
      <c r="A368" s="15" t="s">
        <v>1623</v>
      </c>
      <c r="B368" s="15" t="s">
        <v>100</v>
      </c>
      <c r="C368" s="15" t="s">
        <v>259</v>
      </c>
      <c r="D368" s="15" t="s">
        <v>797</v>
      </c>
      <c r="E368" s="15" t="s">
        <v>543</v>
      </c>
      <c r="F368" s="15" t="s">
        <v>103</v>
      </c>
      <c r="G368" s="15" t="s">
        <v>28</v>
      </c>
      <c r="H368" s="15" t="s">
        <v>1624</v>
      </c>
      <c r="I368" s="15" t="s">
        <v>212</v>
      </c>
      <c r="J368" s="15" t="s">
        <v>45</v>
      </c>
      <c r="K368" s="15" t="s">
        <v>122</v>
      </c>
      <c r="L368" s="15" t="s">
        <v>263</v>
      </c>
      <c r="M368" s="15">
        <v>16</v>
      </c>
      <c r="N368" s="15">
        <v>45</v>
      </c>
      <c r="O368" s="15">
        <v>15</v>
      </c>
      <c r="P368" s="15">
        <v>612</v>
      </c>
      <c r="Q368" s="15">
        <v>5</v>
      </c>
      <c r="R368" s="15" t="s">
        <v>34</v>
      </c>
      <c r="S368" s="15" t="s">
        <v>61</v>
      </c>
      <c r="T368" s="15" t="s">
        <v>144</v>
      </c>
      <c r="U368" s="17" t="s">
        <v>1625</v>
      </c>
      <c r="V368" s="15" t="s">
        <v>69</v>
      </c>
      <c r="W368" t="str">
        <f t="shared" si="35"/>
        <v>Blacklisted</v>
      </c>
      <c r="X368" s="27" t="str">
        <f t="shared" si="36"/>
        <v>Priya Patel</v>
      </c>
      <c r="Y368" s="29" t="str">
        <f t="shared" si="37"/>
        <v>Pri00IDJa</v>
      </c>
      <c r="Z368" s="30" t="str">
        <f t="shared" si="38"/>
        <v>priya.patel@company.com</v>
      </c>
      <c r="AA368" s="32">
        <f t="shared" ca="1" si="39"/>
        <v>43</v>
      </c>
      <c r="AB368" s="33">
        <f t="shared" si="40"/>
        <v>9</v>
      </c>
      <c r="AC368" s="34" t="str">
        <f t="shared" si="41"/>
        <v>Delayed</v>
      </c>
    </row>
    <row r="369" spans="1:29">
      <c r="A369" s="18" t="s">
        <v>1626</v>
      </c>
      <c r="B369" s="18" t="s">
        <v>23</v>
      </c>
      <c r="C369" s="18" t="s">
        <v>24</v>
      </c>
      <c r="D369" s="18" t="s">
        <v>1263</v>
      </c>
      <c r="E369" s="18" t="s">
        <v>944</v>
      </c>
      <c r="F369" s="18" t="s">
        <v>27</v>
      </c>
      <c r="G369" s="18" t="s">
        <v>28</v>
      </c>
      <c r="H369" s="18" t="s">
        <v>1627</v>
      </c>
      <c r="I369" s="18" t="s">
        <v>212</v>
      </c>
      <c r="J369" s="18" t="s">
        <v>45</v>
      </c>
      <c r="K369" s="18" t="s">
        <v>32</v>
      </c>
      <c r="L369" s="18" t="s">
        <v>33</v>
      </c>
      <c r="M369" s="18">
        <v>1</v>
      </c>
      <c r="N369" s="18">
        <v>2200</v>
      </c>
      <c r="O369" s="18">
        <v>10</v>
      </c>
      <c r="P369" s="18">
        <v>1980</v>
      </c>
      <c r="Q369" s="18">
        <v>5</v>
      </c>
      <c r="R369" s="18" t="s">
        <v>79</v>
      </c>
      <c r="S369" s="18" t="s">
        <v>49</v>
      </c>
      <c r="T369" s="18" t="s">
        <v>50</v>
      </c>
      <c r="U369" s="19" t="s">
        <v>1628</v>
      </c>
      <c r="V369" s="18" t="s">
        <v>38</v>
      </c>
      <c r="W369" t="str">
        <f t="shared" si="35"/>
        <v>Silver</v>
      </c>
      <c r="X369" s="27" t="str">
        <f t="shared" si="36"/>
        <v>Kavya Nair</v>
      </c>
      <c r="Y369" s="29" t="str">
        <f t="shared" si="37"/>
        <v>Kav00IDJa</v>
      </c>
      <c r="Z369" s="30" t="str">
        <f t="shared" si="38"/>
        <v>kavya.nair@company.com</v>
      </c>
      <c r="AA369" s="32">
        <f t="shared" ca="1" si="39"/>
        <v>50</v>
      </c>
      <c r="AB369" s="33">
        <f t="shared" si="40"/>
        <v>12</v>
      </c>
      <c r="AC369" s="34" t="str">
        <f t="shared" si="41"/>
        <v>Delayed</v>
      </c>
    </row>
    <row r="370" spans="1:29">
      <c r="A370" s="15" t="s">
        <v>1629</v>
      </c>
      <c r="B370" s="15" t="s">
        <v>53</v>
      </c>
      <c r="C370" s="15" t="s">
        <v>118</v>
      </c>
      <c r="D370" s="15" t="s">
        <v>891</v>
      </c>
      <c r="E370" s="15" t="s">
        <v>1630</v>
      </c>
      <c r="F370" s="15" t="s">
        <v>163</v>
      </c>
      <c r="G370" s="15" t="s">
        <v>28</v>
      </c>
      <c r="H370" s="15" t="s">
        <v>1631</v>
      </c>
      <c r="I370" s="15" t="s">
        <v>30</v>
      </c>
      <c r="J370" s="15" t="s">
        <v>31</v>
      </c>
      <c r="K370" s="15" t="s">
        <v>122</v>
      </c>
      <c r="L370" s="15" t="s">
        <v>123</v>
      </c>
      <c r="M370" s="15">
        <v>19</v>
      </c>
      <c r="N370" s="15">
        <v>60</v>
      </c>
      <c r="O370" s="15">
        <v>15</v>
      </c>
      <c r="P370" s="15">
        <v>969</v>
      </c>
      <c r="Q370" s="15">
        <v>4</v>
      </c>
      <c r="R370" s="15" t="s">
        <v>48</v>
      </c>
      <c r="S370" s="15" t="s">
        <v>115</v>
      </c>
      <c r="T370" s="15" t="s">
        <v>62</v>
      </c>
      <c r="U370" s="17" t="s">
        <v>1632</v>
      </c>
      <c r="V370" s="15" t="s">
        <v>69</v>
      </c>
      <c r="W370" t="str">
        <f t="shared" si="35"/>
        <v>Blacklisted</v>
      </c>
      <c r="X370" s="27" t="str">
        <f t="shared" si="36"/>
        <v>Pooja Shah</v>
      </c>
      <c r="Y370" s="29" t="str">
        <f t="shared" si="37"/>
        <v>Poo01IDHy</v>
      </c>
      <c r="Z370" s="30" t="str">
        <f t="shared" si="38"/>
        <v>pooja.shah@company.com</v>
      </c>
      <c r="AA370" s="32">
        <f t="shared" ca="1" si="39"/>
        <v>39</v>
      </c>
      <c r="AB370" s="33">
        <f t="shared" si="40"/>
        <v>4</v>
      </c>
      <c r="AC370" s="34" t="str">
        <f t="shared" si="41"/>
        <v>On Time</v>
      </c>
    </row>
    <row r="371" spans="1:29">
      <c r="A371" s="18" t="s">
        <v>1633</v>
      </c>
      <c r="B371" s="18" t="s">
        <v>327</v>
      </c>
      <c r="C371" s="18" t="s">
        <v>54</v>
      </c>
      <c r="D371" s="18"/>
      <c r="E371" s="18" t="s">
        <v>1634</v>
      </c>
      <c r="F371" s="18" t="s">
        <v>394</v>
      </c>
      <c r="G371" s="18" t="s">
        <v>76</v>
      </c>
      <c r="H371" s="18" t="s">
        <v>1635</v>
      </c>
      <c r="I371" s="18" t="s">
        <v>44</v>
      </c>
      <c r="J371" s="18" t="s">
        <v>45</v>
      </c>
      <c r="K371" s="18" t="s">
        <v>46</v>
      </c>
      <c r="L371" s="18" t="s">
        <v>60</v>
      </c>
      <c r="M371" s="18">
        <v>15</v>
      </c>
      <c r="N371" s="18">
        <v>55000</v>
      </c>
      <c r="O371" s="18">
        <v>0</v>
      </c>
      <c r="P371" s="18">
        <v>825000</v>
      </c>
      <c r="Q371" s="18">
        <v>5</v>
      </c>
      <c r="R371" s="18" t="s">
        <v>79</v>
      </c>
      <c r="S371" s="18" t="s">
        <v>115</v>
      </c>
      <c r="T371" s="18" t="s">
        <v>332</v>
      </c>
      <c r="U371" s="19" t="s">
        <v>1636</v>
      </c>
      <c r="V371" s="18" t="s">
        <v>69</v>
      </c>
      <c r="W371" t="str">
        <f t="shared" si="35"/>
        <v>Blacklisted</v>
      </c>
      <c r="X371" s="27" t="str">
        <f t="shared" si="36"/>
        <v>Amit Sharma</v>
      </c>
      <c r="Y371" s="29" t="str">
        <f t="shared" si="37"/>
        <v>Ami00IDDe</v>
      </c>
      <c r="Z371" s="30" t="str">
        <f t="shared" si="38"/>
        <v>amit.sharma@company.com</v>
      </c>
      <c r="AA371" s="32">
        <f t="shared" ca="1" si="39"/>
        <v>34</v>
      </c>
      <c r="AB371" s="33">
        <f t="shared" si="40"/>
        <v>45690</v>
      </c>
      <c r="AC371" s="34" t="str">
        <f t="shared" si="41"/>
        <v>Delayed</v>
      </c>
    </row>
    <row r="372" spans="1:29">
      <c r="A372" s="15" t="s">
        <v>1637</v>
      </c>
      <c r="B372" s="15" t="s">
        <v>71</v>
      </c>
      <c r="C372" s="15" t="s">
        <v>259</v>
      </c>
      <c r="D372" s="15" t="s">
        <v>941</v>
      </c>
      <c r="E372" s="15" t="s">
        <v>1638</v>
      </c>
      <c r="F372" s="15" t="s">
        <v>217</v>
      </c>
      <c r="G372" s="15" t="s">
        <v>76</v>
      </c>
      <c r="H372" s="15" t="s">
        <v>1639</v>
      </c>
      <c r="I372" s="15" t="s">
        <v>59</v>
      </c>
      <c r="J372" s="15" t="s">
        <v>31</v>
      </c>
      <c r="K372" s="15" t="s">
        <v>122</v>
      </c>
      <c r="L372" s="15" t="s">
        <v>263</v>
      </c>
      <c r="M372" s="15">
        <v>11</v>
      </c>
      <c r="N372" s="15">
        <v>45</v>
      </c>
      <c r="O372" s="15">
        <v>5</v>
      </c>
      <c r="P372" s="15">
        <v>470.25</v>
      </c>
      <c r="Q372" s="15">
        <v>5</v>
      </c>
      <c r="R372" s="15" t="s">
        <v>48</v>
      </c>
      <c r="S372" s="15" t="s">
        <v>151</v>
      </c>
      <c r="T372" s="15" t="s">
        <v>80</v>
      </c>
      <c r="U372" s="17" t="s">
        <v>1640</v>
      </c>
      <c r="V372" s="15" t="s">
        <v>38</v>
      </c>
      <c r="W372" t="str">
        <f t="shared" si="35"/>
        <v>Silver</v>
      </c>
      <c r="X372" s="27" t="str">
        <f t="shared" si="36"/>
        <v>Mohit Verma</v>
      </c>
      <c r="Y372" s="29" t="str">
        <f t="shared" si="37"/>
        <v>Moh00IDBe</v>
      </c>
      <c r="Z372" s="30" t="str">
        <f t="shared" si="38"/>
        <v>mohit.verma@company.com</v>
      </c>
      <c r="AA372" s="32">
        <f t="shared" ca="1" si="39"/>
        <v>37</v>
      </c>
      <c r="AB372" s="33">
        <f t="shared" si="40"/>
        <v>2</v>
      </c>
      <c r="AC372" s="34" t="str">
        <f t="shared" si="41"/>
        <v>On Time</v>
      </c>
    </row>
    <row r="373" spans="1:29">
      <c r="A373" s="18" t="s">
        <v>1641</v>
      </c>
      <c r="B373" s="18" t="s">
        <v>251</v>
      </c>
      <c r="C373" s="18" t="s">
        <v>222</v>
      </c>
      <c r="D373" s="18" t="s">
        <v>1642</v>
      </c>
      <c r="E373" s="18" t="s">
        <v>1643</v>
      </c>
      <c r="F373" s="18" t="s">
        <v>254</v>
      </c>
      <c r="G373" s="18" t="s">
        <v>28</v>
      </c>
      <c r="H373" s="18" t="s">
        <v>1644</v>
      </c>
      <c r="I373" s="18" t="s">
        <v>212</v>
      </c>
      <c r="J373" s="18" t="s">
        <v>45</v>
      </c>
      <c r="K373" s="18" t="s">
        <v>122</v>
      </c>
      <c r="L373" s="18" t="s">
        <v>227</v>
      </c>
      <c r="M373" s="18">
        <v>9</v>
      </c>
      <c r="N373" s="18">
        <v>20</v>
      </c>
      <c r="O373" s="18">
        <v>10</v>
      </c>
      <c r="P373" s="18">
        <v>162</v>
      </c>
      <c r="Q373" s="18">
        <v>1</v>
      </c>
      <c r="R373" s="18" t="s">
        <v>79</v>
      </c>
      <c r="S373" s="18" t="s">
        <v>49</v>
      </c>
      <c r="T373" s="18" t="s">
        <v>256</v>
      </c>
      <c r="U373" s="19" t="s">
        <v>1645</v>
      </c>
      <c r="V373" s="18" t="s">
        <v>69</v>
      </c>
      <c r="W373" t="str">
        <f t="shared" si="35"/>
        <v>Blacklisted</v>
      </c>
      <c r="X373" s="27" t="str">
        <f t="shared" si="36"/>
        <v>Sneha Joshi</v>
      </c>
      <c r="Y373" s="29" t="str">
        <f t="shared" si="37"/>
        <v>Sne00IDJa</v>
      </c>
      <c r="Z373" s="30" t="str">
        <f t="shared" si="38"/>
        <v>sneha.joshi@company.com</v>
      </c>
      <c r="AA373" s="32">
        <f t="shared" ca="1" si="39"/>
        <v>35</v>
      </c>
      <c r="AB373" s="33">
        <f t="shared" si="40"/>
        <v>5</v>
      </c>
      <c r="AC373" s="34" t="str">
        <f t="shared" si="41"/>
        <v>On Time</v>
      </c>
    </row>
    <row r="374" spans="1:29">
      <c r="A374" s="15" t="s">
        <v>1646</v>
      </c>
      <c r="B374" s="15" t="s">
        <v>168</v>
      </c>
      <c r="C374" s="15" t="s">
        <v>259</v>
      </c>
      <c r="D374" s="15" t="s">
        <v>645</v>
      </c>
      <c r="E374" s="15" t="s">
        <v>980</v>
      </c>
      <c r="F374" s="15" t="s">
        <v>361</v>
      </c>
      <c r="G374" s="15" t="s">
        <v>28</v>
      </c>
      <c r="H374" s="15" t="s">
        <v>1647</v>
      </c>
      <c r="I374" s="15" t="s">
        <v>59</v>
      </c>
      <c r="J374" s="15" t="s">
        <v>31</v>
      </c>
      <c r="K374" s="15" t="s">
        <v>122</v>
      </c>
      <c r="L374" s="15" t="s">
        <v>263</v>
      </c>
      <c r="M374" s="15">
        <v>5</v>
      </c>
      <c r="N374" s="15">
        <v>45</v>
      </c>
      <c r="O374" s="15">
        <v>5</v>
      </c>
      <c r="P374" s="15">
        <v>213.75</v>
      </c>
      <c r="Q374" s="15">
        <v>3</v>
      </c>
      <c r="R374" s="15" t="s">
        <v>79</v>
      </c>
      <c r="S374" s="15" t="s">
        <v>115</v>
      </c>
      <c r="T374" s="15" t="s">
        <v>175</v>
      </c>
      <c r="U374" s="17" t="s">
        <v>1648</v>
      </c>
      <c r="V374" s="15" t="s">
        <v>64</v>
      </c>
      <c r="W374" t="str">
        <f t="shared" si="35"/>
        <v>Blacklisted</v>
      </c>
      <c r="X374" s="27" t="str">
        <f t="shared" si="36"/>
        <v>Anita Gupta</v>
      </c>
      <c r="Y374" s="29" t="str">
        <f t="shared" si="37"/>
        <v>Ani00IDBe</v>
      </c>
      <c r="Z374" s="30" t="str">
        <f t="shared" si="38"/>
        <v>anita.gupta@company.com</v>
      </c>
      <c r="AA374" s="32">
        <f t="shared" ca="1" si="39"/>
        <v>31</v>
      </c>
      <c r="AB374" s="33">
        <f t="shared" si="40"/>
        <v>2</v>
      </c>
      <c r="AC374" s="34" t="str">
        <f t="shared" si="41"/>
        <v>On Time</v>
      </c>
    </row>
    <row r="375" spans="1:29">
      <c r="A375" s="18" t="s">
        <v>1649</v>
      </c>
      <c r="B375" s="18" t="s">
        <v>83</v>
      </c>
      <c r="C375" s="18" t="s">
        <v>184</v>
      </c>
      <c r="D375" s="18" t="s">
        <v>1650</v>
      </c>
      <c r="E375" s="18" t="s">
        <v>1102</v>
      </c>
      <c r="F375" s="18" t="s">
        <v>180</v>
      </c>
      <c r="G375" s="18" t="s">
        <v>76</v>
      </c>
      <c r="H375" s="18" t="s">
        <v>1651</v>
      </c>
      <c r="I375" s="18" t="s">
        <v>30</v>
      </c>
      <c r="J375" s="18" t="s">
        <v>31</v>
      </c>
      <c r="K375" s="18" t="s">
        <v>46</v>
      </c>
      <c r="L375" s="18" t="s">
        <v>189</v>
      </c>
      <c r="M375" s="18">
        <v>5</v>
      </c>
      <c r="N375" s="18">
        <v>700</v>
      </c>
      <c r="O375" s="18">
        <v>10</v>
      </c>
      <c r="P375" s="18">
        <v>3150</v>
      </c>
      <c r="Q375" s="18">
        <v>2</v>
      </c>
      <c r="R375" s="18" t="s">
        <v>88</v>
      </c>
      <c r="S375" s="18" t="s">
        <v>49</v>
      </c>
      <c r="T375" s="18" t="s">
        <v>89</v>
      </c>
      <c r="U375" s="19" t="s">
        <v>1652</v>
      </c>
      <c r="V375" s="18" t="s">
        <v>38</v>
      </c>
      <c r="W375" t="str">
        <f t="shared" si="35"/>
        <v>Blacklisted</v>
      </c>
      <c r="X375" s="27" t="str">
        <f t="shared" si="36"/>
        <v>Arjun Rao</v>
      </c>
      <c r="Y375" s="29" t="str">
        <f t="shared" si="37"/>
        <v>Arj00IDHy</v>
      </c>
      <c r="Z375" s="30" t="str">
        <f t="shared" si="38"/>
        <v>arjun.rao@company.com</v>
      </c>
      <c r="AA375" s="32">
        <f t="shared" ca="1" si="39"/>
        <v>27</v>
      </c>
      <c r="AB375" s="33">
        <f t="shared" si="40"/>
        <v>1</v>
      </c>
      <c r="AC375" s="34" t="str">
        <f t="shared" si="41"/>
        <v>On Time</v>
      </c>
    </row>
    <row r="376" spans="1:29">
      <c r="A376" s="15" t="s">
        <v>1653</v>
      </c>
      <c r="B376" s="15" t="s">
        <v>221</v>
      </c>
      <c r="C376" s="15" t="s">
        <v>184</v>
      </c>
      <c r="D376" s="15" t="s">
        <v>957</v>
      </c>
      <c r="E376" s="15" t="s">
        <v>1654</v>
      </c>
      <c r="F376" s="15" t="s">
        <v>225</v>
      </c>
      <c r="G376" s="15" t="s">
        <v>76</v>
      </c>
      <c r="H376" s="15" t="s">
        <v>1655</v>
      </c>
      <c r="I376" s="15" t="s">
        <v>294</v>
      </c>
      <c r="J376" s="15" t="s">
        <v>295</v>
      </c>
      <c r="K376" s="15" t="s">
        <v>46</v>
      </c>
      <c r="L376" s="15" t="s">
        <v>189</v>
      </c>
      <c r="M376" s="15">
        <v>1</v>
      </c>
      <c r="N376" s="15">
        <v>700</v>
      </c>
      <c r="O376" s="15">
        <v>0</v>
      </c>
      <c r="P376" s="15">
        <v>700</v>
      </c>
      <c r="Q376" s="15">
        <v>1</v>
      </c>
      <c r="R376" s="15" t="s">
        <v>88</v>
      </c>
      <c r="S376" s="15" t="s">
        <v>151</v>
      </c>
      <c r="T376" s="15" t="s">
        <v>228</v>
      </c>
      <c r="U376" s="17" t="s">
        <v>1656</v>
      </c>
      <c r="V376" s="15" t="s">
        <v>38</v>
      </c>
      <c r="W376" t="str">
        <f t="shared" si="35"/>
        <v>Blacklisted</v>
      </c>
      <c r="X376" s="27" t="str">
        <f t="shared" si="36"/>
        <v>Vikas Mehta</v>
      </c>
      <c r="Y376" s="29" t="str">
        <f t="shared" si="37"/>
        <v>Vik00IDKo</v>
      </c>
      <c r="Z376" s="30" t="str">
        <f t="shared" si="38"/>
        <v>vikas.mehta@company.com</v>
      </c>
      <c r="AA376" s="32">
        <f t="shared" ca="1" si="39"/>
        <v>46</v>
      </c>
      <c r="AB376" s="33">
        <f t="shared" si="40"/>
        <v>7</v>
      </c>
      <c r="AC376" s="34" t="str">
        <f t="shared" si="41"/>
        <v>Delayed</v>
      </c>
    </row>
    <row r="377" spans="1:29">
      <c r="A377" s="18" t="s">
        <v>1657</v>
      </c>
      <c r="B377" s="18" t="s">
        <v>23</v>
      </c>
      <c r="C377" s="18" t="s">
        <v>184</v>
      </c>
      <c r="D377" s="18" t="s">
        <v>1368</v>
      </c>
      <c r="E377" s="18" t="s">
        <v>923</v>
      </c>
      <c r="F377" s="18" t="s">
        <v>27</v>
      </c>
      <c r="G377" s="18" t="s">
        <v>28</v>
      </c>
      <c r="H377" s="18" t="s">
        <v>1658</v>
      </c>
      <c r="I377" s="18" t="s">
        <v>105</v>
      </c>
      <c r="J377" s="18" t="s">
        <v>106</v>
      </c>
      <c r="K377" s="18" t="s">
        <v>46</v>
      </c>
      <c r="L377" s="18" t="s">
        <v>189</v>
      </c>
      <c r="M377" s="18">
        <v>13</v>
      </c>
      <c r="N377" s="18">
        <v>700</v>
      </c>
      <c r="O377" s="18">
        <v>20</v>
      </c>
      <c r="P377" s="18">
        <v>7280</v>
      </c>
      <c r="Q377" s="18">
        <v>2</v>
      </c>
      <c r="R377" s="18" t="s">
        <v>79</v>
      </c>
      <c r="S377" s="18" t="s">
        <v>35</v>
      </c>
      <c r="T377" s="18" t="s">
        <v>50</v>
      </c>
      <c r="U377" s="19" t="s">
        <v>1659</v>
      </c>
      <c r="V377" s="18" t="s">
        <v>38</v>
      </c>
      <c r="W377" t="str">
        <f t="shared" si="35"/>
        <v>Blacklisted</v>
      </c>
      <c r="X377" s="27" t="str">
        <f t="shared" si="36"/>
        <v>Kavya Nair</v>
      </c>
      <c r="Y377" s="29" t="str">
        <f t="shared" si="37"/>
        <v>Kav00IDMu</v>
      </c>
      <c r="Z377" s="30" t="str">
        <f t="shared" si="38"/>
        <v>kavya.nair@company.com</v>
      </c>
      <c r="AA377" s="32">
        <f t="shared" ca="1" si="39"/>
        <v>50</v>
      </c>
      <c r="AB377" s="33">
        <f t="shared" si="40"/>
        <v>8</v>
      </c>
      <c r="AC377" s="34" t="str">
        <f t="shared" si="41"/>
        <v>Delayed</v>
      </c>
    </row>
    <row r="378" spans="1:29">
      <c r="A378" s="15" t="s">
        <v>1660</v>
      </c>
      <c r="B378" s="15" t="s">
        <v>71</v>
      </c>
      <c r="C378" s="15" t="s">
        <v>40</v>
      </c>
      <c r="D378" s="15" t="s">
        <v>1153</v>
      </c>
      <c r="E378" s="15" t="s">
        <v>303</v>
      </c>
      <c r="F378" s="15" t="s">
        <v>217</v>
      </c>
      <c r="G378" s="15" t="s">
        <v>76</v>
      </c>
      <c r="H378" s="15" t="s">
        <v>1661</v>
      </c>
      <c r="I378" s="15" t="s">
        <v>114</v>
      </c>
      <c r="J378" s="15" t="s">
        <v>106</v>
      </c>
      <c r="K378" s="15" t="s">
        <v>46</v>
      </c>
      <c r="L378" s="15" t="s">
        <v>47</v>
      </c>
      <c r="M378" s="15">
        <v>20</v>
      </c>
      <c r="N378" s="15">
        <v>12000</v>
      </c>
      <c r="O378" s="15">
        <v>0</v>
      </c>
      <c r="P378" s="15">
        <v>240000</v>
      </c>
      <c r="Q378" s="15">
        <v>2</v>
      </c>
      <c r="R378" s="15" t="s">
        <v>79</v>
      </c>
      <c r="S378" s="15" t="s">
        <v>115</v>
      </c>
      <c r="T378" s="15" t="s">
        <v>80</v>
      </c>
      <c r="U378" s="17" t="s">
        <v>1662</v>
      </c>
      <c r="V378" s="15" t="s">
        <v>38</v>
      </c>
      <c r="W378" t="str">
        <f t="shared" si="35"/>
        <v>Blacklisted</v>
      </c>
      <c r="X378" s="27" t="str">
        <f t="shared" si="36"/>
        <v>Mohit Verma</v>
      </c>
      <c r="Y378" s="29" t="str">
        <f t="shared" si="37"/>
        <v>Moh00IDPu</v>
      </c>
      <c r="Z378" s="30" t="str">
        <f t="shared" si="38"/>
        <v>mohit.verma@company.com</v>
      </c>
      <c r="AA378" s="32">
        <f t="shared" ca="1" si="39"/>
        <v>33</v>
      </c>
      <c r="AB378" s="33">
        <f t="shared" si="40"/>
        <v>11</v>
      </c>
      <c r="AC378" s="34" t="str">
        <f t="shared" si="41"/>
        <v>Delayed</v>
      </c>
    </row>
    <row r="379" spans="1:29">
      <c r="A379" s="18" t="s">
        <v>1663</v>
      </c>
      <c r="B379" s="18" t="s">
        <v>83</v>
      </c>
      <c r="C379" s="18" t="s">
        <v>72</v>
      </c>
      <c r="D379" s="18" t="s">
        <v>1198</v>
      </c>
      <c r="E379" s="18" t="s">
        <v>712</v>
      </c>
      <c r="F379" s="18" t="s">
        <v>180</v>
      </c>
      <c r="G379" s="18" t="s">
        <v>76</v>
      </c>
      <c r="H379" s="18" t="s">
        <v>1664</v>
      </c>
      <c r="I379" s="18" t="s">
        <v>294</v>
      </c>
      <c r="J379" s="18" t="s">
        <v>295</v>
      </c>
      <c r="K379" s="18" t="s">
        <v>46</v>
      </c>
      <c r="L379" s="18" t="s">
        <v>78</v>
      </c>
      <c r="M379" s="18">
        <v>9</v>
      </c>
      <c r="N379" s="18">
        <v>1200</v>
      </c>
      <c r="O379" s="18">
        <v>15</v>
      </c>
      <c r="P379" s="18">
        <v>9180</v>
      </c>
      <c r="Q379" s="18">
        <v>1</v>
      </c>
      <c r="R379" s="18" t="s">
        <v>88</v>
      </c>
      <c r="S379" s="18" t="s">
        <v>35</v>
      </c>
      <c r="T379" s="18" t="s">
        <v>89</v>
      </c>
      <c r="U379" s="19" t="s">
        <v>1665</v>
      </c>
      <c r="V379" s="18" t="s">
        <v>64</v>
      </c>
      <c r="W379" t="str">
        <f t="shared" si="35"/>
        <v>Blacklisted</v>
      </c>
      <c r="X379" s="27" t="str">
        <f t="shared" si="36"/>
        <v>Arjun Rao</v>
      </c>
      <c r="Y379" s="29" t="str">
        <f t="shared" si="37"/>
        <v>Arj00IDKo</v>
      </c>
      <c r="Z379" s="30" t="str">
        <f t="shared" si="38"/>
        <v>arjun.rao@company.com</v>
      </c>
      <c r="AA379" s="32">
        <f t="shared" ca="1" si="39"/>
        <v>50</v>
      </c>
      <c r="AB379" s="33">
        <f t="shared" si="40"/>
        <v>9</v>
      </c>
      <c r="AC379" s="34" t="str">
        <f t="shared" si="41"/>
        <v>Delayed</v>
      </c>
    </row>
    <row r="380" spans="1:29">
      <c r="A380" s="15" t="s">
        <v>1666</v>
      </c>
      <c r="B380" s="15" t="s">
        <v>83</v>
      </c>
      <c r="C380" s="15" t="s">
        <v>222</v>
      </c>
      <c r="D380" s="15" t="s">
        <v>1221</v>
      </c>
      <c r="E380" s="15" t="s">
        <v>1667</v>
      </c>
      <c r="F380" s="15" t="s">
        <v>180</v>
      </c>
      <c r="G380" s="15" t="s">
        <v>76</v>
      </c>
      <c r="H380" s="15" t="s">
        <v>1668</v>
      </c>
      <c r="I380" s="15" t="s">
        <v>212</v>
      </c>
      <c r="J380" s="15" t="s">
        <v>45</v>
      </c>
      <c r="K380" s="15" t="s">
        <v>122</v>
      </c>
      <c r="L380" s="15" t="s">
        <v>227</v>
      </c>
      <c r="M380" s="15">
        <v>3</v>
      </c>
      <c r="N380" s="15">
        <v>20</v>
      </c>
      <c r="O380" s="15">
        <v>15</v>
      </c>
      <c r="P380" s="15">
        <v>51</v>
      </c>
      <c r="Q380" s="15">
        <v>3</v>
      </c>
      <c r="R380" s="15" t="s">
        <v>34</v>
      </c>
      <c r="S380" s="15" t="s">
        <v>115</v>
      </c>
      <c r="T380" s="15" t="s">
        <v>89</v>
      </c>
      <c r="U380" s="17" t="s">
        <v>1669</v>
      </c>
      <c r="V380" s="15" t="s">
        <v>64</v>
      </c>
      <c r="W380" t="str">
        <f t="shared" si="35"/>
        <v>Blacklisted</v>
      </c>
      <c r="X380" s="27" t="str">
        <f t="shared" si="36"/>
        <v>Arjun Rao</v>
      </c>
      <c r="Y380" s="29" t="str">
        <f t="shared" si="37"/>
        <v>Arj00IDJa</v>
      </c>
      <c r="Z380" s="30" t="str">
        <f t="shared" si="38"/>
        <v>arjun.rao@company.com</v>
      </c>
      <c r="AA380" s="32">
        <f t="shared" ca="1" si="39"/>
        <v>29</v>
      </c>
      <c r="AB380" s="33">
        <f t="shared" si="40"/>
        <v>2</v>
      </c>
      <c r="AC380" s="34" t="str">
        <f t="shared" si="41"/>
        <v>On Time</v>
      </c>
    </row>
    <row r="381" spans="1:29">
      <c r="A381" s="18" t="s">
        <v>1670</v>
      </c>
      <c r="B381" s="18" t="s">
        <v>251</v>
      </c>
      <c r="C381" s="18" t="s">
        <v>54</v>
      </c>
      <c r="D381" s="18" t="s">
        <v>788</v>
      </c>
      <c r="E381" s="18" t="s">
        <v>455</v>
      </c>
      <c r="F381" s="18" t="s">
        <v>254</v>
      </c>
      <c r="G381" s="18" t="s">
        <v>28</v>
      </c>
      <c r="H381" s="18" t="s">
        <v>1671</v>
      </c>
      <c r="I381" s="18" t="s">
        <v>44</v>
      </c>
      <c r="J381" s="18" t="s">
        <v>45</v>
      </c>
      <c r="K381" s="18" t="s">
        <v>46</v>
      </c>
      <c r="L381" s="18" t="s">
        <v>60</v>
      </c>
      <c r="M381" s="18">
        <v>8</v>
      </c>
      <c r="N381" s="18">
        <v>55000</v>
      </c>
      <c r="O381" s="18">
        <v>20</v>
      </c>
      <c r="P381" s="18">
        <v>352000</v>
      </c>
      <c r="Q381" s="18">
        <v>5</v>
      </c>
      <c r="R381" s="18" t="s">
        <v>79</v>
      </c>
      <c r="S381" s="18" t="s">
        <v>151</v>
      </c>
      <c r="T381" s="18" t="s">
        <v>256</v>
      </c>
      <c r="U381" s="19" t="s">
        <v>1672</v>
      </c>
      <c r="V381" s="18" t="s">
        <v>64</v>
      </c>
      <c r="W381" t="str">
        <f t="shared" si="35"/>
        <v>Blacklisted</v>
      </c>
      <c r="X381" s="27" t="str">
        <f t="shared" si="36"/>
        <v>Sneha Joshi</v>
      </c>
      <c r="Y381" s="29" t="str">
        <f t="shared" si="37"/>
        <v>Sne00IDDe</v>
      </c>
      <c r="Z381" s="30" t="str">
        <f t="shared" si="38"/>
        <v>sneha.joshi@company.com</v>
      </c>
      <c r="AA381" s="32">
        <f t="shared" ca="1" si="39"/>
        <v>30</v>
      </c>
      <c r="AB381" s="33">
        <f t="shared" si="40"/>
        <v>1</v>
      </c>
      <c r="AC381" s="34" t="str">
        <f t="shared" si="41"/>
        <v>On Time</v>
      </c>
    </row>
    <row r="382" spans="1:29">
      <c r="A382" s="15" t="s">
        <v>1673</v>
      </c>
      <c r="B382" s="15" t="s">
        <v>251</v>
      </c>
      <c r="C382" s="15" t="s">
        <v>118</v>
      </c>
      <c r="D382" s="15" t="s">
        <v>1311</v>
      </c>
      <c r="E382" s="15" t="s">
        <v>74</v>
      </c>
      <c r="F382" s="15" t="s">
        <v>254</v>
      </c>
      <c r="G382" s="15" t="s">
        <v>28</v>
      </c>
      <c r="H382" s="15" t="s">
        <v>1674</v>
      </c>
      <c r="I382" s="15" t="s">
        <v>44</v>
      </c>
      <c r="J382" s="15" t="s">
        <v>45</v>
      </c>
      <c r="K382" s="15" t="s">
        <v>122</v>
      </c>
      <c r="L382" s="15" t="s">
        <v>123</v>
      </c>
      <c r="M382" s="15">
        <v>17</v>
      </c>
      <c r="N382" s="15">
        <v>60</v>
      </c>
      <c r="O382" s="15">
        <v>20</v>
      </c>
      <c r="P382" s="15">
        <v>816</v>
      </c>
      <c r="Q382" s="15">
        <v>1</v>
      </c>
      <c r="R382" s="15" t="s">
        <v>88</v>
      </c>
      <c r="S382" s="15" t="s">
        <v>35</v>
      </c>
      <c r="T382" s="15" t="s">
        <v>256</v>
      </c>
      <c r="U382" s="17" t="s">
        <v>1675</v>
      </c>
      <c r="V382" s="15" t="s">
        <v>64</v>
      </c>
      <c r="W382" t="str">
        <f t="shared" si="35"/>
        <v>Blacklisted</v>
      </c>
      <c r="X382" s="27" t="str">
        <f t="shared" si="36"/>
        <v>Sneha Joshi</v>
      </c>
      <c r="Y382" s="29" t="str">
        <f t="shared" si="37"/>
        <v>Sne00IDDe</v>
      </c>
      <c r="Z382" s="30" t="str">
        <f t="shared" si="38"/>
        <v>sneha.joshi@company.com</v>
      </c>
      <c r="AA382" s="32">
        <f t="shared" ca="1" si="39"/>
        <v>41</v>
      </c>
      <c r="AB382" s="33">
        <f t="shared" si="40"/>
        <v>8</v>
      </c>
      <c r="AC382" s="34" t="str">
        <f t="shared" si="41"/>
        <v>Delayed</v>
      </c>
    </row>
    <row r="383" spans="1:29">
      <c r="A383" s="18" t="s">
        <v>1676</v>
      </c>
      <c r="B383" s="18" t="s">
        <v>127</v>
      </c>
      <c r="C383" s="18" t="s">
        <v>222</v>
      </c>
      <c r="D383" s="18" t="s">
        <v>1677</v>
      </c>
      <c r="E383" s="18" t="s">
        <v>236</v>
      </c>
      <c r="F383" s="18" t="s">
        <v>200</v>
      </c>
      <c r="G383" s="18" t="s">
        <v>76</v>
      </c>
      <c r="H383" s="18" t="s">
        <v>1678</v>
      </c>
      <c r="I383" s="18" t="s">
        <v>59</v>
      </c>
      <c r="J383" s="18" t="s">
        <v>31</v>
      </c>
      <c r="K383" s="18" t="s">
        <v>122</v>
      </c>
      <c r="L383" s="18" t="s">
        <v>227</v>
      </c>
      <c r="M383" s="18">
        <v>4</v>
      </c>
      <c r="N383" s="18">
        <v>20</v>
      </c>
      <c r="O383" s="18">
        <v>15</v>
      </c>
      <c r="P383" s="18">
        <v>68</v>
      </c>
      <c r="Q383" s="18">
        <v>3</v>
      </c>
      <c r="R383" s="18" t="s">
        <v>48</v>
      </c>
      <c r="S383" s="18" t="s">
        <v>61</v>
      </c>
      <c r="T383" s="18" t="s">
        <v>132</v>
      </c>
      <c r="U383" s="19" t="s">
        <v>1679</v>
      </c>
      <c r="V383" s="18" t="s">
        <v>64</v>
      </c>
      <c r="W383" t="str">
        <f t="shared" si="35"/>
        <v>Blacklisted</v>
      </c>
      <c r="X383" s="27" t="str">
        <f t="shared" si="36"/>
        <v>Rohit Singh</v>
      </c>
      <c r="Y383" s="29" t="str">
        <f t="shared" si="37"/>
        <v>Roh00IDBe</v>
      </c>
      <c r="Z383" s="30" t="str">
        <f t="shared" si="38"/>
        <v>rohit.singh@company.com</v>
      </c>
      <c r="AA383" s="32">
        <f t="shared" ca="1" si="39"/>
        <v>42</v>
      </c>
      <c r="AB383" s="33">
        <f t="shared" si="40"/>
        <v>8</v>
      </c>
      <c r="AC383" s="34" t="str">
        <f t="shared" si="41"/>
        <v>Delayed</v>
      </c>
    </row>
    <row r="384" spans="1:29">
      <c r="A384" s="15" t="s">
        <v>1680</v>
      </c>
      <c r="B384" s="15" t="s">
        <v>127</v>
      </c>
      <c r="C384" s="15" t="s">
        <v>24</v>
      </c>
      <c r="D384" s="15" t="s">
        <v>1360</v>
      </c>
      <c r="E384" s="15" t="s">
        <v>775</v>
      </c>
      <c r="F384" s="15" t="s">
        <v>1681</v>
      </c>
      <c r="G384" s="15" t="s">
        <v>76</v>
      </c>
      <c r="H384" s="15" t="s">
        <v>1682</v>
      </c>
      <c r="I384" s="15" t="s">
        <v>294</v>
      </c>
      <c r="J384" s="15" t="s">
        <v>295</v>
      </c>
      <c r="K384" s="15" t="s">
        <v>32</v>
      </c>
      <c r="L384" s="15" t="s">
        <v>33</v>
      </c>
      <c r="M384" s="15">
        <v>2</v>
      </c>
      <c r="N384" s="15">
        <v>2200</v>
      </c>
      <c r="O384" s="15">
        <v>10</v>
      </c>
      <c r="P384" s="15">
        <v>3960</v>
      </c>
      <c r="Q384" s="15">
        <v>2</v>
      </c>
      <c r="R384" s="15" t="s">
        <v>88</v>
      </c>
      <c r="S384" s="15" t="s">
        <v>49</v>
      </c>
      <c r="T384" s="15" t="s">
        <v>132</v>
      </c>
      <c r="U384" s="17" t="s">
        <v>1683</v>
      </c>
      <c r="V384" s="15" t="s">
        <v>64</v>
      </c>
      <c r="W384" t="str">
        <f t="shared" si="35"/>
        <v>Blacklisted</v>
      </c>
      <c r="X384" s="27" t="str">
        <f t="shared" si="36"/>
        <v>Rohit Singh</v>
      </c>
      <c r="Y384" s="29" t="str">
        <f t="shared" si="37"/>
        <v>Roh00IDKo</v>
      </c>
      <c r="Z384" s="30" t="str">
        <f t="shared" si="38"/>
        <v>rohit.singh@company.com</v>
      </c>
      <c r="AA384" s="32">
        <f t="shared" ca="1" si="39"/>
        <v>24</v>
      </c>
      <c r="AB384" s="33">
        <f t="shared" si="40"/>
        <v>10</v>
      </c>
      <c r="AC384" s="34" t="str">
        <f t="shared" si="41"/>
        <v>Delayed</v>
      </c>
    </row>
    <row r="385" spans="1:29">
      <c r="A385" s="18" t="s">
        <v>1684</v>
      </c>
      <c r="B385" s="18" t="s">
        <v>221</v>
      </c>
      <c r="C385" s="18" t="s">
        <v>118</v>
      </c>
      <c r="D385" s="18" t="s">
        <v>366</v>
      </c>
      <c r="E385" s="18" t="s">
        <v>539</v>
      </c>
      <c r="F385" s="18" t="s">
        <v>225</v>
      </c>
      <c r="G385" s="18" t="s">
        <v>76</v>
      </c>
      <c r="H385" s="18" t="s">
        <v>1685</v>
      </c>
      <c r="I385" s="18" t="s">
        <v>59</v>
      </c>
      <c r="J385" s="18" t="s">
        <v>31</v>
      </c>
      <c r="K385" s="18" t="s">
        <v>122</v>
      </c>
      <c r="L385" s="18" t="s">
        <v>123</v>
      </c>
      <c r="M385" s="18">
        <v>5</v>
      </c>
      <c r="N385" s="18">
        <v>60</v>
      </c>
      <c r="O385" s="18">
        <v>5</v>
      </c>
      <c r="P385" s="18">
        <v>285</v>
      </c>
      <c r="Q385" s="18">
        <v>1</v>
      </c>
      <c r="R385" s="18" t="s">
        <v>88</v>
      </c>
      <c r="S385" s="18" t="s">
        <v>35</v>
      </c>
      <c r="T385" s="18" t="s">
        <v>228</v>
      </c>
      <c r="U385" s="19" t="s">
        <v>1686</v>
      </c>
      <c r="V385" s="18" t="s">
        <v>69</v>
      </c>
      <c r="W385" t="str">
        <f t="shared" si="35"/>
        <v>Blacklisted</v>
      </c>
      <c r="X385" s="27" t="str">
        <f t="shared" si="36"/>
        <v>Vikas Mehta</v>
      </c>
      <c r="Y385" s="29" t="str">
        <f t="shared" si="37"/>
        <v>Vik00IDBe</v>
      </c>
      <c r="Z385" s="30" t="str">
        <f t="shared" si="38"/>
        <v>vikas.mehta@company.com</v>
      </c>
      <c r="AA385" s="32">
        <f t="shared" ca="1" si="39"/>
        <v>23</v>
      </c>
      <c r="AB385" s="33">
        <f t="shared" si="40"/>
        <v>11</v>
      </c>
      <c r="AC385" s="34" t="str">
        <f t="shared" si="41"/>
        <v>Delayed</v>
      </c>
    </row>
    <row r="386" spans="1:29">
      <c r="A386" s="15" t="s">
        <v>1687</v>
      </c>
      <c r="B386" s="15" t="s">
        <v>127</v>
      </c>
      <c r="C386" s="15" t="s">
        <v>24</v>
      </c>
      <c r="D386" s="15" t="s">
        <v>1688</v>
      </c>
      <c r="E386" s="15" t="s">
        <v>1689</v>
      </c>
      <c r="F386" s="15" t="s">
        <v>200</v>
      </c>
      <c r="G386" s="15" t="s">
        <v>76</v>
      </c>
      <c r="H386" s="15" t="s">
        <v>1690</v>
      </c>
      <c r="I386" s="15" t="s">
        <v>44</v>
      </c>
      <c r="J386" s="15" t="s">
        <v>45</v>
      </c>
      <c r="K386" s="15" t="s">
        <v>32</v>
      </c>
      <c r="L386" s="15" t="s">
        <v>33</v>
      </c>
      <c r="M386" s="15">
        <v>17</v>
      </c>
      <c r="N386" s="15">
        <v>2200</v>
      </c>
      <c r="O386" s="15">
        <v>0</v>
      </c>
      <c r="P386" s="15">
        <v>37400</v>
      </c>
      <c r="Q386" s="15">
        <v>2</v>
      </c>
      <c r="R386" s="15" t="s">
        <v>88</v>
      </c>
      <c r="S386" s="15" t="s">
        <v>151</v>
      </c>
      <c r="T386" s="15" t="s">
        <v>132</v>
      </c>
      <c r="U386" s="17" t="s">
        <v>1691</v>
      </c>
      <c r="V386" s="15" t="s">
        <v>69</v>
      </c>
      <c r="W386" t="str">
        <f t="shared" si="35"/>
        <v>Blacklisted</v>
      </c>
      <c r="X386" s="27" t="str">
        <f t="shared" si="36"/>
        <v>Rohit Singh</v>
      </c>
      <c r="Y386" s="29" t="str">
        <f t="shared" si="37"/>
        <v>Roh00IDDe</v>
      </c>
      <c r="Z386" s="30" t="str">
        <f t="shared" si="38"/>
        <v>rohit.singh@company.com</v>
      </c>
      <c r="AA386" s="32">
        <f t="shared" ca="1" si="39"/>
        <v>34</v>
      </c>
      <c r="AB386" s="33">
        <f t="shared" si="40"/>
        <v>4</v>
      </c>
      <c r="AC386" s="34" t="str">
        <f t="shared" si="41"/>
        <v>On Time</v>
      </c>
    </row>
    <row r="387" spans="1:29">
      <c r="A387" s="18" t="s">
        <v>1692</v>
      </c>
      <c r="B387" s="18" t="s">
        <v>168</v>
      </c>
      <c r="C387" s="18" t="s">
        <v>118</v>
      </c>
      <c r="D387" s="18" t="s">
        <v>186</v>
      </c>
      <c r="E387" s="18" t="s">
        <v>610</v>
      </c>
      <c r="F387" s="18" t="s">
        <v>361</v>
      </c>
      <c r="G387" s="18" t="s">
        <v>28</v>
      </c>
      <c r="H387" s="18" t="s">
        <v>1693</v>
      </c>
      <c r="I387" s="18" t="s">
        <v>138</v>
      </c>
      <c r="J387" s="18" t="s">
        <v>106</v>
      </c>
      <c r="K387" s="18" t="s">
        <v>122</v>
      </c>
      <c r="L387" s="18" t="s">
        <v>123</v>
      </c>
      <c r="M387" s="18">
        <v>7</v>
      </c>
      <c r="N387" s="18">
        <v>60</v>
      </c>
      <c r="O387" s="18">
        <v>0</v>
      </c>
      <c r="P387" s="18">
        <v>420</v>
      </c>
      <c r="Q387" s="18">
        <v>2</v>
      </c>
      <c r="R387" s="18" t="s">
        <v>88</v>
      </c>
      <c r="S387" s="18" t="s">
        <v>61</v>
      </c>
      <c r="T387" s="18" t="s">
        <v>175</v>
      </c>
      <c r="U387" s="19" t="s">
        <v>1694</v>
      </c>
      <c r="V387" s="18" t="s">
        <v>64</v>
      </c>
      <c r="W387" t="str">
        <f t="shared" ref="W387:W450" si="42">IF(OR(Q387&lt;=2,V387="Cancelled"),"Blacklisted",IF(AND(P387&gt;=100000,Q387&gt;=4,O387&lt;10,V387="Completed"),"Platinum",IF(AND(P387&gt;=50000,P387&lt;=99999,Q387&gt;=3,V387="Completed"),"Gold",IF(AND(P387&lt;50000,V387="Completed"),"Silver","Blacklisted"))))</f>
        <v>Blacklisted</v>
      </c>
      <c r="X387" s="27" t="str">
        <f t="shared" ref="X387:X450" si="43">PROPER(TRIM(F387))</f>
        <v>Anita Gupta</v>
      </c>
      <c r="Y387" s="29" t="str">
        <f t="shared" ref="Y387:Y450" si="44">LEFT(X387,3)&amp;MID(B387,2,2)&amp;"ID"&amp;LEFT(I387,2)</f>
        <v>Ani00IDAh</v>
      </c>
      <c r="Z387" s="30" t="str">
        <f t="shared" ref="Z387:Z450" si="45">IF(ISNUMBER(SEARCH("@",T387)),LOWER(TRIM(T387)),"Invalid Email")</f>
        <v>anita.gupta@company.com</v>
      </c>
      <c r="AA387" s="32">
        <f t="shared" ref="AA387:AA450" ca="1" si="46">DATEDIF(H387,TODAY(),"Y")</f>
        <v>42</v>
      </c>
      <c r="AB387" s="33">
        <f t="shared" ref="AB387:AB450" si="47">IF(E387="","",E387-D387)</f>
        <v>7</v>
      </c>
      <c r="AC387" s="34" t="str">
        <f t="shared" ref="AC387:AC450" si="48">IF(E387="","Pending",IF(AB387&lt;=5,"On Time","Delayed"))</f>
        <v>Delayed</v>
      </c>
    </row>
    <row r="388" spans="1:29">
      <c r="A388" s="15" t="s">
        <v>1695</v>
      </c>
      <c r="B388" s="15" t="s">
        <v>221</v>
      </c>
      <c r="C388" s="15" t="s">
        <v>54</v>
      </c>
      <c r="D388" s="15" t="s">
        <v>702</v>
      </c>
      <c r="E388" s="15" t="s">
        <v>1696</v>
      </c>
      <c r="F388" s="15" t="s">
        <v>225</v>
      </c>
      <c r="G388" s="15" t="s">
        <v>76</v>
      </c>
      <c r="H388" s="15" t="s">
        <v>1697</v>
      </c>
      <c r="I388" s="15" t="s">
        <v>30</v>
      </c>
      <c r="J388" s="15" t="s">
        <v>31</v>
      </c>
      <c r="K388" s="15" t="s">
        <v>46</v>
      </c>
      <c r="L388" s="15" t="s">
        <v>60</v>
      </c>
      <c r="M388" s="15">
        <v>6</v>
      </c>
      <c r="N388" s="15">
        <v>55000</v>
      </c>
      <c r="O388" s="15">
        <v>5</v>
      </c>
      <c r="P388" s="15">
        <v>313500</v>
      </c>
      <c r="Q388" s="15">
        <v>4</v>
      </c>
      <c r="R388" s="15" t="s">
        <v>79</v>
      </c>
      <c r="S388" s="15" t="s">
        <v>61</v>
      </c>
      <c r="T388" s="15" t="s">
        <v>228</v>
      </c>
      <c r="U388" s="17" t="s">
        <v>1698</v>
      </c>
      <c r="V388" s="15" t="s">
        <v>38</v>
      </c>
      <c r="W388" t="str">
        <f t="shared" si="42"/>
        <v>Platinum</v>
      </c>
      <c r="X388" s="27" t="str">
        <f t="shared" si="43"/>
        <v>Vikas Mehta</v>
      </c>
      <c r="Y388" s="29" t="str">
        <f t="shared" si="44"/>
        <v>Vik00IDHy</v>
      </c>
      <c r="Z388" s="30" t="str">
        <f t="shared" si="45"/>
        <v>vikas.mehta@company.com</v>
      </c>
      <c r="AA388" s="32">
        <f t="shared" ca="1" si="46"/>
        <v>51</v>
      </c>
      <c r="AB388" s="33">
        <f t="shared" si="47"/>
        <v>4</v>
      </c>
      <c r="AC388" s="34" t="str">
        <f t="shared" si="48"/>
        <v>On Time</v>
      </c>
    </row>
    <row r="389" spans="1:29">
      <c r="A389" s="18" t="s">
        <v>1699</v>
      </c>
      <c r="B389" s="18" t="s">
        <v>71</v>
      </c>
      <c r="C389" s="18" t="s">
        <v>222</v>
      </c>
      <c r="D389" s="18" t="s">
        <v>1306</v>
      </c>
      <c r="E389" s="18" t="s">
        <v>1700</v>
      </c>
      <c r="F389" s="18" t="s">
        <v>217</v>
      </c>
      <c r="G389" s="18" t="s">
        <v>76</v>
      </c>
      <c r="H389" s="18" t="s">
        <v>1701</v>
      </c>
      <c r="I389" s="18" t="s">
        <v>30</v>
      </c>
      <c r="J389" s="18" t="s">
        <v>31</v>
      </c>
      <c r="K389" s="18" t="s">
        <v>122</v>
      </c>
      <c r="L389" s="18" t="s">
        <v>227</v>
      </c>
      <c r="M389" s="18">
        <v>16</v>
      </c>
      <c r="N389" s="18">
        <v>20</v>
      </c>
      <c r="O389" s="18">
        <v>5</v>
      </c>
      <c r="P389" s="18">
        <v>304</v>
      </c>
      <c r="Q389" s="18">
        <v>1</v>
      </c>
      <c r="R389" s="18" t="s">
        <v>79</v>
      </c>
      <c r="S389" s="18" t="s">
        <v>49</v>
      </c>
      <c r="T389" s="18" t="s">
        <v>80</v>
      </c>
      <c r="U389" s="19" t="s">
        <v>1702</v>
      </c>
      <c r="V389" s="18" t="s">
        <v>38</v>
      </c>
      <c r="W389" t="str">
        <f t="shared" si="42"/>
        <v>Blacklisted</v>
      </c>
      <c r="X389" s="27" t="str">
        <f t="shared" si="43"/>
        <v>Mohit Verma</v>
      </c>
      <c r="Y389" s="29" t="str">
        <f t="shared" si="44"/>
        <v>Moh00IDHy</v>
      </c>
      <c r="Z389" s="30" t="str">
        <f t="shared" si="45"/>
        <v>mohit.verma@company.com</v>
      </c>
      <c r="AA389" s="32">
        <f t="shared" ca="1" si="46"/>
        <v>43</v>
      </c>
      <c r="AB389" s="33">
        <f t="shared" si="47"/>
        <v>4</v>
      </c>
      <c r="AC389" s="34" t="str">
        <f t="shared" si="48"/>
        <v>On Time</v>
      </c>
    </row>
    <row r="390" spans="1:29">
      <c r="A390" s="15" t="s">
        <v>1703</v>
      </c>
      <c r="B390" s="15" t="s">
        <v>23</v>
      </c>
      <c r="C390" s="15" t="s">
        <v>24</v>
      </c>
      <c r="D390" s="15" t="s">
        <v>1704</v>
      </c>
      <c r="E390" s="15" t="s">
        <v>1705</v>
      </c>
      <c r="F390" s="15" t="s">
        <v>27</v>
      </c>
      <c r="G390" s="15" t="s">
        <v>28</v>
      </c>
      <c r="H390" s="15" t="s">
        <v>1706</v>
      </c>
      <c r="I390" s="15" t="s">
        <v>294</v>
      </c>
      <c r="J390" s="15" t="s">
        <v>295</v>
      </c>
      <c r="K390" s="15" t="s">
        <v>32</v>
      </c>
      <c r="L390" s="15" t="s">
        <v>33</v>
      </c>
      <c r="M390" s="15">
        <v>11</v>
      </c>
      <c r="N390" s="15">
        <v>2200</v>
      </c>
      <c r="O390" s="15">
        <v>15</v>
      </c>
      <c r="P390" s="15">
        <v>20570</v>
      </c>
      <c r="Q390" s="15">
        <v>1</v>
      </c>
      <c r="R390" s="15" t="s">
        <v>48</v>
      </c>
      <c r="S390" s="15" t="s">
        <v>115</v>
      </c>
      <c r="T390" s="15" t="s">
        <v>50</v>
      </c>
      <c r="U390" s="17" t="s">
        <v>1707</v>
      </c>
      <c r="V390" s="15" t="s">
        <v>69</v>
      </c>
      <c r="W390" t="str">
        <f t="shared" si="42"/>
        <v>Blacklisted</v>
      </c>
      <c r="X390" s="27" t="str">
        <f t="shared" si="43"/>
        <v>Kavya Nair</v>
      </c>
      <c r="Y390" s="29" t="str">
        <f t="shared" si="44"/>
        <v>Kav00IDKo</v>
      </c>
      <c r="Z390" s="30" t="str">
        <f t="shared" si="45"/>
        <v>kavya.nair@company.com</v>
      </c>
      <c r="AA390" s="32">
        <f t="shared" ca="1" si="46"/>
        <v>50</v>
      </c>
      <c r="AB390" s="33">
        <f t="shared" si="47"/>
        <v>3</v>
      </c>
      <c r="AC390" s="34" t="str">
        <f t="shared" si="48"/>
        <v>On Time</v>
      </c>
    </row>
    <row r="391" spans="1:29">
      <c r="A391" s="18" t="s">
        <v>1708</v>
      </c>
      <c r="B391" s="18" t="s">
        <v>100</v>
      </c>
      <c r="C391" s="18" t="s">
        <v>222</v>
      </c>
      <c r="D391" s="18" t="s">
        <v>1069</v>
      </c>
      <c r="E391" s="18" t="s">
        <v>1409</v>
      </c>
      <c r="F391" s="18" t="s">
        <v>103</v>
      </c>
      <c r="G391" s="18" t="s">
        <v>28</v>
      </c>
      <c r="H391" s="18" t="s">
        <v>1709</v>
      </c>
      <c r="I391" s="18" t="s">
        <v>114</v>
      </c>
      <c r="J391" s="18" t="s">
        <v>106</v>
      </c>
      <c r="K391" s="18" t="s">
        <v>122</v>
      </c>
      <c r="L391" s="18" t="s">
        <v>227</v>
      </c>
      <c r="M391" s="18">
        <v>19</v>
      </c>
      <c r="N391" s="18">
        <v>20</v>
      </c>
      <c r="O391" s="18">
        <v>5</v>
      </c>
      <c r="P391" s="18">
        <v>361</v>
      </c>
      <c r="Q391" s="18">
        <v>4</v>
      </c>
      <c r="R391" s="18" t="s">
        <v>88</v>
      </c>
      <c r="S391" s="18" t="s">
        <v>35</v>
      </c>
      <c r="T391" s="18" t="s">
        <v>144</v>
      </c>
      <c r="U391" s="19" t="s">
        <v>1710</v>
      </c>
      <c r="V391" s="18" t="s">
        <v>64</v>
      </c>
      <c r="W391" t="str">
        <f t="shared" si="42"/>
        <v>Blacklisted</v>
      </c>
      <c r="X391" s="27" t="str">
        <f t="shared" si="43"/>
        <v>Priya Patel</v>
      </c>
      <c r="Y391" s="29" t="str">
        <f t="shared" si="44"/>
        <v>Pri00IDPu</v>
      </c>
      <c r="Z391" s="30" t="str">
        <f t="shared" si="45"/>
        <v>priya.patel@company.com</v>
      </c>
      <c r="AA391" s="32">
        <f t="shared" ca="1" si="46"/>
        <v>40</v>
      </c>
      <c r="AB391" s="33">
        <f t="shared" si="47"/>
        <v>2</v>
      </c>
      <c r="AC391" s="34" t="str">
        <f t="shared" si="48"/>
        <v>On Time</v>
      </c>
    </row>
    <row r="392" spans="1:29">
      <c r="A392" s="15" t="s">
        <v>1711</v>
      </c>
      <c r="B392" s="15" t="s">
        <v>100</v>
      </c>
      <c r="C392" s="15" t="s">
        <v>72</v>
      </c>
      <c r="D392" s="15" t="s">
        <v>1712</v>
      </c>
      <c r="E392" s="15" t="s">
        <v>1713</v>
      </c>
      <c r="F392" s="15" t="s">
        <v>103</v>
      </c>
      <c r="G392" s="15" t="s">
        <v>28</v>
      </c>
      <c r="H392" s="15" t="s">
        <v>1714</v>
      </c>
      <c r="I392" s="15" t="s">
        <v>114</v>
      </c>
      <c r="J392" s="15" t="s">
        <v>106</v>
      </c>
      <c r="K392" s="15" t="s">
        <v>46</v>
      </c>
      <c r="L392" s="15" t="s">
        <v>78</v>
      </c>
      <c r="M392" s="15">
        <v>20</v>
      </c>
      <c r="N392" s="15">
        <v>1200</v>
      </c>
      <c r="O392" s="15">
        <v>15</v>
      </c>
      <c r="P392" s="15">
        <v>20400</v>
      </c>
      <c r="Q392" s="15">
        <v>4</v>
      </c>
      <c r="R392" s="15" t="s">
        <v>79</v>
      </c>
      <c r="S392" s="15" t="s">
        <v>35</v>
      </c>
      <c r="T392" s="15" t="s">
        <v>144</v>
      </c>
      <c r="U392" s="17" t="s">
        <v>1715</v>
      </c>
      <c r="V392" s="15" t="s">
        <v>64</v>
      </c>
      <c r="W392" t="str">
        <f t="shared" si="42"/>
        <v>Blacklisted</v>
      </c>
      <c r="X392" s="27" t="str">
        <f t="shared" si="43"/>
        <v>Priya Patel</v>
      </c>
      <c r="Y392" s="29" t="str">
        <f t="shared" si="44"/>
        <v>Pri00IDPu</v>
      </c>
      <c r="Z392" s="30" t="str">
        <f t="shared" si="45"/>
        <v>priya.patel@company.com</v>
      </c>
      <c r="AA392" s="32">
        <f t="shared" ca="1" si="46"/>
        <v>48</v>
      </c>
      <c r="AB392" s="33">
        <f t="shared" si="47"/>
        <v>1</v>
      </c>
      <c r="AC392" s="34" t="str">
        <f t="shared" si="48"/>
        <v>On Time</v>
      </c>
    </row>
    <row r="393" spans="1:29">
      <c r="A393" s="18" t="s">
        <v>1716</v>
      </c>
      <c r="B393" s="18" t="s">
        <v>53</v>
      </c>
      <c r="C393" s="18" t="s">
        <v>222</v>
      </c>
      <c r="D393" s="18" t="s">
        <v>1717</v>
      </c>
      <c r="E393" s="18" t="s">
        <v>1718</v>
      </c>
      <c r="F393" s="18" t="s">
        <v>163</v>
      </c>
      <c r="G393" s="18" t="s">
        <v>28</v>
      </c>
      <c r="H393" s="18" t="s">
        <v>1719</v>
      </c>
      <c r="I393" s="18" t="s">
        <v>30</v>
      </c>
      <c r="J393" s="18" t="s">
        <v>31</v>
      </c>
      <c r="K393" s="18" t="s">
        <v>122</v>
      </c>
      <c r="L393" s="18" t="s">
        <v>227</v>
      </c>
      <c r="M393" s="18">
        <v>13</v>
      </c>
      <c r="N393" s="18">
        <v>20</v>
      </c>
      <c r="O393" s="18">
        <v>15</v>
      </c>
      <c r="P393" s="18">
        <v>221</v>
      </c>
      <c r="Q393" s="18">
        <v>4</v>
      </c>
      <c r="R393" s="18" t="s">
        <v>34</v>
      </c>
      <c r="S393" s="18" t="s">
        <v>35</v>
      </c>
      <c r="T393" s="18" t="s">
        <v>62</v>
      </c>
      <c r="U393" s="19" t="s">
        <v>1720</v>
      </c>
      <c r="V393" s="18" t="s">
        <v>64</v>
      </c>
      <c r="W393" t="str">
        <f t="shared" si="42"/>
        <v>Blacklisted</v>
      </c>
      <c r="X393" s="27" t="str">
        <f t="shared" si="43"/>
        <v>Pooja Shah</v>
      </c>
      <c r="Y393" s="29" t="str">
        <f t="shared" si="44"/>
        <v>Poo01IDHy</v>
      </c>
      <c r="Z393" s="30" t="str">
        <f t="shared" si="45"/>
        <v>pooja.shah@company.com</v>
      </c>
      <c r="AA393" s="32">
        <f t="shared" ca="1" si="46"/>
        <v>30</v>
      </c>
      <c r="AB393" s="33">
        <f t="shared" si="47"/>
        <v>9</v>
      </c>
      <c r="AC393" s="34" t="str">
        <f t="shared" si="48"/>
        <v>Delayed</v>
      </c>
    </row>
    <row r="394" spans="1:29">
      <c r="A394" s="15" t="s">
        <v>1721</v>
      </c>
      <c r="B394" s="15" t="s">
        <v>251</v>
      </c>
      <c r="C394" s="15" t="s">
        <v>72</v>
      </c>
      <c r="D394" s="15" t="s">
        <v>205</v>
      </c>
      <c r="E394" s="15" t="s">
        <v>206</v>
      </c>
      <c r="F394" s="15" t="s">
        <v>254</v>
      </c>
      <c r="G394" s="15" t="s">
        <v>28</v>
      </c>
      <c r="H394" s="15" t="s">
        <v>1722</v>
      </c>
      <c r="I394" s="15" t="s">
        <v>44</v>
      </c>
      <c r="J394" s="15" t="s">
        <v>45</v>
      </c>
      <c r="K394" s="15" t="s">
        <v>46</v>
      </c>
      <c r="L394" s="15" t="s">
        <v>78</v>
      </c>
      <c r="M394" s="15">
        <v>12</v>
      </c>
      <c r="N394" s="15">
        <v>1200</v>
      </c>
      <c r="O394" s="15">
        <v>10</v>
      </c>
      <c r="P394" s="15">
        <v>12960</v>
      </c>
      <c r="Q394" s="15">
        <v>3</v>
      </c>
      <c r="R394" s="15" t="s">
        <v>48</v>
      </c>
      <c r="S394" s="15" t="s">
        <v>35</v>
      </c>
      <c r="T394" s="15" t="s">
        <v>256</v>
      </c>
      <c r="U394" s="17" t="s">
        <v>1723</v>
      </c>
      <c r="V394" s="15" t="s">
        <v>64</v>
      </c>
      <c r="W394" t="str">
        <f t="shared" si="42"/>
        <v>Blacklisted</v>
      </c>
      <c r="X394" s="27" t="str">
        <f t="shared" si="43"/>
        <v>Sneha Joshi</v>
      </c>
      <c r="Y394" s="29" t="str">
        <f t="shared" si="44"/>
        <v>Sne00IDDe</v>
      </c>
      <c r="Z394" s="30" t="str">
        <f t="shared" si="45"/>
        <v>sneha.joshi@company.com</v>
      </c>
      <c r="AA394" s="32">
        <f t="shared" ca="1" si="46"/>
        <v>33</v>
      </c>
      <c r="AB394" s="33">
        <f t="shared" si="47"/>
        <v>5</v>
      </c>
      <c r="AC394" s="34" t="str">
        <f t="shared" si="48"/>
        <v>On Time</v>
      </c>
    </row>
    <row r="395" spans="1:29">
      <c r="A395" s="18" t="s">
        <v>1724</v>
      </c>
      <c r="B395" s="18" t="s">
        <v>100</v>
      </c>
      <c r="C395" s="18" t="s">
        <v>169</v>
      </c>
      <c r="D395" s="18" t="s">
        <v>1705</v>
      </c>
      <c r="E395" s="18" t="s">
        <v>783</v>
      </c>
      <c r="F395" s="18" t="s">
        <v>103</v>
      </c>
      <c r="G395" s="18" t="s">
        <v>28</v>
      </c>
      <c r="H395" s="18" t="s">
        <v>1725</v>
      </c>
      <c r="I395" s="18" t="s">
        <v>294</v>
      </c>
      <c r="J395" s="18" t="s">
        <v>295</v>
      </c>
      <c r="K395" s="18" t="s">
        <v>32</v>
      </c>
      <c r="L395" s="18" t="s">
        <v>174</v>
      </c>
      <c r="M395" s="18">
        <v>6</v>
      </c>
      <c r="N395" s="18">
        <v>8500</v>
      </c>
      <c r="O395" s="18">
        <v>5</v>
      </c>
      <c r="P395" s="18">
        <v>48450</v>
      </c>
      <c r="Q395" s="18">
        <v>5</v>
      </c>
      <c r="R395" s="18" t="s">
        <v>34</v>
      </c>
      <c r="S395" s="18" t="s">
        <v>115</v>
      </c>
      <c r="T395" s="18" t="s">
        <v>144</v>
      </c>
      <c r="U395" s="19" t="s">
        <v>1726</v>
      </c>
      <c r="V395" s="18" t="s">
        <v>69</v>
      </c>
      <c r="W395" t="str">
        <f t="shared" si="42"/>
        <v>Blacklisted</v>
      </c>
      <c r="X395" s="27" t="str">
        <f t="shared" si="43"/>
        <v>Priya Patel</v>
      </c>
      <c r="Y395" s="29" t="str">
        <f t="shared" si="44"/>
        <v>Pri00IDKo</v>
      </c>
      <c r="Z395" s="30" t="str">
        <f t="shared" si="45"/>
        <v>priya.patel@company.com</v>
      </c>
      <c r="AA395" s="32">
        <f t="shared" ca="1" si="46"/>
        <v>30</v>
      </c>
      <c r="AB395" s="33">
        <f t="shared" si="47"/>
        <v>1</v>
      </c>
      <c r="AC395" s="34" t="str">
        <f t="shared" si="48"/>
        <v>On Time</v>
      </c>
    </row>
    <row r="396" spans="1:29">
      <c r="A396" s="15" t="s">
        <v>1727</v>
      </c>
      <c r="B396" s="15" t="s">
        <v>23</v>
      </c>
      <c r="C396" s="15" t="s">
        <v>169</v>
      </c>
      <c r="D396" s="15" t="s">
        <v>1302</v>
      </c>
      <c r="E396" s="15" t="s">
        <v>1728</v>
      </c>
      <c r="F396" s="15" t="s">
        <v>27</v>
      </c>
      <c r="G396" s="15" t="s">
        <v>28</v>
      </c>
      <c r="H396" s="15" t="s">
        <v>1729</v>
      </c>
      <c r="I396" s="15" t="s">
        <v>138</v>
      </c>
      <c r="J396" s="15" t="s">
        <v>106</v>
      </c>
      <c r="K396" s="15" t="s">
        <v>32</v>
      </c>
      <c r="L396" s="15" t="s">
        <v>174</v>
      </c>
      <c r="M396" s="15">
        <v>15</v>
      </c>
      <c r="N396" s="15">
        <v>8500</v>
      </c>
      <c r="O396" s="15">
        <v>10</v>
      </c>
      <c r="P396" s="15">
        <v>114750</v>
      </c>
      <c r="Q396" s="15">
        <v>1</v>
      </c>
      <c r="R396" s="15" t="s">
        <v>34</v>
      </c>
      <c r="S396" s="15" t="s">
        <v>115</v>
      </c>
      <c r="T396" s="15" t="s">
        <v>50</v>
      </c>
      <c r="U396" s="17" t="s">
        <v>1730</v>
      </c>
      <c r="V396" s="15" t="s">
        <v>38</v>
      </c>
      <c r="W396" t="str">
        <f t="shared" si="42"/>
        <v>Blacklisted</v>
      </c>
      <c r="X396" s="27" t="str">
        <f t="shared" si="43"/>
        <v>Kavya Nair</v>
      </c>
      <c r="Y396" s="29" t="str">
        <f t="shared" si="44"/>
        <v>Kav00IDAh</v>
      </c>
      <c r="Z396" s="30" t="str">
        <f t="shared" si="45"/>
        <v>kavya.nair@company.com</v>
      </c>
      <c r="AA396" s="32">
        <f t="shared" ca="1" si="46"/>
        <v>32</v>
      </c>
      <c r="AB396" s="33">
        <f t="shared" si="47"/>
        <v>8</v>
      </c>
      <c r="AC396" s="34" t="str">
        <f t="shared" si="48"/>
        <v>Delayed</v>
      </c>
    </row>
    <row r="397" spans="1:29">
      <c r="A397" s="18" t="s">
        <v>1731</v>
      </c>
      <c r="B397" s="18" t="s">
        <v>127</v>
      </c>
      <c r="C397" s="18" t="s">
        <v>40</v>
      </c>
      <c r="D397" s="18" t="s">
        <v>1732</v>
      </c>
      <c r="E397" s="18" t="s">
        <v>1733</v>
      </c>
      <c r="F397" s="18" t="s">
        <v>200</v>
      </c>
      <c r="G397" s="18" t="s">
        <v>76</v>
      </c>
      <c r="H397" s="18" t="s">
        <v>1734</v>
      </c>
      <c r="I397" s="18" t="s">
        <v>30</v>
      </c>
      <c r="J397" s="18" t="s">
        <v>31</v>
      </c>
      <c r="K397" s="18" t="s">
        <v>46</v>
      </c>
      <c r="L397" s="18" t="s">
        <v>47</v>
      </c>
      <c r="M397" s="18">
        <v>19</v>
      </c>
      <c r="N397" s="18">
        <v>12000</v>
      </c>
      <c r="O397" s="18">
        <v>20</v>
      </c>
      <c r="P397" s="18">
        <v>182400</v>
      </c>
      <c r="Q397" s="18">
        <v>5</v>
      </c>
      <c r="R397" s="18" t="s">
        <v>34</v>
      </c>
      <c r="S397" s="18" t="s">
        <v>115</v>
      </c>
      <c r="T397" s="18" t="s">
        <v>132</v>
      </c>
      <c r="U397" s="19" t="s">
        <v>1735</v>
      </c>
      <c r="V397" s="18" t="s">
        <v>38</v>
      </c>
      <c r="W397" t="str">
        <f t="shared" si="42"/>
        <v>Blacklisted</v>
      </c>
      <c r="X397" s="27" t="str">
        <f t="shared" si="43"/>
        <v>Rohit Singh</v>
      </c>
      <c r="Y397" s="29" t="str">
        <f t="shared" si="44"/>
        <v>Roh00IDHy</v>
      </c>
      <c r="Z397" s="30" t="str">
        <f t="shared" si="45"/>
        <v>rohit.singh@company.com</v>
      </c>
      <c r="AA397" s="32">
        <f t="shared" ca="1" si="46"/>
        <v>46</v>
      </c>
      <c r="AB397" s="33">
        <f t="shared" si="47"/>
        <v>12</v>
      </c>
      <c r="AC397" s="34" t="str">
        <f t="shared" si="48"/>
        <v>Delayed</v>
      </c>
    </row>
    <row r="398" spans="1:29">
      <c r="A398" s="15" t="s">
        <v>1736</v>
      </c>
      <c r="B398" s="15" t="s">
        <v>83</v>
      </c>
      <c r="C398" s="15" t="s">
        <v>184</v>
      </c>
      <c r="D398" s="15" t="s">
        <v>142</v>
      </c>
      <c r="E398" s="15" t="s">
        <v>1737</v>
      </c>
      <c r="F398" s="15" t="s">
        <v>180</v>
      </c>
      <c r="G398" s="15" t="s">
        <v>76</v>
      </c>
      <c r="H398" s="15" t="s">
        <v>1738</v>
      </c>
      <c r="I398" s="15" t="s">
        <v>44</v>
      </c>
      <c r="J398" s="15" t="s">
        <v>45</v>
      </c>
      <c r="K398" s="15" t="s">
        <v>46</v>
      </c>
      <c r="L398" s="15" t="s">
        <v>189</v>
      </c>
      <c r="M398" s="15">
        <v>5</v>
      </c>
      <c r="N398" s="15">
        <v>700</v>
      </c>
      <c r="O398" s="15">
        <v>0</v>
      </c>
      <c r="P398" s="15">
        <v>3500</v>
      </c>
      <c r="Q398" s="15">
        <v>2</v>
      </c>
      <c r="R398" s="15" t="s">
        <v>79</v>
      </c>
      <c r="S398" s="15" t="s">
        <v>61</v>
      </c>
      <c r="T398" s="15" t="s">
        <v>89</v>
      </c>
      <c r="U398" s="17" t="s">
        <v>1739</v>
      </c>
      <c r="V398" s="15" t="s">
        <v>69</v>
      </c>
      <c r="W398" t="str">
        <f t="shared" si="42"/>
        <v>Blacklisted</v>
      </c>
      <c r="X398" s="27" t="str">
        <f t="shared" si="43"/>
        <v>Arjun Rao</v>
      </c>
      <c r="Y398" s="29" t="str">
        <f t="shared" si="44"/>
        <v>Arj00IDDe</v>
      </c>
      <c r="Z398" s="30" t="str">
        <f t="shared" si="45"/>
        <v>arjun.rao@company.com</v>
      </c>
      <c r="AA398" s="32">
        <f t="shared" ca="1" si="46"/>
        <v>36</v>
      </c>
      <c r="AB398" s="33">
        <f t="shared" si="47"/>
        <v>3</v>
      </c>
      <c r="AC398" s="34" t="str">
        <f t="shared" si="48"/>
        <v>On Time</v>
      </c>
    </row>
    <row r="399" spans="1:29">
      <c r="A399" s="18" t="s">
        <v>1740</v>
      </c>
      <c r="B399" s="18" t="s">
        <v>83</v>
      </c>
      <c r="C399" s="18" t="s">
        <v>40</v>
      </c>
      <c r="D399" s="18" t="s">
        <v>1654</v>
      </c>
      <c r="E399" s="18" t="s">
        <v>765</v>
      </c>
      <c r="F399" s="18" t="s">
        <v>180</v>
      </c>
      <c r="G399" s="18" t="s">
        <v>76</v>
      </c>
      <c r="H399" s="18" t="s">
        <v>1741</v>
      </c>
      <c r="I399" s="18" t="s">
        <v>294</v>
      </c>
      <c r="J399" s="18" t="s">
        <v>295</v>
      </c>
      <c r="K399" s="18" t="s">
        <v>46</v>
      </c>
      <c r="L399" s="18" t="s">
        <v>47</v>
      </c>
      <c r="M399" s="18">
        <v>19</v>
      </c>
      <c r="N399" s="18">
        <v>12000</v>
      </c>
      <c r="O399" s="18">
        <v>0</v>
      </c>
      <c r="P399" s="18">
        <v>228000</v>
      </c>
      <c r="Q399" s="18">
        <v>4</v>
      </c>
      <c r="R399" s="18" t="s">
        <v>88</v>
      </c>
      <c r="S399" s="18" t="s">
        <v>61</v>
      </c>
      <c r="T399" s="18" t="s">
        <v>89</v>
      </c>
      <c r="U399" s="19" t="s">
        <v>1742</v>
      </c>
      <c r="V399" s="18" t="s">
        <v>64</v>
      </c>
      <c r="W399" t="str">
        <f t="shared" si="42"/>
        <v>Blacklisted</v>
      </c>
      <c r="X399" s="27" t="str">
        <f t="shared" si="43"/>
        <v>Arjun Rao</v>
      </c>
      <c r="Y399" s="29" t="str">
        <f t="shared" si="44"/>
        <v>Arj00IDKo</v>
      </c>
      <c r="Z399" s="30" t="str">
        <f t="shared" si="45"/>
        <v>arjun.rao@company.com</v>
      </c>
      <c r="AA399" s="32">
        <f t="shared" ca="1" si="46"/>
        <v>47</v>
      </c>
      <c r="AB399" s="33">
        <f t="shared" si="47"/>
        <v>4</v>
      </c>
      <c r="AC399" s="34" t="str">
        <f t="shared" si="48"/>
        <v>On Time</v>
      </c>
    </row>
    <row r="400" spans="1:29">
      <c r="A400" s="15" t="s">
        <v>1743</v>
      </c>
      <c r="B400" s="15" t="s">
        <v>327</v>
      </c>
      <c r="C400" s="15" t="s">
        <v>184</v>
      </c>
      <c r="D400" s="15"/>
      <c r="E400" s="15" t="s">
        <v>1225</v>
      </c>
      <c r="F400" s="15" t="s">
        <v>394</v>
      </c>
      <c r="G400" s="15" t="s">
        <v>76</v>
      </c>
      <c r="H400" s="15" t="s">
        <v>1744</v>
      </c>
      <c r="I400" s="15" t="s">
        <v>59</v>
      </c>
      <c r="J400" s="15" t="s">
        <v>31</v>
      </c>
      <c r="K400" s="15" t="s">
        <v>46</v>
      </c>
      <c r="L400" s="15" t="s">
        <v>189</v>
      </c>
      <c r="M400" s="15">
        <v>12</v>
      </c>
      <c r="N400" s="15">
        <v>700</v>
      </c>
      <c r="O400" s="15">
        <v>15</v>
      </c>
      <c r="P400" s="15">
        <v>7140</v>
      </c>
      <c r="Q400" s="15">
        <v>3</v>
      </c>
      <c r="R400" s="15" t="s">
        <v>79</v>
      </c>
      <c r="S400" s="15" t="s">
        <v>35</v>
      </c>
      <c r="T400" s="15" t="s">
        <v>332</v>
      </c>
      <c r="U400" s="17" t="s">
        <v>1745</v>
      </c>
      <c r="V400" s="15" t="s">
        <v>38</v>
      </c>
      <c r="W400" t="str">
        <f t="shared" si="42"/>
        <v>Silver</v>
      </c>
      <c r="X400" s="27" t="str">
        <f t="shared" si="43"/>
        <v>Amit Sharma</v>
      </c>
      <c r="Y400" s="29" t="str">
        <f t="shared" si="44"/>
        <v>Ami00IDBe</v>
      </c>
      <c r="Z400" s="30" t="str">
        <f t="shared" si="45"/>
        <v>amit.sharma@company.com</v>
      </c>
      <c r="AA400" s="32">
        <f t="shared" ca="1" si="46"/>
        <v>47</v>
      </c>
      <c r="AB400" s="33">
        <f t="shared" si="47"/>
        <v>45964</v>
      </c>
      <c r="AC400" s="34" t="str">
        <f t="shared" si="48"/>
        <v>Delayed</v>
      </c>
    </row>
    <row r="401" spans="1:29">
      <c r="A401" s="18" t="s">
        <v>1746</v>
      </c>
      <c r="B401" s="18" t="s">
        <v>23</v>
      </c>
      <c r="C401" s="18" t="s">
        <v>72</v>
      </c>
      <c r="D401" s="18" t="s">
        <v>1747</v>
      </c>
      <c r="E401" s="18" t="s">
        <v>707</v>
      </c>
      <c r="F401" s="18" t="s">
        <v>27</v>
      </c>
      <c r="G401" s="18" t="s">
        <v>28</v>
      </c>
      <c r="H401" s="18" t="s">
        <v>1748</v>
      </c>
      <c r="I401" s="18" t="s">
        <v>44</v>
      </c>
      <c r="J401" s="18" t="s">
        <v>45</v>
      </c>
      <c r="K401" s="18" t="s">
        <v>46</v>
      </c>
      <c r="L401" s="18" t="s">
        <v>78</v>
      </c>
      <c r="M401" s="18">
        <v>16</v>
      </c>
      <c r="N401" s="18">
        <v>1200</v>
      </c>
      <c r="O401" s="18">
        <v>20</v>
      </c>
      <c r="P401" s="18">
        <v>15360</v>
      </c>
      <c r="Q401" s="18">
        <v>1</v>
      </c>
      <c r="R401" s="18" t="s">
        <v>34</v>
      </c>
      <c r="S401" s="18" t="s">
        <v>49</v>
      </c>
      <c r="T401" s="18" t="s">
        <v>50</v>
      </c>
      <c r="U401" s="19" t="s">
        <v>1749</v>
      </c>
      <c r="V401" s="18" t="s">
        <v>64</v>
      </c>
      <c r="W401" t="str">
        <f t="shared" si="42"/>
        <v>Blacklisted</v>
      </c>
      <c r="X401" s="27" t="str">
        <f t="shared" si="43"/>
        <v>Kavya Nair</v>
      </c>
      <c r="Y401" s="29" t="str">
        <f t="shared" si="44"/>
        <v>Kav00IDDe</v>
      </c>
      <c r="Z401" s="30" t="str">
        <f t="shared" si="45"/>
        <v>kavya.nair@company.com</v>
      </c>
      <c r="AA401" s="32">
        <f t="shared" ca="1" si="46"/>
        <v>25</v>
      </c>
      <c r="AB401" s="33">
        <f t="shared" si="47"/>
        <v>8</v>
      </c>
      <c r="AC401" s="34" t="str">
        <f t="shared" si="48"/>
        <v>Delayed</v>
      </c>
    </row>
    <row r="402" spans="1:29">
      <c r="A402" s="15" t="s">
        <v>1750</v>
      </c>
      <c r="B402" s="15" t="s">
        <v>71</v>
      </c>
      <c r="C402" s="15" t="s">
        <v>169</v>
      </c>
      <c r="D402" s="15" t="s">
        <v>1052</v>
      </c>
      <c r="E402" s="15" t="s">
        <v>84</v>
      </c>
      <c r="F402" s="15" t="s">
        <v>217</v>
      </c>
      <c r="G402" s="15" t="s">
        <v>76</v>
      </c>
      <c r="H402" s="15" t="s">
        <v>1751</v>
      </c>
      <c r="I402" s="15" t="s">
        <v>30</v>
      </c>
      <c r="J402" s="15" t="s">
        <v>31</v>
      </c>
      <c r="K402" s="15" t="s">
        <v>32</v>
      </c>
      <c r="L402" s="15" t="s">
        <v>174</v>
      </c>
      <c r="M402" s="15">
        <v>10</v>
      </c>
      <c r="N402" s="15">
        <v>8500</v>
      </c>
      <c r="O402" s="15">
        <v>5</v>
      </c>
      <c r="P402" s="15">
        <v>80750</v>
      </c>
      <c r="Q402" s="15">
        <v>5</v>
      </c>
      <c r="R402" s="15" t="s">
        <v>48</v>
      </c>
      <c r="S402" s="15" t="s">
        <v>35</v>
      </c>
      <c r="T402" s="15" t="s">
        <v>80</v>
      </c>
      <c r="U402" s="17" t="s">
        <v>1752</v>
      </c>
      <c r="V402" s="15" t="s">
        <v>38</v>
      </c>
      <c r="W402" t="str">
        <f t="shared" si="42"/>
        <v>Gold</v>
      </c>
      <c r="X402" s="27" t="str">
        <f t="shared" si="43"/>
        <v>Mohit Verma</v>
      </c>
      <c r="Y402" s="29" t="str">
        <f t="shared" si="44"/>
        <v>Moh00IDHy</v>
      </c>
      <c r="Z402" s="30" t="str">
        <f t="shared" si="45"/>
        <v>mohit.verma@company.com</v>
      </c>
      <c r="AA402" s="32">
        <f t="shared" ca="1" si="46"/>
        <v>43</v>
      </c>
      <c r="AB402" s="33">
        <f t="shared" si="47"/>
        <v>8</v>
      </c>
      <c r="AC402" s="34" t="str">
        <f t="shared" si="48"/>
        <v>Delayed</v>
      </c>
    </row>
    <row r="403" spans="1:29">
      <c r="A403" s="18" t="s">
        <v>1753</v>
      </c>
      <c r="B403" s="18" t="s">
        <v>23</v>
      </c>
      <c r="C403" s="18" t="s">
        <v>222</v>
      </c>
      <c r="D403" s="18" t="s">
        <v>1373</v>
      </c>
      <c r="E403" s="18" t="s">
        <v>386</v>
      </c>
      <c r="F403" s="18" t="s">
        <v>27</v>
      </c>
      <c r="G403" s="18" t="s">
        <v>28</v>
      </c>
      <c r="H403" s="18" t="s">
        <v>1754</v>
      </c>
      <c r="I403" s="18" t="s">
        <v>138</v>
      </c>
      <c r="J403" s="18" t="s">
        <v>106</v>
      </c>
      <c r="K403" s="18" t="s">
        <v>122</v>
      </c>
      <c r="L403" s="18" t="s">
        <v>227</v>
      </c>
      <c r="M403" s="18">
        <v>18</v>
      </c>
      <c r="N403" s="18">
        <v>20</v>
      </c>
      <c r="O403" s="18">
        <v>20</v>
      </c>
      <c r="P403" s="18">
        <v>288</v>
      </c>
      <c r="Q403" s="18">
        <v>1</v>
      </c>
      <c r="R403" s="18" t="s">
        <v>88</v>
      </c>
      <c r="S403" s="18" t="s">
        <v>35</v>
      </c>
      <c r="T403" s="18" t="s">
        <v>50</v>
      </c>
      <c r="U403" s="19" t="s">
        <v>1755</v>
      </c>
      <c r="V403" s="18" t="s">
        <v>64</v>
      </c>
      <c r="W403" t="str">
        <f t="shared" si="42"/>
        <v>Blacklisted</v>
      </c>
      <c r="X403" s="27" t="str">
        <f t="shared" si="43"/>
        <v>Kavya Nair</v>
      </c>
      <c r="Y403" s="29" t="str">
        <f t="shared" si="44"/>
        <v>Kav00IDAh</v>
      </c>
      <c r="Z403" s="30" t="str">
        <f t="shared" si="45"/>
        <v>kavya.nair@company.com</v>
      </c>
      <c r="AA403" s="32">
        <f t="shared" ca="1" si="46"/>
        <v>37</v>
      </c>
      <c r="AB403" s="33">
        <f t="shared" si="47"/>
        <v>10</v>
      </c>
      <c r="AC403" s="34" t="str">
        <f t="shared" si="48"/>
        <v>Delayed</v>
      </c>
    </row>
    <row r="404" spans="1:29">
      <c r="A404" s="15" t="s">
        <v>1756</v>
      </c>
      <c r="B404" s="15" t="s">
        <v>71</v>
      </c>
      <c r="C404" s="15" t="s">
        <v>169</v>
      </c>
      <c r="D404" s="15" t="s">
        <v>241</v>
      </c>
      <c r="E404" s="15" t="s">
        <v>404</v>
      </c>
      <c r="F404" s="15" t="s">
        <v>217</v>
      </c>
      <c r="G404" s="15" t="s">
        <v>76</v>
      </c>
      <c r="H404" s="15" t="s">
        <v>1757</v>
      </c>
      <c r="I404" s="15" t="s">
        <v>105</v>
      </c>
      <c r="J404" s="15" t="s">
        <v>106</v>
      </c>
      <c r="K404" s="15" t="s">
        <v>32</v>
      </c>
      <c r="L404" s="15" t="s">
        <v>174</v>
      </c>
      <c r="M404" s="15">
        <v>9</v>
      </c>
      <c r="N404" s="15">
        <v>8500</v>
      </c>
      <c r="O404" s="15">
        <v>0</v>
      </c>
      <c r="P404" s="15">
        <v>76500</v>
      </c>
      <c r="Q404" s="15">
        <v>2</v>
      </c>
      <c r="R404" s="15" t="s">
        <v>79</v>
      </c>
      <c r="S404" s="15" t="s">
        <v>35</v>
      </c>
      <c r="T404" s="15" t="s">
        <v>80</v>
      </c>
      <c r="U404" s="17" t="s">
        <v>1758</v>
      </c>
      <c r="V404" s="15" t="s">
        <v>64</v>
      </c>
      <c r="W404" t="str">
        <f t="shared" si="42"/>
        <v>Blacklisted</v>
      </c>
      <c r="X404" s="27" t="str">
        <f t="shared" si="43"/>
        <v>Mohit Verma</v>
      </c>
      <c r="Y404" s="29" t="str">
        <f t="shared" si="44"/>
        <v>Moh00IDMu</v>
      </c>
      <c r="Z404" s="30" t="str">
        <f t="shared" si="45"/>
        <v>mohit.verma@company.com</v>
      </c>
      <c r="AA404" s="32">
        <f t="shared" ca="1" si="46"/>
        <v>32</v>
      </c>
      <c r="AB404" s="33">
        <f t="shared" si="47"/>
        <v>6</v>
      </c>
      <c r="AC404" s="34" t="str">
        <f t="shared" si="48"/>
        <v>Delayed</v>
      </c>
    </row>
    <row r="405" spans="1:29">
      <c r="A405" s="18" t="s">
        <v>1759</v>
      </c>
      <c r="B405" s="18" t="s">
        <v>23</v>
      </c>
      <c r="C405" s="18" t="s">
        <v>169</v>
      </c>
      <c r="D405" s="18" t="s">
        <v>1221</v>
      </c>
      <c r="E405" s="18" t="s">
        <v>1760</v>
      </c>
      <c r="F405" s="18" t="s">
        <v>27</v>
      </c>
      <c r="G405" s="18" t="s">
        <v>28</v>
      </c>
      <c r="H405" s="18" t="s">
        <v>1761</v>
      </c>
      <c r="I405" s="18" t="s">
        <v>105</v>
      </c>
      <c r="J405" s="18" t="s">
        <v>106</v>
      </c>
      <c r="K405" s="18" t="s">
        <v>32</v>
      </c>
      <c r="L405" s="18" t="s">
        <v>174</v>
      </c>
      <c r="M405" s="18">
        <v>8</v>
      </c>
      <c r="N405" s="18">
        <v>8500</v>
      </c>
      <c r="O405" s="18">
        <v>10</v>
      </c>
      <c r="P405" s="18">
        <v>61200</v>
      </c>
      <c r="Q405" s="18">
        <v>4</v>
      </c>
      <c r="R405" s="18" t="s">
        <v>34</v>
      </c>
      <c r="S405" s="18" t="s">
        <v>115</v>
      </c>
      <c r="T405" s="18" t="s">
        <v>50</v>
      </c>
      <c r="U405" s="19" t="s">
        <v>1762</v>
      </c>
      <c r="V405" s="18" t="s">
        <v>69</v>
      </c>
      <c r="W405" t="str">
        <f t="shared" si="42"/>
        <v>Blacklisted</v>
      </c>
      <c r="X405" s="27" t="str">
        <f t="shared" si="43"/>
        <v>Kavya Nair</v>
      </c>
      <c r="Y405" s="29" t="str">
        <f t="shared" si="44"/>
        <v>Kav00IDMu</v>
      </c>
      <c r="Z405" s="30" t="str">
        <f t="shared" si="45"/>
        <v>kavya.nair@company.com</v>
      </c>
      <c r="AA405" s="32">
        <f t="shared" ca="1" si="46"/>
        <v>26</v>
      </c>
      <c r="AB405" s="33">
        <f t="shared" si="47"/>
        <v>11</v>
      </c>
      <c r="AC405" s="34" t="str">
        <f t="shared" si="48"/>
        <v>Delayed</v>
      </c>
    </row>
    <row r="406" spans="1:29">
      <c r="A406" s="15" t="s">
        <v>1763</v>
      </c>
      <c r="B406" s="15" t="s">
        <v>53</v>
      </c>
      <c r="C406" s="15" t="s">
        <v>222</v>
      </c>
      <c r="D406" s="15" t="s">
        <v>483</v>
      </c>
      <c r="E406" s="15" t="s">
        <v>1764</v>
      </c>
      <c r="F406" s="15" t="s">
        <v>163</v>
      </c>
      <c r="G406" s="15" t="s">
        <v>28</v>
      </c>
      <c r="H406" s="15" t="s">
        <v>1765</v>
      </c>
      <c r="I406" s="15" t="s">
        <v>114</v>
      </c>
      <c r="J406" s="15" t="s">
        <v>106</v>
      </c>
      <c r="K406" s="15" t="s">
        <v>122</v>
      </c>
      <c r="L406" s="15" t="s">
        <v>227</v>
      </c>
      <c r="M406" s="15">
        <v>3</v>
      </c>
      <c r="N406" s="15">
        <v>20</v>
      </c>
      <c r="O406" s="15">
        <v>10</v>
      </c>
      <c r="P406" s="15">
        <v>54</v>
      </c>
      <c r="Q406" s="15">
        <v>3</v>
      </c>
      <c r="R406" s="15" t="s">
        <v>79</v>
      </c>
      <c r="S406" s="15" t="s">
        <v>151</v>
      </c>
      <c r="T406" s="15" t="s">
        <v>62</v>
      </c>
      <c r="U406" s="17" t="s">
        <v>1766</v>
      </c>
      <c r="V406" s="15" t="s">
        <v>64</v>
      </c>
      <c r="W406" t="str">
        <f t="shared" si="42"/>
        <v>Blacklisted</v>
      </c>
      <c r="X406" s="27" t="str">
        <f t="shared" si="43"/>
        <v>Pooja Shah</v>
      </c>
      <c r="Y406" s="29" t="str">
        <f t="shared" si="44"/>
        <v>Poo01IDPu</v>
      </c>
      <c r="Z406" s="30" t="str">
        <f t="shared" si="45"/>
        <v>pooja.shah@company.com</v>
      </c>
      <c r="AA406" s="32">
        <f t="shared" ca="1" si="46"/>
        <v>42</v>
      </c>
      <c r="AB406" s="33">
        <f t="shared" si="47"/>
        <v>6</v>
      </c>
      <c r="AC406" s="34" t="str">
        <f t="shared" si="48"/>
        <v>Delayed</v>
      </c>
    </row>
    <row r="407" spans="1:29">
      <c r="A407" s="18" t="s">
        <v>1767</v>
      </c>
      <c r="B407" s="18" t="s">
        <v>168</v>
      </c>
      <c r="C407" s="18" t="s">
        <v>169</v>
      </c>
      <c r="D407" s="18" t="s">
        <v>232</v>
      </c>
      <c r="E407" s="18" t="s">
        <v>641</v>
      </c>
      <c r="F407" s="18" t="s">
        <v>361</v>
      </c>
      <c r="G407" s="18" t="s">
        <v>28</v>
      </c>
      <c r="H407" s="18" t="s">
        <v>1768</v>
      </c>
      <c r="I407" s="18" t="s">
        <v>294</v>
      </c>
      <c r="J407" s="18" t="s">
        <v>295</v>
      </c>
      <c r="K407" s="18" t="s">
        <v>32</v>
      </c>
      <c r="L407" s="18" t="s">
        <v>174</v>
      </c>
      <c r="M407" s="18">
        <v>18</v>
      </c>
      <c r="N407" s="18">
        <v>8500</v>
      </c>
      <c r="O407" s="18">
        <v>10</v>
      </c>
      <c r="P407" s="18">
        <v>137700</v>
      </c>
      <c r="Q407" s="18">
        <v>4</v>
      </c>
      <c r="R407" s="18" t="s">
        <v>34</v>
      </c>
      <c r="S407" s="18" t="s">
        <v>49</v>
      </c>
      <c r="T407" s="18" t="s">
        <v>175</v>
      </c>
      <c r="U407" s="19" t="s">
        <v>1769</v>
      </c>
      <c r="V407" s="18" t="s">
        <v>69</v>
      </c>
      <c r="W407" t="str">
        <f t="shared" si="42"/>
        <v>Blacklisted</v>
      </c>
      <c r="X407" s="27" t="str">
        <f t="shared" si="43"/>
        <v>Anita Gupta</v>
      </c>
      <c r="Y407" s="29" t="str">
        <f t="shared" si="44"/>
        <v>Ani00IDKo</v>
      </c>
      <c r="Z407" s="30" t="str">
        <f t="shared" si="45"/>
        <v>anita.gupta@company.com</v>
      </c>
      <c r="AA407" s="32">
        <f t="shared" ca="1" si="46"/>
        <v>35</v>
      </c>
      <c r="AB407" s="33">
        <f t="shared" si="47"/>
        <v>10</v>
      </c>
      <c r="AC407" s="34" t="str">
        <f t="shared" si="48"/>
        <v>Delayed</v>
      </c>
    </row>
    <row r="408" spans="1:29">
      <c r="A408" s="15" t="s">
        <v>1770</v>
      </c>
      <c r="B408" s="15" t="s">
        <v>53</v>
      </c>
      <c r="C408" s="15" t="s">
        <v>259</v>
      </c>
      <c r="D408" s="15" t="s">
        <v>308</v>
      </c>
      <c r="E408" s="15" t="s">
        <v>281</v>
      </c>
      <c r="F408" s="15" t="s">
        <v>163</v>
      </c>
      <c r="G408" s="15" t="s">
        <v>28</v>
      </c>
      <c r="H408" s="15" t="s">
        <v>1771</v>
      </c>
      <c r="I408" s="15" t="s">
        <v>114</v>
      </c>
      <c r="J408" s="15" t="s">
        <v>106</v>
      </c>
      <c r="K408" s="15" t="s">
        <v>122</v>
      </c>
      <c r="L408" s="15" t="s">
        <v>263</v>
      </c>
      <c r="M408" s="15">
        <v>5</v>
      </c>
      <c r="N408" s="15">
        <v>45</v>
      </c>
      <c r="O408" s="15">
        <v>10</v>
      </c>
      <c r="P408" s="15">
        <v>202.5</v>
      </c>
      <c r="Q408" s="15">
        <v>3</v>
      </c>
      <c r="R408" s="15" t="s">
        <v>34</v>
      </c>
      <c r="S408" s="15" t="s">
        <v>115</v>
      </c>
      <c r="T408" s="15" t="s">
        <v>62</v>
      </c>
      <c r="U408" s="17" t="s">
        <v>1772</v>
      </c>
      <c r="V408" s="15" t="s">
        <v>64</v>
      </c>
      <c r="W408" t="str">
        <f t="shared" si="42"/>
        <v>Blacklisted</v>
      </c>
      <c r="X408" s="27" t="str">
        <f t="shared" si="43"/>
        <v>Pooja Shah</v>
      </c>
      <c r="Y408" s="29" t="str">
        <f t="shared" si="44"/>
        <v>Poo01IDPu</v>
      </c>
      <c r="Z408" s="30" t="str">
        <f t="shared" si="45"/>
        <v>pooja.shah@company.com</v>
      </c>
      <c r="AA408" s="32">
        <f t="shared" ca="1" si="46"/>
        <v>30</v>
      </c>
      <c r="AB408" s="33">
        <f t="shared" si="47"/>
        <v>4</v>
      </c>
      <c r="AC408" s="34" t="str">
        <f t="shared" si="48"/>
        <v>On Time</v>
      </c>
    </row>
    <row r="409" spans="1:29">
      <c r="A409" s="18" t="s">
        <v>1773</v>
      </c>
      <c r="B409" s="18" t="s">
        <v>71</v>
      </c>
      <c r="C409" s="18" t="s">
        <v>259</v>
      </c>
      <c r="D409" s="18" t="s">
        <v>683</v>
      </c>
      <c r="E409" s="18" t="s">
        <v>684</v>
      </c>
      <c r="F409" s="18" t="s">
        <v>217</v>
      </c>
      <c r="G409" s="18" t="s">
        <v>76</v>
      </c>
      <c r="H409" s="18" t="s">
        <v>1774</v>
      </c>
      <c r="I409" s="18" t="s">
        <v>105</v>
      </c>
      <c r="J409" s="18" t="s">
        <v>106</v>
      </c>
      <c r="K409" s="18" t="s">
        <v>122</v>
      </c>
      <c r="L409" s="18" t="s">
        <v>263</v>
      </c>
      <c r="M409" s="18">
        <v>2</v>
      </c>
      <c r="N409" s="18">
        <v>45</v>
      </c>
      <c r="O409" s="18">
        <v>20</v>
      </c>
      <c r="P409" s="18">
        <v>72</v>
      </c>
      <c r="Q409" s="18">
        <v>5</v>
      </c>
      <c r="R409" s="18" t="s">
        <v>88</v>
      </c>
      <c r="S409" s="18" t="s">
        <v>61</v>
      </c>
      <c r="T409" s="18" t="s">
        <v>80</v>
      </c>
      <c r="U409" s="19" t="s">
        <v>1775</v>
      </c>
      <c r="V409" s="18" t="s">
        <v>69</v>
      </c>
      <c r="W409" t="str">
        <f t="shared" si="42"/>
        <v>Blacklisted</v>
      </c>
      <c r="X409" s="27" t="str">
        <f t="shared" si="43"/>
        <v>Mohit Verma</v>
      </c>
      <c r="Y409" s="29" t="str">
        <f t="shared" si="44"/>
        <v>Moh00IDMu</v>
      </c>
      <c r="Z409" s="30" t="str">
        <f t="shared" si="45"/>
        <v>mohit.verma@company.com</v>
      </c>
      <c r="AA409" s="32">
        <f t="shared" ca="1" si="46"/>
        <v>34</v>
      </c>
      <c r="AB409" s="33">
        <f t="shared" si="47"/>
        <v>3</v>
      </c>
      <c r="AC409" s="34" t="str">
        <f t="shared" si="48"/>
        <v>On Time</v>
      </c>
    </row>
    <row r="410" spans="1:29">
      <c r="A410" s="15" t="s">
        <v>1776</v>
      </c>
      <c r="B410" s="15" t="s">
        <v>100</v>
      </c>
      <c r="C410" s="15" t="s">
        <v>259</v>
      </c>
      <c r="D410" s="15" t="s">
        <v>1379</v>
      </c>
      <c r="E410" s="15" t="s">
        <v>900</v>
      </c>
      <c r="F410" s="15" t="s">
        <v>103</v>
      </c>
      <c r="G410" s="15" t="s">
        <v>28</v>
      </c>
      <c r="H410" s="15" t="s">
        <v>1777</v>
      </c>
      <c r="I410" s="15" t="s">
        <v>30</v>
      </c>
      <c r="J410" s="15" t="s">
        <v>31</v>
      </c>
      <c r="K410" s="15" t="s">
        <v>122</v>
      </c>
      <c r="L410" s="15" t="s">
        <v>263</v>
      </c>
      <c r="M410" s="15">
        <v>18</v>
      </c>
      <c r="N410" s="15">
        <v>45</v>
      </c>
      <c r="O410" s="15">
        <v>10</v>
      </c>
      <c r="P410" s="15">
        <v>729</v>
      </c>
      <c r="Q410" s="15">
        <v>2</v>
      </c>
      <c r="R410" s="15" t="s">
        <v>48</v>
      </c>
      <c r="S410" s="15" t="s">
        <v>115</v>
      </c>
      <c r="T410" s="15" t="s">
        <v>144</v>
      </c>
      <c r="U410" s="17" t="s">
        <v>1778</v>
      </c>
      <c r="V410" s="15" t="s">
        <v>64</v>
      </c>
      <c r="W410" t="str">
        <f t="shared" si="42"/>
        <v>Blacklisted</v>
      </c>
      <c r="X410" s="27" t="str">
        <f t="shared" si="43"/>
        <v>Priya Patel</v>
      </c>
      <c r="Y410" s="29" t="str">
        <f t="shared" si="44"/>
        <v>Pri00IDHy</v>
      </c>
      <c r="Z410" s="30" t="str">
        <f t="shared" si="45"/>
        <v>priya.patel@company.com</v>
      </c>
      <c r="AA410" s="32">
        <f t="shared" ca="1" si="46"/>
        <v>38</v>
      </c>
      <c r="AB410" s="33">
        <f t="shared" si="47"/>
        <v>10</v>
      </c>
      <c r="AC410" s="34" t="str">
        <f t="shared" si="48"/>
        <v>Delayed</v>
      </c>
    </row>
    <row r="411" spans="1:29">
      <c r="A411" s="18" t="s">
        <v>1779</v>
      </c>
      <c r="B411" s="18" t="s">
        <v>127</v>
      </c>
      <c r="C411" s="18" t="s">
        <v>72</v>
      </c>
      <c r="D411" s="18" t="s">
        <v>463</v>
      </c>
      <c r="E411" s="18" t="s">
        <v>216</v>
      </c>
      <c r="F411" s="18" t="s">
        <v>200</v>
      </c>
      <c r="G411" s="18" t="s">
        <v>76</v>
      </c>
      <c r="H411" s="18" t="s">
        <v>1780</v>
      </c>
      <c r="I411" s="18" t="s">
        <v>294</v>
      </c>
      <c r="J411" s="18" t="s">
        <v>295</v>
      </c>
      <c r="K411" s="18" t="s">
        <v>46</v>
      </c>
      <c r="L411" s="18" t="s">
        <v>78</v>
      </c>
      <c r="M411" s="18">
        <v>13</v>
      </c>
      <c r="N411" s="18">
        <v>1200</v>
      </c>
      <c r="O411" s="18">
        <v>5</v>
      </c>
      <c r="P411" s="18">
        <v>14820</v>
      </c>
      <c r="Q411" s="18">
        <v>4</v>
      </c>
      <c r="R411" s="18" t="s">
        <v>79</v>
      </c>
      <c r="S411" s="18" t="s">
        <v>115</v>
      </c>
      <c r="T411" s="18" t="s">
        <v>132</v>
      </c>
      <c r="U411" s="19" t="s">
        <v>1781</v>
      </c>
      <c r="V411" s="18" t="s">
        <v>38</v>
      </c>
      <c r="W411" t="str">
        <f t="shared" si="42"/>
        <v>Silver</v>
      </c>
      <c r="X411" s="27" t="str">
        <f t="shared" si="43"/>
        <v>Rohit Singh</v>
      </c>
      <c r="Y411" s="29" t="str">
        <f t="shared" si="44"/>
        <v>Roh00IDKo</v>
      </c>
      <c r="Z411" s="30" t="str">
        <f t="shared" si="45"/>
        <v>rohit.singh@company.com</v>
      </c>
      <c r="AA411" s="32">
        <f t="shared" ca="1" si="46"/>
        <v>33</v>
      </c>
      <c r="AB411" s="33">
        <f t="shared" si="47"/>
        <v>8</v>
      </c>
      <c r="AC411" s="34" t="str">
        <f t="shared" si="48"/>
        <v>Delayed</v>
      </c>
    </row>
    <row r="412" spans="1:29">
      <c r="A412" s="15" t="s">
        <v>1782</v>
      </c>
      <c r="B412" s="15" t="s">
        <v>23</v>
      </c>
      <c r="C412" s="15" t="s">
        <v>222</v>
      </c>
      <c r="D412" s="15" t="s">
        <v>1344</v>
      </c>
      <c r="E412" s="15" t="s">
        <v>1783</v>
      </c>
      <c r="F412" s="15" t="s">
        <v>27</v>
      </c>
      <c r="G412" s="15" t="s">
        <v>28</v>
      </c>
      <c r="H412" s="15" t="s">
        <v>1784</v>
      </c>
      <c r="I412" s="15" t="s">
        <v>30</v>
      </c>
      <c r="J412" s="15" t="s">
        <v>31</v>
      </c>
      <c r="K412" s="15" t="s">
        <v>122</v>
      </c>
      <c r="L412" s="15" t="s">
        <v>227</v>
      </c>
      <c r="M412" s="15">
        <v>14</v>
      </c>
      <c r="N412" s="15">
        <v>20</v>
      </c>
      <c r="O412" s="15">
        <v>20</v>
      </c>
      <c r="P412" s="15">
        <v>224</v>
      </c>
      <c r="Q412" s="15">
        <v>5</v>
      </c>
      <c r="R412" s="15" t="s">
        <v>88</v>
      </c>
      <c r="S412" s="15" t="s">
        <v>49</v>
      </c>
      <c r="T412" s="15" t="s">
        <v>50</v>
      </c>
      <c r="U412" s="17" t="s">
        <v>1785</v>
      </c>
      <c r="V412" s="15" t="s">
        <v>64</v>
      </c>
      <c r="W412" t="str">
        <f t="shared" si="42"/>
        <v>Blacklisted</v>
      </c>
      <c r="X412" s="27" t="str">
        <f t="shared" si="43"/>
        <v>Kavya Nair</v>
      </c>
      <c r="Y412" s="29" t="str">
        <f t="shared" si="44"/>
        <v>Kav00IDHy</v>
      </c>
      <c r="Z412" s="30" t="str">
        <f t="shared" si="45"/>
        <v>kavya.nair@company.com</v>
      </c>
      <c r="AA412" s="32">
        <f t="shared" ca="1" si="46"/>
        <v>22</v>
      </c>
      <c r="AB412" s="33">
        <f t="shared" si="47"/>
        <v>6</v>
      </c>
      <c r="AC412" s="34" t="str">
        <f t="shared" si="48"/>
        <v>Delayed</v>
      </c>
    </row>
    <row r="413" spans="1:29">
      <c r="A413" s="18" t="s">
        <v>1786</v>
      </c>
      <c r="B413" s="18" t="s">
        <v>100</v>
      </c>
      <c r="C413" s="18" t="s">
        <v>92</v>
      </c>
      <c r="D413" s="18" t="s">
        <v>1787</v>
      </c>
      <c r="E413" s="18" t="s">
        <v>1689</v>
      </c>
      <c r="F413" s="18" t="s">
        <v>103</v>
      </c>
      <c r="G413" s="18" t="s">
        <v>28</v>
      </c>
      <c r="H413" s="18" t="s">
        <v>1788</v>
      </c>
      <c r="I413" s="18" t="s">
        <v>30</v>
      </c>
      <c r="J413" s="18" t="s">
        <v>31</v>
      </c>
      <c r="K413" s="18" t="s">
        <v>32</v>
      </c>
      <c r="L413" s="18" t="s">
        <v>97</v>
      </c>
      <c r="M413" s="18">
        <v>16</v>
      </c>
      <c r="N413" s="18">
        <v>3500</v>
      </c>
      <c r="O413" s="18">
        <v>15</v>
      </c>
      <c r="P413" s="18">
        <v>47600</v>
      </c>
      <c r="Q413" s="18">
        <v>3</v>
      </c>
      <c r="R413" s="18" t="s">
        <v>88</v>
      </c>
      <c r="S413" s="18" t="s">
        <v>61</v>
      </c>
      <c r="T413" s="18" t="s">
        <v>144</v>
      </c>
      <c r="U413" s="19" t="s">
        <v>1789</v>
      </c>
      <c r="V413" s="18" t="s">
        <v>69</v>
      </c>
      <c r="W413" t="str">
        <f t="shared" si="42"/>
        <v>Blacklisted</v>
      </c>
      <c r="X413" s="27" t="str">
        <f t="shared" si="43"/>
        <v>Priya Patel</v>
      </c>
      <c r="Y413" s="29" t="str">
        <f t="shared" si="44"/>
        <v>Pri00IDHy</v>
      </c>
      <c r="Z413" s="30" t="str">
        <f t="shared" si="45"/>
        <v>priya.patel@company.com</v>
      </c>
      <c r="AA413" s="32">
        <f t="shared" ca="1" si="46"/>
        <v>47</v>
      </c>
      <c r="AB413" s="33">
        <f t="shared" si="47"/>
        <v>12</v>
      </c>
      <c r="AC413" s="34" t="str">
        <f t="shared" si="48"/>
        <v>Delayed</v>
      </c>
    </row>
    <row r="414" spans="1:29">
      <c r="A414" s="15" t="s">
        <v>1790</v>
      </c>
      <c r="B414" s="15" t="s">
        <v>251</v>
      </c>
      <c r="C414" s="15" t="s">
        <v>222</v>
      </c>
      <c r="D414" s="15" t="s">
        <v>987</v>
      </c>
      <c r="E414" s="15" t="s">
        <v>1110</v>
      </c>
      <c r="F414" s="15" t="s">
        <v>254</v>
      </c>
      <c r="G414" s="15" t="s">
        <v>28</v>
      </c>
      <c r="H414" s="15" t="s">
        <v>1791</v>
      </c>
      <c r="I414" s="15" t="s">
        <v>59</v>
      </c>
      <c r="J414" s="15" t="s">
        <v>31</v>
      </c>
      <c r="K414" s="15" t="s">
        <v>122</v>
      </c>
      <c r="L414" s="15" t="s">
        <v>227</v>
      </c>
      <c r="M414" s="15">
        <v>20</v>
      </c>
      <c r="N414" s="15">
        <v>20</v>
      </c>
      <c r="O414" s="15">
        <v>15</v>
      </c>
      <c r="P414" s="15">
        <v>340</v>
      </c>
      <c r="Q414" s="15">
        <v>1</v>
      </c>
      <c r="R414" s="15" t="s">
        <v>48</v>
      </c>
      <c r="S414" s="15" t="s">
        <v>61</v>
      </c>
      <c r="T414" s="15" t="s">
        <v>256</v>
      </c>
      <c r="U414" s="17" t="s">
        <v>1792</v>
      </c>
      <c r="V414" s="15" t="s">
        <v>69</v>
      </c>
      <c r="W414" t="str">
        <f t="shared" si="42"/>
        <v>Blacklisted</v>
      </c>
      <c r="X414" s="27" t="str">
        <f t="shared" si="43"/>
        <v>Sneha Joshi</v>
      </c>
      <c r="Y414" s="29" t="str">
        <f t="shared" si="44"/>
        <v>Sne00IDBe</v>
      </c>
      <c r="Z414" s="30" t="str">
        <f t="shared" si="45"/>
        <v>sneha.joshi@company.com</v>
      </c>
      <c r="AA414" s="32">
        <f t="shared" ca="1" si="46"/>
        <v>32</v>
      </c>
      <c r="AB414" s="33">
        <f t="shared" si="47"/>
        <v>8</v>
      </c>
      <c r="AC414" s="34" t="str">
        <f t="shared" si="48"/>
        <v>Delayed</v>
      </c>
    </row>
    <row r="415" spans="1:29">
      <c r="A415" s="18" t="s">
        <v>1793</v>
      </c>
      <c r="B415" s="18" t="s">
        <v>168</v>
      </c>
      <c r="C415" s="18" t="s">
        <v>54</v>
      </c>
      <c r="D415" s="18" t="s">
        <v>652</v>
      </c>
      <c r="E415" s="18" t="s">
        <v>666</v>
      </c>
      <c r="F415" s="18" t="s">
        <v>361</v>
      </c>
      <c r="G415" s="18" t="s">
        <v>28</v>
      </c>
      <c r="H415" s="18" t="s">
        <v>1794</v>
      </c>
      <c r="I415" s="18" t="s">
        <v>138</v>
      </c>
      <c r="J415" s="18" t="s">
        <v>106</v>
      </c>
      <c r="K415" s="18" t="s">
        <v>46</v>
      </c>
      <c r="L415" s="18" t="s">
        <v>60</v>
      </c>
      <c r="M415" s="18">
        <v>1</v>
      </c>
      <c r="N415" s="18">
        <v>55000</v>
      </c>
      <c r="O415" s="18">
        <v>15</v>
      </c>
      <c r="P415" s="18">
        <v>46750</v>
      </c>
      <c r="Q415" s="18">
        <v>2</v>
      </c>
      <c r="R415" s="18" t="s">
        <v>88</v>
      </c>
      <c r="S415" s="18" t="s">
        <v>115</v>
      </c>
      <c r="T415" s="18" t="s">
        <v>175</v>
      </c>
      <c r="U415" s="19" t="s">
        <v>1795</v>
      </c>
      <c r="V415" s="18" t="s">
        <v>69</v>
      </c>
      <c r="W415" t="str">
        <f t="shared" si="42"/>
        <v>Blacklisted</v>
      </c>
      <c r="X415" s="27" t="str">
        <f t="shared" si="43"/>
        <v>Anita Gupta</v>
      </c>
      <c r="Y415" s="29" t="str">
        <f t="shared" si="44"/>
        <v>Ani00IDAh</v>
      </c>
      <c r="Z415" s="30" t="str">
        <f t="shared" si="45"/>
        <v>anita.gupta@company.com</v>
      </c>
      <c r="AA415" s="32">
        <f t="shared" ca="1" si="46"/>
        <v>46</v>
      </c>
      <c r="AB415" s="33">
        <f t="shared" si="47"/>
        <v>5</v>
      </c>
      <c r="AC415" s="34" t="str">
        <f t="shared" si="48"/>
        <v>On Time</v>
      </c>
    </row>
    <row r="416" spans="1:29">
      <c r="A416" s="15" t="s">
        <v>1796</v>
      </c>
      <c r="B416" s="15" t="s">
        <v>100</v>
      </c>
      <c r="C416" s="15" t="s">
        <v>118</v>
      </c>
      <c r="D416" s="15" t="s">
        <v>142</v>
      </c>
      <c r="E416" s="15" t="s">
        <v>620</v>
      </c>
      <c r="F416" s="15" t="s">
        <v>103</v>
      </c>
      <c r="G416" s="15" t="s">
        <v>28</v>
      </c>
      <c r="H416" s="15" t="s">
        <v>1797</v>
      </c>
      <c r="I416" s="15" t="s">
        <v>138</v>
      </c>
      <c r="J416" s="15" t="s">
        <v>106</v>
      </c>
      <c r="K416" s="15" t="s">
        <v>122</v>
      </c>
      <c r="L416" s="15" t="s">
        <v>123</v>
      </c>
      <c r="M416" s="15">
        <v>15</v>
      </c>
      <c r="N416" s="15">
        <v>60</v>
      </c>
      <c r="O416" s="15">
        <v>5</v>
      </c>
      <c r="P416" s="15">
        <v>855</v>
      </c>
      <c r="Q416" s="15">
        <v>4</v>
      </c>
      <c r="R416" s="15" t="s">
        <v>48</v>
      </c>
      <c r="S416" s="15" t="s">
        <v>61</v>
      </c>
      <c r="T416" s="15" t="s">
        <v>144</v>
      </c>
      <c r="U416" s="17" t="s">
        <v>1798</v>
      </c>
      <c r="V416" s="15" t="s">
        <v>38</v>
      </c>
      <c r="W416" t="str">
        <f t="shared" si="42"/>
        <v>Silver</v>
      </c>
      <c r="X416" s="27" t="str">
        <f t="shared" si="43"/>
        <v>Priya Patel</v>
      </c>
      <c r="Y416" s="29" t="str">
        <f t="shared" si="44"/>
        <v>Pri00IDAh</v>
      </c>
      <c r="Z416" s="30" t="str">
        <f t="shared" si="45"/>
        <v>priya.patel@company.com</v>
      </c>
      <c r="AA416" s="32">
        <f t="shared" ca="1" si="46"/>
        <v>24</v>
      </c>
      <c r="AB416" s="33">
        <f t="shared" si="47"/>
        <v>5</v>
      </c>
      <c r="AC416" s="34" t="str">
        <f t="shared" si="48"/>
        <v>On Time</v>
      </c>
    </row>
    <row r="417" spans="1:29">
      <c r="A417" s="18" t="s">
        <v>1799</v>
      </c>
      <c r="B417" s="18" t="s">
        <v>83</v>
      </c>
      <c r="C417" s="18" t="s">
        <v>184</v>
      </c>
      <c r="D417" s="18" t="s">
        <v>1800</v>
      </c>
      <c r="E417" s="18" t="s">
        <v>66</v>
      </c>
      <c r="F417" s="18" t="s">
        <v>180</v>
      </c>
      <c r="G417" s="18" t="s">
        <v>76</v>
      </c>
      <c r="H417" s="18" t="s">
        <v>1801</v>
      </c>
      <c r="I417" s="18" t="s">
        <v>105</v>
      </c>
      <c r="J417" s="18" t="s">
        <v>106</v>
      </c>
      <c r="K417" s="18" t="s">
        <v>46</v>
      </c>
      <c r="L417" s="18" t="s">
        <v>189</v>
      </c>
      <c r="M417" s="18">
        <v>15</v>
      </c>
      <c r="N417" s="18">
        <v>700</v>
      </c>
      <c r="O417" s="18">
        <v>0</v>
      </c>
      <c r="P417" s="18">
        <v>10500</v>
      </c>
      <c r="Q417" s="18">
        <v>5</v>
      </c>
      <c r="R417" s="18" t="s">
        <v>48</v>
      </c>
      <c r="S417" s="18" t="s">
        <v>115</v>
      </c>
      <c r="T417" s="18" t="s">
        <v>89</v>
      </c>
      <c r="U417" s="19" t="s">
        <v>1802</v>
      </c>
      <c r="V417" s="18" t="s">
        <v>38</v>
      </c>
      <c r="W417" t="str">
        <f t="shared" si="42"/>
        <v>Silver</v>
      </c>
      <c r="X417" s="27" t="str">
        <f t="shared" si="43"/>
        <v>Arjun Rao</v>
      </c>
      <c r="Y417" s="29" t="str">
        <f t="shared" si="44"/>
        <v>Arj00IDMu</v>
      </c>
      <c r="Z417" s="30" t="str">
        <f t="shared" si="45"/>
        <v>arjun.rao@company.com</v>
      </c>
      <c r="AA417" s="32">
        <f t="shared" ca="1" si="46"/>
        <v>50</v>
      </c>
      <c r="AB417" s="33">
        <f t="shared" si="47"/>
        <v>6</v>
      </c>
      <c r="AC417" s="34" t="str">
        <f t="shared" si="48"/>
        <v>Delayed</v>
      </c>
    </row>
    <row r="418" spans="1:29">
      <c r="A418" s="15" t="s">
        <v>1803</v>
      </c>
      <c r="B418" s="15" t="s">
        <v>221</v>
      </c>
      <c r="C418" s="15" t="s">
        <v>40</v>
      </c>
      <c r="D418" s="15" t="s">
        <v>1199</v>
      </c>
      <c r="E418" s="15" t="s">
        <v>440</v>
      </c>
      <c r="F418" s="15" t="s">
        <v>225</v>
      </c>
      <c r="G418" s="15" t="s">
        <v>76</v>
      </c>
      <c r="H418" s="15" t="s">
        <v>1804</v>
      </c>
      <c r="I418" s="15" t="s">
        <v>294</v>
      </c>
      <c r="J418" s="15" t="s">
        <v>295</v>
      </c>
      <c r="K418" s="15" t="s">
        <v>46</v>
      </c>
      <c r="L418" s="15" t="s">
        <v>47</v>
      </c>
      <c r="M418" s="15">
        <v>13</v>
      </c>
      <c r="N418" s="15">
        <v>12000</v>
      </c>
      <c r="O418" s="15">
        <v>10</v>
      </c>
      <c r="P418" s="15">
        <v>140400</v>
      </c>
      <c r="Q418" s="15">
        <v>1</v>
      </c>
      <c r="R418" s="15" t="s">
        <v>34</v>
      </c>
      <c r="S418" s="15" t="s">
        <v>151</v>
      </c>
      <c r="T418" s="15" t="s">
        <v>228</v>
      </c>
      <c r="U418" s="17" t="s">
        <v>1805</v>
      </c>
      <c r="V418" s="15" t="s">
        <v>69</v>
      </c>
      <c r="W418" t="str">
        <f t="shared" si="42"/>
        <v>Blacklisted</v>
      </c>
      <c r="X418" s="27" t="str">
        <f t="shared" si="43"/>
        <v>Vikas Mehta</v>
      </c>
      <c r="Y418" s="29" t="str">
        <f t="shared" si="44"/>
        <v>Vik00IDKo</v>
      </c>
      <c r="Z418" s="30" t="str">
        <f t="shared" si="45"/>
        <v>vikas.mehta@company.com</v>
      </c>
      <c r="AA418" s="32">
        <f t="shared" ca="1" si="46"/>
        <v>46</v>
      </c>
      <c r="AB418" s="33">
        <f t="shared" si="47"/>
        <v>4</v>
      </c>
      <c r="AC418" s="34" t="str">
        <f t="shared" si="48"/>
        <v>On Time</v>
      </c>
    </row>
    <row r="419" spans="1:29">
      <c r="A419" s="18" t="s">
        <v>1806</v>
      </c>
      <c r="B419" s="18" t="s">
        <v>83</v>
      </c>
      <c r="C419" s="18" t="s">
        <v>40</v>
      </c>
      <c r="D419" s="18" t="s">
        <v>1807</v>
      </c>
      <c r="E419" s="18" t="s">
        <v>1081</v>
      </c>
      <c r="F419" s="18" t="s">
        <v>180</v>
      </c>
      <c r="G419" s="18" t="s">
        <v>76</v>
      </c>
      <c r="H419" s="18" t="s">
        <v>1808</v>
      </c>
      <c r="I419" s="18" t="s">
        <v>30</v>
      </c>
      <c r="J419" s="18" t="s">
        <v>31</v>
      </c>
      <c r="K419" s="18" t="s">
        <v>46</v>
      </c>
      <c r="L419" s="18" t="s">
        <v>47</v>
      </c>
      <c r="M419" s="18">
        <v>12</v>
      </c>
      <c r="N419" s="18">
        <v>12000</v>
      </c>
      <c r="O419" s="18">
        <v>20</v>
      </c>
      <c r="P419" s="18">
        <v>115200</v>
      </c>
      <c r="Q419" s="18">
        <v>2</v>
      </c>
      <c r="R419" s="18" t="s">
        <v>34</v>
      </c>
      <c r="S419" s="18" t="s">
        <v>35</v>
      </c>
      <c r="T419" s="18" t="s">
        <v>89</v>
      </c>
      <c r="U419" s="19" t="s">
        <v>1809</v>
      </c>
      <c r="V419" s="18" t="s">
        <v>38</v>
      </c>
      <c r="W419" t="str">
        <f t="shared" si="42"/>
        <v>Blacklisted</v>
      </c>
      <c r="X419" s="27" t="str">
        <f t="shared" si="43"/>
        <v>Arjun Rao</v>
      </c>
      <c r="Y419" s="29" t="str">
        <f t="shared" si="44"/>
        <v>Arj00IDHy</v>
      </c>
      <c r="Z419" s="30" t="str">
        <f t="shared" si="45"/>
        <v>arjun.rao@company.com</v>
      </c>
      <c r="AA419" s="32">
        <f t="shared" ca="1" si="46"/>
        <v>38</v>
      </c>
      <c r="AB419" s="33">
        <f t="shared" si="47"/>
        <v>12</v>
      </c>
      <c r="AC419" s="34" t="str">
        <f t="shared" si="48"/>
        <v>Delayed</v>
      </c>
    </row>
    <row r="420" spans="1:29">
      <c r="A420" s="15" t="s">
        <v>1810</v>
      </c>
      <c r="B420" s="15" t="s">
        <v>83</v>
      </c>
      <c r="C420" s="15" t="s">
        <v>259</v>
      </c>
      <c r="D420" s="15" t="s">
        <v>119</v>
      </c>
      <c r="E420" s="15" t="s">
        <v>1298</v>
      </c>
      <c r="F420" s="15" t="s">
        <v>180</v>
      </c>
      <c r="G420" s="15" t="s">
        <v>76</v>
      </c>
      <c r="H420" s="15" t="s">
        <v>1811</v>
      </c>
      <c r="I420" s="15" t="s">
        <v>105</v>
      </c>
      <c r="J420" s="15" t="s">
        <v>106</v>
      </c>
      <c r="K420" s="15" t="s">
        <v>122</v>
      </c>
      <c r="L420" s="15" t="s">
        <v>263</v>
      </c>
      <c r="M420" s="15">
        <v>10</v>
      </c>
      <c r="N420" s="15">
        <v>45</v>
      </c>
      <c r="O420" s="15">
        <v>0</v>
      </c>
      <c r="P420" s="15">
        <v>450</v>
      </c>
      <c r="Q420" s="15">
        <v>5</v>
      </c>
      <c r="R420" s="15" t="s">
        <v>79</v>
      </c>
      <c r="S420" s="15" t="s">
        <v>115</v>
      </c>
      <c r="T420" s="15" t="s">
        <v>89</v>
      </c>
      <c r="U420" s="17" t="s">
        <v>1812</v>
      </c>
      <c r="V420" s="15" t="s">
        <v>69</v>
      </c>
      <c r="W420" t="str">
        <f t="shared" si="42"/>
        <v>Blacklisted</v>
      </c>
      <c r="X420" s="27" t="str">
        <f t="shared" si="43"/>
        <v>Arjun Rao</v>
      </c>
      <c r="Y420" s="29" t="str">
        <f t="shared" si="44"/>
        <v>Arj00IDMu</v>
      </c>
      <c r="Z420" s="30" t="str">
        <f t="shared" si="45"/>
        <v>arjun.rao@company.com</v>
      </c>
      <c r="AA420" s="32">
        <f t="shared" ca="1" si="46"/>
        <v>23</v>
      </c>
      <c r="AB420" s="33">
        <f t="shared" si="47"/>
        <v>4</v>
      </c>
      <c r="AC420" s="34" t="str">
        <f t="shared" si="48"/>
        <v>On Time</v>
      </c>
    </row>
    <row r="421" spans="1:29">
      <c r="A421" s="18" t="s">
        <v>1813</v>
      </c>
      <c r="B421" s="18" t="s">
        <v>127</v>
      </c>
      <c r="C421" s="18" t="s">
        <v>72</v>
      </c>
      <c r="D421" s="18" t="s">
        <v>41</v>
      </c>
      <c r="E421" s="18" t="s">
        <v>596</v>
      </c>
      <c r="F421" s="18" t="s">
        <v>200</v>
      </c>
      <c r="G421" s="18" t="s">
        <v>76</v>
      </c>
      <c r="H421" s="18" t="s">
        <v>1814</v>
      </c>
      <c r="I421" s="18" t="s">
        <v>105</v>
      </c>
      <c r="J421" s="18" t="s">
        <v>106</v>
      </c>
      <c r="K421" s="18" t="s">
        <v>46</v>
      </c>
      <c r="L421" s="18" t="s">
        <v>78</v>
      </c>
      <c r="M421" s="18">
        <v>20</v>
      </c>
      <c r="N421" s="18">
        <v>1200</v>
      </c>
      <c r="O421" s="18">
        <v>20</v>
      </c>
      <c r="P421" s="18">
        <v>19200</v>
      </c>
      <c r="Q421" s="18">
        <v>5</v>
      </c>
      <c r="R421" s="18" t="s">
        <v>48</v>
      </c>
      <c r="S421" s="18" t="s">
        <v>61</v>
      </c>
      <c r="T421" s="18" t="s">
        <v>132</v>
      </c>
      <c r="U421" s="19" t="s">
        <v>1815</v>
      </c>
      <c r="V421" s="18" t="s">
        <v>69</v>
      </c>
      <c r="W421" t="str">
        <f t="shared" si="42"/>
        <v>Blacklisted</v>
      </c>
      <c r="X421" s="27" t="str">
        <f t="shared" si="43"/>
        <v>Rohit Singh</v>
      </c>
      <c r="Y421" s="29" t="str">
        <f t="shared" si="44"/>
        <v>Roh00IDMu</v>
      </c>
      <c r="Z421" s="30" t="str">
        <f t="shared" si="45"/>
        <v>rohit.singh@company.com</v>
      </c>
      <c r="AA421" s="32">
        <f t="shared" ca="1" si="46"/>
        <v>44</v>
      </c>
      <c r="AB421" s="33">
        <f t="shared" si="47"/>
        <v>12</v>
      </c>
      <c r="AC421" s="34" t="str">
        <f t="shared" si="48"/>
        <v>Delayed</v>
      </c>
    </row>
    <row r="422" spans="1:29">
      <c r="A422" s="15" t="s">
        <v>1816</v>
      </c>
      <c r="B422" s="15" t="s">
        <v>71</v>
      </c>
      <c r="C422" s="15" t="s">
        <v>72</v>
      </c>
      <c r="D422" s="15" t="s">
        <v>128</v>
      </c>
      <c r="E422" s="15" t="s">
        <v>1817</v>
      </c>
      <c r="F422" s="15" t="s">
        <v>217</v>
      </c>
      <c r="G422" s="15" t="s">
        <v>76</v>
      </c>
      <c r="H422" s="15" t="s">
        <v>1818</v>
      </c>
      <c r="I422" s="15" t="s">
        <v>114</v>
      </c>
      <c r="J422" s="15" t="s">
        <v>106</v>
      </c>
      <c r="K422" s="15" t="s">
        <v>46</v>
      </c>
      <c r="L422" s="15" t="s">
        <v>78</v>
      </c>
      <c r="M422" s="15">
        <v>8</v>
      </c>
      <c r="N422" s="15">
        <v>1200</v>
      </c>
      <c r="O422" s="15">
        <v>10</v>
      </c>
      <c r="P422" s="15">
        <v>8640</v>
      </c>
      <c r="Q422" s="15">
        <v>4</v>
      </c>
      <c r="R422" s="15" t="s">
        <v>48</v>
      </c>
      <c r="S422" s="15" t="s">
        <v>61</v>
      </c>
      <c r="T422" s="15" t="s">
        <v>80</v>
      </c>
      <c r="U422" s="17" t="s">
        <v>1819</v>
      </c>
      <c r="V422" s="15" t="s">
        <v>38</v>
      </c>
      <c r="W422" t="str">
        <f t="shared" si="42"/>
        <v>Silver</v>
      </c>
      <c r="X422" s="27" t="str">
        <f t="shared" si="43"/>
        <v>Mohit Verma</v>
      </c>
      <c r="Y422" s="29" t="str">
        <f t="shared" si="44"/>
        <v>Moh00IDPu</v>
      </c>
      <c r="Z422" s="30" t="str">
        <f t="shared" si="45"/>
        <v>mohit.verma@company.com</v>
      </c>
      <c r="AA422" s="32">
        <f t="shared" ca="1" si="46"/>
        <v>51</v>
      </c>
      <c r="AB422" s="33">
        <f t="shared" si="47"/>
        <v>7</v>
      </c>
      <c r="AC422" s="34" t="str">
        <f t="shared" si="48"/>
        <v>Delayed</v>
      </c>
    </row>
    <row r="423" spans="1:29">
      <c r="A423" s="18" t="s">
        <v>1820</v>
      </c>
      <c r="B423" s="18" t="s">
        <v>127</v>
      </c>
      <c r="C423" s="18" t="s">
        <v>72</v>
      </c>
      <c r="D423" s="18" t="s">
        <v>1085</v>
      </c>
      <c r="E423" s="18" t="s">
        <v>1086</v>
      </c>
      <c r="F423" s="18" t="s">
        <v>200</v>
      </c>
      <c r="G423" s="18" t="s">
        <v>76</v>
      </c>
      <c r="H423" s="18" t="s">
        <v>1821</v>
      </c>
      <c r="I423" s="18" t="s">
        <v>212</v>
      </c>
      <c r="J423" s="18" t="s">
        <v>45</v>
      </c>
      <c r="K423" s="18" t="s">
        <v>46</v>
      </c>
      <c r="L423" s="18" t="s">
        <v>78</v>
      </c>
      <c r="M423" s="18">
        <v>8</v>
      </c>
      <c r="N423" s="18">
        <v>1200</v>
      </c>
      <c r="O423" s="18">
        <v>10</v>
      </c>
      <c r="P423" s="18">
        <v>8640</v>
      </c>
      <c r="Q423" s="18">
        <v>5</v>
      </c>
      <c r="R423" s="18" t="s">
        <v>79</v>
      </c>
      <c r="S423" s="18" t="s">
        <v>49</v>
      </c>
      <c r="T423" s="18" t="s">
        <v>132</v>
      </c>
      <c r="U423" s="19" t="s">
        <v>1822</v>
      </c>
      <c r="V423" s="18" t="s">
        <v>69</v>
      </c>
      <c r="W423" t="str">
        <f t="shared" si="42"/>
        <v>Blacklisted</v>
      </c>
      <c r="X423" s="27" t="str">
        <f t="shared" si="43"/>
        <v>Rohit Singh</v>
      </c>
      <c r="Y423" s="29" t="str">
        <f t="shared" si="44"/>
        <v>Roh00IDJa</v>
      </c>
      <c r="Z423" s="30" t="str">
        <f t="shared" si="45"/>
        <v>rohit.singh@company.com</v>
      </c>
      <c r="AA423" s="32">
        <f t="shared" ca="1" si="46"/>
        <v>49</v>
      </c>
      <c r="AB423" s="33">
        <f t="shared" si="47"/>
        <v>2</v>
      </c>
      <c r="AC423" s="34" t="str">
        <f t="shared" si="48"/>
        <v>On Time</v>
      </c>
    </row>
    <row r="424" spans="1:29">
      <c r="A424" s="15" t="s">
        <v>1823</v>
      </c>
      <c r="B424" s="15" t="s">
        <v>327</v>
      </c>
      <c r="C424" s="15" t="s">
        <v>24</v>
      </c>
      <c r="D424" s="15" t="s">
        <v>1824</v>
      </c>
      <c r="E424" s="15" t="s">
        <v>1444</v>
      </c>
      <c r="F424" s="15" t="s">
        <v>394</v>
      </c>
      <c r="G424" s="15" t="s">
        <v>76</v>
      </c>
      <c r="H424" s="15" t="s">
        <v>1825</v>
      </c>
      <c r="I424" s="15" t="s">
        <v>212</v>
      </c>
      <c r="J424" s="15" t="s">
        <v>45</v>
      </c>
      <c r="K424" s="15" t="s">
        <v>32</v>
      </c>
      <c r="L424" s="15" t="s">
        <v>33</v>
      </c>
      <c r="M424" s="15">
        <v>9</v>
      </c>
      <c r="N424" s="15">
        <v>2200</v>
      </c>
      <c r="O424" s="15">
        <v>20</v>
      </c>
      <c r="P424" s="15">
        <v>15840</v>
      </c>
      <c r="Q424" s="15">
        <v>1</v>
      </c>
      <c r="R424" s="15" t="s">
        <v>48</v>
      </c>
      <c r="S424" s="15" t="s">
        <v>115</v>
      </c>
      <c r="T424" s="15" t="s">
        <v>332</v>
      </c>
      <c r="U424" s="17" t="s">
        <v>1826</v>
      </c>
      <c r="V424" s="15" t="s">
        <v>38</v>
      </c>
      <c r="W424" t="str">
        <f t="shared" si="42"/>
        <v>Blacklisted</v>
      </c>
      <c r="X424" s="27" t="str">
        <f t="shared" si="43"/>
        <v>Amit Sharma</v>
      </c>
      <c r="Y424" s="29" t="str">
        <f t="shared" si="44"/>
        <v>Ami00IDJa</v>
      </c>
      <c r="Z424" s="30" t="str">
        <f t="shared" si="45"/>
        <v>amit.sharma@company.com</v>
      </c>
      <c r="AA424" s="32">
        <f t="shared" ca="1" si="46"/>
        <v>38</v>
      </c>
      <c r="AB424" s="33">
        <f t="shared" si="47"/>
        <v>1</v>
      </c>
      <c r="AC424" s="34" t="str">
        <f t="shared" si="48"/>
        <v>On Time</v>
      </c>
    </row>
    <row r="425" spans="1:29">
      <c r="A425" s="18" t="s">
        <v>1827</v>
      </c>
      <c r="B425" s="18" t="s">
        <v>127</v>
      </c>
      <c r="C425" s="18" t="s">
        <v>222</v>
      </c>
      <c r="D425" s="18" t="s">
        <v>1268</v>
      </c>
      <c r="E425" s="18" t="s">
        <v>760</v>
      </c>
      <c r="F425" s="18" t="s">
        <v>200</v>
      </c>
      <c r="G425" s="18" t="s">
        <v>76</v>
      </c>
      <c r="H425" s="18" t="s">
        <v>1828</v>
      </c>
      <c r="I425" s="18" t="s">
        <v>294</v>
      </c>
      <c r="J425" s="18" t="s">
        <v>295</v>
      </c>
      <c r="K425" s="18" t="s">
        <v>122</v>
      </c>
      <c r="L425" s="18" t="s">
        <v>227</v>
      </c>
      <c r="M425" s="18">
        <v>8</v>
      </c>
      <c r="N425" s="18">
        <v>20</v>
      </c>
      <c r="O425" s="18">
        <v>20</v>
      </c>
      <c r="P425" s="18">
        <v>128</v>
      </c>
      <c r="Q425" s="18">
        <v>4</v>
      </c>
      <c r="R425" s="18" t="s">
        <v>34</v>
      </c>
      <c r="S425" s="18" t="s">
        <v>35</v>
      </c>
      <c r="T425" s="18" t="s">
        <v>132</v>
      </c>
      <c r="U425" s="19" t="s">
        <v>1829</v>
      </c>
      <c r="V425" s="18" t="s">
        <v>69</v>
      </c>
      <c r="W425" t="str">
        <f t="shared" si="42"/>
        <v>Blacklisted</v>
      </c>
      <c r="X425" s="27" t="str">
        <f t="shared" si="43"/>
        <v>Rohit Singh</v>
      </c>
      <c r="Y425" s="29" t="str">
        <f t="shared" si="44"/>
        <v>Roh00IDKo</v>
      </c>
      <c r="Z425" s="30" t="str">
        <f t="shared" si="45"/>
        <v>rohit.singh@company.com</v>
      </c>
      <c r="AA425" s="32">
        <f t="shared" ca="1" si="46"/>
        <v>25</v>
      </c>
      <c r="AB425" s="33">
        <f t="shared" si="47"/>
        <v>4</v>
      </c>
      <c r="AC425" s="34" t="str">
        <f t="shared" si="48"/>
        <v>On Time</v>
      </c>
    </row>
    <row r="426" spans="1:29">
      <c r="A426" s="15" t="s">
        <v>1830</v>
      </c>
      <c r="B426" s="15" t="s">
        <v>221</v>
      </c>
      <c r="C426" s="15" t="s">
        <v>54</v>
      </c>
      <c r="D426" s="15" t="s">
        <v>1176</v>
      </c>
      <c r="E426" s="15" t="s">
        <v>1831</v>
      </c>
      <c r="F426" s="15" t="s">
        <v>225</v>
      </c>
      <c r="G426" s="15" t="s">
        <v>76</v>
      </c>
      <c r="H426" s="15" t="s">
        <v>1006</v>
      </c>
      <c r="I426" s="15" t="s">
        <v>114</v>
      </c>
      <c r="J426" s="15" t="s">
        <v>106</v>
      </c>
      <c r="K426" s="15" t="s">
        <v>46</v>
      </c>
      <c r="L426" s="15" t="s">
        <v>60</v>
      </c>
      <c r="M426" s="15">
        <v>5</v>
      </c>
      <c r="N426" s="15">
        <v>55000</v>
      </c>
      <c r="O426" s="15">
        <v>0</v>
      </c>
      <c r="P426" s="15">
        <v>275000</v>
      </c>
      <c r="Q426" s="15">
        <v>1</v>
      </c>
      <c r="R426" s="15" t="s">
        <v>79</v>
      </c>
      <c r="S426" s="15" t="s">
        <v>115</v>
      </c>
      <c r="T426" s="15" t="s">
        <v>228</v>
      </c>
      <c r="U426" s="17" t="s">
        <v>1832</v>
      </c>
      <c r="V426" s="15" t="s">
        <v>38</v>
      </c>
      <c r="W426" t="str">
        <f t="shared" si="42"/>
        <v>Blacklisted</v>
      </c>
      <c r="X426" s="27" t="str">
        <f t="shared" si="43"/>
        <v>Vikas Mehta</v>
      </c>
      <c r="Y426" s="29" t="str">
        <f t="shared" si="44"/>
        <v>Vik00IDPu</v>
      </c>
      <c r="Z426" s="30" t="str">
        <f t="shared" si="45"/>
        <v>vikas.mehta@company.com</v>
      </c>
      <c r="AA426" s="32">
        <f t="shared" ca="1" si="46"/>
        <v>44</v>
      </c>
      <c r="AB426" s="33">
        <f t="shared" si="47"/>
        <v>9</v>
      </c>
      <c r="AC426" s="34" t="str">
        <f t="shared" si="48"/>
        <v>Delayed</v>
      </c>
    </row>
    <row r="427" spans="1:29">
      <c r="A427" s="18" t="s">
        <v>1833</v>
      </c>
      <c r="B427" s="18" t="s">
        <v>100</v>
      </c>
      <c r="C427" s="18" t="s">
        <v>72</v>
      </c>
      <c r="D427" s="18" t="s">
        <v>1834</v>
      </c>
      <c r="E427" s="18" t="s">
        <v>636</v>
      </c>
      <c r="F427" s="18" t="s">
        <v>103</v>
      </c>
      <c r="G427" s="18" t="s">
        <v>28</v>
      </c>
      <c r="H427" s="18" t="s">
        <v>1835</v>
      </c>
      <c r="I427" s="18" t="s">
        <v>105</v>
      </c>
      <c r="J427" s="18" t="s">
        <v>106</v>
      </c>
      <c r="K427" s="18" t="s">
        <v>46</v>
      </c>
      <c r="L427" s="18" t="s">
        <v>78</v>
      </c>
      <c r="M427" s="18">
        <v>13</v>
      </c>
      <c r="N427" s="18">
        <v>1200</v>
      </c>
      <c r="O427" s="18">
        <v>5</v>
      </c>
      <c r="P427" s="18">
        <v>14820</v>
      </c>
      <c r="Q427" s="18">
        <v>2</v>
      </c>
      <c r="R427" s="18" t="s">
        <v>79</v>
      </c>
      <c r="S427" s="18" t="s">
        <v>35</v>
      </c>
      <c r="T427" s="18" t="s">
        <v>144</v>
      </c>
      <c r="U427" s="19" t="s">
        <v>1836</v>
      </c>
      <c r="V427" s="18" t="s">
        <v>69</v>
      </c>
      <c r="W427" t="str">
        <f t="shared" si="42"/>
        <v>Blacklisted</v>
      </c>
      <c r="X427" s="27" t="str">
        <f t="shared" si="43"/>
        <v>Priya Patel</v>
      </c>
      <c r="Y427" s="29" t="str">
        <f t="shared" si="44"/>
        <v>Pri00IDMu</v>
      </c>
      <c r="Z427" s="30" t="str">
        <f t="shared" si="45"/>
        <v>priya.patel@company.com</v>
      </c>
      <c r="AA427" s="32">
        <f t="shared" ca="1" si="46"/>
        <v>40</v>
      </c>
      <c r="AB427" s="33">
        <f t="shared" si="47"/>
        <v>3</v>
      </c>
      <c r="AC427" s="34" t="str">
        <f t="shared" si="48"/>
        <v>On Time</v>
      </c>
    </row>
    <row r="428" spans="1:29">
      <c r="A428" s="15" t="s">
        <v>1837</v>
      </c>
      <c r="B428" s="15" t="s">
        <v>83</v>
      </c>
      <c r="C428" s="15" t="s">
        <v>169</v>
      </c>
      <c r="D428" s="15" t="s">
        <v>1484</v>
      </c>
      <c r="E428" s="15" t="s">
        <v>1838</v>
      </c>
      <c r="F428" s="15" t="s">
        <v>180</v>
      </c>
      <c r="G428" s="15" t="s">
        <v>76</v>
      </c>
      <c r="H428" s="15" t="s">
        <v>1839</v>
      </c>
      <c r="I428" s="15" t="s">
        <v>212</v>
      </c>
      <c r="J428" s="15" t="s">
        <v>45</v>
      </c>
      <c r="K428" s="15" t="s">
        <v>32</v>
      </c>
      <c r="L428" s="15" t="s">
        <v>174</v>
      </c>
      <c r="M428" s="15">
        <v>13</v>
      </c>
      <c r="N428" s="15">
        <v>8500</v>
      </c>
      <c r="O428" s="15">
        <v>20</v>
      </c>
      <c r="P428" s="15">
        <v>88400</v>
      </c>
      <c r="Q428" s="15">
        <v>5</v>
      </c>
      <c r="R428" s="15" t="s">
        <v>34</v>
      </c>
      <c r="S428" s="15" t="s">
        <v>49</v>
      </c>
      <c r="T428" s="15" t="s">
        <v>89</v>
      </c>
      <c r="U428" s="17" t="s">
        <v>1840</v>
      </c>
      <c r="V428" s="15" t="s">
        <v>64</v>
      </c>
      <c r="W428" t="str">
        <f t="shared" si="42"/>
        <v>Blacklisted</v>
      </c>
      <c r="X428" s="27" t="str">
        <f t="shared" si="43"/>
        <v>Arjun Rao</v>
      </c>
      <c r="Y428" s="29" t="str">
        <f t="shared" si="44"/>
        <v>Arj00IDJa</v>
      </c>
      <c r="Z428" s="30" t="str">
        <f t="shared" si="45"/>
        <v>arjun.rao@company.com</v>
      </c>
      <c r="AA428" s="32">
        <f t="shared" ca="1" si="46"/>
        <v>23</v>
      </c>
      <c r="AB428" s="33">
        <f t="shared" si="47"/>
        <v>5</v>
      </c>
      <c r="AC428" s="34" t="str">
        <f t="shared" si="48"/>
        <v>On Time</v>
      </c>
    </row>
    <row r="429" spans="1:29">
      <c r="A429" s="18" t="s">
        <v>1841</v>
      </c>
      <c r="B429" s="18" t="s">
        <v>71</v>
      </c>
      <c r="C429" s="18" t="s">
        <v>118</v>
      </c>
      <c r="D429" s="18" t="s">
        <v>765</v>
      </c>
      <c r="E429" s="18" t="s">
        <v>1842</v>
      </c>
      <c r="F429" s="18" t="s">
        <v>217</v>
      </c>
      <c r="G429" s="18" t="s">
        <v>76</v>
      </c>
      <c r="H429" s="18" t="s">
        <v>1843</v>
      </c>
      <c r="I429" s="18" t="s">
        <v>114</v>
      </c>
      <c r="J429" s="18" t="s">
        <v>106</v>
      </c>
      <c r="K429" s="18" t="s">
        <v>122</v>
      </c>
      <c r="L429" s="18" t="s">
        <v>123</v>
      </c>
      <c r="M429" s="18">
        <v>14</v>
      </c>
      <c r="N429" s="18">
        <v>60</v>
      </c>
      <c r="O429" s="18">
        <v>10</v>
      </c>
      <c r="P429" s="18">
        <v>756</v>
      </c>
      <c r="Q429" s="18">
        <v>1</v>
      </c>
      <c r="R429" s="18" t="s">
        <v>34</v>
      </c>
      <c r="S429" s="18" t="s">
        <v>61</v>
      </c>
      <c r="T429" s="18" t="s">
        <v>80</v>
      </c>
      <c r="U429" s="19" t="s">
        <v>1844</v>
      </c>
      <c r="V429" s="18" t="s">
        <v>69</v>
      </c>
      <c r="W429" t="str">
        <f t="shared" si="42"/>
        <v>Blacklisted</v>
      </c>
      <c r="X429" s="27" t="str">
        <f t="shared" si="43"/>
        <v>Mohit Verma</v>
      </c>
      <c r="Y429" s="29" t="str">
        <f t="shared" si="44"/>
        <v>Moh00IDPu</v>
      </c>
      <c r="Z429" s="30" t="str">
        <f t="shared" si="45"/>
        <v>mohit.verma@company.com</v>
      </c>
      <c r="AA429" s="32">
        <f t="shared" ca="1" si="46"/>
        <v>28</v>
      </c>
      <c r="AB429" s="33">
        <f t="shared" si="47"/>
        <v>11</v>
      </c>
      <c r="AC429" s="34" t="str">
        <f t="shared" si="48"/>
        <v>Delayed</v>
      </c>
    </row>
    <row r="430" spans="1:29">
      <c r="A430" s="15" t="s">
        <v>1845</v>
      </c>
      <c r="B430" s="15" t="s">
        <v>251</v>
      </c>
      <c r="C430" s="15" t="s">
        <v>24</v>
      </c>
      <c r="D430" s="15" t="s">
        <v>336</v>
      </c>
      <c r="E430" s="15" t="s">
        <v>606</v>
      </c>
      <c r="F430" s="15" t="s">
        <v>254</v>
      </c>
      <c r="G430" s="15" t="s">
        <v>28</v>
      </c>
      <c r="H430" s="15" t="s">
        <v>1846</v>
      </c>
      <c r="I430" s="15" t="s">
        <v>59</v>
      </c>
      <c r="J430" s="15" t="s">
        <v>31</v>
      </c>
      <c r="K430" s="15" t="s">
        <v>32</v>
      </c>
      <c r="L430" s="15" t="s">
        <v>33</v>
      </c>
      <c r="M430" s="15">
        <v>15</v>
      </c>
      <c r="N430" s="15">
        <v>2200</v>
      </c>
      <c r="O430" s="15">
        <v>0</v>
      </c>
      <c r="P430" s="15">
        <v>33000</v>
      </c>
      <c r="Q430" s="15">
        <v>1</v>
      </c>
      <c r="R430" s="15" t="s">
        <v>34</v>
      </c>
      <c r="S430" s="15" t="s">
        <v>61</v>
      </c>
      <c r="T430" s="15" t="s">
        <v>256</v>
      </c>
      <c r="U430" s="17" t="s">
        <v>1847</v>
      </c>
      <c r="V430" s="15" t="s">
        <v>38</v>
      </c>
      <c r="W430" t="str">
        <f t="shared" si="42"/>
        <v>Blacklisted</v>
      </c>
      <c r="X430" s="27" t="str">
        <f t="shared" si="43"/>
        <v>Sneha Joshi</v>
      </c>
      <c r="Y430" s="29" t="str">
        <f t="shared" si="44"/>
        <v>Sne00IDBe</v>
      </c>
      <c r="Z430" s="30" t="str">
        <f t="shared" si="45"/>
        <v>sneha.joshi@company.com</v>
      </c>
      <c r="AA430" s="32">
        <f t="shared" ca="1" si="46"/>
        <v>40</v>
      </c>
      <c r="AB430" s="33">
        <f t="shared" si="47"/>
        <v>1</v>
      </c>
      <c r="AC430" s="34" t="str">
        <f t="shared" si="48"/>
        <v>On Time</v>
      </c>
    </row>
    <row r="431" spans="1:29">
      <c r="A431" s="18" t="s">
        <v>1848</v>
      </c>
      <c r="B431" s="18" t="s">
        <v>83</v>
      </c>
      <c r="C431" s="18" t="s">
        <v>118</v>
      </c>
      <c r="D431" s="18" t="s">
        <v>1849</v>
      </c>
      <c r="E431" s="18" t="s">
        <v>1850</v>
      </c>
      <c r="F431" s="18" t="s">
        <v>180</v>
      </c>
      <c r="G431" s="18" t="s">
        <v>76</v>
      </c>
      <c r="H431" s="18" t="s">
        <v>1851</v>
      </c>
      <c r="I431" s="18" t="s">
        <v>212</v>
      </c>
      <c r="J431" s="18" t="s">
        <v>45</v>
      </c>
      <c r="K431" s="18" t="s">
        <v>122</v>
      </c>
      <c r="L431" s="18" t="s">
        <v>123</v>
      </c>
      <c r="M431" s="18">
        <v>19</v>
      </c>
      <c r="N431" s="18">
        <v>60</v>
      </c>
      <c r="O431" s="18">
        <v>20</v>
      </c>
      <c r="P431" s="18">
        <v>912</v>
      </c>
      <c r="Q431" s="18">
        <v>3</v>
      </c>
      <c r="R431" s="18" t="s">
        <v>34</v>
      </c>
      <c r="S431" s="18" t="s">
        <v>151</v>
      </c>
      <c r="T431" s="18" t="s">
        <v>89</v>
      </c>
      <c r="U431" s="19" t="s">
        <v>1852</v>
      </c>
      <c r="V431" s="18" t="s">
        <v>64</v>
      </c>
      <c r="W431" t="str">
        <f t="shared" si="42"/>
        <v>Blacklisted</v>
      </c>
      <c r="X431" s="27" t="str">
        <f t="shared" si="43"/>
        <v>Arjun Rao</v>
      </c>
      <c r="Y431" s="29" t="str">
        <f t="shared" si="44"/>
        <v>Arj00IDJa</v>
      </c>
      <c r="Z431" s="30" t="str">
        <f t="shared" si="45"/>
        <v>arjun.rao@company.com</v>
      </c>
      <c r="AA431" s="32">
        <f t="shared" ca="1" si="46"/>
        <v>31</v>
      </c>
      <c r="AB431" s="33">
        <f t="shared" si="47"/>
        <v>2</v>
      </c>
      <c r="AC431" s="34" t="str">
        <f t="shared" si="48"/>
        <v>On Time</v>
      </c>
    </row>
    <row r="432" spans="1:29">
      <c r="A432" s="15" t="s">
        <v>1853</v>
      </c>
      <c r="B432" s="15" t="s">
        <v>53</v>
      </c>
      <c r="C432" s="15" t="s">
        <v>259</v>
      </c>
      <c r="D432" s="15" t="s">
        <v>1760</v>
      </c>
      <c r="E432" s="15" t="s">
        <v>341</v>
      </c>
      <c r="F432" s="15" t="s">
        <v>163</v>
      </c>
      <c r="G432" s="15" t="s">
        <v>28</v>
      </c>
      <c r="H432" s="15" t="s">
        <v>1854</v>
      </c>
      <c r="I432" s="15" t="s">
        <v>212</v>
      </c>
      <c r="J432" s="15" t="s">
        <v>45</v>
      </c>
      <c r="K432" s="15" t="s">
        <v>122</v>
      </c>
      <c r="L432" s="15" t="s">
        <v>263</v>
      </c>
      <c r="M432" s="15">
        <v>13</v>
      </c>
      <c r="N432" s="15">
        <v>45</v>
      </c>
      <c r="O432" s="15">
        <v>15</v>
      </c>
      <c r="P432" s="15">
        <v>497.25</v>
      </c>
      <c r="Q432" s="15">
        <v>2</v>
      </c>
      <c r="R432" s="15" t="s">
        <v>34</v>
      </c>
      <c r="S432" s="15" t="s">
        <v>49</v>
      </c>
      <c r="T432" s="15" t="s">
        <v>62</v>
      </c>
      <c r="U432" s="17" t="s">
        <v>1855</v>
      </c>
      <c r="V432" s="15" t="s">
        <v>38</v>
      </c>
      <c r="W432" t="str">
        <f t="shared" si="42"/>
        <v>Blacklisted</v>
      </c>
      <c r="X432" s="27" t="str">
        <f t="shared" si="43"/>
        <v>Pooja Shah</v>
      </c>
      <c r="Y432" s="29" t="str">
        <f t="shared" si="44"/>
        <v>Poo01IDJa</v>
      </c>
      <c r="Z432" s="30" t="str">
        <f t="shared" si="45"/>
        <v>pooja.shah@company.com</v>
      </c>
      <c r="AA432" s="32">
        <f t="shared" ca="1" si="46"/>
        <v>41</v>
      </c>
      <c r="AB432" s="33">
        <f t="shared" si="47"/>
        <v>11</v>
      </c>
      <c r="AC432" s="34" t="str">
        <f t="shared" si="48"/>
        <v>Delayed</v>
      </c>
    </row>
    <row r="433" spans="1:29">
      <c r="A433" s="18" t="s">
        <v>1856</v>
      </c>
      <c r="B433" s="18" t="s">
        <v>251</v>
      </c>
      <c r="C433" s="18" t="s">
        <v>40</v>
      </c>
      <c r="D433" s="18" t="s">
        <v>998</v>
      </c>
      <c r="E433" s="18" t="s">
        <v>1128</v>
      </c>
      <c r="F433" s="18" t="s">
        <v>254</v>
      </c>
      <c r="G433" s="18" t="s">
        <v>28</v>
      </c>
      <c r="H433" s="18" t="s">
        <v>1857</v>
      </c>
      <c r="I433" s="18" t="s">
        <v>105</v>
      </c>
      <c r="J433" s="18" t="s">
        <v>106</v>
      </c>
      <c r="K433" s="18" t="s">
        <v>46</v>
      </c>
      <c r="L433" s="18" t="s">
        <v>47</v>
      </c>
      <c r="M433" s="18">
        <v>7</v>
      </c>
      <c r="N433" s="18">
        <v>12000</v>
      </c>
      <c r="O433" s="18">
        <v>5</v>
      </c>
      <c r="P433" s="18">
        <v>79800</v>
      </c>
      <c r="Q433" s="18">
        <v>4</v>
      </c>
      <c r="R433" s="18" t="s">
        <v>79</v>
      </c>
      <c r="S433" s="18" t="s">
        <v>151</v>
      </c>
      <c r="T433" s="18" t="s">
        <v>256</v>
      </c>
      <c r="U433" s="19" t="s">
        <v>1858</v>
      </c>
      <c r="V433" s="18" t="s">
        <v>69</v>
      </c>
      <c r="W433" t="str">
        <f t="shared" si="42"/>
        <v>Blacklisted</v>
      </c>
      <c r="X433" s="27" t="str">
        <f t="shared" si="43"/>
        <v>Sneha Joshi</v>
      </c>
      <c r="Y433" s="29" t="str">
        <f t="shared" si="44"/>
        <v>Sne00IDMu</v>
      </c>
      <c r="Z433" s="30" t="str">
        <f t="shared" si="45"/>
        <v>sneha.joshi@company.com</v>
      </c>
      <c r="AA433" s="32">
        <f t="shared" ca="1" si="46"/>
        <v>51</v>
      </c>
      <c r="AB433" s="33">
        <f t="shared" si="47"/>
        <v>10</v>
      </c>
      <c r="AC433" s="34" t="str">
        <f t="shared" si="48"/>
        <v>Delayed</v>
      </c>
    </row>
    <row r="434" spans="1:29">
      <c r="A434" s="15" t="s">
        <v>1859</v>
      </c>
      <c r="B434" s="15" t="s">
        <v>327</v>
      </c>
      <c r="C434" s="15" t="s">
        <v>222</v>
      </c>
      <c r="D434" s="15" t="s">
        <v>601</v>
      </c>
      <c r="E434" s="15"/>
      <c r="F434" s="15" t="s">
        <v>394</v>
      </c>
      <c r="G434" s="15" t="s">
        <v>76</v>
      </c>
      <c r="H434" s="15" t="s">
        <v>1860</v>
      </c>
      <c r="I434" s="15" t="s">
        <v>294</v>
      </c>
      <c r="J434" s="15" t="s">
        <v>295</v>
      </c>
      <c r="K434" s="15" t="s">
        <v>122</v>
      </c>
      <c r="L434" s="15" t="s">
        <v>227</v>
      </c>
      <c r="M434" s="15">
        <v>8</v>
      </c>
      <c r="N434" s="15">
        <v>20</v>
      </c>
      <c r="O434" s="15">
        <v>0</v>
      </c>
      <c r="P434" s="15">
        <v>160</v>
      </c>
      <c r="Q434" s="15">
        <v>4</v>
      </c>
      <c r="R434" s="15" t="s">
        <v>79</v>
      </c>
      <c r="S434" s="15" t="s">
        <v>61</v>
      </c>
      <c r="T434" s="15" t="s">
        <v>332</v>
      </c>
      <c r="U434" s="17" t="s">
        <v>1861</v>
      </c>
      <c r="V434" s="15" t="s">
        <v>64</v>
      </c>
      <c r="W434" t="str">
        <f t="shared" si="42"/>
        <v>Blacklisted</v>
      </c>
      <c r="X434" s="27" t="str">
        <f t="shared" si="43"/>
        <v>Amit Sharma</v>
      </c>
      <c r="Y434" s="29" t="str">
        <f t="shared" si="44"/>
        <v>Ami00IDKo</v>
      </c>
      <c r="Z434" s="30" t="str">
        <f t="shared" si="45"/>
        <v>amit.sharma@company.com</v>
      </c>
      <c r="AA434" s="32">
        <f t="shared" ca="1" si="46"/>
        <v>29</v>
      </c>
      <c r="AB434" s="33" t="str">
        <f t="shared" si="47"/>
        <v/>
      </c>
      <c r="AC434" s="34" t="str">
        <f t="shared" si="48"/>
        <v>Pending</v>
      </c>
    </row>
    <row r="435" spans="1:29">
      <c r="A435" s="18" t="s">
        <v>1862</v>
      </c>
      <c r="B435" s="18" t="s">
        <v>23</v>
      </c>
      <c r="C435" s="18" t="s">
        <v>92</v>
      </c>
      <c r="D435" s="18" t="s">
        <v>1863</v>
      </c>
      <c r="E435" s="18" t="s">
        <v>900</v>
      </c>
      <c r="F435" s="18" t="s">
        <v>27</v>
      </c>
      <c r="G435" s="18" t="s">
        <v>28</v>
      </c>
      <c r="H435" s="18" t="s">
        <v>1864</v>
      </c>
      <c r="I435" s="18" t="s">
        <v>294</v>
      </c>
      <c r="J435" s="18" t="s">
        <v>295</v>
      </c>
      <c r="K435" s="18" t="s">
        <v>32</v>
      </c>
      <c r="L435" s="18" t="s">
        <v>97</v>
      </c>
      <c r="M435" s="18">
        <v>16</v>
      </c>
      <c r="N435" s="18">
        <v>3500</v>
      </c>
      <c r="O435" s="18">
        <v>5</v>
      </c>
      <c r="P435" s="18">
        <v>53200</v>
      </c>
      <c r="Q435" s="18">
        <v>1</v>
      </c>
      <c r="R435" s="18" t="s">
        <v>79</v>
      </c>
      <c r="S435" s="18" t="s">
        <v>61</v>
      </c>
      <c r="T435" s="18" t="s">
        <v>50</v>
      </c>
      <c r="U435" s="19" t="s">
        <v>1865</v>
      </c>
      <c r="V435" s="18" t="s">
        <v>69</v>
      </c>
      <c r="W435" t="str">
        <f t="shared" si="42"/>
        <v>Blacklisted</v>
      </c>
      <c r="X435" s="27" t="str">
        <f t="shared" si="43"/>
        <v>Kavya Nair</v>
      </c>
      <c r="Y435" s="29" t="str">
        <f t="shared" si="44"/>
        <v>Kav00IDKo</v>
      </c>
      <c r="Z435" s="30" t="str">
        <f t="shared" si="45"/>
        <v>kavya.nair@company.com</v>
      </c>
      <c r="AA435" s="32">
        <f t="shared" ca="1" si="46"/>
        <v>29</v>
      </c>
      <c r="AB435" s="33">
        <f t="shared" si="47"/>
        <v>5</v>
      </c>
      <c r="AC435" s="34" t="str">
        <f t="shared" si="48"/>
        <v>On Time</v>
      </c>
    </row>
    <row r="436" spans="1:29">
      <c r="A436" s="15" t="s">
        <v>1866</v>
      </c>
      <c r="B436" s="15" t="s">
        <v>327</v>
      </c>
      <c r="C436" s="15" t="s">
        <v>169</v>
      </c>
      <c r="D436" s="15" t="s">
        <v>1867</v>
      </c>
      <c r="E436" s="15" t="s">
        <v>1157</v>
      </c>
      <c r="F436" s="15" t="s">
        <v>394</v>
      </c>
      <c r="G436" s="15" t="s">
        <v>76</v>
      </c>
      <c r="H436" s="15" t="s">
        <v>1868</v>
      </c>
      <c r="I436" s="15" t="s">
        <v>105</v>
      </c>
      <c r="J436" s="15" t="s">
        <v>106</v>
      </c>
      <c r="K436" s="15" t="s">
        <v>32</v>
      </c>
      <c r="L436" s="15" t="s">
        <v>174</v>
      </c>
      <c r="M436" s="15">
        <v>12</v>
      </c>
      <c r="N436" s="15">
        <v>8500</v>
      </c>
      <c r="O436" s="15">
        <v>10</v>
      </c>
      <c r="P436" s="15">
        <v>91800</v>
      </c>
      <c r="Q436" s="15">
        <v>3</v>
      </c>
      <c r="R436" s="15" t="s">
        <v>79</v>
      </c>
      <c r="S436" s="15" t="s">
        <v>35</v>
      </c>
      <c r="T436" s="15" t="s">
        <v>332</v>
      </c>
      <c r="U436" s="17" t="s">
        <v>1869</v>
      </c>
      <c r="V436" s="15" t="s">
        <v>38</v>
      </c>
      <c r="W436" t="str">
        <f t="shared" si="42"/>
        <v>Gold</v>
      </c>
      <c r="X436" s="27" t="str">
        <f t="shared" si="43"/>
        <v>Amit Sharma</v>
      </c>
      <c r="Y436" s="29" t="str">
        <f t="shared" si="44"/>
        <v>Ami00IDMu</v>
      </c>
      <c r="Z436" s="30" t="str">
        <f t="shared" si="45"/>
        <v>amit.sharma@company.com</v>
      </c>
      <c r="AA436" s="32">
        <f t="shared" ca="1" si="46"/>
        <v>27</v>
      </c>
      <c r="AB436" s="33">
        <f t="shared" si="47"/>
        <v>10</v>
      </c>
      <c r="AC436" s="34" t="str">
        <f t="shared" si="48"/>
        <v>Delayed</v>
      </c>
    </row>
    <row r="437" spans="1:29">
      <c r="A437" s="18" t="s">
        <v>1870</v>
      </c>
      <c r="B437" s="18" t="s">
        <v>23</v>
      </c>
      <c r="C437" s="18" t="s">
        <v>118</v>
      </c>
      <c r="D437" s="18" t="s">
        <v>539</v>
      </c>
      <c r="E437" s="18" t="s">
        <v>1114</v>
      </c>
      <c r="F437" s="18" t="s">
        <v>27</v>
      </c>
      <c r="G437" s="18" t="s">
        <v>28</v>
      </c>
      <c r="H437" s="18" t="s">
        <v>1871</v>
      </c>
      <c r="I437" s="18" t="s">
        <v>138</v>
      </c>
      <c r="J437" s="18" t="s">
        <v>106</v>
      </c>
      <c r="K437" s="18" t="s">
        <v>122</v>
      </c>
      <c r="L437" s="18" t="s">
        <v>123</v>
      </c>
      <c r="M437" s="18">
        <v>1</v>
      </c>
      <c r="N437" s="18">
        <v>60</v>
      </c>
      <c r="O437" s="18">
        <v>20</v>
      </c>
      <c r="P437" s="18">
        <v>48</v>
      </c>
      <c r="Q437" s="18">
        <v>2</v>
      </c>
      <c r="R437" s="18" t="s">
        <v>79</v>
      </c>
      <c r="S437" s="18" t="s">
        <v>151</v>
      </c>
      <c r="T437" s="18" t="s">
        <v>50</v>
      </c>
      <c r="U437" s="19" t="s">
        <v>1872</v>
      </c>
      <c r="V437" s="18" t="s">
        <v>38</v>
      </c>
      <c r="W437" t="str">
        <f t="shared" si="42"/>
        <v>Blacklisted</v>
      </c>
      <c r="X437" s="27" t="str">
        <f t="shared" si="43"/>
        <v>Kavya Nair</v>
      </c>
      <c r="Y437" s="29" t="str">
        <f t="shared" si="44"/>
        <v>Kav00IDAh</v>
      </c>
      <c r="Z437" s="30" t="str">
        <f t="shared" si="45"/>
        <v>kavya.nair@company.com</v>
      </c>
      <c r="AA437" s="32">
        <f t="shared" ca="1" si="46"/>
        <v>43</v>
      </c>
      <c r="AB437" s="33">
        <f t="shared" si="47"/>
        <v>2</v>
      </c>
      <c r="AC437" s="34" t="str">
        <f t="shared" si="48"/>
        <v>On Time</v>
      </c>
    </row>
    <row r="438" spans="1:29">
      <c r="A438" s="15" t="s">
        <v>1873</v>
      </c>
      <c r="B438" s="15" t="s">
        <v>127</v>
      </c>
      <c r="C438" s="15" t="s">
        <v>118</v>
      </c>
      <c r="D438" s="15" t="s">
        <v>507</v>
      </c>
      <c r="E438" s="15" t="s">
        <v>535</v>
      </c>
      <c r="F438" s="15" t="s">
        <v>200</v>
      </c>
      <c r="G438" s="15" t="s">
        <v>76</v>
      </c>
      <c r="H438" s="15" t="s">
        <v>1874</v>
      </c>
      <c r="I438" s="15" t="s">
        <v>30</v>
      </c>
      <c r="J438" s="15" t="s">
        <v>31</v>
      </c>
      <c r="K438" s="15" t="s">
        <v>122</v>
      </c>
      <c r="L438" s="15" t="s">
        <v>123</v>
      </c>
      <c r="M438" s="15">
        <v>3</v>
      </c>
      <c r="N438" s="15">
        <v>60</v>
      </c>
      <c r="O438" s="15">
        <v>15</v>
      </c>
      <c r="P438" s="15">
        <v>153</v>
      </c>
      <c r="Q438" s="15">
        <v>4</v>
      </c>
      <c r="R438" s="15" t="s">
        <v>79</v>
      </c>
      <c r="S438" s="15" t="s">
        <v>35</v>
      </c>
      <c r="T438" s="15" t="s">
        <v>132</v>
      </c>
      <c r="U438" s="17" t="s">
        <v>1875</v>
      </c>
      <c r="V438" s="15" t="s">
        <v>38</v>
      </c>
      <c r="W438" t="str">
        <f t="shared" si="42"/>
        <v>Silver</v>
      </c>
      <c r="X438" s="27" t="str">
        <f t="shared" si="43"/>
        <v>Rohit Singh</v>
      </c>
      <c r="Y438" s="29" t="str">
        <f t="shared" si="44"/>
        <v>Roh00IDHy</v>
      </c>
      <c r="Z438" s="30" t="str">
        <f t="shared" si="45"/>
        <v>rohit.singh@company.com</v>
      </c>
      <c r="AA438" s="32">
        <f t="shared" ca="1" si="46"/>
        <v>33</v>
      </c>
      <c r="AB438" s="33">
        <f t="shared" si="47"/>
        <v>5</v>
      </c>
      <c r="AC438" s="34" t="str">
        <f t="shared" si="48"/>
        <v>On Time</v>
      </c>
    </row>
    <row r="439" spans="1:29">
      <c r="A439" s="18" t="s">
        <v>1876</v>
      </c>
      <c r="B439" s="18" t="s">
        <v>100</v>
      </c>
      <c r="C439" s="18" t="s">
        <v>184</v>
      </c>
      <c r="D439" s="18" t="s">
        <v>568</v>
      </c>
      <c r="E439" s="18" t="s">
        <v>119</v>
      </c>
      <c r="F439" s="18" t="s">
        <v>103</v>
      </c>
      <c r="G439" s="18" t="s">
        <v>28</v>
      </c>
      <c r="H439" s="18" t="s">
        <v>1877</v>
      </c>
      <c r="I439" s="18" t="s">
        <v>294</v>
      </c>
      <c r="J439" s="18" t="s">
        <v>295</v>
      </c>
      <c r="K439" s="18" t="s">
        <v>46</v>
      </c>
      <c r="L439" s="18" t="s">
        <v>189</v>
      </c>
      <c r="M439" s="18">
        <v>10</v>
      </c>
      <c r="N439" s="18">
        <v>700</v>
      </c>
      <c r="O439" s="18">
        <v>15</v>
      </c>
      <c r="P439" s="18">
        <v>5950</v>
      </c>
      <c r="Q439" s="18">
        <v>3</v>
      </c>
      <c r="R439" s="18" t="s">
        <v>48</v>
      </c>
      <c r="S439" s="18" t="s">
        <v>35</v>
      </c>
      <c r="T439" s="18" t="s">
        <v>144</v>
      </c>
      <c r="U439" s="19" t="s">
        <v>1878</v>
      </c>
      <c r="V439" s="18" t="s">
        <v>64</v>
      </c>
      <c r="W439" t="str">
        <f t="shared" si="42"/>
        <v>Blacklisted</v>
      </c>
      <c r="X439" s="27" t="str">
        <f t="shared" si="43"/>
        <v>Priya Patel</v>
      </c>
      <c r="Y439" s="29" t="str">
        <f t="shared" si="44"/>
        <v>Pri00IDKo</v>
      </c>
      <c r="Z439" s="30" t="str">
        <f t="shared" si="45"/>
        <v>priya.patel@company.com</v>
      </c>
      <c r="AA439" s="32">
        <f t="shared" ca="1" si="46"/>
        <v>47</v>
      </c>
      <c r="AB439" s="33">
        <f t="shared" si="47"/>
        <v>5</v>
      </c>
      <c r="AC439" s="34" t="str">
        <f t="shared" si="48"/>
        <v>On Time</v>
      </c>
    </row>
    <row r="440" spans="1:29">
      <c r="A440" s="15" t="s">
        <v>1879</v>
      </c>
      <c r="B440" s="15" t="s">
        <v>83</v>
      </c>
      <c r="C440" s="15" t="s">
        <v>222</v>
      </c>
      <c r="D440" s="15" t="s">
        <v>1880</v>
      </c>
      <c r="E440" s="15" t="s">
        <v>1881</v>
      </c>
      <c r="F440" s="15" t="s">
        <v>180</v>
      </c>
      <c r="G440" s="15" t="s">
        <v>76</v>
      </c>
      <c r="H440" s="15" t="s">
        <v>1882</v>
      </c>
      <c r="I440" s="15" t="s">
        <v>138</v>
      </c>
      <c r="J440" s="15" t="s">
        <v>106</v>
      </c>
      <c r="K440" s="15" t="s">
        <v>122</v>
      </c>
      <c r="L440" s="15" t="s">
        <v>227</v>
      </c>
      <c r="M440" s="15">
        <v>2</v>
      </c>
      <c r="N440" s="15">
        <v>20</v>
      </c>
      <c r="O440" s="15">
        <v>10</v>
      </c>
      <c r="P440" s="15">
        <v>36</v>
      </c>
      <c r="Q440" s="15">
        <v>2</v>
      </c>
      <c r="R440" s="15" t="s">
        <v>88</v>
      </c>
      <c r="S440" s="15" t="s">
        <v>61</v>
      </c>
      <c r="T440" s="15" t="s">
        <v>89</v>
      </c>
      <c r="U440" s="17" t="s">
        <v>1883</v>
      </c>
      <c r="V440" s="15" t="s">
        <v>38</v>
      </c>
      <c r="W440" t="str">
        <f t="shared" si="42"/>
        <v>Blacklisted</v>
      </c>
      <c r="X440" s="27" t="str">
        <f t="shared" si="43"/>
        <v>Arjun Rao</v>
      </c>
      <c r="Y440" s="29" t="str">
        <f t="shared" si="44"/>
        <v>Arj00IDAh</v>
      </c>
      <c r="Z440" s="30" t="str">
        <f t="shared" si="45"/>
        <v>arjun.rao@company.com</v>
      </c>
      <c r="AA440" s="32">
        <f t="shared" ca="1" si="46"/>
        <v>50</v>
      </c>
      <c r="AB440" s="33">
        <f t="shared" si="47"/>
        <v>3</v>
      </c>
      <c r="AC440" s="34" t="str">
        <f t="shared" si="48"/>
        <v>On Time</v>
      </c>
    </row>
    <row r="441" spans="1:29">
      <c r="A441" s="18" t="s">
        <v>1884</v>
      </c>
      <c r="B441" s="18" t="s">
        <v>83</v>
      </c>
      <c r="C441" s="18" t="s">
        <v>222</v>
      </c>
      <c r="D441" s="18" t="s">
        <v>1885</v>
      </c>
      <c r="E441" s="18" t="s">
        <v>1199</v>
      </c>
      <c r="F441" s="18" t="s">
        <v>180</v>
      </c>
      <c r="G441" s="18" t="s">
        <v>76</v>
      </c>
      <c r="H441" s="18" t="s">
        <v>1886</v>
      </c>
      <c r="I441" s="18" t="s">
        <v>44</v>
      </c>
      <c r="J441" s="18" t="s">
        <v>45</v>
      </c>
      <c r="K441" s="18" t="s">
        <v>122</v>
      </c>
      <c r="L441" s="18" t="s">
        <v>227</v>
      </c>
      <c r="M441" s="18">
        <v>14</v>
      </c>
      <c r="N441" s="18">
        <v>20</v>
      </c>
      <c r="O441" s="18">
        <v>20</v>
      </c>
      <c r="P441" s="18">
        <v>224</v>
      </c>
      <c r="Q441" s="18">
        <v>5</v>
      </c>
      <c r="R441" s="18" t="s">
        <v>34</v>
      </c>
      <c r="S441" s="18" t="s">
        <v>151</v>
      </c>
      <c r="T441" s="18" t="s">
        <v>89</v>
      </c>
      <c r="U441" s="19" t="s">
        <v>1887</v>
      </c>
      <c r="V441" s="18" t="s">
        <v>64</v>
      </c>
      <c r="W441" t="str">
        <f t="shared" si="42"/>
        <v>Blacklisted</v>
      </c>
      <c r="X441" s="27" t="str">
        <f t="shared" si="43"/>
        <v>Arjun Rao</v>
      </c>
      <c r="Y441" s="29" t="str">
        <f t="shared" si="44"/>
        <v>Arj00IDDe</v>
      </c>
      <c r="Z441" s="30" t="str">
        <f t="shared" si="45"/>
        <v>arjun.rao@company.com</v>
      </c>
      <c r="AA441" s="32">
        <f t="shared" ca="1" si="46"/>
        <v>35</v>
      </c>
      <c r="AB441" s="33">
        <f t="shared" si="47"/>
        <v>5</v>
      </c>
      <c r="AC441" s="34" t="str">
        <f t="shared" si="48"/>
        <v>On Time</v>
      </c>
    </row>
    <row r="442" spans="1:29">
      <c r="A442" s="15" t="s">
        <v>1888</v>
      </c>
      <c r="B442" s="15" t="s">
        <v>327</v>
      </c>
      <c r="C442" s="15" t="s">
        <v>92</v>
      </c>
      <c r="D442" s="15" t="s">
        <v>1713</v>
      </c>
      <c r="E442" s="15" t="s">
        <v>193</v>
      </c>
      <c r="F442" s="15" t="s">
        <v>394</v>
      </c>
      <c r="G442" s="15" t="s">
        <v>76</v>
      </c>
      <c r="H442" s="15" t="s">
        <v>1889</v>
      </c>
      <c r="I442" s="15" t="s">
        <v>138</v>
      </c>
      <c r="J442" s="15" t="s">
        <v>106</v>
      </c>
      <c r="K442" s="15" t="s">
        <v>32</v>
      </c>
      <c r="L442" s="15" t="s">
        <v>97</v>
      </c>
      <c r="M442" s="15">
        <v>4</v>
      </c>
      <c r="N442" s="15">
        <v>3500</v>
      </c>
      <c r="O442" s="15">
        <v>0</v>
      </c>
      <c r="P442" s="15">
        <v>14000</v>
      </c>
      <c r="Q442" s="15">
        <v>2</v>
      </c>
      <c r="R442" s="15" t="s">
        <v>88</v>
      </c>
      <c r="S442" s="15" t="s">
        <v>35</v>
      </c>
      <c r="T442" s="15" t="s">
        <v>332</v>
      </c>
      <c r="U442" s="17" t="s">
        <v>1890</v>
      </c>
      <c r="V442" s="15" t="s">
        <v>69</v>
      </c>
      <c r="W442" t="str">
        <f t="shared" si="42"/>
        <v>Blacklisted</v>
      </c>
      <c r="X442" s="27" t="str">
        <f t="shared" si="43"/>
        <v>Amit Sharma</v>
      </c>
      <c r="Y442" s="29" t="str">
        <f t="shared" si="44"/>
        <v>Ami00IDAh</v>
      </c>
      <c r="Z442" s="30" t="str">
        <f t="shared" si="45"/>
        <v>amit.sharma@company.com</v>
      </c>
      <c r="AA442" s="32">
        <f t="shared" ca="1" si="46"/>
        <v>38</v>
      </c>
      <c r="AB442" s="33">
        <f t="shared" si="47"/>
        <v>4</v>
      </c>
      <c r="AC442" s="34" t="str">
        <f t="shared" si="48"/>
        <v>On Time</v>
      </c>
    </row>
    <row r="443" spans="1:29">
      <c r="A443" s="18" t="s">
        <v>1891</v>
      </c>
      <c r="B443" s="18" t="s">
        <v>83</v>
      </c>
      <c r="C443" s="18" t="s">
        <v>92</v>
      </c>
      <c r="D443" s="18" t="s">
        <v>318</v>
      </c>
      <c r="E443" s="18" t="s">
        <v>1119</v>
      </c>
      <c r="F443" s="18" t="s">
        <v>180</v>
      </c>
      <c r="G443" s="18" t="s">
        <v>76</v>
      </c>
      <c r="H443" s="18" t="s">
        <v>1892</v>
      </c>
      <c r="I443" s="18" t="s">
        <v>212</v>
      </c>
      <c r="J443" s="18" t="s">
        <v>45</v>
      </c>
      <c r="K443" s="18" t="s">
        <v>32</v>
      </c>
      <c r="L443" s="18" t="s">
        <v>97</v>
      </c>
      <c r="M443" s="18">
        <v>9</v>
      </c>
      <c r="N443" s="18">
        <v>3500</v>
      </c>
      <c r="O443" s="18">
        <v>5</v>
      </c>
      <c r="P443" s="18">
        <v>29925</v>
      </c>
      <c r="Q443" s="18">
        <v>3</v>
      </c>
      <c r="R443" s="18" t="s">
        <v>79</v>
      </c>
      <c r="S443" s="18" t="s">
        <v>61</v>
      </c>
      <c r="T443" s="18" t="s">
        <v>89</v>
      </c>
      <c r="U443" s="19" t="s">
        <v>1893</v>
      </c>
      <c r="V443" s="18" t="s">
        <v>38</v>
      </c>
      <c r="W443" t="str">
        <f t="shared" si="42"/>
        <v>Silver</v>
      </c>
      <c r="X443" s="27" t="str">
        <f t="shared" si="43"/>
        <v>Arjun Rao</v>
      </c>
      <c r="Y443" s="29" t="str">
        <f t="shared" si="44"/>
        <v>Arj00IDJa</v>
      </c>
      <c r="Z443" s="30" t="str">
        <f t="shared" si="45"/>
        <v>arjun.rao@company.com</v>
      </c>
      <c r="AA443" s="32">
        <f t="shared" ca="1" si="46"/>
        <v>42</v>
      </c>
      <c r="AB443" s="33">
        <f t="shared" si="47"/>
        <v>1</v>
      </c>
      <c r="AC443" s="34" t="str">
        <f t="shared" si="48"/>
        <v>On Time</v>
      </c>
    </row>
    <row r="444" spans="1:29">
      <c r="A444" s="15" t="s">
        <v>1894</v>
      </c>
      <c r="B444" s="15" t="s">
        <v>127</v>
      </c>
      <c r="C444" s="15" t="s">
        <v>118</v>
      </c>
      <c r="D444" s="15" t="s">
        <v>683</v>
      </c>
      <c r="E444" s="15" t="s">
        <v>1465</v>
      </c>
      <c r="F444" s="15" t="s">
        <v>200</v>
      </c>
      <c r="G444" s="15" t="s">
        <v>76</v>
      </c>
      <c r="H444" s="15" t="s">
        <v>1895</v>
      </c>
      <c r="I444" s="15" t="s">
        <v>105</v>
      </c>
      <c r="J444" s="15" t="s">
        <v>106</v>
      </c>
      <c r="K444" s="15" t="s">
        <v>122</v>
      </c>
      <c r="L444" s="15" t="s">
        <v>123</v>
      </c>
      <c r="M444" s="15">
        <v>9</v>
      </c>
      <c r="N444" s="15">
        <v>60</v>
      </c>
      <c r="O444" s="15">
        <v>0</v>
      </c>
      <c r="P444" s="15">
        <v>540</v>
      </c>
      <c r="Q444" s="15">
        <v>3</v>
      </c>
      <c r="R444" s="15" t="s">
        <v>88</v>
      </c>
      <c r="S444" s="15" t="s">
        <v>35</v>
      </c>
      <c r="T444" s="15" t="s">
        <v>132</v>
      </c>
      <c r="U444" s="17" t="s">
        <v>1896</v>
      </c>
      <c r="V444" s="15" t="s">
        <v>64</v>
      </c>
      <c r="W444" t="str">
        <f t="shared" si="42"/>
        <v>Blacklisted</v>
      </c>
      <c r="X444" s="27" t="str">
        <f t="shared" si="43"/>
        <v>Rohit Singh</v>
      </c>
      <c r="Y444" s="29" t="str">
        <f t="shared" si="44"/>
        <v>Roh00IDMu</v>
      </c>
      <c r="Z444" s="30" t="str">
        <f t="shared" si="45"/>
        <v>rohit.singh@company.com</v>
      </c>
      <c r="AA444" s="32">
        <f t="shared" ca="1" si="46"/>
        <v>42</v>
      </c>
      <c r="AB444" s="33">
        <f t="shared" si="47"/>
        <v>4</v>
      </c>
      <c r="AC444" s="34" t="str">
        <f t="shared" si="48"/>
        <v>On Time</v>
      </c>
    </row>
    <row r="445" spans="1:29">
      <c r="A445" s="18" t="s">
        <v>1897</v>
      </c>
      <c r="B445" s="18" t="s">
        <v>168</v>
      </c>
      <c r="C445" s="18" t="s">
        <v>72</v>
      </c>
      <c r="D445" s="18" t="s">
        <v>1898</v>
      </c>
      <c r="E445" s="18" t="s">
        <v>1263</v>
      </c>
      <c r="F445" s="18" t="s">
        <v>361</v>
      </c>
      <c r="G445" s="18" t="s">
        <v>28</v>
      </c>
      <c r="H445" s="18" t="s">
        <v>1899</v>
      </c>
      <c r="I445" s="18" t="s">
        <v>138</v>
      </c>
      <c r="J445" s="18" t="s">
        <v>106</v>
      </c>
      <c r="K445" s="18" t="s">
        <v>46</v>
      </c>
      <c r="L445" s="18" t="s">
        <v>78</v>
      </c>
      <c r="M445" s="18">
        <v>4</v>
      </c>
      <c r="N445" s="18">
        <v>1200</v>
      </c>
      <c r="O445" s="18">
        <v>0</v>
      </c>
      <c r="P445" s="18">
        <v>4800</v>
      </c>
      <c r="Q445" s="18">
        <v>1</v>
      </c>
      <c r="R445" s="18" t="s">
        <v>48</v>
      </c>
      <c r="S445" s="18" t="s">
        <v>61</v>
      </c>
      <c r="T445" s="18" t="s">
        <v>175</v>
      </c>
      <c r="U445" s="19" t="s">
        <v>1900</v>
      </c>
      <c r="V445" s="18" t="s">
        <v>38</v>
      </c>
      <c r="W445" t="str">
        <f t="shared" si="42"/>
        <v>Blacklisted</v>
      </c>
      <c r="X445" s="27" t="str">
        <f t="shared" si="43"/>
        <v>Anita Gupta</v>
      </c>
      <c r="Y445" s="29" t="str">
        <f t="shared" si="44"/>
        <v>Ani00IDAh</v>
      </c>
      <c r="Z445" s="30" t="str">
        <f t="shared" si="45"/>
        <v>anita.gupta@company.com</v>
      </c>
      <c r="AA445" s="32">
        <f t="shared" ca="1" si="46"/>
        <v>34</v>
      </c>
      <c r="AB445" s="33">
        <f t="shared" si="47"/>
        <v>1</v>
      </c>
      <c r="AC445" s="34" t="str">
        <f t="shared" si="48"/>
        <v>On Time</v>
      </c>
    </row>
    <row r="446" spans="1:29">
      <c r="A446" s="15" t="s">
        <v>1901</v>
      </c>
      <c r="B446" s="15" t="s">
        <v>53</v>
      </c>
      <c r="C446" s="15" t="s">
        <v>54</v>
      </c>
      <c r="D446" s="15" t="s">
        <v>1620</v>
      </c>
      <c r="E446" s="15" t="s">
        <v>302</v>
      </c>
      <c r="F446" s="15" t="s">
        <v>163</v>
      </c>
      <c r="G446" s="15" t="s">
        <v>28</v>
      </c>
      <c r="H446" s="15" t="s">
        <v>1902</v>
      </c>
      <c r="I446" s="15" t="s">
        <v>30</v>
      </c>
      <c r="J446" s="15" t="s">
        <v>31</v>
      </c>
      <c r="K446" s="15" t="s">
        <v>46</v>
      </c>
      <c r="L446" s="15" t="s">
        <v>60</v>
      </c>
      <c r="M446" s="15">
        <v>10</v>
      </c>
      <c r="N446" s="15">
        <v>55000</v>
      </c>
      <c r="O446" s="15">
        <v>5</v>
      </c>
      <c r="P446" s="15">
        <v>522500</v>
      </c>
      <c r="Q446" s="15">
        <v>5</v>
      </c>
      <c r="R446" s="15" t="s">
        <v>88</v>
      </c>
      <c r="S446" s="15" t="s">
        <v>115</v>
      </c>
      <c r="T446" s="15" t="s">
        <v>62</v>
      </c>
      <c r="U446" s="17" t="s">
        <v>1903</v>
      </c>
      <c r="V446" s="15" t="s">
        <v>38</v>
      </c>
      <c r="W446" t="str">
        <f t="shared" si="42"/>
        <v>Platinum</v>
      </c>
      <c r="X446" s="27" t="str">
        <f t="shared" si="43"/>
        <v>Pooja Shah</v>
      </c>
      <c r="Y446" s="29" t="str">
        <f t="shared" si="44"/>
        <v>Poo01IDHy</v>
      </c>
      <c r="Z446" s="30" t="str">
        <f t="shared" si="45"/>
        <v>pooja.shah@company.com</v>
      </c>
      <c r="AA446" s="32">
        <f t="shared" ca="1" si="46"/>
        <v>27</v>
      </c>
      <c r="AB446" s="33">
        <f t="shared" si="47"/>
        <v>10</v>
      </c>
      <c r="AC446" s="34" t="str">
        <f t="shared" si="48"/>
        <v>Delayed</v>
      </c>
    </row>
    <row r="447" spans="1:29">
      <c r="A447" s="18" t="s">
        <v>1904</v>
      </c>
      <c r="B447" s="18" t="s">
        <v>221</v>
      </c>
      <c r="C447" s="18" t="s">
        <v>259</v>
      </c>
      <c r="D447" s="18" t="s">
        <v>1905</v>
      </c>
      <c r="E447" s="18" t="s">
        <v>881</v>
      </c>
      <c r="F447" s="18" t="s">
        <v>225</v>
      </c>
      <c r="G447" s="18" t="s">
        <v>76</v>
      </c>
      <c r="H447" s="18" t="s">
        <v>1906</v>
      </c>
      <c r="I447" s="18" t="s">
        <v>30</v>
      </c>
      <c r="J447" s="18" t="s">
        <v>31</v>
      </c>
      <c r="K447" s="18" t="s">
        <v>122</v>
      </c>
      <c r="L447" s="18" t="s">
        <v>263</v>
      </c>
      <c r="M447" s="18">
        <v>20</v>
      </c>
      <c r="N447" s="18">
        <v>45</v>
      </c>
      <c r="O447" s="18">
        <v>15</v>
      </c>
      <c r="P447" s="18">
        <v>765</v>
      </c>
      <c r="Q447" s="18">
        <v>2</v>
      </c>
      <c r="R447" s="18" t="s">
        <v>79</v>
      </c>
      <c r="S447" s="18" t="s">
        <v>35</v>
      </c>
      <c r="T447" s="18" t="s">
        <v>228</v>
      </c>
      <c r="U447" s="19" t="s">
        <v>1907</v>
      </c>
      <c r="V447" s="18" t="s">
        <v>69</v>
      </c>
      <c r="W447" t="str">
        <f t="shared" si="42"/>
        <v>Blacklisted</v>
      </c>
      <c r="X447" s="27" t="str">
        <f t="shared" si="43"/>
        <v>Vikas Mehta</v>
      </c>
      <c r="Y447" s="29" t="str">
        <f t="shared" si="44"/>
        <v>Vik00IDHy</v>
      </c>
      <c r="Z447" s="30" t="str">
        <f t="shared" si="45"/>
        <v>vikas.mehta@company.com</v>
      </c>
      <c r="AA447" s="32">
        <f t="shared" ca="1" si="46"/>
        <v>36</v>
      </c>
      <c r="AB447" s="33">
        <f t="shared" si="47"/>
        <v>7</v>
      </c>
      <c r="AC447" s="34" t="str">
        <f t="shared" si="48"/>
        <v>Delayed</v>
      </c>
    </row>
    <row r="448" spans="1:29">
      <c r="A448" s="15" t="s">
        <v>1908</v>
      </c>
      <c r="B448" s="15" t="s">
        <v>23</v>
      </c>
      <c r="C448" s="15" t="s">
        <v>222</v>
      </c>
      <c r="D448" s="15" t="s">
        <v>314</v>
      </c>
      <c r="E448" s="15" t="s">
        <v>170</v>
      </c>
      <c r="F448" s="15" t="s">
        <v>27</v>
      </c>
      <c r="G448" s="15" t="s">
        <v>28</v>
      </c>
      <c r="H448" s="15" t="s">
        <v>1909</v>
      </c>
      <c r="I448" s="15" t="s">
        <v>105</v>
      </c>
      <c r="J448" s="15" t="s">
        <v>106</v>
      </c>
      <c r="K448" s="15" t="s">
        <v>122</v>
      </c>
      <c r="L448" s="15" t="s">
        <v>227</v>
      </c>
      <c r="M448" s="15">
        <v>9</v>
      </c>
      <c r="N448" s="15">
        <v>20</v>
      </c>
      <c r="O448" s="15">
        <v>20</v>
      </c>
      <c r="P448" s="15">
        <v>144</v>
      </c>
      <c r="Q448" s="15">
        <v>3</v>
      </c>
      <c r="R448" s="15" t="s">
        <v>79</v>
      </c>
      <c r="S448" s="15" t="s">
        <v>61</v>
      </c>
      <c r="T448" s="15" t="s">
        <v>50</v>
      </c>
      <c r="U448" s="17" t="s">
        <v>1910</v>
      </c>
      <c r="V448" s="15" t="s">
        <v>38</v>
      </c>
      <c r="W448" t="str">
        <f t="shared" si="42"/>
        <v>Silver</v>
      </c>
      <c r="X448" s="27" t="str">
        <f t="shared" si="43"/>
        <v>Kavya Nair</v>
      </c>
      <c r="Y448" s="29" t="str">
        <f t="shared" si="44"/>
        <v>Kav00IDMu</v>
      </c>
      <c r="Z448" s="30" t="str">
        <f t="shared" si="45"/>
        <v>kavya.nair@company.com</v>
      </c>
      <c r="AA448" s="32">
        <f t="shared" ca="1" si="46"/>
        <v>32</v>
      </c>
      <c r="AB448" s="33">
        <f t="shared" si="47"/>
        <v>10</v>
      </c>
      <c r="AC448" s="34" t="str">
        <f t="shared" si="48"/>
        <v>Delayed</v>
      </c>
    </row>
    <row r="449" spans="1:29">
      <c r="A449" s="18" t="s">
        <v>1911</v>
      </c>
      <c r="B449" s="18" t="s">
        <v>23</v>
      </c>
      <c r="C449" s="18" t="s">
        <v>54</v>
      </c>
      <c r="D449" s="18" t="s">
        <v>1912</v>
      </c>
      <c r="E449" s="18" t="s">
        <v>910</v>
      </c>
      <c r="F449" s="18" t="s">
        <v>27</v>
      </c>
      <c r="G449" s="18" t="s">
        <v>28</v>
      </c>
      <c r="H449" s="18" t="s">
        <v>1913</v>
      </c>
      <c r="I449" s="18" t="s">
        <v>114</v>
      </c>
      <c r="J449" s="18" t="s">
        <v>106</v>
      </c>
      <c r="K449" s="18" t="s">
        <v>46</v>
      </c>
      <c r="L449" s="18" t="s">
        <v>60</v>
      </c>
      <c r="M449" s="18">
        <v>8</v>
      </c>
      <c r="N449" s="18">
        <v>55000</v>
      </c>
      <c r="O449" s="18">
        <v>0</v>
      </c>
      <c r="P449" s="18">
        <v>440000</v>
      </c>
      <c r="Q449" s="18">
        <v>4</v>
      </c>
      <c r="R449" s="18" t="s">
        <v>34</v>
      </c>
      <c r="S449" s="18" t="s">
        <v>115</v>
      </c>
      <c r="T449" s="18" t="s">
        <v>50</v>
      </c>
      <c r="U449" s="19" t="s">
        <v>1914</v>
      </c>
      <c r="V449" s="18" t="s">
        <v>38</v>
      </c>
      <c r="W449" t="str">
        <f t="shared" si="42"/>
        <v>Platinum</v>
      </c>
      <c r="X449" s="27" t="str">
        <f t="shared" si="43"/>
        <v>Kavya Nair</v>
      </c>
      <c r="Y449" s="29" t="str">
        <f t="shared" si="44"/>
        <v>Kav00IDPu</v>
      </c>
      <c r="Z449" s="30" t="str">
        <f t="shared" si="45"/>
        <v>kavya.nair@company.com</v>
      </c>
      <c r="AA449" s="32">
        <f t="shared" ca="1" si="46"/>
        <v>46</v>
      </c>
      <c r="AB449" s="33">
        <f t="shared" si="47"/>
        <v>11</v>
      </c>
      <c r="AC449" s="34" t="str">
        <f t="shared" si="48"/>
        <v>Delayed</v>
      </c>
    </row>
    <row r="450" spans="1:29">
      <c r="A450" s="15" t="s">
        <v>1915</v>
      </c>
      <c r="B450" s="15" t="s">
        <v>327</v>
      </c>
      <c r="C450" s="15" t="s">
        <v>72</v>
      </c>
      <c r="D450" s="15" t="s">
        <v>1916</v>
      </c>
      <c r="E450" s="15" t="s">
        <v>1430</v>
      </c>
      <c r="F450" s="15" t="s">
        <v>394</v>
      </c>
      <c r="G450" s="15" t="s">
        <v>76</v>
      </c>
      <c r="H450" s="15" t="s">
        <v>1917</v>
      </c>
      <c r="I450" s="15" t="s">
        <v>138</v>
      </c>
      <c r="J450" s="15" t="s">
        <v>106</v>
      </c>
      <c r="K450" s="15" t="s">
        <v>46</v>
      </c>
      <c r="L450" s="15" t="s">
        <v>78</v>
      </c>
      <c r="M450" s="15">
        <v>4</v>
      </c>
      <c r="N450" s="15">
        <v>1200</v>
      </c>
      <c r="O450" s="15">
        <v>10</v>
      </c>
      <c r="P450" s="15">
        <v>4320</v>
      </c>
      <c r="Q450" s="15">
        <v>4</v>
      </c>
      <c r="R450" s="15" t="s">
        <v>88</v>
      </c>
      <c r="S450" s="15" t="s">
        <v>35</v>
      </c>
      <c r="T450" s="16" t="s">
        <v>1918</v>
      </c>
      <c r="U450" s="17" t="s">
        <v>1919</v>
      </c>
      <c r="V450" s="15" t="s">
        <v>69</v>
      </c>
      <c r="W450" t="str">
        <f t="shared" si="42"/>
        <v>Blacklisted</v>
      </c>
      <c r="X450" s="27" t="str">
        <f t="shared" si="43"/>
        <v>Amit Sharma</v>
      </c>
      <c r="Y450" s="29" t="str">
        <f t="shared" si="44"/>
        <v>Ami00IDAh</v>
      </c>
      <c r="Z450" s="30" t="str">
        <f t="shared" si="45"/>
        <v>amit.sharma@company.com</v>
      </c>
      <c r="AA450" s="32">
        <f t="shared" ca="1" si="46"/>
        <v>26</v>
      </c>
      <c r="AB450" s="33">
        <f t="shared" si="47"/>
        <v>4</v>
      </c>
      <c r="AC450" s="34" t="str">
        <f t="shared" si="48"/>
        <v>On Time</v>
      </c>
    </row>
    <row r="451" spans="1:29">
      <c r="A451" s="18" t="s">
        <v>1920</v>
      </c>
      <c r="B451" s="18" t="s">
        <v>327</v>
      </c>
      <c r="C451" s="18" t="s">
        <v>169</v>
      </c>
      <c r="D451" s="18" t="s">
        <v>518</v>
      </c>
      <c r="E451" s="18" t="s">
        <v>426</v>
      </c>
      <c r="F451" s="18" t="s">
        <v>394</v>
      </c>
      <c r="G451" s="18" t="s">
        <v>76</v>
      </c>
      <c r="H451" s="18" t="s">
        <v>1921</v>
      </c>
      <c r="I451" s="18" t="s">
        <v>294</v>
      </c>
      <c r="J451" s="18" t="s">
        <v>295</v>
      </c>
      <c r="K451" s="18" t="s">
        <v>32</v>
      </c>
      <c r="L451" s="18" t="s">
        <v>174</v>
      </c>
      <c r="M451" s="18">
        <v>14</v>
      </c>
      <c r="N451" s="18">
        <v>8500</v>
      </c>
      <c r="O451" s="18">
        <v>10</v>
      </c>
      <c r="P451" s="18">
        <v>107100</v>
      </c>
      <c r="Q451" s="18">
        <v>4</v>
      </c>
      <c r="R451" s="18" t="s">
        <v>34</v>
      </c>
      <c r="S451" s="18" t="s">
        <v>35</v>
      </c>
      <c r="T451" s="18" t="s">
        <v>332</v>
      </c>
      <c r="U451" s="19" t="s">
        <v>1922</v>
      </c>
      <c r="V451" s="18" t="s">
        <v>38</v>
      </c>
      <c r="W451" t="str">
        <f t="shared" ref="W451:W501" si="49">IF(OR(Q451&lt;=2,V451="Cancelled"),"Blacklisted",IF(AND(P451&gt;=100000,Q451&gt;=4,O451&lt;10,V451="Completed"),"Platinum",IF(AND(P451&gt;=50000,P451&lt;=99999,Q451&gt;=3,V451="Completed"),"Gold",IF(AND(P451&lt;50000,V451="Completed"),"Silver","Blacklisted"))))</f>
        <v>Blacklisted</v>
      </c>
      <c r="X451" s="27" t="str">
        <f t="shared" ref="X451:X501" si="50">PROPER(TRIM(F451))</f>
        <v>Amit Sharma</v>
      </c>
      <c r="Y451" s="29" t="str">
        <f t="shared" ref="Y451:Y501" si="51">LEFT(X451,3)&amp;MID(B451,2,2)&amp;"ID"&amp;LEFT(I451,2)</f>
        <v>Ami00IDKo</v>
      </c>
      <c r="Z451" s="30" t="str">
        <f t="shared" ref="Z451:Z501" si="52">IF(ISNUMBER(SEARCH("@",T451)),LOWER(TRIM(T451)),"Invalid Email")</f>
        <v>amit.sharma@company.com</v>
      </c>
      <c r="AA451" s="32">
        <f t="shared" ref="AA451:AA501" ca="1" si="53">DATEDIF(H451,TODAY(),"Y")</f>
        <v>28</v>
      </c>
      <c r="AB451" s="33">
        <f t="shared" ref="AB451:AB501" si="54">IF(E451="","",E451-D451)</f>
        <v>10</v>
      </c>
      <c r="AC451" s="34" t="str">
        <f t="shared" ref="AC451:AC501" si="55">IF(E451="","Pending",IF(AB451&lt;=5,"On Time","Delayed"))</f>
        <v>Delayed</v>
      </c>
    </row>
    <row r="452" spans="1:29">
      <c r="A452" s="15" t="s">
        <v>1923</v>
      </c>
      <c r="B452" s="15" t="s">
        <v>71</v>
      </c>
      <c r="C452" s="15" t="s">
        <v>259</v>
      </c>
      <c r="D452" s="15" t="s">
        <v>683</v>
      </c>
      <c r="E452" s="15" t="s">
        <v>1924</v>
      </c>
      <c r="F452" s="15" t="s">
        <v>217</v>
      </c>
      <c r="G452" s="15" t="s">
        <v>76</v>
      </c>
      <c r="H452" s="15" t="s">
        <v>1925</v>
      </c>
      <c r="I452" s="15" t="s">
        <v>30</v>
      </c>
      <c r="J452" s="15" t="s">
        <v>31</v>
      </c>
      <c r="K452" s="15" t="s">
        <v>122</v>
      </c>
      <c r="L452" s="15" t="s">
        <v>263</v>
      </c>
      <c r="M452" s="15">
        <v>1</v>
      </c>
      <c r="N452" s="15">
        <v>45</v>
      </c>
      <c r="O452" s="15">
        <v>0</v>
      </c>
      <c r="P452" s="15">
        <v>45</v>
      </c>
      <c r="Q452" s="15">
        <v>3</v>
      </c>
      <c r="R452" s="15" t="s">
        <v>88</v>
      </c>
      <c r="S452" s="15" t="s">
        <v>151</v>
      </c>
      <c r="T452" s="15" t="s">
        <v>80</v>
      </c>
      <c r="U452" s="17" t="s">
        <v>1926</v>
      </c>
      <c r="V452" s="15" t="s">
        <v>69</v>
      </c>
      <c r="W452" t="str">
        <f t="shared" si="49"/>
        <v>Blacklisted</v>
      </c>
      <c r="X452" s="27" t="str">
        <f t="shared" si="50"/>
        <v>Mohit Verma</v>
      </c>
      <c r="Y452" s="29" t="str">
        <f t="shared" si="51"/>
        <v>Moh00IDHy</v>
      </c>
      <c r="Z452" s="30" t="str">
        <f t="shared" si="52"/>
        <v>mohit.verma@company.com</v>
      </c>
      <c r="AA452" s="32">
        <f t="shared" ca="1" si="53"/>
        <v>42</v>
      </c>
      <c r="AB452" s="33">
        <f t="shared" si="54"/>
        <v>8</v>
      </c>
      <c r="AC452" s="34" t="str">
        <f t="shared" si="55"/>
        <v>Delayed</v>
      </c>
    </row>
    <row r="453" spans="1:29">
      <c r="A453" s="18" t="s">
        <v>1927</v>
      </c>
      <c r="B453" s="18" t="s">
        <v>71</v>
      </c>
      <c r="C453" s="18" t="s">
        <v>54</v>
      </c>
      <c r="D453" s="18" t="s">
        <v>901</v>
      </c>
      <c r="E453" s="18" t="s">
        <v>1069</v>
      </c>
      <c r="F453" s="18" t="s">
        <v>217</v>
      </c>
      <c r="G453" s="18" t="s">
        <v>76</v>
      </c>
      <c r="H453" s="18" t="s">
        <v>1928</v>
      </c>
      <c r="I453" s="18" t="s">
        <v>44</v>
      </c>
      <c r="J453" s="18" t="s">
        <v>45</v>
      </c>
      <c r="K453" s="18" t="s">
        <v>46</v>
      </c>
      <c r="L453" s="18" t="s">
        <v>60</v>
      </c>
      <c r="M453" s="18">
        <v>16</v>
      </c>
      <c r="N453" s="18">
        <v>55000</v>
      </c>
      <c r="O453" s="18">
        <v>15</v>
      </c>
      <c r="P453" s="18">
        <v>748000</v>
      </c>
      <c r="Q453" s="18">
        <v>1</v>
      </c>
      <c r="R453" s="18" t="s">
        <v>79</v>
      </c>
      <c r="S453" s="18" t="s">
        <v>151</v>
      </c>
      <c r="T453" s="18" t="s">
        <v>80</v>
      </c>
      <c r="U453" s="19" t="s">
        <v>1929</v>
      </c>
      <c r="V453" s="18" t="s">
        <v>69</v>
      </c>
      <c r="W453" t="str">
        <f t="shared" si="49"/>
        <v>Blacklisted</v>
      </c>
      <c r="X453" s="27" t="str">
        <f t="shared" si="50"/>
        <v>Mohit Verma</v>
      </c>
      <c r="Y453" s="29" t="str">
        <f t="shared" si="51"/>
        <v>Moh00IDDe</v>
      </c>
      <c r="Z453" s="30" t="str">
        <f t="shared" si="52"/>
        <v>mohit.verma@company.com</v>
      </c>
      <c r="AA453" s="32">
        <f t="shared" ca="1" si="53"/>
        <v>39</v>
      </c>
      <c r="AB453" s="33">
        <f t="shared" si="54"/>
        <v>11</v>
      </c>
      <c r="AC453" s="34" t="str">
        <f t="shared" si="55"/>
        <v>Delayed</v>
      </c>
    </row>
    <row r="454" spans="1:29">
      <c r="A454" s="15" t="s">
        <v>1930</v>
      </c>
      <c r="B454" s="15" t="s">
        <v>53</v>
      </c>
      <c r="C454" s="15" t="s">
        <v>184</v>
      </c>
      <c r="D454" s="15" t="s">
        <v>1931</v>
      </c>
      <c r="E454" s="15" t="s">
        <v>1932</v>
      </c>
      <c r="F454" s="15" t="s">
        <v>163</v>
      </c>
      <c r="G454" s="15" t="s">
        <v>28</v>
      </c>
      <c r="H454" s="15" t="s">
        <v>1933</v>
      </c>
      <c r="I454" s="15" t="s">
        <v>138</v>
      </c>
      <c r="J454" s="15" t="s">
        <v>106</v>
      </c>
      <c r="K454" s="15" t="s">
        <v>46</v>
      </c>
      <c r="L454" s="15" t="s">
        <v>189</v>
      </c>
      <c r="M454" s="15">
        <v>8</v>
      </c>
      <c r="N454" s="15">
        <v>700</v>
      </c>
      <c r="O454" s="15">
        <v>0</v>
      </c>
      <c r="P454" s="15">
        <v>5600</v>
      </c>
      <c r="Q454" s="15">
        <v>3</v>
      </c>
      <c r="R454" s="15" t="s">
        <v>34</v>
      </c>
      <c r="S454" s="15" t="s">
        <v>49</v>
      </c>
      <c r="T454" s="15" t="s">
        <v>62</v>
      </c>
      <c r="U454" s="17" t="s">
        <v>1934</v>
      </c>
      <c r="V454" s="15" t="s">
        <v>38</v>
      </c>
      <c r="W454" t="str">
        <f t="shared" si="49"/>
        <v>Silver</v>
      </c>
      <c r="X454" s="27" t="str">
        <f t="shared" si="50"/>
        <v>Pooja Shah</v>
      </c>
      <c r="Y454" s="29" t="str">
        <f t="shared" si="51"/>
        <v>Poo01IDAh</v>
      </c>
      <c r="Z454" s="30" t="str">
        <f t="shared" si="52"/>
        <v>pooja.shah@company.com</v>
      </c>
      <c r="AA454" s="32">
        <f t="shared" ca="1" si="53"/>
        <v>22</v>
      </c>
      <c r="AB454" s="33">
        <f t="shared" si="54"/>
        <v>7</v>
      </c>
      <c r="AC454" s="34" t="str">
        <f t="shared" si="55"/>
        <v>Delayed</v>
      </c>
    </row>
    <row r="455" spans="1:29">
      <c r="A455" s="18" t="s">
        <v>1935</v>
      </c>
      <c r="B455" s="18" t="s">
        <v>251</v>
      </c>
      <c r="C455" s="18" t="s">
        <v>72</v>
      </c>
      <c r="D455" s="18" t="s">
        <v>66</v>
      </c>
      <c r="E455" s="18" t="s">
        <v>1936</v>
      </c>
      <c r="F455" s="18" t="s">
        <v>254</v>
      </c>
      <c r="G455" s="18" t="s">
        <v>28</v>
      </c>
      <c r="H455" s="18" t="s">
        <v>1937</v>
      </c>
      <c r="I455" s="18" t="s">
        <v>138</v>
      </c>
      <c r="J455" s="18" t="s">
        <v>106</v>
      </c>
      <c r="K455" s="18" t="s">
        <v>46</v>
      </c>
      <c r="L455" s="18" t="s">
        <v>78</v>
      </c>
      <c r="M455" s="18">
        <v>3</v>
      </c>
      <c r="N455" s="18">
        <v>1200</v>
      </c>
      <c r="O455" s="18">
        <v>0</v>
      </c>
      <c r="P455" s="18">
        <v>3600</v>
      </c>
      <c r="Q455" s="18">
        <v>1</v>
      </c>
      <c r="R455" s="18" t="s">
        <v>79</v>
      </c>
      <c r="S455" s="18" t="s">
        <v>49</v>
      </c>
      <c r="T455" s="18" t="s">
        <v>256</v>
      </c>
      <c r="U455" s="19" t="s">
        <v>1938</v>
      </c>
      <c r="V455" s="18" t="s">
        <v>69</v>
      </c>
      <c r="W455" t="str">
        <f t="shared" si="49"/>
        <v>Blacklisted</v>
      </c>
      <c r="X455" s="27" t="str">
        <f t="shared" si="50"/>
        <v>Sneha Joshi</v>
      </c>
      <c r="Y455" s="29" t="str">
        <f t="shared" si="51"/>
        <v>Sne00IDAh</v>
      </c>
      <c r="Z455" s="30" t="str">
        <f t="shared" si="52"/>
        <v>sneha.joshi@company.com</v>
      </c>
      <c r="AA455" s="32">
        <f t="shared" ca="1" si="53"/>
        <v>23</v>
      </c>
      <c r="AB455" s="33">
        <f t="shared" si="54"/>
        <v>11</v>
      </c>
      <c r="AC455" s="34" t="str">
        <f t="shared" si="55"/>
        <v>Delayed</v>
      </c>
    </row>
    <row r="456" spans="1:29">
      <c r="A456" s="15" t="s">
        <v>1939</v>
      </c>
      <c r="B456" s="15" t="s">
        <v>71</v>
      </c>
      <c r="C456" s="15" t="s">
        <v>92</v>
      </c>
      <c r="D456" s="15" t="s">
        <v>988</v>
      </c>
      <c r="E456" s="15" t="s">
        <v>387</v>
      </c>
      <c r="F456" s="15" t="s">
        <v>217</v>
      </c>
      <c r="G456" s="15" t="s">
        <v>76</v>
      </c>
      <c r="H456" s="15" t="s">
        <v>1940</v>
      </c>
      <c r="I456" s="15" t="s">
        <v>294</v>
      </c>
      <c r="J456" s="15" t="s">
        <v>295</v>
      </c>
      <c r="K456" s="15" t="s">
        <v>32</v>
      </c>
      <c r="L456" s="15" t="s">
        <v>97</v>
      </c>
      <c r="M456" s="15">
        <v>7</v>
      </c>
      <c r="N456" s="15">
        <v>3500</v>
      </c>
      <c r="O456" s="15">
        <v>15</v>
      </c>
      <c r="P456" s="15">
        <v>20825</v>
      </c>
      <c r="Q456" s="15">
        <v>4</v>
      </c>
      <c r="R456" s="15" t="s">
        <v>79</v>
      </c>
      <c r="S456" s="15" t="s">
        <v>61</v>
      </c>
      <c r="T456" s="15" t="s">
        <v>80</v>
      </c>
      <c r="U456" s="17" t="s">
        <v>1941</v>
      </c>
      <c r="V456" s="15" t="s">
        <v>64</v>
      </c>
      <c r="W456" t="str">
        <f t="shared" si="49"/>
        <v>Blacklisted</v>
      </c>
      <c r="X456" s="27" t="str">
        <f t="shared" si="50"/>
        <v>Mohit Verma</v>
      </c>
      <c r="Y456" s="29" t="str">
        <f t="shared" si="51"/>
        <v>Moh00IDKo</v>
      </c>
      <c r="Z456" s="30" t="str">
        <f t="shared" si="52"/>
        <v>mohit.verma@company.com</v>
      </c>
      <c r="AA456" s="32">
        <f t="shared" ca="1" si="53"/>
        <v>36</v>
      </c>
      <c r="AB456" s="33">
        <f t="shared" si="54"/>
        <v>8</v>
      </c>
      <c r="AC456" s="34" t="str">
        <f t="shared" si="55"/>
        <v>Delayed</v>
      </c>
    </row>
    <row r="457" spans="1:29">
      <c r="A457" s="18" t="s">
        <v>1942</v>
      </c>
      <c r="B457" s="18" t="s">
        <v>53</v>
      </c>
      <c r="C457" s="18" t="s">
        <v>54</v>
      </c>
      <c r="D457" s="18" t="s">
        <v>1932</v>
      </c>
      <c r="E457" s="18" t="s">
        <v>740</v>
      </c>
      <c r="F457" s="18" t="s">
        <v>163</v>
      </c>
      <c r="G457" s="18" t="s">
        <v>28</v>
      </c>
      <c r="H457" s="18" t="s">
        <v>1943</v>
      </c>
      <c r="I457" s="18" t="s">
        <v>114</v>
      </c>
      <c r="J457" s="18" t="s">
        <v>106</v>
      </c>
      <c r="K457" s="18" t="s">
        <v>46</v>
      </c>
      <c r="L457" s="18" t="s">
        <v>60</v>
      </c>
      <c r="M457" s="18">
        <v>9</v>
      </c>
      <c r="N457" s="18">
        <v>55000</v>
      </c>
      <c r="O457" s="18">
        <v>15</v>
      </c>
      <c r="P457" s="18">
        <v>420750</v>
      </c>
      <c r="Q457" s="18">
        <v>3</v>
      </c>
      <c r="R457" s="18" t="s">
        <v>88</v>
      </c>
      <c r="S457" s="18" t="s">
        <v>35</v>
      </c>
      <c r="T457" s="18" t="s">
        <v>62</v>
      </c>
      <c r="U457" s="19" t="s">
        <v>1944</v>
      </c>
      <c r="V457" s="18" t="s">
        <v>69</v>
      </c>
      <c r="W457" t="str">
        <f t="shared" si="49"/>
        <v>Blacklisted</v>
      </c>
      <c r="X457" s="27" t="str">
        <f t="shared" si="50"/>
        <v>Pooja Shah</v>
      </c>
      <c r="Y457" s="29" t="str">
        <f t="shared" si="51"/>
        <v>Poo01IDPu</v>
      </c>
      <c r="Z457" s="30" t="str">
        <f t="shared" si="52"/>
        <v>pooja.shah@company.com</v>
      </c>
      <c r="AA457" s="32">
        <f t="shared" ca="1" si="53"/>
        <v>23</v>
      </c>
      <c r="AB457" s="33">
        <f t="shared" si="54"/>
        <v>6</v>
      </c>
      <c r="AC457" s="34" t="str">
        <f t="shared" si="55"/>
        <v>Delayed</v>
      </c>
    </row>
    <row r="458" spans="1:29">
      <c r="A458" s="15" t="s">
        <v>1945</v>
      </c>
      <c r="B458" s="15" t="s">
        <v>327</v>
      </c>
      <c r="C458" s="15" t="s">
        <v>40</v>
      </c>
      <c r="D458" s="15" t="s">
        <v>185</v>
      </c>
      <c r="E458" s="15" t="s">
        <v>918</v>
      </c>
      <c r="F458" s="15" t="s">
        <v>394</v>
      </c>
      <c r="G458" s="15" t="s">
        <v>76</v>
      </c>
      <c r="H458" s="15" t="s">
        <v>1946</v>
      </c>
      <c r="I458" s="15" t="s">
        <v>59</v>
      </c>
      <c r="J458" s="15" t="s">
        <v>31</v>
      </c>
      <c r="K458" s="15" t="s">
        <v>46</v>
      </c>
      <c r="L458" s="15" t="s">
        <v>47</v>
      </c>
      <c r="M458" s="15">
        <v>12</v>
      </c>
      <c r="N458" s="15">
        <v>12000</v>
      </c>
      <c r="O458" s="15">
        <v>0</v>
      </c>
      <c r="P458" s="15">
        <v>144000</v>
      </c>
      <c r="Q458" s="15">
        <v>3</v>
      </c>
      <c r="R458" s="15" t="s">
        <v>79</v>
      </c>
      <c r="S458" s="15" t="s">
        <v>151</v>
      </c>
      <c r="T458" s="15" t="s">
        <v>332</v>
      </c>
      <c r="U458" s="17" t="s">
        <v>1947</v>
      </c>
      <c r="V458" s="15" t="s">
        <v>69</v>
      </c>
      <c r="W458" t="str">
        <f t="shared" si="49"/>
        <v>Blacklisted</v>
      </c>
      <c r="X458" s="27" t="str">
        <f t="shared" si="50"/>
        <v>Amit Sharma</v>
      </c>
      <c r="Y458" s="29" t="str">
        <f t="shared" si="51"/>
        <v>Ami00IDBe</v>
      </c>
      <c r="Z458" s="30" t="str">
        <f t="shared" si="52"/>
        <v>amit.sharma@company.com</v>
      </c>
      <c r="AA458" s="32">
        <f t="shared" ca="1" si="53"/>
        <v>33</v>
      </c>
      <c r="AB458" s="33">
        <f t="shared" si="54"/>
        <v>1</v>
      </c>
      <c r="AC458" s="34" t="str">
        <f t="shared" si="55"/>
        <v>On Time</v>
      </c>
    </row>
    <row r="459" spans="1:29">
      <c r="A459" s="18" t="s">
        <v>1948</v>
      </c>
      <c r="B459" s="18" t="s">
        <v>100</v>
      </c>
      <c r="C459" s="18" t="s">
        <v>118</v>
      </c>
      <c r="D459" s="18" t="s">
        <v>42</v>
      </c>
      <c r="E459" s="18" t="s">
        <v>597</v>
      </c>
      <c r="F459" s="18" t="s">
        <v>103</v>
      </c>
      <c r="G459" s="18" t="s">
        <v>28</v>
      </c>
      <c r="H459" s="18" t="s">
        <v>1949</v>
      </c>
      <c r="I459" s="18" t="s">
        <v>138</v>
      </c>
      <c r="J459" s="18" t="s">
        <v>106</v>
      </c>
      <c r="K459" s="18" t="s">
        <v>122</v>
      </c>
      <c r="L459" s="18" t="s">
        <v>123</v>
      </c>
      <c r="M459" s="18">
        <v>7</v>
      </c>
      <c r="N459" s="18">
        <v>60</v>
      </c>
      <c r="O459" s="18">
        <v>10</v>
      </c>
      <c r="P459" s="18">
        <v>378</v>
      </c>
      <c r="Q459" s="18">
        <v>4</v>
      </c>
      <c r="R459" s="18" t="s">
        <v>34</v>
      </c>
      <c r="S459" s="18" t="s">
        <v>49</v>
      </c>
      <c r="T459" s="18" t="s">
        <v>144</v>
      </c>
      <c r="U459" s="19" t="s">
        <v>1950</v>
      </c>
      <c r="V459" s="18" t="s">
        <v>69</v>
      </c>
      <c r="W459" t="str">
        <f t="shared" si="49"/>
        <v>Blacklisted</v>
      </c>
      <c r="X459" s="27" t="str">
        <f t="shared" si="50"/>
        <v>Priya Patel</v>
      </c>
      <c r="Y459" s="29" t="str">
        <f t="shared" si="51"/>
        <v>Pri00IDAh</v>
      </c>
      <c r="Z459" s="30" t="str">
        <f t="shared" si="52"/>
        <v>priya.patel@company.com</v>
      </c>
      <c r="AA459" s="32">
        <f t="shared" ca="1" si="53"/>
        <v>51</v>
      </c>
      <c r="AB459" s="33">
        <f t="shared" si="54"/>
        <v>7</v>
      </c>
      <c r="AC459" s="34" t="str">
        <f t="shared" si="55"/>
        <v>Delayed</v>
      </c>
    </row>
    <row r="460" spans="1:29">
      <c r="A460" s="15" t="s">
        <v>1951</v>
      </c>
      <c r="B460" s="15" t="s">
        <v>221</v>
      </c>
      <c r="C460" s="15" t="s">
        <v>24</v>
      </c>
      <c r="D460" s="15" t="s">
        <v>377</v>
      </c>
      <c r="E460" s="15" t="s">
        <v>674</v>
      </c>
      <c r="F460" s="15" t="s">
        <v>225</v>
      </c>
      <c r="G460" s="15" t="s">
        <v>76</v>
      </c>
      <c r="H460" s="15" t="s">
        <v>1952</v>
      </c>
      <c r="I460" s="15" t="s">
        <v>105</v>
      </c>
      <c r="J460" s="15" t="s">
        <v>106</v>
      </c>
      <c r="K460" s="15" t="s">
        <v>32</v>
      </c>
      <c r="L460" s="15" t="s">
        <v>33</v>
      </c>
      <c r="M460" s="15">
        <v>17</v>
      </c>
      <c r="N460" s="15">
        <v>2200</v>
      </c>
      <c r="O460" s="15">
        <v>15</v>
      </c>
      <c r="P460" s="15">
        <v>31790</v>
      </c>
      <c r="Q460" s="15">
        <v>3</v>
      </c>
      <c r="R460" s="15" t="s">
        <v>88</v>
      </c>
      <c r="S460" s="15" t="s">
        <v>151</v>
      </c>
      <c r="T460" s="15" t="s">
        <v>228</v>
      </c>
      <c r="U460" s="17" t="s">
        <v>1953</v>
      </c>
      <c r="V460" s="15" t="s">
        <v>64</v>
      </c>
      <c r="W460" t="str">
        <f t="shared" si="49"/>
        <v>Blacklisted</v>
      </c>
      <c r="X460" s="27" t="str">
        <f t="shared" si="50"/>
        <v>Vikas Mehta</v>
      </c>
      <c r="Y460" s="29" t="str">
        <f t="shared" si="51"/>
        <v>Vik00IDMu</v>
      </c>
      <c r="Z460" s="30" t="str">
        <f t="shared" si="52"/>
        <v>vikas.mehta@company.com</v>
      </c>
      <c r="AA460" s="32">
        <f t="shared" ca="1" si="53"/>
        <v>32</v>
      </c>
      <c r="AB460" s="33">
        <f t="shared" si="54"/>
        <v>8</v>
      </c>
      <c r="AC460" s="34" t="str">
        <f t="shared" si="55"/>
        <v>Delayed</v>
      </c>
    </row>
    <row r="461" spans="1:29">
      <c r="A461" s="18" t="s">
        <v>1954</v>
      </c>
      <c r="B461" s="18" t="s">
        <v>327</v>
      </c>
      <c r="C461" s="18" t="s">
        <v>184</v>
      </c>
      <c r="D461" s="18" t="s">
        <v>351</v>
      </c>
      <c r="E461" s="18" t="s">
        <v>1537</v>
      </c>
      <c r="F461" s="18" t="s">
        <v>394</v>
      </c>
      <c r="G461" s="18" t="s">
        <v>76</v>
      </c>
      <c r="H461" s="18" t="s">
        <v>1955</v>
      </c>
      <c r="I461" s="18" t="s">
        <v>59</v>
      </c>
      <c r="J461" s="18" t="s">
        <v>31</v>
      </c>
      <c r="K461" s="18" t="s">
        <v>46</v>
      </c>
      <c r="L461" s="18" t="s">
        <v>189</v>
      </c>
      <c r="M461" s="18">
        <v>17</v>
      </c>
      <c r="N461" s="18">
        <v>700</v>
      </c>
      <c r="O461" s="18">
        <v>10</v>
      </c>
      <c r="P461" s="18">
        <v>10710</v>
      </c>
      <c r="Q461" s="18">
        <v>2</v>
      </c>
      <c r="R461" s="18" t="s">
        <v>34</v>
      </c>
      <c r="S461" s="18" t="s">
        <v>61</v>
      </c>
      <c r="T461" s="18" t="s">
        <v>332</v>
      </c>
      <c r="U461" s="19" t="s">
        <v>1956</v>
      </c>
      <c r="V461" s="18" t="s">
        <v>64</v>
      </c>
      <c r="W461" t="str">
        <f t="shared" si="49"/>
        <v>Blacklisted</v>
      </c>
      <c r="X461" s="27" t="str">
        <f t="shared" si="50"/>
        <v>Amit Sharma</v>
      </c>
      <c r="Y461" s="29" t="str">
        <f t="shared" si="51"/>
        <v>Ami00IDBe</v>
      </c>
      <c r="Z461" s="30" t="str">
        <f t="shared" si="52"/>
        <v>amit.sharma@company.com</v>
      </c>
      <c r="AA461" s="32">
        <f t="shared" ca="1" si="53"/>
        <v>33</v>
      </c>
      <c r="AB461" s="33">
        <f t="shared" si="54"/>
        <v>9</v>
      </c>
      <c r="AC461" s="34" t="str">
        <f t="shared" si="55"/>
        <v>Delayed</v>
      </c>
    </row>
    <row r="462" spans="1:29">
      <c r="A462" s="15" t="s">
        <v>1957</v>
      </c>
      <c r="B462" s="15" t="s">
        <v>327</v>
      </c>
      <c r="C462" s="15" t="s">
        <v>54</v>
      </c>
      <c r="D462" s="15" t="s">
        <v>1958</v>
      </c>
      <c r="E462" s="15" t="s">
        <v>1188</v>
      </c>
      <c r="F462" s="15" t="s">
        <v>394</v>
      </c>
      <c r="G462" s="15" t="s">
        <v>76</v>
      </c>
      <c r="H462" s="15" t="s">
        <v>1959</v>
      </c>
      <c r="I462" s="15" t="s">
        <v>44</v>
      </c>
      <c r="J462" s="15" t="s">
        <v>45</v>
      </c>
      <c r="K462" s="15" t="s">
        <v>46</v>
      </c>
      <c r="L462" s="15" t="s">
        <v>60</v>
      </c>
      <c r="M462" s="15">
        <v>19</v>
      </c>
      <c r="N462" s="15">
        <v>55000</v>
      </c>
      <c r="O462" s="15">
        <v>20</v>
      </c>
      <c r="P462" s="15">
        <v>836000</v>
      </c>
      <c r="Q462" s="15">
        <v>5</v>
      </c>
      <c r="R462" s="15" t="s">
        <v>48</v>
      </c>
      <c r="S462" s="15" t="s">
        <v>61</v>
      </c>
      <c r="T462" s="15" t="s">
        <v>332</v>
      </c>
      <c r="U462" s="17" t="s">
        <v>1960</v>
      </c>
      <c r="V462" s="15" t="s">
        <v>38</v>
      </c>
      <c r="W462" t="str">
        <f t="shared" si="49"/>
        <v>Blacklisted</v>
      </c>
      <c r="X462" s="27" t="str">
        <f t="shared" si="50"/>
        <v>Amit Sharma</v>
      </c>
      <c r="Y462" s="29" t="str">
        <f t="shared" si="51"/>
        <v>Ami00IDDe</v>
      </c>
      <c r="Z462" s="30" t="str">
        <f t="shared" si="52"/>
        <v>amit.sharma@company.com</v>
      </c>
      <c r="AA462" s="32">
        <f t="shared" ca="1" si="53"/>
        <v>24</v>
      </c>
      <c r="AB462" s="33">
        <f t="shared" si="54"/>
        <v>3</v>
      </c>
      <c r="AC462" s="34" t="str">
        <f t="shared" si="55"/>
        <v>On Time</v>
      </c>
    </row>
    <row r="463" spans="1:29">
      <c r="A463" s="18" t="s">
        <v>1961</v>
      </c>
      <c r="B463" s="18" t="s">
        <v>127</v>
      </c>
      <c r="C463" s="18" t="s">
        <v>118</v>
      </c>
      <c r="D463" s="18" t="s">
        <v>1172</v>
      </c>
      <c r="E463" s="18" t="s">
        <v>128</v>
      </c>
      <c r="F463" s="18" t="s">
        <v>200</v>
      </c>
      <c r="G463" s="18" t="s">
        <v>76</v>
      </c>
      <c r="H463" s="18" t="s">
        <v>1962</v>
      </c>
      <c r="I463" s="18" t="s">
        <v>44</v>
      </c>
      <c r="J463" s="18" t="s">
        <v>45</v>
      </c>
      <c r="K463" s="18" t="s">
        <v>122</v>
      </c>
      <c r="L463" s="18" t="s">
        <v>123</v>
      </c>
      <c r="M463" s="18">
        <v>1</v>
      </c>
      <c r="N463" s="18">
        <v>60</v>
      </c>
      <c r="O463" s="18">
        <v>10</v>
      </c>
      <c r="P463" s="18">
        <v>54</v>
      </c>
      <c r="Q463" s="18">
        <v>4</v>
      </c>
      <c r="R463" s="18" t="s">
        <v>48</v>
      </c>
      <c r="S463" s="18"/>
      <c r="T463" s="20" t="s">
        <v>1963</v>
      </c>
      <c r="U463" s="19" t="s">
        <v>1964</v>
      </c>
      <c r="V463" s="18" t="s">
        <v>69</v>
      </c>
      <c r="W463" t="str">
        <f t="shared" si="49"/>
        <v>Blacklisted</v>
      </c>
      <c r="X463" s="27" t="str">
        <f t="shared" si="50"/>
        <v>Rohit Singh</v>
      </c>
      <c r="Y463" s="29" t="str">
        <f t="shared" si="51"/>
        <v>Roh00IDDe</v>
      </c>
      <c r="Z463" s="30" t="str">
        <f t="shared" si="52"/>
        <v>rohit.singh@company.com</v>
      </c>
      <c r="AA463" s="32">
        <f t="shared" ca="1" si="53"/>
        <v>25</v>
      </c>
      <c r="AB463" s="33">
        <f t="shared" si="54"/>
        <v>7</v>
      </c>
      <c r="AC463" s="34" t="str">
        <f t="shared" si="55"/>
        <v>Delayed</v>
      </c>
    </row>
    <row r="464" spans="1:29">
      <c r="A464" s="15" t="s">
        <v>1965</v>
      </c>
      <c r="B464" s="15" t="s">
        <v>71</v>
      </c>
      <c r="C464" s="15" t="s">
        <v>92</v>
      </c>
      <c r="D464" s="15" t="s">
        <v>1142</v>
      </c>
      <c r="E464" s="15" t="s">
        <v>554</v>
      </c>
      <c r="F464" s="15" t="s">
        <v>217</v>
      </c>
      <c r="G464" s="15" t="s">
        <v>76</v>
      </c>
      <c r="H464" s="15" t="s">
        <v>1966</v>
      </c>
      <c r="I464" s="15" t="s">
        <v>30</v>
      </c>
      <c r="J464" s="15" t="s">
        <v>31</v>
      </c>
      <c r="K464" s="15" t="s">
        <v>32</v>
      </c>
      <c r="L464" s="15" t="s">
        <v>97</v>
      </c>
      <c r="M464" s="15">
        <v>16</v>
      </c>
      <c r="N464" s="15">
        <v>3500</v>
      </c>
      <c r="O464" s="15">
        <v>0</v>
      </c>
      <c r="P464" s="15">
        <v>56000</v>
      </c>
      <c r="Q464" s="15">
        <v>4</v>
      </c>
      <c r="R464" s="15" t="s">
        <v>48</v>
      </c>
      <c r="S464" s="15" t="s">
        <v>35</v>
      </c>
      <c r="T464" s="15" t="s">
        <v>80</v>
      </c>
      <c r="U464" s="17" t="s">
        <v>1967</v>
      </c>
      <c r="V464" s="15" t="s">
        <v>64</v>
      </c>
      <c r="W464" t="str">
        <f t="shared" si="49"/>
        <v>Blacklisted</v>
      </c>
      <c r="X464" s="27" t="str">
        <f t="shared" si="50"/>
        <v>Mohit Verma</v>
      </c>
      <c r="Y464" s="29" t="str">
        <f t="shared" si="51"/>
        <v>Moh00IDHy</v>
      </c>
      <c r="Z464" s="30" t="str">
        <f t="shared" si="52"/>
        <v>mohit.verma@company.com</v>
      </c>
      <c r="AA464" s="32">
        <f t="shared" ca="1" si="53"/>
        <v>36</v>
      </c>
      <c r="AB464" s="33">
        <f t="shared" si="54"/>
        <v>7</v>
      </c>
      <c r="AC464" s="34" t="str">
        <f t="shared" si="55"/>
        <v>Delayed</v>
      </c>
    </row>
    <row r="465" spans="1:29">
      <c r="A465" s="18" t="s">
        <v>1968</v>
      </c>
      <c r="B465" s="18" t="s">
        <v>127</v>
      </c>
      <c r="C465" s="18" t="s">
        <v>222</v>
      </c>
      <c r="D465" s="18" t="s">
        <v>957</v>
      </c>
      <c r="E465" s="18" t="s">
        <v>766</v>
      </c>
      <c r="F465" s="18" t="s">
        <v>200</v>
      </c>
      <c r="G465" s="18" t="s">
        <v>76</v>
      </c>
      <c r="H465" s="18" t="s">
        <v>1295</v>
      </c>
      <c r="I465" s="18" t="s">
        <v>114</v>
      </c>
      <c r="J465" s="18" t="s">
        <v>106</v>
      </c>
      <c r="K465" s="18" t="s">
        <v>122</v>
      </c>
      <c r="L465" s="18" t="s">
        <v>227</v>
      </c>
      <c r="M465" s="18">
        <v>14</v>
      </c>
      <c r="N465" s="18">
        <v>20</v>
      </c>
      <c r="O465" s="18">
        <v>10</v>
      </c>
      <c r="P465" s="18">
        <v>252</v>
      </c>
      <c r="Q465" s="18">
        <v>1</v>
      </c>
      <c r="R465" s="18" t="s">
        <v>48</v>
      </c>
      <c r="S465" s="18" t="s">
        <v>61</v>
      </c>
      <c r="T465" s="18" t="s">
        <v>132</v>
      </c>
      <c r="U465" s="19" t="s">
        <v>1969</v>
      </c>
      <c r="V465" s="18" t="s">
        <v>64</v>
      </c>
      <c r="W465" t="str">
        <f t="shared" si="49"/>
        <v>Blacklisted</v>
      </c>
      <c r="X465" s="27" t="str">
        <f t="shared" si="50"/>
        <v>Rohit Singh</v>
      </c>
      <c r="Y465" s="29" t="str">
        <f t="shared" si="51"/>
        <v>Roh00IDPu</v>
      </c>
      <c r="Z465" s="30" t="str">
        <f t="shared" si="52"/>
        <v>rohit.singh@company.com</v>
      </c>
      <c r="AA465" s="32">
        <f t="shared" ca="1" si="53"/>
        <v>48</v>
      </c>
      <c r="AB465" s="33">
        <f t="shared" si="54"/>
        <v>12</v>
      </c>
      <c r="AC465" s="34" t="str">
        <f t="shared" si="55"/>
        <v>Delayed</v>
      </c>
    </row>
    <row r="466" spans="1:29">
      <c r="A466" s="15" t="s">
        <v>1970</v>
      </c>
      <c r="B466" s="15" t="s">
        <v>71</v>
      </c>
      <c r="C466" s="15" t="s">
        <v>24</v>
      </c>
      <c r="D466" s="15" t="s">
        <v>473</v>
      </c>
      <c r="E466" s="15" t="s">
        <v>454</v>
      </c>
      <c r="F466" s="15" t="s">
        <v>217</v>
      </c>
      <c r="G466" s="15" t="s">
        <v>76</v>
      </c>
      <c r="H466" s="15" t="s">
        <v>1971</v>
      </c>
      <c r="I466" s="15" t="s">
        <v>59</v>
      </c>
      <c r="J466" s="15" t="s">
        <v>31</v>
      </c>
      <c r="K466" s="15" t="s">
        <v>32</v>
      </c>
      <c r="L466" s="15" t="s">
        <v>33</v>
      </c>
      <c r="M466" s="15">
        <v>11</v>
      </c>
      <c r="N466" s="15">
        <v>2200</v>
      </c>
      <c r="O466" s="15">
        <v>15</v>
      </c>
      <c r="P466" s="15">
        <v>20570</v>
      </c>
      <c r="Q466" s="15">
        <v>4</v>
      </c>
      <c r="R466" s="15" t="s">
        <v>48</v>
      </c>
      <c r="S466" s="15" t="s">
        <v>49</v>
      </c>
      <c r="T466" s="15" t="s">
        <v>80</v>
      </c>
      <c r="U466" s="17" t="s">
        <v>1972</v>
      </c>
      <c r="V466" s="15" t="s">
        <v>69</v>
      </c>
      <c r="W466" t="str">
        <f t="shared" si="49"/>
        <v>Blacklisted</v>
      </c>
      <c r="X466" s="27" t="str">
        <f t="shared" si="50"/>
        <v>Mohit Verma</v>
      </c>
      <c r="Y466" s="29" t="str">
        <f t="shared" si="51"/>
        <v>Moh00IDBe</v>
      </c>
      <c r="Z466" s="30" t="str">
        <f t="shared" si="52"/>
        <v>mohit.verma@company.com</v>
      </c>
      <c r="AA466" s="32">
        <f t="shared" ca="1" si="53"/>
        <v>26</v>
      </c>
      <c r="AB466" s="33">
        <f t="shared" si="54"/>
        <v>1</v>
      </c>
      <c r="AC466" s="34" t="str">
        <f t="shared" si="55"/>
        <v>On Time</v>
      </c>
    </row>
    <row r="467" spans="1:29">
      <c r="A467" s="18" t="s">
        <v>1973</v>
      </c>
      <c r="B467" s="18" t="s">
        <v>83</v>
      </c>
      <c r="C467" s="18" t="s">
        <v>54</v>
      </c>
      <c r="D467" s="18" t="s">
        <v>756</v>
      </c>
      <c r="E467" s="18" t="s">
        <v>1282</v>
      </c>
      <c r="F467" s="18" t="s">
        <v>180</v>
      </c>
      <c r="G467" s="18" t="s">
        <v>76</v>
      </c>
      <c r="H467" s="18" t="s">
        <v>1974</v>
      </c>
      <c r="I467" s="18" t="s">
        <v>212</v>
      </c>
      <c r="J467" s="18" t="s">
        <v>45</v>
      </c>
      <c r="K467" s="18" t="s">
        <v>46</v>
      </c>
      <c r="L467" s="18" t="s">
        <v>60</v>
      </c>
      <c r="M467" s="18">
        <v>2</v>
      </c>
      <c r="N467" s="18">
        <v>55000</v>
      </c>
      <c r="O467" s="18">
        <v>0</v>
      </c>
      <c r="P467" s="18">
        <v>110000</v>
      </c>
      <c r="Q467" s="18">
        <v>4</v>
      </c>
      <c r="R467" s="18" t="s">
        <v>48</v>
      </c>
      <c r="S467" s="18" t="s">
        <v>49</v>
      </c>
      <c r="T467" s="18" t="s">
        <v>89</v>
      </c>
      <c r="U467" s="19" t="s">
        <v>1975</v>
      </c>
      <c r="V467" s="18" t="s">
        <v>69</v>
      </c>
      <c r="W467" t="str">
        <f t="shared" si="49"/>
        <v>Blacklisted</v>
      </c>
      <c r="X467" s="27" t="str">
        <f t="shared" si="50"/>
        <v>Arjun Rao</v>
      </c>
      <c r="Y467" s="29" t="str">
        <f t="shared" si="51"/>
        <v>Arj00IDJa</v>
      </c>
      <c r="Z467" s="30" t="str">
        <f t="shared" si="52"/>
        <v>arjun.rao@company.com</v>
      </c>
      <c r="AA467" s="32">
        <f t="shared" ca="1" si="53"/>
        <v>41</v>
      </c>
      <c r="AB467" s="33">
        <f t="shared" si="54"/>
        <v>8</v>
      </c>
      <c r="AC467" s="34" t="str">
        <f t="shared" si="55"/>
        <v>Delayed</v>
      </c>
    </row>
    <row r="468" spans="1:29">
      <c r="A468" s="15" t="s">
        <v>1976</v>
      </c>
      <c r="B468" s="15" t="s">
        <v>53</v>
      </c>
      <c r="C468" s="15" t="s">
        <v>24</v>
      </c>
      <c r="D468" s="15" t="s">
        <v>512</v>
      </c>
      <c r="E468" s="15" t="s">
        <v>513</v>
      </c>
      <c r="F468" s="15" t="s">
        <v>163</v>
      </c>
      <c r="G468" s="15" t="s">
        <v>28</v>
      </c>
      <c r="H468" s="15" t="s">
        <v>1977</v>
      </c>
      <c r="I468" s="15" t="s">
        <v>114</v>
      </c>
      <c r="J468" s="15" t="s">
        <v>106</v>
      </c>
      <c r="K468" s="15" t="s">
        <v>32</v>
      </c>
      <c r="L468" s="15" t="s">
        <v>33</v>
      </c>
      <c r="M468" s="15">
        <v>7</v>
      </c>
      <c r="N468" s="15">
        <v>2200</v>
      </c>
      <c r="O468" s="15">
        <v>5</v>
      </c>
      <c r="P468" s="15">
        <v>14630</v>
      </c>
      <c r="Q468" s="15">
        <v>4</v>
      </c>
      <c r="R468" s="15" t="s">
        <v>79</v>
      </c>
      <c r="S468" s="15" t="s">
        <v>115</v>
      </c>
      <c r="T468" s="15" t="s">
        <v>62</v>
      </c>
      <c r="U468" s="17" t="s">
        <v>1978</v>
      </c>
      <c r="V468" s="15" t="s">
        <v>69</v>
      </c>
      <c r="W468" t="str">
        <f t="shared" si="49"/>
        <v>Blacklisted</v>
      </c>
      <c r="X468" s="27" t="str">
        <f t="shared" si="50"/>
        <v>Pooja Shah</v>
      </c>
      <c r="Y468" s="29" t="str">
        <f t="shared" si="51"/>
        <v>Poo01IDPu</v>
      </c>
      <c r="Z468" s="30" t="str">
        <f t="shared" si="52"/>
        <v>pooja.shah@company.com</v>
      </c>
      <c r="AA468" s="32">
        <f t="shared" ca="1" si="53"/>
        <v>38</v>
      </c>
      <c r="AB468" s="33">
        <f t="shared" si="54"/>
        <v>6</v>
      </c>
      <c r="AC468" s="34" t="str">
        <f t="shared" si="55"/>
        <v>Delayed</v>
      </c>
    </row>
    <row r="469" spans="1:29">
      <c r="A469" s="18" t="s">
        <v>1979</v>
      </c>
      <c r="B469" s="18" t="s">
        <v>23</v>
      </c>
      <c r="C469" s="18" t="s">
        <v>259</v>
      </c>
      <c r="D469" s="18" t="s">
        <v>1507</v>
      </c>
      <c r="E469" s="18" t="s">
        <v>577</v>
      </c>
      <c r="F469" s="18" t="s">
        <v>27</v>
      </c>
      <c r="G469" s="18" t="s">
        <v>28</v>
      </c>
      <c r="H469" s="18" t="s">
        <v>1980</v>
      </c>
      <c r="I469" s="18" t="s">
        <v>138</v>
      </c>
      <c r="J469" s="18" t="s">
        <v>106</v>
      </c>
      <c r="K469" s="18" t="s">
        <v>122</v>
      </c>
      <c r="L469" s="18" t="s">
        <v>263</v>
      </c>
      <c r="M469" s="18">
        <v>11</v>
      </c>
      <c r="N469" s="18">
        <v>45</v>
      </c>
      <c r="O469" s="18">
        <v>15</v>
      </c>
      <c r="P469" s="18">
        <v>420.75</v>
      </c>
      <c r="Q469" s="18">
        <v>4</v>
      </c>
      <c r="R469" s="18" t="s">
        <v>79</v>
      </c>
      <c r="S469" s="18" t="s">
        <v>61</v>
      </c>
      <c r="T469" s="18" t="s">
        <v>50</v>
      </c>
      <c r="U469" s="19" t="s">
        <v>1981</v>
      </c>
      <c r="V469" s="18" t="s">
        <v>64</v>
      </c>
      <c r="W469" t="str">
        <f t="shared" si="49"/>
        <v>Blacklisted</v>
      </c>
      <c r="X469" s="27" t="str">
        <f t="shared" si="50"/>
        <v>Kavya Nair</v>
      </c>
      <c r="Y469" s="29" t="str">
        <f t="shared" si="51"/>
        <v>Kav00IDAh</v>
      </c>
      <c r="Z469" s="30" t="str">
        <f t="shared" si="52"/>
        <v>kavya.nair@company.com</v>
      </c>
      <c r="AA469" s="32">
        <f t="shared" ca="1" si="53"/>
        <v>29</v>
      </c>
      <c r="AB469" s="33">
        <f t="shared" si="54"/>
        <v>4</v>
      </c>
      <c r="AC469" s="34" t="str">
        <f t="shared" si="55"/>
        <v>On Time</v>
      </c>
    </row>
    <row r="470" spans="1:29">
      <c r="A470" s="15" t="s">
        <v>1982</v>
      </c>
      <c r="B470" s="15" t="s">
        <v>100</v>
      </c>
      <c r="C470" s="15" t="s">
        <v>118</v>
      </c>
      <c r="D470" s="15" t="s">
        <v>1114</v>
      </c>
      <c r="E470" s="15" t="s">
        <v>210</v>
      </c>
      <c r="F470" s="15" t="s">
        <v>103</v>
      </c>
      <c r="G470" s="15" t="s">
        <v>28</v>
      </c>
      <c r="H470" s="15" t="s">
        <v>1983</v>
      </c>
      <c r="I470" s="15" t="s">
        <v>105</v>
      </c>
      <c r="J470" s="15" t="s">
        <v>106</v>
      </c>
      <c r="K470" s="15" t="s">
        <v>122</v>
      </c>
      <c r="L470" s="15" t="s">
        <v>123</v>
      </c>
      <c r="M470" s="15">
        <v>16</v>
      </c>
      <c r="N470" s="15">
        <v>60</v>
      </c>
      <c r="O470" s="15">
        <v>5</v>
      </c>
      <c r="P470" s="15">
        <v>912</v>
      </c>
      <c r="Q470" s="15">
        <v>2</v>
      </c>
      <c r="R470" s="15" t="s">
        <v>34</v>
      </c>
      <c r="S470" s="15" t="s">
        <v>115</v>
      </c>
      <c r="T470" s="15" t="s">
        <v>144</v>
      </c>
      <c r="U470" s="17" t="s">
        <v>1984</v>
      </c>
      <c r="V470" s="15" t="s">
        <v>69</v>
      </c>
      <c r="W470" t="str">
        <f t="shared" si="49"/>
        <v>Blacklisted</v>
      </c>
      <c r="X470" s="27" t="str">
        <f t="shared" si="50"/>
        <v>Priya Patel</v>
      </c>
      <c r="Y470" s="29" t="str">
        <f t="shared" si="51"/>
        <v>Pri00IDMu</v>
      </c>
      <c r="Z470" s="30" t="str">
        <f t="shared" si="52"/>
        <v>priya.patel@company.com</v>
      </c>
      <c r="AA470" s="32">
        <f t="shared" ca="1" si="53"/>
        <v>25</v>
      </c>
      <c r="AB470" s="33">
        <f t="shared" si="54"/>
        <v>10</v>
      </c>
      <c r="AC470" s="34" t="str">
        <f t="shared" si="55"/>
        <v>Delayed</v>
      </c>
    </row>
    <row r="471" spans="1:29">
      <c r="A471" s="18" t="s">
        <v>1985</v>
      </c>
      <c r="B471" s="18" t="s">
        <v>327</v>
      </c>
      <c r="C471" s="18" t="s">
        <v>54</v>
      </c>
      <c r="D471" s="18" t="s">
        <v>1102</v>
      </c>
      <c r="E471" s="18" t="s">
        <v>864</v>
      </c>
      <c r="F471" s="18" t="s">
        <v>394</v>
      </c>
      <c r="G471" s="18" t="s">
        <v>76</v>
      </c>
      <c r="H471" s="18" t="s">
        <v>1986</v>
      </c>
      <c r="I471" s="18" t="s">
        <v>114</v>
      </c>
      <c r="J471" s="18" t="s">
        <v>106</v>
      </c>
      <c r="K471" s="18" t="s">
        <v>46</v>
      </c>
      <c r="L471" s="18" t="s">
        <v>60</v>
      </c>
      <c r="M471" s="18">
        <v>18</v>
      </c>
      <c r="N471" s="18">
        <v>55000</v>
      </c>
      <c r="O471" s="18">
        <v>0</v>
      </c>
      <c r="P471" s="18">
        <v>990000</v>
      </c>
      <c r="Q471" s="18">
        <v>5</v>
      </c>
      <c r="R471" s="18" t="s">
        <v>48</v>
      </c>
      <c r="S471" s="18" t="s">
        <v>49</v>
      </c>
      <c r="T471" s="18" t="s">
        <v>332</v>
      </c>
      <c r="U471" s="19" t="s">
        <v>1987</v>
      </c>
      <c r="V471" s="18" t="s">
        <v>64</v>
      </c>
      <c r="W471" t="str">
        <f t="shared" si="49"/>
        <v>Blacklisted</v>
      </c>
      <c r="X471" s="27" t="str">
        <f t="shared" si="50"/>
        <v>Amit Sharma</v>
      </c>
      <c r="Y471" s="29" t="str">
        <f t="shared" si="51"/>
        <v>Ami00IDPu</v>
      </c>
      <c r="Z471" s="30" t="str">
        <f t="shared" si="52"/>
        <v>amit.sharma@company.com</v>
      </c>
      <c r="AA471" s="32">
        <f t="shared" ca="1" si="53"/>
        <v>44</v>
      </c>
      <c r="AB471" s="33">
        <f t="shared" si="54"/>
        <v>2</v>
      </c>
      <c r="AC471" s="34" t="str">
        <f t="shared" si="55"/>
        <v>On Time</v>
      </c>
    </row>
    <row r="472" spans="1:29">
      <c r="A472" s="15" t="s">
        <v>1988</v>
      </c>
      <c r="B472" s="15" t="s">
        <v>23</v>
      </c>
      <c r="C472" s="15" t="s">
        <v>72</v>
      </c>
      <c r="D472" s="15" t="s">
        <v>1989</v>
      </c>
      <c r="E472" s="15" t="s">
        <v>1880</v>
      </c>
      <c r="F472" s="15" t="s">
        <v>27</v>
      </c>
      <c r="G472" s="15" t="s">
        <v>28</v>
      </c>
      <c r="H472" s="15" t="s">
        <v>1990</v>
      </c>
      <c r="I472" s="15" t="s">
        <v>59</v>
      </c>
      <c r="J472" s="15" t="s">
        <v>31</v>
      </c>
      <c r="K472" s="15" t="s">
        <v>46</v>
      </c>
      <c r="L472" s="15" t="s">
        <v>78</v>
      </c>
      <c r="M472" s="15">
        <v>17</v>
      </c>
      <c r="N472" s="15">
        <v>1200</v>
      </c>
      <c r="O472" s="15">
        <v>5</v>
      </c>
      <c r="P472" s="15">
        <v>19380</v>
      </c>
      <c r="Q472" s="15">
        <v>1</v>
      </c>
      <c r="R472" s="15" t="s">
        <v>48</v>
      </c>
      <c r="S472" s="15" t="s">
        <v>35</v>
      </c>
      <c r="T472" s="15" t="s">
        <v>50</v>
      </c>
      <c r="U472" s="17" t="s">
        <v>1991</v>
      </c>
      <c r="V472" s="15" t="s">
        <v>64</v>
      </c>
      <c r="W472" t="str">
        <f t="shared" si="49"/>
        <v>Blacklisted</v>
      </c>
      <c r="X472" s="27" t="str">
        <f t="shared" si="50"/>
        <v>Kavya Nair</v>
      </c>
      <c r="Y472" s="29" t="str">
        <f t="shared" si="51"/>
        <v>Kav00IDBe</v>
      </c>
      <c r="Z472" s="30" t="str">
        <f t="shared" si="52"/>
        <v>kavya.nair@company.com</v>
      </c>
      <c r="AA472" s="32">
        <f t="shared" ca="1" si="53"/>
        <v>27</v>
      </c>
      <c r="AB472" s="33">
        <f t="shared" si="54"/>
        <v>4</v>
      </c>
      <c r="AC472" s="34" t="str">
        <f t="shared" si="55"/>
        <v>On Time</v>
      </c>
    </row>
    <row r="473" spans="1:29">
      <c r="A473" s="18" t="s">
        <v>1992</v>
      </c>
      <c r="B473" s="18" t="s">
        <v>53</v>
      </c>
      <c r="C473" s="18" t="s">
        <v>54</v>
      </c>
      <c r="D473" s="18" t="s">
        <v>41</v>
      </c>
      <c r="E473" s="18" t="s">
        <v>199</v>
      </c>
      <c r="F473" s="18" t="s">
        <v>163</v>
      </c>
      <c r="G473" s="18" t="s">
        <v>28</v>
      </c>
      <c r="H473" s="18" t="s">
        <v>1993</v>
      </c>
      <c r="I473" s="18" t="s">
        <v>114</v>
      </c>
      <c r="J473" s="18" t="s">
        <v>106</v>
      </c>
      <c r="K473" s="18" t="s">
        <v>46</v>
      </c>
      <c r="L473" s="18" t="s">
        <v>60</v>
      </c>
      <c r="M473" s="18">
        <v>11</v>
      </c>
      <c r="N473" s="18">
        <v>55000</v>
      </c>
      <c r="O473" s="18">
        <v>0</v>
      </c>
      <c r="P473" s="18">
        <v>605000</v>
      </c>
      <c r="Q473" s="18">
        <v>2</v>
      </c>
      <c r="R473" s="18" t="s">
        <v>34</v>
      </c>
      <c r="S473" s="18" t="s">
        <v>61</v>
      </c>
      <c r="T473" s="18" t="s">
        <v>62</v>
      </c>
      <c r="U473" s="19" t="s">
        <v>1994</v>
      </c>
      <c r="V473" s="18" t="s">
        <v>64</v>
      </c>
      <c r="W473" t="str">
        <f t="shared" si="49"/>
        <v>Blacklisted</v>
      </c>
      <c r="X473" s="27" t="str">
        <f t="shared" si="50"/>
        <v>Pooja Shah</v>
      </c>
      <c r="Y473" s="29" t="str">
        <f t="shared" si="51"/>
        <v>Poo01IDPu</v>
      </c>
      <c r="Z473" s="30" t="str">
        <f t="shared" si="52"/>
        <v>pooja.shah@company.com</v>
      </c>
      <c r="AA473" s="32">
        <f t="shared" ca="1" si="53"/>
        <v>25</v>
      </c>
      <c r="AB473" s="33">
        <f t="shared" si="54"/>
        <v>8</v>
      </c>
      <c r="AC473" s="34" t="str">
        <f t="shared" si="55"/>
        <v>Delayed</v>
      </c>
    </row>
    <row r="474" spans="1:29">
      <c r="A474" s="15" t="s">
        <v>1995</v>
      </c>
      <c r="B474" s="15" t="s">
        <v>251</v>
      </c>
      <c r="C474" s="15" t="s">
        <v>184</v>
      </c>
      <c r="D474" s="15" t="s">
        <v>236</v>
      </c>
      <c r="E474" s="15" t="s">
        <v>678</v>
      </c>
      <c r="F474" s="15" t="s">
        <v>254</v>
      </c>
      <c r="G474" s="15" t="s">
        <v>28</v>
      </c>
      <c r="H474" s="15" t="s">
        <v>1996</v>
      </c>
      <c r="I474" s="15" t="s">
        <v>44</v>
      </c>
      <c r="J474" s="15" t="s">
        <v>45</v>
      </c>
      <c r="K474" s="15" t="s">
        <v>46</v>
      </c>
      <c r="L474" s="15" t="s">
        <v>189</v>
      </c>
      <c r="M474" s="15">
        <v>20</v>
      </c>
      <c r="N474" s="15">
        <v>700</v>
      </c>
      <c r="O474" s="15">
        <v>20</v>
      </c>
      <c r="P474" s="15">
        <v>11200</v>
      </c>
      <c r="Q474" s="15">
        <v>5</v>
      </c>
      <c r="R474" s="15" t="s">
        <v>48</v>
      </c>
      <c r="S474" s="15" t="s">
        <v>61</v>
      </c>
      <c r="T474" s="15" t="s">
        <v>256</v>
      </c>
      <c r="U474" s="17" t="s">
        <v>1997</v>
      </c>
      <c r="V474" s="15" t="s">
        <v>38</v>
      </c>
      <c r="W474" t="str">
        <f t="shared" si="49"/>
        <v>Silver</v>
      </c>
      <c r="X474" s="27" t="str">
        <f t="shared" si="50"/>
        <v>Sneha Joshi</v>
      </c>
      <c r="Y474" s="29" t="str">
        <f t="shared" si="51"/>
        <v>Sne00IDDe</v>
      </c>
      <c r="Z474" s="30" t="str">
        <f t="shared" si="52"/>
        <v>sneha.joshi@company.com</v>
      </c>
      <c r="AA474" s="32">
        <f t="shared" ca="1" si="53"/>
        <v>27</v>
      </c>
      <c r="AB474" s="33">
        <f t="shared" si="54"/>
        <v>9</v>
      </c>
      <c r="AC474" s="34" t="str">
        <f t="shared" si="55"/>
        <v>Delayed</v>
      </c>
    </row>
    <row r="475" spans="1:29">
      <c r="A475" s="18" t="s">
        <v>1998</v>
      </c>
      <c r="B475" s="18" t="s">
        <v>71</v>
      </c>
      <c r="C475" s="18" t="s">
        <v>222</v>
      </c>
      <c r="D475" s="18" t="s">
        <v>484</v>
      </c>
      <c r="E475" s="18" t="s">
        <v>322</v>
      </c>
      <c r="F475" s="18" t="s">
        <v>217</v>
      </c>
      <c r="G475" s="18" t="s">
        <v>76</v>
      </c>
      <c r="H475" s="18" t="s">
        <v>1999</v>
      </c>
      <c r="I475" s="18" t="s">
        <v>44</v>
      </c>
      <c r="J475" s="18" t="s">
        <v>45</v>
      </c>
      <c r="K475" s="18" t="s">
        <v>122</v>
      </c>
      <c r="L475" s="18" t="s">
        <v>227</v>
      </c>
      <c r="M475" s="18">
        <v>5</v>
      </c>
      <c r="N475" s="18">
        <v>20</v>
      </c>
      <c r="O475" s="18">
        <v>5</v>
      </c>
      <c r="P475" s="18">
        <v>95</v>
      </c>
      <c r="Q475" s="18">
        <v>4</v>
      </c>
      <c r="R475" s="18" t="s">
        <v>34</v>
      </c>
      <c r="S475" s="18" t="s">
        <v>49</v>
      </c>
      <c r="T475" s="18" t="s">
        <v>80</v>
      </c>
      <c r="U475" s="19" t="s">
        <v>2000</v>
      </c>
      <c r="V475" s="18" t="s">
        <v>69</v>
      </c>
      <c r="W475" t="str">
        <f t="shared" si="49"/>
        <v>Blacklisted</v>
      </c>
      <c r="X475" s="27" t="str">
        <f t="shared" si="50"/>
        <v>Mohit Verma</v>
      </c>
      <c r="Y475" s="29" t="str">
        <f t="shared" si="51"/>
        <v>Moh00IDDe</v>
      </c>
      <c r="Z475" s="30" t="str">
        <f t="shared" si="52"/>
        <v>mohit.verma@company.com</v>
      </c>
      <c r="AA475" s="32">
        <f t="shared" ca="1" si="53"/>
        <v>38</v>
      </c>
      <c r="AB475" s="33">
        <f t="shared" si="54"/>
        <v>11</v>
      </c>
      <c r="AC475" s="34" t="str">
        <f t="shared" si="55"/>
        <v>Delayed</v>
      </c>
    </row>
    <row r="476" spans="1:29">
      <c r="A476" s="15" t="s">
        <v>2001</v>
      </c>
      <c r="B476" s="15" t="s">
        <v>327</v>
      </c>
      <c r="C476" s="15" t="s">
        <v>54</v>
      </c>
      <c r="D476" s="15" t="s">
        <v>765</v>
      </c>
      <c r="E476" s="15" t="s">
        <v>1373</v>
      </c>
      <c r="F476" s="15" t="s">
        <v>394</v>
      </c>
      <c r="G476" s="15" t="s">
        <v>76</v>
      </c>
      <c r="H476" s="15" t="s">
        <v>2002</v>
      </c>
      <c r="I476" s="15" t="s">
        <v>105</v>
      </c>
      <c r="J476" s="15" t="s">
        <v>106</v>
      </c>
      <c r="K476" s="15" t="s">
        <v>46</v>
      </c>
      <c r="L476" s="15" t="s">
        <v>60</v>
      </c>
      <c r="M476" s="15">
        <v>13</v>
      </c>
      <c r="N476" s="15">
        <v>55000</v>
      </c>
      <c r="O476" s="15">
        <v>5</v>
      </c>
      <c r="P476" s="15">
        <v>679250</v>
      </c>
      <c r="Q476" s="15">
        <v>1</v>
      </c>
      <c r="R476" s="15" t="s">
        <v>48</v>
      </c>
      <c r="S476" s="15" t="s">
        <v>49</v>
      </c>
      <c r="T476" s="15" t="s">
        <v>332</v>
      </c>
      <c r="U476" s="17" t="s">
        <v>2003</v>
      </c>
      <c r="V476" s="15" t="s">
        <v>64</v>
      </c>
      <c r="W476" t="str">
        <f t="shared" si="49"/>
        <v>Blacklisted</v>
      </c>
      <c r="X476" s="27" t="str">
        <f t="shared" si="50"/>
        <v>Amit Sharma</v>
      </c>
      <c r="Y476" s="29" t="str">
        <f t="shared" si="51"/>
        <v>Ami00IDMu</v>
      </c>
      <c r="Z476" s="30" t="str">
        <f t="shared" si="52"/>
        <v>amit.sharma@company.com</v>
      </c>
      <c r="AA476" s="32">
        <f t="shared" ca="1" si="53"/>
        <v>51</v>
      </c>
      <c r="AB476" s="33">
        <f t="shared" si="54"/>
        <v>7</v>
      </c>
      <c r="AC476" s="34" t="str">
        <f t="shared" si="55"/>
        <v>Delayed</v>
      </c>
    </row>
    <row r="477" spans="1:29">
      <c r="A477" s="18" t="s">
        <v>2004</v>
      </c>
      <c r="B477" s="18" t="s">
        <v>127</v>
      </c>
      <c r="C477" s="18" t="s">
        <v>54</v>
      </c>
      <c r="D477" s="18" t="s">
        <v>102</v>
      </c>
      <c r="E477" s="18" t="s">
        <v>1114</v>
      </c>
      <c r="F477" s="18" t="s">
        <v>200</v>
      </c>
      <c r="G477" s="18" t="s">
        <v>76</v>
      </c>
      <c r="H477" s="18" t="s">
        <v>2005</v>
      </c>
      <c r="I477" s="18" t="s">
        <v>294</v>
      </c>
      <c r="J477" s="18" t="s">
        <v>295</v>
      </c>
      <c r="K477" s="18" t="s">
        <v>46</v>
      </c>
      <c r="L477" s="18" t="s">
        <v>60</v>
      </c>
      <c r="M477" s="18">
        <v>12</v>
      </c>
      <c r="N477" s="18">
        <v>55000</v>
      </c>
      <c r="O477" s="18">
        <v>5</v>
      </c>
      <c r="P477" s="18">
        <v>627000</v>
      </c>
      <c r="Q477" s="18">
        <v>1</v>
      </c>
      <c r="R477" s="18" t="s">
        <v>48</v>
      </c>
      <c r="S477" s="18" t="s">
        <v>115</v>
      </c>
      <c r="T477" s="18" t="s">
        <v>132</v>
      </c>
      <c r="U477" s="19" t="s">
        <v>2006</v>
      </c>
      <c r="V477" s="18" t="s">
        <v>69</v>
      </c>
      <c r="W477" t="str">
        <f t="shared" si="49"/>
        <v>Blacklisted</v>
      </c>
      <c r="X477" s="27" t="str">
        <f t="shared" si="50"/>
        <v>Rohit Singh</v>
      </c>
      <c r="Y477" s="29" t="str">
        <f t="shared" si="51"/>
        <v>Roh00IDKo</v>
      </c>
      <c r="Z477" s="30" t="str">
        <f t="shared" si="52"/>
        <v>rohit.singh@company.com</v>
      </c>
      <c r="AA477" s="32">
        <f t="shared" ca="1" si="53"/>
        <v>22</v>
      </c>
      <c r="AB477" s="33">
        <f t="shared" si="54"/>
        <v>1</v>
      </c>
      <c r="AC477" s="34" t="str">
        <f t="shared" si="55"/>
        <v>On Time</v>
      </c>
    </row>
    <row r="478" spans="1:29">
      <c r="A478" s="15" t="s">
        <v>2007</v>
      </c>
      <c r="B478" s="15" t="s">
        <v>53</v>
      </c>
      <c r="C478" s="15" t="s">
        <v>259</v>
      </c>
      <c r="D478" s="15" t="s">
        <v>761</v>
      </c>
      <c r="E478" s="15" t="s">
        <v>1705</v>
      </c>
      <c r="F478" s="15" t="s">
        <v>163</v>
      </c>
      <c r="G478" s="15" t="s">
        <v>28</v>
      </c>
      <c r="H478" s="15" t="s">
        <v>2008</v>
      </c>
      <c r="I478" s="15" t="s">
        <v>105</v>
      </c>
      <c r="J478" s="15" t="s">
        <v>106</v>
      </c>
      <c r="K478" s="15" t="s">
        <v>122</v>
      </c>
      <c r="L478" s="15" t="s">
        <v>263</v>
      </c>
      <c r="M478" s="15">
        <v>16</v>
      </c>
      <c r="N478" s="15">
        <v>45</v>
      </c>
      <c r="O478" s="15">
        <v>20</v>
      </c>
      <c r="P478" s="15">
        <v>576</v>
      </c>
      <c r="Q478" s="15">
        <v>2</v>
      </c>
      <c r="R478" s="15" t="s">
        <v>34</v>
      </c>
      <c r="S478" s="15" t="s">
        <v>49</v>
      </c>
      <c r="T478" s="15" t="s">
        <v>62</v>
      </c>
      <c r="U478" s="17" t="s">
        <v>2009</v>
      </c>
      <c r="V478" s="15" t="s">
        <v>64</v>
      </c>
      <c r="W478" t="str">
        <f t="shared" si="49"/>
        <v>Blacklisted</v>
      </c>
      <c r="X478" s="27" t="str">
        <f t="shared" si="50"/>
        <v>Pooja Shah</v>
      </c>
      <c r="Y478" s="29" t="str">
        <f t="shared" si="51"/>
        <v>Poo01IDMu</v>
      </c>
      <c r="Z478" s="30" t="str">
        <f t="shared" si="52"/>
        <v>pooja.shah@company.com</v>
      </c>
      <c r="AA478" s="32">
        <f t="shared" ca="1" si="53"/>
        <v>25</v>
      </c>
      <c r="AB478" s="33">
        <f t="shared" si="54"/>
        <v>7</v>
      </c>
      <c r="AC478" s="34" t="str">
        <f t="shared" si="55"/>
        <v>Delayed</v>
      </c>
    </row>
    <row r="479" spans="1:29">
      <c r="A479" s="18" t="s">
        <v>2010</v>
      </c>
      <c r="B479" s="18" t="s">
        <v>23</v>
      </c>
      <c r="C479" s="18" t="s">
        <v>72</v>
      </c>
      <c r="D479" s="18" t="s">
        <v>25</v>
      </c>
      <c r="E479" s="18" t="s">
        <v>73</v>
      </c>
      <c r="F479" s="18" t="s">
        <v>27</v>
      </c>
      <c r="G479" s="18" t="s">
        <v>28</v>
      </c>
      <c r="H479" s="18" t="s">
        <v>2011</v>
      </c>
      <c r="I479" s="18" t="s">
        <v>59</v>
      </c>
      <c r="J479" s="18" t="s">
        <v>31</v>
      </c>
      <c r="K479" s="18" t="s">
        <v>46</v>
      </c>
      <c r="L479" s="18" t="s">
        <v>78</v>
      </c>
      <c r="M479" s="18">
        <v>5</v>
      </c>
      <c r="N479" s="18">
        <v>1200</v>
      </c>
      <c r="O479" s="18">
        <v>10</v>
      </c>
      <c r="P479" s="18">
        <v>5400</v>
      </c>
      <c r="Q479" s="18">
        <v>1</v>
      </c>
      <c r="R479" s="18" t="s">
        <v>34</v>
      </c>
      <c r="S479" s="18"/>
      <c r="T479" s="20" t="s">
        <v>2012</v>
      </c>
      <c r="U479" s="19" t="s">
        <v>2013</v>
      </c>
      <c r="V479" s="18" t="s">
        <v>38</v>
      </c>
      <c r="W479" t="str">
        <f t="shared" si="49"/>
        <v>Blacklisted</v>
      </c>
      <c r="X479" s="27" t="str">
        <f t="shared" si="50"/>
        <v>Kavya Nair</v>
      </c>
      <c r="Y479" s="29" t="str">
        <f t="shared" si="51"/>
        <v>Kav00IDBe</v>
      </c>
      <c r="Z479" s="30" t="str">
        <f t="shared" si="52"/>
        <v>kavya.nair@company.com</v>
      </c>
      <c r="AA479" s="32">
        <f t="shared" ca="1" si="53"/>
        <v>28</v>
      </c>
      <c r="AB479" s="33">
        <f t="shared" si="54"/>
        <v>9</v>
      </c>
      <c r="AC479" s="34" t="str">
        <f t="shared" si="55"/>
        <v>Delayed</v>
      </c>
    </row>
    <row r="480" spans="1:29">
      <c r="A480" s="15" t="s">
        <v>2014</v>
      </c>
      <c r="B480" s="15" t="s">
        <v>168</v>
      </c>
      <c r="C480" s="15" t="s">
        <v>259</v>
      </c>
      <c r="D480" s="15" t="s">
        <v>282</v>
      </c>
      <c r="E480" s="15" t="s">
        <v>702</v>
      </c>
      <c r="F480" s="15" t="s">
        <v>2015</v>
      </c>
      <c r="G480" s="15" t="s">
        <v>28</v>
      </c>
      <c r="H480" s="15" t="s">
        <v>2016</v>
      </c>
      <c r="I480" s="15" t="s">
        <v>294</v>
      </c>
      <c r="J480" s="15" t="s">
        <v>295</v>
      </c>
      <c r="K480" s="15" t="s">
        <v>122</v>
      </c>
      <c r="L480" s="15" t="s">
        <v>263</v>
      </c>
      <c r="M480" s="15">
        <v>2</v>
      </c>
      <c r="N480" s="15">
        <v>45</v>
      </c>
      <c r="O480" s="15">
        <v>10</v>
      </c>
      <c r="P480" s="15">
        <v>81</v>
      </c>
      <c r="Q480" s="15">
        <v>4</v>
      </c>
      <c r="R480" s="15" t="s">
        <v>88</v>
      </c>
      <c r="S480" s="15" t="s">
        <v>49</v>
      </c>
      <c r="T480" s="15" t="s">
        <v>175</v>
      </c>
      <c r="U480" s="17" t="s">
        <v>2017</v>
      </c>
      <c r="V480" s="15" t="s">
        <v>64</v>
      </c>
      <c r="W480" t="str">
        <f t="shared" si="49"/>
        <v>Blacklisted</v>
      </c>
      <c r="X480" s="27" t="str">
        <f t="shared" si="50"/>
        <v>Anita Gupta</v>
      </c>
      <c r="Y480" s="29" t="str">
        <f t="shared" si="51"/>
        <v>Ani00IDKo</v>
      </c>
      <c r="Z480" s="30" t="str">
        <f t="shared" si="52"/>
        <v>anita.gupta@company.com</v>
      </c>
      <c r="AA480" s="32">
        <f t="shared" ca="1" si="53"/>
        <v>22</v>
      </c>
      <c r="AB480" s="33">
        <f t="shared" si="54"/>
        <v>1</v>
      </c>
      <c r="AC480" s="34" t="str">
        <f t="shared" si="55"/>
        <v>On Time</v>
      </c>
    </row>
    <row r="481" spans="1:29">
      <c r="A481" s="18" t="s">
        <v>2018</v>
      </c>
      <c r="B481" s="18" t="s">
        <v>127</v>
      </c>
      <c r="C481" s="18" t="s">
        <v>40</v>
      </c>
      <c r="D481" s="18" t="s">
        <v>85</v>
      </c>
      <c r="E481" s="18" t="s">
        <v>587</v>
      </c>
      <c r="F481" s="18" t="s">
        <v>200</v>
      </c>
      <c r="G481" s="18" t="s">
        <v>76</v>
      </c>
      <c r="H481" s="18" t="s">
        <v>2019</v>
      </c>
      <c r="I481" s="18" t="s">
        <v>138</v>
      </c>
      <c r="J481" s="18" t="s">
        <v>106</v>
      </c>
      <c r="K481" s="18" t="s">
        <v>46</v>
      </c>
      <c r="L481" s="18" t="s">
        <v>47</v>
      </c>
      <c r="M481" s="18">
        <v>3</v>
      </c>
      <c r="N481" s="18">
        <v>12000</v>
      </c>
      <c r="O481" s="18">
        <v>0</v>
      </c>
      <c r="P481" s="18">
        <v>36000</v>
      </c>
      <c r="Q481" s="18">
        <v>2</v>
      </c>
      <c r="R481" s="18" t="s">
        <v>88</v>
      </c>
      <c r="S481" s="18" t="s">
        <v>151</v>
      </c>
      <c r="T481" s="18" t="s">
        <v>132</v>
      </c>
      <c r="U481" s="19" t="s">
        <v>2020</v>
      </c>
      <c r="V481" s="18" t="s">
        <v>64</v>
      </c>
      <c r="W481" t="str">
        <f t="shared" si="49"/>
        <v>Blacklisted</v>
      </c>
      <c r="X481" s="27" t="str">
        <f t="shared" si="50"/>
        <v>Rohit Singh</v>
      </c>
      <c r="Y481" s="29" t="str">
        <f t="shared" si="51"/>
        <v>Roh00IDAh</v>
      </c>
      <c r="Z481" s="30" t="str">
        <f t="shared" si="52"/>
        <v>rohit.singh@company.com</v>
      </c>
      <c r="AA481" s="32">
        <f t="shared" ca="1" si="53"/>
        <v>41</v>
      </c>
      <c r="AB481" s="33">
        <f t="shared" si="54"/>
        <v>6</v>
      </c>
      <c r="AC481" s="34" t="str">
        <f t="shared" si="55"/>
        <v>Delayed</v>
      </c>
    </row>
    <row r="482" spans="1:29">
      <c r="A482" s="15" t="s">
        <v>2021</v>
      </c>
      <c r="B482" s="15" t="s">
        <v>23</v>
      </c>
      <c r="C482" s="15" t="s">
        <v>40</v>
      </c>
      <c r="D482" s="15" t="s">
        <v>2022</v>
      </c>
      <c r="E482" s="15" t="s">
        <v>1863</v>
      </c>
      <c r="F482" s="15" t="s">
        <v>95</v>
      </c>
      <c r="G482" s="15" t="s">
        <v>28</v>
      </c>
      <c r="H482" s="15" t="s">
        <v>2023</v>
      </c>
      <c r="I482" s="15" t="s">
        <v>59</v>
      </c>
      <c r="J482" s="15" t="s">
        <v>31</v>
      </c>
      <c r="K482" s="15" t="s">
        <v>46</v>
      </c>
      <c r="L482" s="15" t="s">
        <v>47</v>
      </c>
      <c r="M482" s="15">
        <v>3</v>
      </c>
      <c r="N482" s="15">
        <v>12000</v>
      </c>
      <c r="O482" s="15">
        <v>20</v>
      </c>
      <c r="P482" s="15">
        <v>28800</v>
      </c>
      <c r="Q482" s="15">
        <v>3</v>
      </c>
      <c r="R482" s="15" t="s">
        <v>88</v>
      </c>
      <c r="S482" s="15" t="s">
        <v>115</v>
      </c>
      <c r="T482" s="15" t="s">
        <v>50</v>
      </c>
      <c r="U482" s="17" t="s">
        <v>2024</v>
      </c>
      <c r="V482" s="15" t="s">
        <v>38</v>
      </c>
      <c r="W482" t="str">
        <f t="shared" si="49"/>
        <v>Silver</v>
      </c>
      <c r="X482" s="27" t="str">
        <f t="shared" si="50"/>
        <v>Kavya Nair</v>
      </c>
      <c r="Y482" s="29" t="str">
        <f t="shared" si="51"/>
        <v>Kav00IDBe</v>
      </c>
      <c r="Z482" s="30" t="str">
        <f t="shared" si="52"/>
        <v>kavya.nair@company.com</v>
      </c>
      <c r="AA482" s="32">
        <f t="shared" ca="1" si="53"/>
        <v>40</v>
      </c>
      <c r="AB482" s="33">
        <f t="shared" si="54"/>
        <v>6</v>
      </c>
      <c r="AC482" s="34" t="str">
        <f t="shared" si="55"/>
        <v>Delayed</v>
      </c>
    </row>
    <row r="483" spans="1:29">
      <c r="A483" s="18" t="s">
        <v>2025</v>
      </c>
      <c r="B483" s="18" t="s">
        <v>127</v>
      </c>
      <c r="C483" s="18" t="s">
        <v>169</v>
      </c>
      <c r="D483" s="18" t="s">
        <v>892</v>
      </c>
      <c r="E483" s="18" t="s">
        <v>161</v>
      </c>
      <c r="F483" s="18" t="s">
        <v>200</v>
      </c>
      <c r="G483" s="18" t="s">
        <v>76</v>
      </c>
      <c r="H483" s="18" t="s">
        <v>2026</v>
      </c>
      <c r="I483" s="18" t="s">
        <v>294</v>
      </c>
      <c r="J483" s="18" t="s">
        <v>295</v>
      </c>
      <c r="K483" s="18" t="s">
        <v>32</v>
      </c>
      <c r="L483" s="18" t="s">
        <v>174</v>
      </c>
      <c r="M483" s="18">
        <v>9</v>
      </c>
      <c r="N483" s="18">
        <v>8500</v>
      </c>
      <c r="O483" s="18">
        <v>15</v>
      </c>
      <c r="P483" s="18">
        <v>65025</v>
      </c>
      <c r="Q483" s="18">
        <v>5</v>
      </c>
      <c r="R483" s="18" t="s">
        <v>34</v>
      </c>
      <c r="S483" s="18" t="s">
        <v>49</v>
      </c>
      <c r="T483" s="18" t="s">
        <v>132</v>
      </c>
      <c r="U483" s="19" t="s">
        <v>2027</v>
      </c>
      <c r="V483" s="18" t="s">
        <v>64</v>
      </c>
      <c r="W483" t="str">
        <f t="shared" si="49"/>
        <v>Blacklisted</v>
      </c>
      <c r="X483" s="27" t="str">
        <f t="shared" si="50"/>
        <v>Rohit Singh</v>
      </c>
      <c r="Y483" s="29" t="str">
        <f t="shared" si="51"/>
        <v>Roh00IDKo</v>
      </c>
      <c r="Z483" s="30" t="str">
        <f t="shared" si="52"/>
        <v>rohit.singh@company.com</v>
      </c>
      <c r="AA483" s="32">
        <f t="shared" ca="1" si="53"/>
        <v>45</v>
      </c>
      <c r="AB483" s="33">
        <f t="shared" si="54"/>
        <v>1</v>
      </c>
      <c r="AC483" s="34" t="str">
        <f t="shared" si="55"/>
        <v>On Time</v>
      </c>
    </row>
    <row r="484" spans="1:29">
      <c r="A484" s="15" t="s">
        <v>2028</v>
      </c>
      <c r="B484" s="15" t="s">
        <v>71</v>
      </c>
      <c r="C484" s="15" t="s">
        <v>184</v>
      </c>
      <c r="D484" s="15" t="s">
        <v>261</v>
      </c>
      <c r="E484" s="15" t="s">
        <v>881</v>
      </c>
      <c r="F484" s="15" t="s">
        <v>2029</v>
      </c>
      <c r="G484" s="15" t="s">
        <v>76</v>
      </c>
      <c r="H484" s="15" t="s">
        <v>2030</v>
      </c>
      <c r="I484" s="15" t="s">
        <v>294</v>
      </c>
      <c r="J484" s="15" t="s">
        <v>295</v>
      </c>
      <c r="K484" s="15" t="s">
        <v>46</v>
      </c>
      <c r="L484" s="15" t="s">
        <v>189</v>
      </c>
      <c r="M484" s="15">
        <v>17</v>
      </c>
      <c r="N484" s="15">
        <v>700</v>
      </c>
      <c r="O484" s="15">
        <v>0</v>
      </c>
      <c r="P484" s="15">
        <v>11900</v>
      </c>
      <c r="Q484" s="15">
        <v>2</v>
      </c>
      <c r="R484" s="15" t="s">
        <v>34</v>
      </c>
      <c r="S484" s="15" t="s">
        <v>61</v>
      </c>
      <c r="T484" s="15" t="s">
        <v>80</v>
      </c>
      <c r="U484" s="17" t="s">
        <v>2031</v>
      </c>
      <c r="V484" s="15" t="s">
        <v>69</v>
      </c>
      <c r="W484" t="str">
        <f t="shared" si="49"/>
        <v>Blacklisted</v>
      </c>
      <c r="X484" s="27" t="str">
        <f t="shared" si="50"/>
        <v>Mohit Verma</v>
      </c>
      <c r="Y484" s="29" t="str">
        <f t="shared" si="51"/>
        <v>Moh00IDKo</v>
      </c>
      <c r="Z484" s="30" t="str">
        <f t="shared" si="52"/>
        <v>mohit.verma@company.com</v>
      </c>
      <c r="AA484" s="32">
        <f t="shared" ca="1" si="53"/>
        <v>34</v>
      </c>
      <c r="AB484" s="33">
        <f t="shared" si="54"/>
        <v>10</v>
      </c>
      <c r="AC484" s="34" t="str">
        <f t="shared" si="55"/>
        <v>Delayed</v>
      </c>
    </row>
    <row r="485" spans="1:29">
      <c r="A485" s="18" t="s">
        <v>2032</v>
      </c>
      <c r="B485" s="18" t="s">
        <v>23</v>
      </c>
      <c r="C485" s="18" t="s">
        <v>184</v>
      </c>
      <c r="D485" s="18" t="s">
        <v>1249</v>
      </c>
      <c r="E485" s="18" t="s">
        <v>1572</v>
      </c>
      <c r="F485" s="18" t="s">
        <v>27</v>
      </c>
      <c r="G485" s="18" t="s">
        <v>28</v>
      </c>
      <c r="H485" s="18" t="s">
        <v>2033</v>
      </c>
      <c r="I485" s="18" t="s">
        <v>30</v>
      </c>
      <c r="J485" s="18" t="s">
        <v>31</v>
      </c>
      <c r="K485" s="18" t="s">
        <v>46</v>
      </c>
      <c r="L485" s="18" t="s">
        <v>189</v>
      </c>
      <c r="M485" s="18">
        <v>20</v>
      </c>
      <c r="N485" s="18">
        <v>700</v>
      </c>
      <c r="O485" s="18">
        <v>5</v>
      </c>
      <c r="P485" s="18">
        <v>13300</v>
      </c>
      <c r="Q485" s="18">
        <v>2</v>
      </c>
      <c r="R485" s="18" t="s">
        <v>88</v>
      </c>
      <c r="S485" s="18" t="s">
        <v>35</v>
      </c>
      <c r="T485" s="18" t="s">
        <v>50</v>
      </c>
      <c r="U485" s="19" t="s">
        <v>2034</v>
      </c>
      <c r="V485" s="18" t="s">
        <v>38</v>
      </c>
      <c r="W485" t="str">
        <f t="shared" si="49"/>
        <v>Blacklisted</v>
      </c>
      <c r="X485" s="27" t="str">
        <f t="shared" si="50"/>
        <v>Kavya Nair</v>
      </c>
      <c r="Y485" s="29" t="str">
        <f t="shared" si="51"/>
        <v>Kav00IDHy</v>
      </c>
      <c r="Z485" s="30" t="str">
        <f t="shared" si="52"/>
        <v>kavya.nair@company.com</v>
      </c>
      <c r="AA485" s="32">
        <f t="shared" ca="1" si="53"/>
        <v>35</v>
      </c>
      <c r="AB485" s="33">
        <f t="shared" si="54"/>
        <v>10</v>
      </c>
      <c r="AC485" s="34" t="str">
        <f t="shared" si="55"/>
        <v>Delayed</v>
      </c>
    </row>
    <row r="486" spans="1:29">
      <c r="A486" s="15" t="s">
        <v>2035</v>
      </c>
      <c r="B486" s="15" t="s">
        <v>327</v>
      </c>
      <c r="C486" s="15" t="s">
        <v>72</v>
      </c>
      <c r="D486" s="15" t="s">
        <v>554</v>
      </c>
      <c r="E486" s="15" t="s">
        <v>65</v>
      </c>
      <c r="F486" s="15" t="s">
        <v>2036</v>
      </c>
      <c r="G486" s="15" t="s">
        <v>76</v>
      </c>
      <c r="H486" s="15" t="s">
        <v>2037</v>
      </c>
      <c r="I486" s="15" t="s">
        <v>138</v>
      </c>
      <c r="J486" s="15" t="s">
        <v>106</v>
      </c>
      <c r="K486" s="15" t="s">
        <v>46</v>
      </c>
      <c r="L486" s="15" t="s">
        <v>78</v>
      </c>
      <c r="M486" s="15">
        <v>13</v>
      </c>
      <c r="N486" s="15">
        <v>1200</v>
      </c>
      <c r="O486" s="15">
        <v>20</v>
      </c>
      <c r="P486" s="15">
        <v>12480</v>
      </c>
      <c r="Q486" s="15">
        <v>5</v>
      </c>
      <c r="R486" s="15" t="s">
        <v>79</v>
      </c>
      <c r="S486" s="15" t="s">
        <v>115</v>
      </c>
      <c r="T486" s="15" t="s">
        <v>332</v>
      </c>
      <c r="U486" s="17" t="s">
        <v>2038</v>
      </c>
      <c r="V486" s="15" t="s">
        <v>38</v>
      </c>
      <c r="W486" t="str">
        <f t="shared" si="49"/>
        <v>Silver</v>
      </c>
      <c r="X486" s="27" t="str">
        <f t="shared" si="50"/>
        <v>Amit Sharma</v>
      </c>
      <c r="Y486" s="29" t="str">
        <f t="shared" si="51"/>
        <v>Ami00IDAh</v>
      </c>
      <c r="Z486" s="30" t="str">
        <f t="shared" si="52"/>
        <v>amit.sharma@company.com</v>
      </c>
      <c r="AA486" s="32">
        <f t="shared" ca="1" si="53"/>
        <v>48</v>
      </c>
      <c r="AB486" s="33">
        <f t="shared" si="54"/>
        <v>10</v>
      </c>
      <c r="AC486" s="34" t="str">
        <f t="shared" si="55"/>
        <v>Delayed</v>
      </c>
    </row>
    <row r="487" spans="1:29">
      <c r="A487" s="18" t="s">
        <v>2039</v>
      </c>
      <c r="B487" s="18" t="s">
        <v>100</v>
      </c>
      <c r="C487" s="18" t="s">
        <v>54</v>
      </c>
      <c r="D487" s="18" t="s">
        <v>2040</v>
      </c>
      <c r="E487" s="18" t="s">
        <v>1932</v>
      </c>
      <c r="F487" s="18" t="s">
        <v>103</v>
      </c>
      <c r="G487" s="18" t="s">
        <v>28</v>
      </c>
      <c r="H487" s="18" t="s">
        <v>1082</v>
      </c>
      <c r="I487" s="18" t="s">
        <v>212</v>
      </c>
      <c r="J487" s="18" t="s">
        <v>45</v>
      </c>
      <c r="K487" s="18" t="s">
        <v>46</v>
      </c>
      <c r="L487" s="18" t="s">
        <v>60</v>
      </c>
      <c r="M487" s="18">
        <v>20</v>
      </c>
      <c r="N487" s="18">
        <v>55000</v>
      </c>
      <c r="O487" s="18">
        <v>10</v>
      </c>
      <c r="P487" s="18">
        <v>990000</v>
      </c>
      <c r="Q487" s="18">
        <v>1</v>
      </c>
      <c r="R487" s="18" t="s">
        <v>88</v>
      </c>
      <c r="S487" s="18" t="s">
        <v>35</v>
      </c>
      <c r="T487" s="18" t="s">
        <v>144</v>
      </c>
      <c r="U487" s="19" t="s">
        <v>2041</v>
      </c>
      <c r="V487" s="18" t="s">
        <v>64</v>
      </c>
      <c r="W487" t="str">
        <f t="shared" si="49"/>
        <v>Blacklisted</v>
      </c>
      <c r="X487" s="27" t="str">
        <f t="shared" si="50"/>
        <v>Priya Patel</v>
      </c>
      <c r="Y487" s="29" t="str">
        <f t="shared" si="51"/>
        <v>Pri00IDJa</v>
      </c>
      <c r="Z487" s="30" t="str">
        <f t="shared" si="52"/>
        <v>priya.patel@company.com</v>
      </c>
      <c r="AA487" s="32">
        <f t="shared" ca="1" si="53"/>
        <v>27</v>
      </c>
      <c r="AB487" s="33">
        <f t="shared" si="54"/>
        <v>6</v>
      </c>
      <c r="AC487" s="34" t="str">
        <f t="shared" si="55"/>
        <v>Delayed</v>
      </c>
    </row>
    <row r="488" spans="1:29">
      <c r="A488" s="15" t="s">
        <v>2042</v>
      </c>
      <c r="B488" s="15" t="s">
        <v>251</v>
      </c>
      <c r="C488" s="15" t="s">
        <v>72</v>
      </c>
      <c r="D488" s="15" t="s">
        <v>531</v>
      </c>
      <c r="E488" s="15" t="s">
        <v>291</v>
      </c>
      <c r="F488" s="15" t="s">
        <v>254</v>
      </c>
      <c r="G488" s="15" t="s">
        <v>28</v>
      </c>
      <c r="H488" s="15" t="s">
        <v>2043</v>
      </c>
      <c r="I488" s="15" t="s">
        <v>294</v>
      </c>
      <c r="J488" s="15" t="s">
        <v>295</v>
      </c>
      <c r="K488" s="15" t="s">
        <v>46</v>
      </c>
      <c r="L488" s="15" t="s">
        <v>78</v>
      </c>
      <c r="M488" s="15">
        <v>8</v>
      </c>
      <c r="N488" s="15">
        <v>1200</v>
      </c>
      <c r="O488" s="15">
        <v>0</v>
      </c>
      <c r="P488" s="15">
        <v>9600</v>
      </c>
      <c r="Q488" s="15">
        <v>2</v>
      </c>
      <c r="R488" s="15" t="s">
        <v>48</v>
      </c>
      <c r="S488" s="15" t="s">
        <v>151</v>
      </c>
      <c r="T488" s="15" t="s">
        <v>256</v>
      </c>
      <c r="U488" s="17" t="s">
        <v>2044</v>
      </c>
      <c r="V488" s="15" t="s">
        <v>38</v>
      </c>
      <c r="W488" t="str">
        <f t="shared" si="49"/>
        <v>Blacklisted</v>
      </c>
      <c r="X488" s="27" t="str">
        <f t="shared" si="50"/>
        <v>Sneha Joshi</v>
      </c>
      <c r="Y488" s="29" t="str">
        <f t="shared" si="51"/>
        <v>Sne00IDKo</v>
      </c>
      <c r="Z488" s="30" t="str">
        <f t="shared" si="52"/>
        <v>sneha.joshi@company.com</v>
      </c>
      <c r="AA488" s="32">
        <f t="shared" ca="1" si="53"/>
        <v>38</v>
      </c>
      <c r="AB488" s="33">
        <f t="shared" si="54"/>
        <v>5</v>
      </c>
      <c r="AC488" s="34" t="str">
        <f t="shared" si="55"/>
        <v>On Time</v>
      </c>
    </row>
    <row r="489" spans="1:29">
      <c r="A489" s="18" t="s">
        <v>2045</v>
      </c>
      <c r="B489" s="18" t="s">
        <v>53</v>
      </c>
      <c r="C489" s="18" t="s">
        <v>222</v>
      </c>
      <c r="D489" s="18" t="s">
        <v>2046</v>
      </c>
      <c r="E489" s="18" t="s">
        <v>1238</v>
      </c>
      <c r="F489" s="18" t="s">
        <v>163</v>
      </c>
      <c r="G489" s="18" t="s">
        <v>28</v>
      </c>
      <c r="H489" s="18" t="s">
        <v>2047</v>
      </c>
      <c r="I489" s="18" t="s">
        <v>294</v>
      </c>
      <c r="J489" s="18" t="s">
        <v>295</v>
      </c>
      <c r="K489" s="18" t="s">
        <v>122</v>
      </c>
      <c r="L489" s="18" t="s">
        <v>227</v>
      </c>
      <c r="M489" s="18">
        <v>18</v>
      </c>
      <c r="N489" s="18">
        <v>20</v>
      </c>
      <c r="O489" s="18">
        <v>10</v>
      </c>
      <c r="P489" s="18">
        <v>324</v>
      </c>
      <c r="Q489" s="18">
        <v>5</v>
      </c>
      <c r="R489" s="18" t="s">
        <v>79</v>
      </c>
      <c r="S489" s="18"/>
      <c r="T489" s="20" t="s">
        <v>2048</v>
      </c>
      <c r="U489" s="19" t="s">
        <v>2049</v>
      </c>
      <c r="V489" s="18" t="s">
        <v>64</v>
      </c>
      <c r="W489" t="str">
        <f t="shared" si="49"/>
        <v>Blacklisted</v>
      </c>
      <c r="X489" s="27" t="str">
        <f t="shared" si="50"/>
        <v>Pooja Shah</v>
      </c>
      <c r="Y489" s="29" t="str">
        <f t="shared" si="51"/>
        <v>Poo01IDKo</v>
      </c>
      <c r="Z489" s="30" t="str">
        <f t="shared" si="52"/>
        <v>pooja.shah@company.com</v>
      </c>
      <c r="AA489" s="32">
        <f t="shared" ca="1" si="53"/>
        <v>47</v>
      </c>
      <c r="AB489" s="33">
        <f t="shared" si="54"/>
        <v>4</v>
      </c>
      <c r="AC489" s="34" t="str">
        <f t="shared" si="55"/>
        <v>On Time</v>
      </c>
    </row>
    <row r="490" spans="1:29">
      <c r="A490" s="15" t="s">
        <v>2050</v>
      </c>
      <c r="B490" s="15" t="s">
        <v>168</v>
      </c>
      <c r="C490" s="15" t="s">
        <v>40</v>
      </c>
      <c r="D490" s="15" t="s">
        <v>2051</v>
      </c>
      <c r="E490" s="15" t="s">
        <v>272</v>
      </c>
      <c r="F490" s="15" t="s">
        <v>361</v>
      </c>
      <c r="G490" s="15" t="s">
        <v>28</v>
      </c>
      <c r="H490" s="15" t="s">
        <v>2052</v>
      </c>
      <c r="I490" s="15" t="s">
        <v>114</v>
      </c>
      <c r="J490" s="15" t="s">
        <v>106</v>
      </c>
      <c r="K490" s="15" t="s">
        <v>46</v>
      </c>
      <c r="L490" s="15" t="s">
        <v>47</v>
      </c>
      <c r="M490" s="15">
        <v>11</v>
      </c>
      <c r="N490" s="15">
        <v>12000</v>
      </c>
      <c r="O490" s="15">
        <v>10</v>
      </c>
      <c r="P490" s="15">
        <v>118800</v>
      </c>
      <c r="Q490" s="15">
        <v>1</v>
      </c>
      <c r="R490" s="15" t="s">
        <v>79</v>
      </c>
      <c r="S490" s="15" t="s">
        <v>49</v>
      </c>
      <c r="T490" s="15" t="s">
        <v>175</v>
      </c>
      <c r="U490" s="17" t="s">
        <v>2053</v>
      </c>
      <c r="V490" s="15" t="s">
        <v>69</v>
      </c>
      <c r="W490" t="str">
        <f t="shared" si="49"/>
        <v>Blacklisted</v>
      </c>
      <c r="X490" s="27" t="str">
        <f t="shared" si="50"/>
        <v>Anita Gupta</v>
      </c>
      <c r="Y490" s="29" t="str">
        <f t="shared" si="51"/>
        <v>Ani00IDPu</v>
      </c>
      <c r="Z490" s="30" t="str">
        <f t="shared" si="52"/>
        <v>anita.gupta@company.com</v>
      </c>
      <c r="AA490" s="32">
        <f t="shared" ca="1" si="53"/>
        <v>32</v>
      </c>
      <c r="AB490" s="33">
        <f t="shared" si="54"/>
        <v>12</v>
      </c>
      <c r="AC490" s="34" t="str">
        <f t="shared" si="55"/>
        <v>Delayed</v>
      </c>
    </row>
    <row r="491" spans="1:29">
      <c r="A491" s="18" t="s">
        <v>2054</v>
      </c>
      <c r="B491" s="18" t="s">
        <v>327</v>
      </c>
      <c r="C491" s="18" t="s">
        <v>169</v>
      </c>
      <c r="D491" s="18" t="s">
        <v>142</v>
      </c>
      <c r="E491" s="18" t="s">
        <v>1378</v>
      </c>
      <c r="F491" s="18" t="s">
        <v>394</v>
      </c>
      <c r="G491" s="18" t="s">
        <v>76</v>
      </c>
      <c r="H491" s="18" t="s">
        <v>2055</v>
      </c>
      <c r="I491" s="18" t="s">
        <v>30</v>
      </c>
      <c r="J491" s="18" t="s">
        <v>31</v>
      </c>
      <c r="K491" s="18" t="s">
        <v>32</v>
      </c>
      <c r="L491" s="18" t="s">
        <v>174</v>
      </c>
      <c r="M491" s="18">
        <v>2</v>
      </c>
      <c r="N491" s="18">
        <v>8500</v>
      </c>
      <c r="O491" s="18">
        <v>5</v>
      </c>
      <c r="P491" s="18">
        <v>16150</v>
      </c>
      <c r="Q491" s="18">
        <v>1</v>
      </c>
      <c r="R491" s="18" t="s">
        <v>79</v>
      </c>
      <c r="S491" s="18" t="s">
        <v>61</v>
      </c>
      <c r="T491" s="18" t="s">
        <v>332</v>
      </c>
      <c r="U491" s="19" t="s">
        <v>2056</v>
      </c>
      <c r="V491" s="18" t="s">
        <v>38</v>
      </c>
      <c r="W491" t="str">
        <f t="shared" si="49"/>
        <v>Blacklisted</v>
      </c>
      <c r="X491" s="27" t="str">
        <f t="shared" si="50"/>
        <v>Amit Sharma</v>
      </c>
      <c r="Y491" s="29" t="str">
        <f t="shared" si="51"/>
        <v>Ami00IDHy</v>
      </c>
      <c r="Z491" s="30" t="str">
        <f t="shared" si="52"/>
        <v>amit.sharma@company.com</v>
      </c>
      <c r="AA491" s="32">
        <f t="shared" ca="1" si="53"/>
        <v>33</v>
      </c>
      <c r="AB491" s="33">
        <f t="shared" si="54"/>
        <v>2</v>
      </c>
      <c r="AC491" s="34" t="str">
        <f t="shared" si="55"/>
        <v>On Time</v>
      </c>
    </row>
    <row r="492" spans="1:29">
      <c r="A492" s="15" t="s">
        <v>2057</v>
      </c>
      <c r="B492" s="15" t="s">
        <v>100</v>
      </c>
      <c r="C492" s="15" t="s">
        <v>24</v>
      </c>
      <c r="D492" s="15" t="s">
        <v>328</v>
      </c>
      <c r="E492" s="15" t="s">
        <v>1507</v>
      </c>
      <c r="F492" s="15" t="s">
        <v>2058</v>
      </c>
      <c r="G492" s="15" t="s">
        <v>28</v>
      </c>
      <c r="H492" s="15" t="s">
        <v>2059</v>
      </c>
      <c r="I492" s="15" t="s">
        <v>114</v>
      </c>
      <c r="J492" s="15" t="s">
        <v>106</v>
      </c>
      <c r="K492" s="15" t="s">
        <v>32</v>
      </c>
      <c r="L492" s="15" t="s">
        <v>33</v>
      </c>
      <c r="M492" s="15">
        <v>7</v>
      </c>
      <c r="N492" s="15">
        <v>2200</v>
      </c>
      <c r="O492" s="15">
        <v>0</v>
      </c>
      <c r="P492" s="15">
        <v>15400</v>
      </c>
      <c r="Q492" s="15">
        <v>5</v>
      </c>
      <c r="R492" s="15" t="s">
        <v>48</v>
      </c>
      <c r="S492" s="15" t="s">
        <v>35</v>
      </c>
      <c r="T492" s="15" t="s">
        <v>144</v>
      </c>
      <c r="U492" s="17" t="s">
        <v>2060</v>
      </c>
      <c r="V492" s="15" t="s">
        <v>64</v>
      </c>
      <c r="W492" t="str">
        <f t="shared" si="49"/>
        <v>Blacklisted</v>
      </c>
      <c r="X492" s="27" t="str">
        <f t="shared" si="50"/>
        <v>Priya Patel</v>
      </c>
      <c r="Y492" s="29" t="str">
        <f t="shared" si="51"/>
        <v>Pri00IDPu</v>
      </c>
      <c r="Z492" s="30" t="str">
        <f t="shared" si="52"/>
        <v>priya.patel@company.com</v>
      </c>
      <c r="AA492" s="32">
        <f t="shared" ca="1" si="53"/>
        <v>32</v>
      </c>
      <c r="AB492" s="33">
        <f t="shared" si="54"/>
        <v>9</v>
      </c>
      <c r="AC492" s="34" t="str">
        <f t="shared" si="55"/>
        <v>Delayed</v>
      </c>
    </row>
    <row r="493" spans="1:29">
      <c r="A493" s="18" t="s">
        <v>2061</v>
      </c>
      <c r="B493" s="18" t="s">
        <v>83</v>
      </c>
      <c r="C493" s="18" t="s">
        <v>169</v>
      </c>
      <c r="D493" s="18" t="s">
        <v>1916</v>
      </c>
      <c r="E493" s="18" t="s">
        <v>1098</v>
      </c>
      <c r="F493" s="18" t="s">
        <v>180</v>
      </c>
      <c r="G493" s="18" t="s">
        <v>76</v>
      </c>
      <c r="H493" s="18" t="s">
        <v>2062</v>
      </c>
      <c r="I493" s="18" t="s">
        <v>44</v>
      </c>
      <c r="J493" s="18" t="s">
        <v>45</v>
      </c>
      <c r="K493" s="18" t="s">
        <v>32</v>
      </c>
      <c r="L493" s="18" t="s">
        <v>174</v>
      </c>
      <c r="M493" s="18">
        <v>20</v>
      </c>
      <c r="N493" s="18">
        <v>8500</v>
      </c>
      <c r="O493" s="18">
        <v>0</v>
      </c>
      <c r="P493" s="18">
        <v>170000</v>
      </c>
      <c r="Q493" s="18">
        <v>3</v>
      </c>
      <c r="R493" s="18" t="s">
        <v>48</v>
      </c>
      <c r="S493" s="18" t="s">
        <v>49</v>
      </c>
      <c r="T493" s="18" t="s">
        <v>89</v>
      </c>
      <c r="U493" s="19" t="s">
        <v>2063</v>
      </c>
      <c r="V493" s="18" t="s">
        <v>38</v>
      </c>
      <c r="W493" t="str">
        <f t="shared" si="49"/>
        <v>Blacklisted</v>
      </c>
      <c r="X493" s="27" t="str">
        <f t="shared" si="50"/>
        <v>Arjun Rao</v>
      </c>
      <c r="Y493" s="29" t="str">
        <f t="shared" si="51"/>
        <v>Arj00IDDe</v>
      </c>
      <c r="Z493" s="30" t="str">
        <f t="shared" si="52"/>
        <v>arjun.rao@company.com</v>
      </c>
      <c r="AA493" s="32">
        <f t="shared" ca="1" si="53"/>
        <v>43</v>
      </c>
      <c r="AB493" s="33">
        <f t="shared" si="54"/>
        <v>8</v>
      </c>
      <c r="AC493" s="34" t="str">
        <f t="shared" si="55"/>
        <v>Delayed</v>
      </c>
    </row>
    <row r="494" spans="1:29">
      <c r="A494" s="15" t="s">
        <v>2064</v>
      </c>
      <c r="B494" s="15" t="s">
        <v>127</v>
      </c>
      <c r="C494" s="15" t="s">
        <v>72</v>
      </c>
      <c r="D494" s="15" t="s">
        <v>1106</v>
      </c>
      <c r="E494" s="15" t="s">
        <v>839</v>
      </c>
      <c r="F494" s="15" t="s">
        <v>2065</v>
      </c>
      <c r="G494" s="15" t="s">
        <v>76</v>
      </c>
      <c r="H494" s="15" t="s">
        <v>2066</v>
      </c>
      <c r="I494" s="15" t="s">
        <v>30</v>
      </c>
      <c r="J494" s="15" t="s">
        <v>31</v>
      </c>
      <c r="K494" s="15" t="s">
        <v>46</v>
      </c>
      <c r="L494" s="15" t="s">
        <v>78</v>
      </c>
      <c r="M494" s="15">
        <v>11</v>
      </c>
      <c r="N494" s="15">
        <v>1200</v>
      </c>
      <c r="O494" s="15">
        <v>5</v>
      </c>
      <c r="P494" s="15">
        <v>12540</v>
      </c>
      <c r="Q494" s="15">
        <v>2</v>
      </c>
      <c r="R494" s="15" t="s">
        <v>34</v>
      </c>
      <c r="S494" s="15" t="s">
        <v>35</v>
      </c>
      <c r="T494" s="15" t="s">
        <v>132</v>
      </c>
      <c r="U494" s="17" t="s">
        <v>2067</v>
      </c>
      <c r="V494" s="15" t="s">
        <v>64</v>
      </c>
      <c r="W494" t="str">
        <f t="shared" si="49"/>
        <v>Blacklisted</v>
      </c>
      <c r="X494" s="27" t="str">
        <f t="shared" si="50"/>
        <v>Rohit Singh</v>
      </c>
      <c r="Y494" s="29" t="str">
        <f t="shared" si="51"/>
        <v>Roh00IDHy</v>
      </c>
      <c r="Z494" s="30" t="str">
        <f t="shared" si="52"/>
        <v>rohit.singh@company.com</v>
      </c>
      <c r="AA494" s="32">
        <f t="shared" ca="1" si="53"/>
        <v>24</v>
      </c>
      <c r="AB494" s="33">
        <f t="shared" si="54"/>
        <v>9</v>
      </c>
      <c r="AC494" s="34" t="str">
        <f t="shared" si="55"/>
        <v>Delayed</v>
      </c>
    </row>
    <row r="495" spans="1:29">
      <c r="A495" s="18" t="s">
        <v>2068</v>
      </c>
      <c r="B495" s="18" t="s">
        <v>83</v>
      </c>
      <c r="C495" s="18" t="s">
        <v>184</v>
      </c>
      <c r="D495" s="18" t="s">
        <v>839</v>
      </c>
      <c r="E495" s="18" t="s">
        <v>756</v>
      </c>
      <c r="F495" s="18" t="s">
        <v>180</v>
      </c>
      <c r="G495" s="18" t="s">
        <v>76</v>
      </c>
      <c r="H495" s="18" t="s">
        <v>2069</v>
      </c>
      <c r="I495" s="18" t="s">
        <v>138</v>
      </c>
      <c r="J495" s="18" t="s">
        <v>106</v>
      </c>
      <c r="K495" s="18" t="s">
        <v>46</v>
      </c>
      <c r="L495" s="18" t="s">
        <v>189</v>
      </c>
      <c r="M495" s="18">
        <v>14</v>
      </c>
      <c r="N495" s="18">
        <v>700</v>
      </c>
      <c r="O495" s="18">
        <v>0</v>
      </c>
      <c r="P495" s="18">
        <v>9800</v>
      </c>
      <c r="Q495" s="18">
        <v>2</v>
      </c>
      <c r="R495" s="18" t="s">
        <v>79</v>
      </c>
      <c r="S495" s="18" t="s">
        <v>151</v>
      </c>
      <c r="T495" s="18" t="s">
        <v>89</v>
      </c>
      <c r="U495" s="19" t="s">
        <v>2070</v>
      </c>
      <c r="V495" s="18" t="s">
        <v>69</v>
      </c>
      <c r="W495" t="str">
        <f t="shared" si="49"/>
        <v>Blacklisted</v>
      </c>
      <c r="X495" s="27" t="str">
        <f t="shared" si="50"/>
        <v>Arjun Rao</v>
      </c>
      <c r="Y495" s="29" t="str">
        <f t="shared" si="51"/>
        <v>Arj00IDAh</v>
      </c>
      <c r="Z495" s="30" t="str">
        <f t="shared" si="52"/>
        <v>arjun.rao@company.com</v>
      </c>
      <c r="AA495" s="32">
        <f t="shared" ca="1" si="53"/>
        <v>24</v>
      </c>
      <c r="AB495" s="33">
        <f t="shared" si="54"/>
        <v>3</v>
      </c>
      <c r="AC495" s="34" t="str">
        <f t="shared" si="55"/>
        <v>On Time</v>
      </c>
    </row>
    <row r="496" spans="1:29">
      <c r="A496" s="15" t="s">
        <v>2071</v>
      </c>
      <c r="B496" s="15" t="s">
        <v>71</v>
      </c>
      <c r="C496" s="15" t="s">
        <v>72</v>
      </c>
      <c r="D496" s="15" t="s">
        <v>793</v>
      </c>
      <c r="E496" s="15" t="s">
        <v>1650</v>
      </c>
      <c r="F496" s="15" t="s">
        <v>217</v>
      </c>
      <c r="G496" s="15" t="s">
        <v>76</v>
      </c>
      <c r="H496" s="15" t="s">
        <v>2072</v>
      </c>
      <c r="I496" s="15" t="s">
        <v>114</v>
      </c>
      <c r="J496" s="15" t="s">
        <v>106</v>
      </c>
      <c r="K496" s="15" t="s">
        <v>46</v>
      </c>
      <c r="L496" s="15" t="s">
        <v>78</v>
      </c>
      <c r="M496" s="15">
        <v>16</v>
      </c>
      <c r="N496" s="15">
        <v>1200</v>
      </c>
      <c r="O496" s="15">
        <v>15</v>
      </c>
      <c r="P496" s="15">
        <v>16320</v>
      </c>
      <c r="Q496" s="15">
        <v>4</v>
      </c>
      <c r="R496" s="15" t="s">
        <v>34</v>
      </c>
      <c r="S496" s="15" t="s">
        <v>151</v>
      </c>
      <c r="T496" s="15" t="s">
        <v>80</v>
      </c>
      <c r="U496" s="17" t="s">
        <v>2073</v>
      </c>
      <c r="V496" s="15" t="s">
        <v>64</v>
      </c>
      <c r="W496" t="str">
        <f t="shared" si="49"/>
        <v>Blacklisted</v>
      </c>
      <c r="X496" s="27" t="str">
        <f t="shared" si="50"/>
        <v>Mohit Verma</v>
      </c>
      <c r="Y496" s="29" t="str">
        <f t="shared" si="51"/>
        <v>Moh00IDPu</v>
      </c>
      <c r="Z496" s="30" t="str">
        <f t="shared" si="52"/>
        <v>mohit.verma@company.com</v>
      </c>
      <c r="AA496" s="32">
        <f t="shared" ca="1" si="53"/>
        <v>25</v>
      </c>
      <c r="AB496" s="33">
        <f t="shared" si="54"/>
        <v>11</v>
      </c>
      <c r="AC496" s="34" t="str">
        <f t="shared" si="55"/>
        <v>Delayed</v>
      </c>
    </row>
    <row r="497" spans="1:29">
      <c r="A497" s="18" t="s">
        <v>2074</v>
      </c>
      <c r="B497" s="18" t="s">
        <v>168</v>
      </c>
      <c r="C497" s="18" t="s">
        <v>24</v>
      </c>
      <c r="D497" s="18" t="s">
        <v>493</v>
      </c>
      <c r="E497" s="18" t="s">
        <v>1932</v>
      </c>
      <c r="F497" s="18" t="s">
        <v>2075</v>
      </c>
      <c r="G497" s="18" t="s">
        <v>28</v>
      </c>
      <c r="H497" s="18" t="s">
        <v>2076</v>
      </c>
      <c r="I497" s="18" t="s">
        <v>212</v>
      </c>
      <c r="J497" s="18" t="s">
        <v>45</v>
      </c>
      <c r="K497" s="18" t="s">
        <v>32</v>
      </c>
      <c r="L497" s="18" t="s">
        <v>33</v>
      </c>
      <c r="M497" s="18">
        <v>20</v>
      </c>
      <c r="N497" s="18">
        <v>2200</v>
      </c>
      <c r="O497" s="18">
        <v>0</v>
      </c>
      <c r="P497" s="18">
        <v>44000</v>
      </c>
      <c r="Q497" s="18">
        <v>5</v>
      </c>
      <c r="R497" s="18" t="s">
        <v>34</v>
      </c>
      <c r="S497" s="18" t="s">
        <v>35</v>
      </c>
      <c r="T497" s="18" t="s">
        <v>175</v>
      </c>
      <c r="U497" s="19" t="s">
        <v>2077</v>
      </c>
      <c r="V497" s="18" t="s">
        <v>69</v>
      </c>
      <c r="W497" t="str">
        <f t="shared" si="49"/>
        <v>Blacklisted</v>
      </c>
      <c r="X497" s="27" t="str">
        <f t="shared" si="50"/>
        <v>Anita Gupta</v>
      </c>
      <c r="Y497" s="29" t="str">
        <f t="shared" si="51"/>
        <v>Ani00IDJa</v>
      </c>
      <c r="Z497" s="30" t="str">
        <f t="shared" si="52"/>
        <v>anita.gupta@company.com</v>
      </c>
      <c r="AA497" s="32">
        <f t="shared" ca="1" si="53"/>
        <v>43</v>
      </c>
      <c r="AB497" s="33">
        <f t="shared" si="54"/>
        <v>12</v>
      </c>
      <c r="AC497" s="34" t="str">
        <f t="shared" si="55"/>
        <v>Delayed</v>
      </c>
    </row>
    <row r="498" spans="1:29">
      <c r="A498" s="15" t="s">
        <v>2078</v>
      </c>
      <c r="B498" s="15" t="s">
        <v>83</v>
      </c>
      <c r="C498" s="15" t="s">
        <v>40</v>
      </c>
      <c r="D498" s="15" t="s">
        <v>2051</v>
      </c>
      <c r="E498" s="15" t="s">
        <v>272</v>
      </c>
      <c r="F498" s="15" t="s">
        <v>180</v>
      </c>
      <c r="G498" s="15" t="s">
        <v>76</v>
      </c>
      <c r="H498" s="15" t="s">
        <v>2079</v>
      </c>
      <c r="I498" s="15" t="s">
        <v>212</v>
      </c>
      <c r="J498" s="15" t="s">
        <v>45</v>
      </c>
      <c r="K498" s="15" t="s">
        <v>46</v>
      </c>
      <c r="L498" s="15" t="s">
        <v>47</v>
      </c>
      <c r="M498" s="15">
        <v>12</v>
      </c>
      <c r="N498" s="15">
        <v>12000</v>
      </c>
      <c r="O498" s="15">
        <v>15</v>
      </c>
      <c r="P498" s="15">
        <v>122400</v>
      </c>
      <c r="Q498" s="15">
        <v>5</v>
      </c>
      <c r="R498" s="15" t="s">
        <v>34</v>
      </c>
      <c r="S498" s="15" t="s">
        <v>151</v>
      </c>
      <c r="T498" s="15" t="s">
        <v>89</v>
      </c>
      <c r="U498" s="17" t="s">
        <v>2080</v>
      </c>
      <c r="V498" s="15" t="s">
        <v>38</v>
      </c>
      <c r="W498" t="str">
        <f t="shared" si="49"/>
        <v>Blacklisted</v>
      </c>
      <c r="X498" s="27" t="str">
        <f t="shared" si="50"/>
        <v>Arjun Rao</v>
      </c>
      <c r="Y498" s="29" t="str">
        <f t="shared" si="51"/>
        <v>Arj00IDJa</v>
      </c>
      <c r="Z498" s="30" t="str">
        <f t="shared" si="52"/>
        <v>arjun.rao@company.com</v>
      </c>
      <c r="AA498" s="32">
        <f t="shared" ca="1" si="53"/>
        <v>38</v>
      </c>
      <c r="AB498" s="33">
        <f t="shared" si="54"/>
        <v>12</v>
      </c>
      <c r="AC498" s="34" t="str">
        <f t="shared" si="55"/>
        <v>Delayed</v>
      </c>
    </row>
    <row r="499" spans="1:29">
      <c r="A499" s="18" t="s">
        <v>2081</v>
      </c>
      <c r="B499" s="18" t="s">
        <v>221</v>
      </c>
      <c r="C499" s="18" t="s">
        <v>72</v>
      </c>
      <c r="D499" s="18" t="s">
        <v>610</v>
      </c>
      <c r="E499" s="18" t="s">
        <v>611</v>
      </c>
      <c r="F499" s="18" t="s">
        <v>225</v>
      </c>
      <c r="G499" s="18" t="s">
        <v>76</v>
      </c>
      <c r="H499" s="18" t="s">
        <v>2082</v>
      </c>
      <c r="I499" s="18" t="s">
        <v>44</v>
      </c>
      <c r="J499" s="18" t="s">
        <v>45</v>
      </c>
      <c r="K499" s="18" t="s">
        <v>46</v>
      </c>
      <c r="L499" s="18" t="s">
        <v>78</v>
      </c>
      <c r="M499" s="18">
        <v>3</v>
      </c>
      <c r="N499" s="18">
        <v>1200</v>
      </c>
      <c r="O499" s="18">
        <v>20</v>
      </c>
      <c r="P499" s="18">
        <v>2880</v>
      </c>
      <c r="Q499" s="18">
        <v>2</v>
      </c>
      <c r="R499" s="18" t="s">
        <v>48</v>
      </c>
      <c r="S499" s="18" t="s">
        <v>115</v>
      </c>
      <c r="T499" s="18" t="s">
        <v>907</v>
      </c>
      <c r="U499" s="19" t="s">
        <v>2083</v>
      </c>
      <c r="V499" s="18" t="s">
        <v>64</v>
      </c>
      <c r="W499" t="str">
        <f t="shared" si="49"/>
        <v>Blacklisted</v>
      </c>
      <c r="X499" s="27" t="str">
        <f t="shared" si="50"/>
        <v>Vikas Mehta</v>
      </c>
      <c r="Y499" s="29" t="str">
        <f t="shared" si="51"/>
        <v>Vik00IDDe</v>
      </c>
      <c r="Z499" s="30" t="str">
        <f t="shared" si="52"/>
        <v>Invalid Email</v>
      </c>
      <c r="AA499" s="32">
        <f t="shared" ca="1" si="53"/>
        <v>34</v>
      </c>
      <c r="AB499" s="33">
        <f t="shared" si="54"/>
        <v>9</v>
      </c>
      <c r="AC499" s="34" t="str">
        <f t="shared" si="55"/>
        <v>Delayed</v>
      </c>
    </row>
    <row r="500" spans="1:29">
      <c r="A500" s="15" t="s">
        <v>2084</v>
      </c>
      <c r="B500" s="15" t="s">
        <v>100</v>
      </c>
      <c r="C500" s="15" t="s">
        <v>54</v>
      </c>
      <c r="D500" s="15" t="s">
        <v>276</v>
      </c>
      <c r="E500" s="15" t="s">
        <v>2085</v>
      </c>
      <c r="F500" s="15" t="s">
        <v>103</v>
      </c>
      <c r="G500" s="15" t="s">
        <v>28</v>
      </c>
      <c r="H500" s="15" t="s">
        <v>2086</v>
      </c>
      <c r="I500" s="15" t="s">
        <v>105</v>
      </c>
      <c r="J500" s="15" t="s">
        <v>106</v>
      </c>
      <c r="K500" s="15" t="s">
        <v>46</v>
      </c>
      <c r="L500" s="15" t="s">
        <v>2087</v>
      </c>
      <c r="M500" s="15">
        <v>6</v>
      </c>
      <c r="N500" s="15">
        <v>55000</v>
      </c>
      <c r="O500" s="15">
        <v>20</v>
      </c>
      <c r="P500" s="15">
        <v>264000</v>
      </c>
      <c r="Q500" s="15">
        <v>3</v>
      </c>
      <c r="R500" s="15" t="s">
        <v>34</v>
      </c>
      <c r="S500" s="15" t="s">
        <v>151</v>
      </c>
      <c r="T500" s="15" t="s">
        <v>144</v>
      </c>
      <c r="U500" s="17" t="s">
        <v>2088</v>
      </c>
      <c r="V500" s="15" t="s">
        <v>38</v>
      </c>
      <c r="W500" t="str">
        <f t="shared" si="49"/>
        <v>Blacklisted</v>
      </c>
      <c r="X500" s="27" t="str">
        <f t="shared" si="50"/>
        <v>Priya Patel</v>
      </c>
      <c r="Y500" s="29" t="str">
        <f t="shared" si="51"/>
        <v>Pri00IDMu</v>
      </c>
      <c r="Z500" s="30" t="str">
        <f t="shared" si="52"/>
        <v>priya.patel@company.com</v>
      </c>
      <c r="AA500" s="32">
        <f t="shared" ca="1" si="53"/>
        <v>47</v>
      </c>
      <c r="AB500" s="33">
        <f t="shared" si="54"/>
        <v>1</v>
      </c>
      <c r="AC500" s="34" t="str">
        <f t="shared" si="55"/>
        <v>On Time</v>
      </c>
    </row>
    <row r="501" spans="1:29">
      <c r="A501" s="18" t="s">
        <v>2089</v>
      </c>
      <c r="B501" s="18" t="s">
        <v>100</v>
      </c>
      <c r="C501" s="18" t="s">
        <v>92</v>
      </c>
      <c r="D501" s="18" t="s">
        <v>2090</v>
      </c>
      <c r="E501" s="18" t="s">
        <v>129</v>
      </c>
      <c r="F501" s="18" t="s">
        <v>103</v>
      </c>
      <c r="G501" s="18" t="s">
        <v>28</v>
      </c>
      <c r="H501" s="18" t="s">
        <v>2091</v>
      </c>
      <c r="I501" s="18" t="s">
        <v>59</v>
      </c>
      <c r="J501" s="18" t="s">
        <v>31</v>
      </c>
      <c r="K501" s="18" t="s">
        <v>32</v>
      </c>
      <c r="L501" s="18" t="s">
        <v>97</v>
      </c>
      <c r="M501" s="18">
        <v>20</v>
      </c>
      <c r="N501" s="18">
        <v>3500</v>
      </c>
      <c r="O501" s="18">
        <v>0</v>
      </c>
      <c r="P501" s="18">
        <v>70000</v>
      </c>
      <c r="Q501" s="18">
        <v>1</v>
      </c>
      <c r="R501" s="18" t="s">
        <v>48</v>
      </c>
      <c r="S501" s="18" t="s">
        <v>151</v>
      </c>
      <c r="T501" s="18" t="s">
        <v>144</v>
      </c>
      <c r="U501" s="19" t="s">
        <v>2092</v>
      </c>
      <c r="V501" s="18" t="s">
        <v>64</v>
      </c>
      <c r="W501" t="str">
        <f t="shared" si="49"/>
        <v>Blacklisted</v>
      </c>
      <c r="X501" s="27" t="str">
        <f t="shared" si="50"/>
        <v>Priya Patel</v>
      </c>
      <c r="Y501" s="29" t="str">
        <f t="shared" si="51"/>
        <v>Pri00IDBe</v>
      </c>
      <c r="Z501" s="30" t="str">
        <f t="shared" si="52"/>
        <v>priya.patel@company.com</v>
      </c>
      <c r="AA501" s="32">
        <f t="shared" ca="1" si="53"/>
        <v>49</v>
      </c>
      <c r="AB501" s="33">
        <f t="shared" si="54"/>
        <v>7</v>
      </c>
      <c r="AC501" s="34" t="str">
        <f t="shared" si="55"/>
        <v>Delayed</v>
      </c>
    </row>
  </sheetData>
  <hyperlinks>
    <hyperlink ref="T2" r:id="rId1" xr:uid="{53384719-EE92-414E-9EB5-6447AB0FA4AF}"/>
    <hyperlink ref="T5" r:id="rId2" xr:uid="{D973CB34-1A55-4D59-8C5F-6A34B364E3CD}"/>
    <hyperlink ref="T9" r:id="rId3" xr:uid="{4F680E3C-8009-4DBA-999D-A618A1F0C4F7}"/>
    <hyperlink ref="T11" r:id="rId4" xr:uid="{11A029AC-68D3-4F52-99BC-DA27F7AC2A2E}"/>
    <hyperlink ref="T16" r:id="rId5" xr:uid="{F3BBDA61-1BD8-4BBA-9A92-3D1A34EA36D5}"/>
    <hyperlink ref="T15" r:id="rId6" xr:uid="{62589D6B-E1AF-42E9-BE6C-ACDA81D9D6C1}"/>
    <hyperlink ref="T20" r:id="rId7" xr:uid="{4A83AA22-DA81-4EEE-8FE3-483EBDDFDE46}"/>
    <hyperlink ref="T61" r:id="rId8" xr:uid="{18DADC7B-ACBC-428B-BA5E-953E00E07834}"/>
    <hyperlink ref="T72" r:id="rId9" xr:uid="{0E1AB0CC-C250-4287-BA4A-3A0229B492C0}"/>
    <hyperlink ref="T294" r:id="rId10" xr:uid="{4C16220D-510B-437C-9D23-3BD2F62D439B}"/>
    <hyperlink ref="T489" r:id="rId11" xr:uid="{E65C3990-F797-49AD-A67A-7AA3B54F9D79}"/>
    <hyperlink ref="T479" r:id="rId12" xr:uid="{8ECF6E37-D9FE-427A-8F49-038605EB1C76}"/>
    <hyperlink ref="T463" r:id="rId13" xr:uid="{C22E03B5-B5DF-4DFD-AB44-BBBB2F367BA4}"/>
    <hyperlink ref="T450" r:id="rId14" xr:uid="{567A2089-24FD-42C5-819D-22460563640B}"/>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AA9B4-1366-456D-9BDE-805C64797A11}">
  <dimension ref="A1:I11"/>
  <sheetViews>
    <sheetView zoomScale="175" zoomScaleNormal="175" workbookViewId="0">
      <selection activeCell="F15" sqref="F15"/>
    </sheetView>
  </sheetViews>
  <sheetFormatPr defaultRowHeight="14.4"/>
  <cols>
    <col min="6" max="6" width="16.5546875" bestFit="1" customWidth="1"/>
    <col min="8" max="8" width="20.77734375" bestFit="1" customWidth="1"/>
    <col min="9" max="9" width="15.33203125" bestFit="1" customWidth="1"/>
  </cols>
  <sheetData>
    <row r="1" spans="1:9">
      <c r="A1" s="40" t="s">
        <v>2</v>
      </c>
      <c r="B1" s="40" t="s">
        <v>11</v>
      </c>
      <c r="C1" s="40" t="s">
        <v>10</v>
      </c>
      <c r="D1" s="40" t="s">
        <v>2093</v>
      </c>
      <c r="E1" s="40" t="s">
        <v>2094</v>
      </c>
      <c r="F1" s="40" t="s">
        <v>2095</v>
      </c>
      <c r="G1" s="36"/>
      <c r="H1" s="39" t="s">
        <v>2117</v>
      </c>
    </row>
    <row r="2" spans="1:9">
      <c r="A2" s="35" t="s">
        <v>54</v>
      </c>
      <c r="B2" s="35" t="s">
        <v>60</v>
      </c>
      <c r="C2" s="35" t="s">
        <v>46</v>
      </c>
      <c r="D2" s="35" t="s">
        <v>2096</v>
      </c>
      <c r="E2" s="35">
        <v>41250</v>
      </c>
      <c r="F2" s="35">
        <v>12</v>
      </c>
      <c r="H2" s="36" t="s">
        <v>2118</v>
      </c>
      <c r="I2" s="37" t="s">
        <v>54</v>
      </c>
    </row>
    <row r="3" spans="1:9">
      <c r="A3" s="35" t="s">
        <v>184</v>
      </c>
      <c r="B3" s="35" t="s">
        <v>189</v>
      </c>
      <c r="C3" s="35" t="s">
        <v>46</v>
      </c>
      <c r="D3" s="35" t="s">
        <v>2096</v>
      </c>
      <c r="E3" s="35">
        <v>525</v>
      </c>
      <c r="F3" s="35">
        <v>24</v>
      </c>
      <c r="H3" s="36" t="s">
        <v>2119</v>
      </c>
      <c r="I3" t="str">
        <f>_xlfn.XLOOKUP(I2,$A$2:$A$11,$B$2:$B$11,"Product Not Found")</f>
        <v>Laptop</v>
      </c>
    </row>
    <row r="4" spans="1:9">
      <c r="A4" s="35" t="s">
        <v>72</v>
      </c>
      <c r="B4" s="35" t="s">
        <v>78</v>
      </c>
      <c r="C4" s="35" t="s">
        <v>46</v>
      </c>
      <c r="D4" s="35" t="s">
        <v>2096</v>
      </c>
      <c r="E4" s="35">
        <v>900</v>
      </c>
      <c r="F4" s="35">
        <v>6</v>
      </c>
      <c r="H4" s="36" t="s">
        <v>10</v>
      </c>
      <c r="I4" t="str">
        <f>_xlfn.XLOOKUP(I2,$A$2:$A$11,$C$2:$C$11,"Product Not Found")</f>
        <v>Electronics</v>
      </c>
    </row>
    <row r="5" spans="1:9">
      <c r="A5" s="35" t="s">
        <v>40</v>
      </c>
      <c r="B5" s="35" t="s">
        <v>47</v>
      </c>
      <c r="C5" s="35" t="s">
        <v>46</v>
      </c>
      <c r="D5" s="35" t="s">
        <v>2097</v>
      </c>
      <c r="E5" s="35">
        <v>9000</v>
      </c>
      <c r="F5" s="35">
        <v>24</v>
      </c>
      <c r="H5" s="36" t="s">
        <v>2093</v>
      </c>
      <c r="I5" t="str">
        <f>_xlfn.XLOOKUP(I2,$A$2:$A$11,$D$2:$D$11,"Product Not Found")</f>
        <v>TechHub</v>
      </c>
    </row>
    <row r="6" spans="1:9">
      <c r="A6" s="35" t="s">
        <v>92</v>
      </c>
      <c r="B6" s="35" t="s">
        <v>97</v>
      </c>
      <c r="C6" s="35" t="s">
        <v>32</v>
      </c>
      <c r="D6" s="35" t="s">
        <v>2097</v>
      </c>
      <c r="E6" s="35">
        <v>2625</v>
      </c>
      <c r="F6" s="35">
        <v>6</v>
      </c>
      <c r="H6" s="36" t="s">
        <v>2120</v>
      </c>
      <c r="I6" s="38">
        <f>_xlfn.XLOOKUP(I2,$A$2:$A$11,$E$2:$E$11,"Product Not Found")</f>
        <v>41250</v>
      </c>
    </row>
    <row r="7" spans="1:9">
      <c r="A7" s="35" t="s">
        <v>24</v>
      </c>
      <c r="B7" s="35" t="s">
        <v>33</v>
      </c>
      <c r="C7" s="35" t="s">
        <v>32</v>
      </c>
      <c r="D7" s="35" t="s">
        <v>2097</v>
      </c>
      <c r="E7" s="35">
        <v>1650</v>
      </c>
      <c r="F7" s="35">
        <v>24</v>
      </c>
      <c r="H7" s="36" t="s">
        <v>2121</v>
      </c>
      <c r="I7">
        <f>_xlfn.XLOOKUP(I2,$A$2:$A$11,$F$2:$F$11,"Product Not Found")</f>
        <v>12</v>
      </c>
    </row>
    <row r="8" spans="1:9">
      <c r="A8" s="35" t="s">
        <v>169</v>
      </c>
      <c r="B8" s="35" t="s">
        <v>174</v>
      </c>
      <c r="C8" s="35" t="s">
        <v>32</v>
      </c>
      <c r="D8" s="35" t="s">
        <v>2096</v>
      </c>
      <c r="E8" s="35">
        <v>6375</v>
      </c>
      <c r="F8" s="35">
        <v>24</v>
      </c>
    </row>
    <row r="9" spans="1:9">
      <c r="A9" s="35" t="s">
        <v>118</v>
      </c>
      <c r="B9" s="35" t="s">
        <v>123</v>
      </c>
      <c r="C9" s="35" t="s">
        <v>122</v>
      </c>
      <c r="D9" s="35" t="s">
        <v>2098</v>
      </c>
      <c r="E9" s="35">
        <v>45</v>
      </c>
      <c r="F9" s="35">
        <v>12</v>
      </c>
    </row>
    <row r="10" spans="1:9">
      <c r="A10" s="35" t="s">
        <v>222</v>
      </c>
      <c r="B10" s="35" t="s">
        <v>227</v>
      </c>
      <c r="C10" s="35" t="s">
        <v>122</v>
      </c>
      <c r="D10" s="35" t="s">
        <v>2099</v>
      </c>
      <c r="E10" s="35">
        <v>15</v>
      </c>
      <c r="F10" s="35">
        <v>12</v>
      </c>
    </row>
    <row r="11" spans="1:9">
      <c r="A11" s="35" t="s">
        <v>259</v>
      </c>
      <c r="B11" s="35" t="s">
        <v>263</v>
      </c>
      <c r="C11" s="35" t="s">
        <v>122</v>
      </c>
      <c r="D11" s="35" t="s">
        <v>2096</v>
      </c>
      <c r="E11" s="35">
        <v>33.75</v>
      </c>
      <c r="F11" s="35">
        <v>12</v>
      </c>
    </row>
  </sheetData>
  <dataValidations count="1">
    <dataValidation type="list" allowBlank="1" showInputMessage="1" showErrorMessage="1" sqref="I2 A2:A11" xr:uid="{3E55CEB9-52EC-476A-A66D-29372DE613AB}">
      <formula1>$A$2:$A$11</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47984-B4C2-4995-B164-426F01BB5324}">
  <dimension ref="A1:V520"/>
  <sheetViews>
    <sheetView topLeftCell="A502" workbookViewId="0">
      <selection activeCell="L521" sqref="L521"/>
    </sheetView>
  </sheetViews>
  <sheetFormatPr defaultRowHeight="14.4"/>
  <cols>
    <col min="22" max="22" width="12" bestFit="1" customWidth="1"/>
  </cols>
  <sheetData>
    <row r="1" spans="1:22" ht="15" thickBo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ht="15" thickTop="1">
      <c r="A2" s="3" t="s">
        <v>22</v>
      </c>
      <c r="B2" s="4" t="s">
        <v>23</v>
      </c>
      <c r="C2" s="4" t="s">
        <v>24</v>
      </c>
      <c r="D2" s="4" t="s">
        <v>25</v>
      </c>
      <c r="E2" s="4" t="s">
        <v>26</v>
      </c>
      <c r="F2" s="4" t="s">
        <v>27</v>
      </c>
      <c r="G2" s="4" t="s">
        <v>28</v>
      </c>
      <c r="H2" s="4" t="s">
        <v>29</v>
      </c>
      <c r="I2" s="4" t="s">
        <v>30</v>
      </c>
      <c r="J2" s="4" t="s">
        <v>31</v>
      </c>
      <c r="K2" s="4" t="s">
        <v>32</v>
      </c>
      <c r="L2" s="4" t="s">
        <v>33</v>
      </c>
      <c r="M2" s="4">
        <v>4</v>
      </c>
      <c r="N2" s="4">
        <v>2200</v>
      </c>
      <c r="O2" s="4">
        <v>10</v>
      </c>
      <c r="P2" s="4">
        <v>7920</v>
      </c>
      <c r="Q2" s="4">
        <v>4</v>
      </c>
      <c r="R2" s="4" t="s">
        <v>34</v>
      </c>
      <c r="S2" s="4" t="s">
        <v>35</v>
      </c>
      <c r="T2" s="5" t="s">
        <v>36</v>
      </c>
      <c r="U2" s="6" t="s">
        <v>37</v>
      </c>
      <c r="V2" s="4" t="s">
        <v>38</v>
      </c>
    </row>
    <row r="3" spans="1:22">
      <c r="A3" s="7" t="s">
        <v>39</v>
      </c>
      <c r="B3" s="8" t="s">
        <v>23</v>
      </c>
      <c r="C3" s="8" t="s">
        <v>40</v>
      </c>
      <c r="D3" s="8" t="s">
        <v>41</v>
      </c>
      <c r="E3" s="8" t="s">
        <v>42</v>
      </c>
      <c r="F3" s="8" t="s">
        <v>27</v>
      </c>
      <c r="G3" s="8" t="s">
        <v>28</v>
      </c>
      <c r="H3" s="8" t="s">
        <v>43</v>
      </c>
      <c r="I3" s="8" t="s">
        <v>44</v>
      </c>
      <c r="J3" s="8" t="s">
        <v>45</v>
      </c>
      <c r="K3" s="8" t="s">
        <v>46</v>
      </c>
      <c r="L3" s="8" t="s">
        <v>47</v>
      </c>
      <c r="M3" s="8">
        <v>17</v>
      </c>
      <c r="N3" s="8">
        <v>12000</v>
      </c>
      <c r="O3" s="8">
        <v>10</v>
      </c>
      <c r="P3" s="8">
        <v>183600</v>
      </c>
      <c r="Q3" s="8">
        <v>1</v>
      </c>
      <c r="R3" s="8" t="s">
        <v>48</v>
      </c>
      <c r="S3" s="8" t="s">
        <v>49</v>
      </c>
      <c r="T3" s="8" t="s">
        <v>50</v>
      </c>
      <c r="U3" s="9" t="s">
        <v>51</v>
      </c>
      <c r="V3" s="8" t="s">
        <v>38</v>
      </c>
    </row>
    <row r="4" spans="1:22">
      <c r="A4" s="3" t="s">
        <v>52</v>
      </c>
      <c r="B4" s="4" t="s">
        <v>53</v>
      </c>
      <c r="C4" s="4" t="s">
        <v>54</v>
      </c>
      <c r="D4" s="4" t="s">
        <v>55</v>
      </c>
      <c r="E4" s="4" t="s">
        <v>56</v>
      </c>
      <c r="F4" s="4" t="s">
        <v>57</v>
      </c>
      <c r="G4" s="4" t="s">
        <v>28</v>
      </c>
      <c r="H4" s="4" t="s">
        <v>58</v>
      </c>
      <c r="I4" s="4" t="s">
        <v>59</v>
      </c>
      <c r="J4" s="4" t="s">
        <v>31</v>
      </c>
      <c r="K4" s="4" t="s">
        <v>46</v>
      </c>
      <c r="L4" s="4" t="s">
        <v>60</v>
      </c>
      <c r="M4" s="4">
        <v>5</v>
      </c>
      <c r="N4" s="4">
        <v>55000</v>
      </c>
      <c r="O4" s="4">
        <v>5</v>
      </c>
      <c r="P4" s="4">
        <v>261250</v>
      </c>
      <c r="Q4" s="4">
        <v>3</v>
      </c>
      <c r="R4" s="4" t="s">
        <v>48</v>
      </c>
      <c r="S4" s="4" t="s">
        <v>61</v>
      </c>
      <c r="T4" s="4" t="s">
        <v>62</v>
      </c>
      <c r="U4" s="6" t="s">
        <v>63</v>
      </c>
      <c r="V4" s="4" t="s">
        <v>64</v>
      </c>
    </row>
    <row r="5" spans="1:22">
      <c r="A5" s="7" t="s">
        <v>39</v>
      </c>
      <c r="B5" s="8" t="s">
        <v>23</v>
      </c>
      <c r="C5" s="8" t="s">
        <v>24</v>
      </c>
      <c r="D5" s="8" t="s">
        <v>65</v>
      </c>
      <c r="E5" s="8" t="s">
        <v>66</v>
      </c>
      <c r="F5" s="8" t="s">
        <v>27</v>
      </c>
      <c r="G5" s="8" t="s">
        <v>28</v>
      </c>
      <c r="H5" s="8" t="s">
        <v>67</v>
      </c>
      <c r="I5" s="8" t="s">
        <v>59</v>
      </c>
      <c r="J5" s="8" t="s">
        <v>31</v>
      </c>
      <c r="K5" s="8" t="s">
        <v>32</v>
      </c>
      <c r="L5" s="8" t="s">
        <v>33</v>
      </c>
      <c r="M5" s="8">
        <v>5</v>
      </c>
      <c r="N5" s="8">
        <v>2200</v>
      </c>
      <c r="O5" s="8">
        <v>5</v>
      </c>
      <c r="P5" s="8">
        <v>10450</v>
      </c>
      <c r="Q5" s="8">
        <v>5</v>
      </c>
      <c r="R5" s="8" t="s">
        <v>48</v>
      </c>
      <c r="S5" s="8" t="s">
        <v>61</v>
      </c>
      <c r="T5" s="10" t="s">
        <v>50</v>
      </c>
      <c r="U5" s="9" t="s">
        <v>68</v>
      </c>
      <c r="V5" s="8" t="s">
        <v>69</v>
      </c>
    </row>
    <row r="6" spans="1:22">
      <c r="A6" s="3" t="s">
        <v>70</v>
      </c>
      <c r="B6" s="4" t="s">
        <v>71</v>
      </c>
      <c r="C6" s="4" t="s">
        <v>72</v>
      </c>
      <c r="D6" s="4" t="s">
        <v>73</v>
      </c>
      <c r="E6" s="4" t="s">
        <v>74</v>
      </c>
      <c r="F6" s="4" t="s">
        <v>75</v>
      </c>
      <c r="G6" s="4" t="s">
        <v>76</v>
      </c>
      <c r="H6" s="4" t="s">
        <v>77</v>
      </c>
      <c r="I6" s="4" t="s">
        <v>44</v>
      </c>
      <c r="J6" s="4" t="s">
        <v>45</v>
      </c>
      <c r="K6" s="4" t="s">
        <v>46</v>
      </c>
      <c r="L6" s="4" t="s">
        <v>78</v>
      </c>
      <c r="M6" s="4">
        <v>8</v>
      </c>
      <c r="N6" s="4">
        <v>1200</v>
      </c>
      <c r="O6" s="4">
        <v>5</v>
      </c>
      <c r="P6" s="4">
        <v>9120</v>
      </c>
      <c r="Q6" s="4">
        <v>2</v>
      </c>
      <c r="R6" s="4" t="s">
        <v>79</v>
      </c>
      <c r="S6" s="4" t="s">
        <v>61</v>
      </c>
      <c r="T6" s="4" t="s">
        <v>80</v>
      </c>
      <c r="U6" s="6" t="s">
        <v>81</v>
      </c>
      <c r="V6" s="4" t="s">
        <v>64</v>
      </c>
    </row>
    <row r="7" spans="1:22">
      <c r="A7" s="7" t="s">
        <v>82</v>
      </c>
      <c r="B7" s="8" t="s">
        <v>83</v>
      </c>
      <c r="C7" s="8" t="s">
        <v>24</v>
      </c>
      <c r="D7" s="8" t="s">
        <v>84</v>
      </c>
      <c r="E7" s="8" t="s">
        <v>85</v>
      </c>
      <c r="F7" s="8" t="s">
        <v>86</v>
      </c>
      <c r="G7" s="8" t="s">
        <v>76</v>
      </c>
      <c r="H7" s="8" t="s">
        <v>87</v>
      </c>
      <c r="I7" s="8" t="s">
        <v>30</v>
      </c>
      <c r="J7" s="8" t="s">
        <v>31</v>
      </c>
      <c r="K7" s="8" t="s">
        <v>32</v>
      </c>
      <c r="L7" s="8" t="s">
        <v>33</v>
      </c>
      <c r="M7" s="8">
        <v>4</v>
      </c>
      <c r="N7" s="8">
        <v>2200</v>
      </c>
      <c r="O7" s="8">
        <v>0</v>
      </c>
      <c r="P7" s="8">
        <v>8800</v>
      </c>
      <c r="Q7" s="8">
        <v>1</v>
      </c>
      <c r="R7" s="8" t="s">
        <v>88</v>
      </c>
      <c r="S7" s="8" t="s">
        <v>35</v>
      </c>
      <c r="T7" s="8" t="s">
        <v>89</v>
      </c>
      <c r="U7" s="9" t="s">
        <v>90</v>
      </c>
      <c r="V7" s="8" t="s">
        <v>38</v>
      </c>
    </row>
    <row r="8" spans="1:22">
      <c r="A8" s="3" t="s">
        <v>91</v>
      </c>
      <c r="B8" s="4" t="s">
        <v>23</v>
      </c>
      <c r="C8" s="4" t="s">
        <v>92</v>
      </c>
      <c r="D8" s="4" t="s">
        <v>93</v>
      </c>
      <c r="E8" s="4" t="s">
        <v>94</v>
      </c>
      <c r="F8" s="4" t="s">
        <v>95</v>
      </c>
      <c r="G8" s="4" t="s">
        <v>28</v>
      </c>
      <c r="H8" s="4" t="s">
        <v>96</v>
      </c>
      <c r="I8" s="4" t="s">
        <v>30</v>
      </c>
      <c r="J8" s="4" t="s">
        <v>31</v>
      </c>
      <c r="K8" s="4" t="s">
        <v>32</v>
      </c>
      <c r="L8" s="4" t="s">
        <v>97</v>
      </c>
      <c r="M8" s="4">
        <v>2</v>
      </c>
      <c r="N8" s="4">
        <v>3500</v>
      </c>
      <c r="O8" s="4">
        <v>5</v>
      </c>
      <c r="P8" s="4">
        <v>6650</v>
      </c>
      <c r="Q8" s="4">
        <v>1</v>
      </c>
      <c r="R8" s="4" t="s">
        <v>88</v>
      </c>
      <c r="S8" s="4" t="s">
        <v>35</v>
      </c>
      <c r="T8" s="4" t="s">
        <v>50</v>
      </c>
      <c r="U8" s="6" t="s">
        <v>98</v>
      </c>
      <c r="V8" s="4" t="s">
        <v>38</v>
      </c>
    </row>
    <row r="9" spans="1:22">
      <c r="A9" s="7" t="s">
        <v>99</v>
      </c>
      <c r="B9" s="8" t="s">
        <v>100</v>
      </c>
      <c r="C9" s="8" t="s">
        <v>40</v>
      </c>
      <c r="D9" s="8" t="s">
        <v>101</v>
      </c>
      <c r="E9" s="8" t="s">
        <v>102</v>
      </c>
      <c r="F9" s="8" t="s">
        <v>103</v>
      </c>
      <c r="G9" s="8" t="s">
        <v>28</v>
      </c>
      <c r="H9" s="8" t="s">
        <v>104</v>
      </c>
      <c r="I9" s="8" t="s">
        <v>105</v>
      </c>
      <c r="J9" s="8" t="s">
        <v>106</v>
      </c>
      <c r="K9" s="8" t="s">
        <v>46</v>
      </c>
      <c r="L9" s="8" t="s">
        <v>47</v>
      </c>
      <c r="M9" s="8">
        <v>14</v>
      </c>
      <c r="N9" s="8">
        <v>12000</v>
      </c>
      <c r="O9" s="8">
        <v>15</v>
      </c>
      <c r="P9" s="8">
        <v>142800</v>
      </c>
      <c r="Q9" s="8">
        <v>4</v>
      </c>
      <c r="R9" s="8" t="s">
        <v>48</v>
      </c>
      <c r="S9" s="8" t="s">
        <v>35</v>
      </c>
      <c r="T9" s="10" t="s">
        <v>107</v>
      </c>
      <c r="U9" s="9" t="s">
        <v>108</v>
      </c>
      <c r="V9" s="8" t="s">
        <v>38</v>
      </c>
    </row>
    <row r="10" spans="1:22">
      <c r="A10" s="3" t="s">
        <v>109</v>
      </c>
      <c r="B10" s="4" t="s">
        <v>23</v>
      </c>
      <c r="C10" s="4" t="s">
        <v>40</v>
      </c>
      <c r="D10" s="4" t="s">
        <v>110</v>
      </c>
      <c r="E10" s="4" t="s">
        <v>111</v>
      </c>
      <c r="F10" s="4" t="s">
        <v>112</v>
      </c>
      <c r="G10" s="4" t="s">
        <v>28</v>
      </c>
      <c r="H10" s="4" t="s">
        <v>113</v>
      </c>
      <c r="I10" s="4" t="s">
        <v>114</v>
      </c>
      <c r="J10" s="4" t="s">
        <v>106</v>
      </c>
      <c r="K10" s="4" t="s">
        <v>46</v>
      </c>
      <c r="L10" s="4" t="s">
        <v>47</v>
      </c>
      <c r="M10" s="4">
        <v>4</v>
      </c>
      <c r="N10" s="4">
        <v>12000</v>
      </c>
      <c r="O10" s="4">
        <v>15</v>
      </c>
      <c r="P10" s="4">
        <v>40800</v>
      </c>
      <c r="Q10" s="4">
        <v>4</v>
      </c>
      <c r="R10" s="4" t="s">
        <v>88</v>
      </c>
      <c r="S10" s="4" t="s">
        <v>115</v>
      </c>
      <c r="T10" s="4" t="s">
        <v>50</v>
      </c>
      <c r="U10" s="6" t="s">
        <v>116</v>
      </c>
      <c r="V10" s="4" t="s">
        <v>38</v>
      </c>
    </row>
    <row r="11" spans="1:22">
      <c r="A11" s="7" t="s">
        <v>117</v>
      </c>
      <c r="B11" s="8" t="s">
        <v>100</v>
      </c>
      <c r="C11" s="8" t="s">
        <v>118</v>
      </c>
      <c r="D11" s="8" t="s">
        <v>119</v>
      </c>
      <c r="E11" s="8" t="s">
        <v>120</v>
      </c>
      <c r="F11" s="8" t="s">
        <v>103</v>
      </c>
      <c r="G11" s="8" t="s">
        <v>28</v>
      </c>
      <c r="H11" s="8" t="s">
        <v>121</v>
      </c>
      <c r="I11" s="8" t="s">
        <v>105</v>
      </c>
      <c r="J11" s="8" t="s">
        <v>106</v>
      </c>
      <c r="K11" s="8" t="s">
        <v>122</v>
      </c>
      <c r="L11" s="8" t="s">
        <v>123</v>
      </c>
      <c r="M11" s="8">
        <v>6</v>
      </c>
      <c r="N11" s="8">
        <v>60</v>
      </c>
      <c r="O11" s="8">
        <v>0</v>
      </c>
      <c r="P11" s="8">
        <v>360</v>
      </c>
      <c r="Q11" s="8">
        <v>4</v>
      </c>
      <c r="R11" s="8" t="s">
        <v>79</v>
      </c>
      <c r="S11" s="8" t="s">
        <v>115</v>
      </c>
      <c r="T11" s="10" t="s">
        <v>124</v>
      </c>
      <c r="U11" s="9" t="s">
        <v>125</v>
      </c>
      <c r="V11" s="8" t="s">
        <v>38</v>
      </c>
    </row>
    <row r="12" spans="1:22">
      <c r="A12" s="3" t="s">
        <v>126</v>
      </c>
      <c r="B12" s="4" t="s">
        <v>127</v>
      </c>
      <c r="C12" s="4" t="s">
        <v>24</v>
      </c>
      <c r="D12" s="4" t="s">
        <v>128</v>
      </c>
      <c r="E12" s="4" t="s">
        <v>129</v>
      </c>
      <c r="F12" s="4" t="s">
        <v>130</v>
      </c>
      <c r="G12" s="4" t="s">
        <v>76</v>
      </c>
      <c r="H12" s="4" t="s">
        <v>131</v>
      </c>
      <c r="I12" s="4" t="s">
        <v>44</v>
      </c>
      <c r="J12" s="4" t="s">
        <v>45</v>
      </c>
      <c r="K12" s="4" t="s">
        <v>32</v>
      </c>
      <c r="L12" s="4" t="s">
        <v>33</v>
      </c>
      <c r="M12" s="4">
        <v>-3</v>
      </c>
      <c r="N12" s="4">
        <v>2200</v>
      </c>
      <c r="O12" s="4">
        <v>0</v>
      </c>
      <c r="P12" s="4">
        <v>35200</v>
      </c>
      <c r="Q12" s="4">
        <v>2</v>
      </c>
      <c r="R12" s="4" t="s">
        <v>79</v>
      </c>
      <c r="S12" s="4" t="s">
        <v>49</v>
      </c>
      <c r="T12" s="4" t="s">
        <v>132</v>
      </c>
      <c r="U12" s="6" t="s">
        <v>133</v>
      </c>
      <c r="V12" s="4" t="s">
        <v>64</v>
      </c>
    </row>
    <row r="13" spans="1:22">
      <c r="A13" s="7" t="s">
        <v>134</v>
      </c>
      <c r="B13" s="8" t="s">
        <v>23</v>
      </c>
      <c r="C13" s="8" t="s">
        <v>92</v>
      </c>
      <c r="D13" s="8" t="s">
        <v>135</v>
      </c>
      <c r="E13" s="8" t="s">
        <v>136</v>
      </c>
      <c r="F13" s="8" t="s">
        <v>27</v>
      </c>
      <c r="G13" s="8" t="s">
        <v>28</v>
      </c>
      <c r="H13" s="8" t="s">
        <v>137</v>
      </c>
      <c r="I13" s="8" t="s">
        <v>138</v>
      </c>
      <c r="J13" s="8" t="s">
        <v>106</v>
      </c>
      <c r="K13" s="8" t="s">
        <v>32</v>
      </c>
      <c r="L13" s="8" t="s">
        <v>97</v>
      </c>
      <c r="M13" s="8">
        <v>10</v>
      </c>
      <c r="N13" s="8">
        <v>3500</v>
      </c>
      <c r="O13" s="8">
        <v>5</v>
      </c>
      <c r="P13" s="8">
        <v>33250</v>
      </c>
      <c r="Q13" s="8">
        <v>5</v>
      </c>
      <c r="R13" s="8" t="s">
        <v>79</v>
      </c>
      <c r="S13" s="8" t="s">
        <v>61</v>
      </c>
      <c r="T13" s="8" t="s">
        <v>50</v>
      </c>
      <c r="U13" s="9" t="s">
        <v>139</v>
      </c>
      <c r="V13" s="8" t="s">
        <v>69</v>
      </c>
    </row>
    <row r="14" spans="1:22">
      <c r="A14" s="3" t="s">
        <v>140</v>
      </c>
      <c r="B14" s="4" t="s">
        <v>100</v>
      </c>
      <c r="C14" s="4" t="s">
        <v>24</v>
      </c>
      <c r="D14" s="4" t="s">
        <v>141</v>
      </c>
      <c r="E14" s="4" t="s">
        <v>142</v>
      </c>
      <c r="F14" s="4" t="s">
        <v>103</v>
      </c>
      <c r="G14" s="4" t="s">
        <v>28</v>
      </c>
      <c r="H14" s="4" t="s">
        <v>143</v>
      </c>
      <c r="I14" s="4" t="s">
        <v>114</v>
      </c>
      <c r="J14" s="4" t="s">
        <v>106</v>
      </c>
      <c r="K14" s="4" t="s">
        <v>32</v>
      </c>
      <c r="L14" s="4" t="s">
        <v>33</v>
      </c>
      <c r="M14" s="4">
        <v>15</v>
      </c>
      <c r="N14" s="4">
        <v>2200</v>
      </c>
      <c r="O14" s="4">
        <v>10</v>
      </c>
      <c r="P14" s="4">
        <v>29700</v>
      </c>
      <c r="Q14" s="4">
        <v>1</v>
      </c>
      <c r="R14" s="4" t="s">
        <v>88</v>
      </c>
      <c r="S14" s="4" t="s">
        <v>115</v>
      </c>
      <c r="T14" s="4" t="s">
        <v>144</v>
      </c>
      <c r="U14" s="6" t="s">
        <v>145</v>
      </c>
      <c r="V14" s="4" t="s">
        <v>64</v>
      </c>
    </row>
    <row r="15" spans="1:22">
      <c r="A15" s="7" t="s">
        <v>146</v>
      </c>
      <c r="B15" s="8" t="s">
        <v>127</v>
      </c>
      <c r="C15" s="8" t="s">
        <v>24</v>
      </c>
      <c r="D15" s="8" t="s">
        <v>147</v>
      </c>
      <c r="E15" s="8" t="s">
        <v>148</v>
      </c>
      <c r="F15" s="8" t="s">
        <v>149</v>
      </c>
      <c r="G15" s="8" t="s">
        <v>76</v>
      </c>
      <c r="H15" s="8" t="s">
        <v>150</v>
      </c>
      <c r="I15" s="8" t="s">
        <v>105</v>
      </c>
      <c r="J15" s="8" t="s">
        <v>106</v>
      </c>
      <c r="K15" s="8" t="s">
        <v>32</v>
      </c>
      <c r="L15" s="8" t="s">
        <v>33</v>
      </c>
      <c r="M15" s="8">
        <v>17</v>
      </c>
      <c r="N15" s="8">
        <v>2200</v>
      </c>
      <c r="O15" s="8">
        <v>5</v>
      </c>
      <c r="P15" s="8">
        <v>35530</v>
      </c>
      <c r="Q15" s="8">
        <v>1</v>
      </c>
      <c r="R15" s="8" t="s">
        <v>34</v>
      </c>
      <c r="S15" s="8" t="s">
        <v>151</v>
      </c>
      <c r="T15" s="10" t="s">
        <v>152</v>
      </c>
      <c r="U15" s="9" t="s">
        <v>153</v>
      </c>
      <c r="V15" s="8" t="s">
        <v>38</v>
      </c>
    </row>
    <row r="16" spans="1:22">
      <c r="A16" s="3" t="s">
        <v>154</v>
      </c>
      <c r="B16" s="4" t="s">
        <v>23</v>
      </c>
      <c r="C16" s="4" t="s">
        <v>92</v>
      </c>
      <c r="D16" s="4" t="s">
        <v>155</v>
      </c>
      <c r="E16" s="4" t="s">
        <v>156</v>
      </c>
      <c r="F16" s="4" t="s">
        <v>157</v>
      </c>
      <c r="G16" s="4" t="s">
        <v>28</v>
      </c>
      <c r="H16" s="4" t="s">
        <v>158</v>
      </c>
      <c r="I16" s="4" t="s">
        <v>105</v>
      </c>
      <c r="J16" s="4" t="s">
        <v>106</v>
      </c>
      <c r="K16" s="4" t="s">
        <v>32</v>
      </c>
      <c r="L16" s="4" t="s">
        <v>97</v>
      </c>
      <c r="M16" s="4">
        <v>15</v>
      </c>
      <c r="N16" s="4">
        <v>3500</v>
      </c>
      <c r="O16" s="4">
        <v>15</v>
      </c>
      <c r="P16" s="4">
        <v>44625</v>
      </c>
      <c r="Q16" s="4">
        <v>2</v>
      </c>
      <c r="R16" s="4" t="s">
        <v>34</v>
      </c>
      <c r="S16" s="4" t="s">
        <v>115</v>
      </c>
      <c r="T16" s="5" t="s">
        <v>50</v>
      </c>
      <c r="U16" s="6" t="s">
        <v>159</v>
      </c>
      <c r="V16" s="4" t="s">
        <v>69</v>
      </c>
    </row>
    <row r="17" spans="1:22">
      <c r="A17" s="7" t="s">
        <v>160</v>
      </c>
      <c r="B17" s="8" t="s">
        <v>53</v>
      </c>
      <c r="C17" s="8" t="s">
        <v>72</v>
      </c>
      <c r="D17" s="8" t="s">
        <v>161</v>
      </c>
      <c r="E17" s="8" t="s">
        <v>162</v>
      </c>
      <c r="F17" s="8" t="s">
        <v>163</v>
      </c>
      <c r="G17" s="8" t="s">
        <v>28</v>
      </c>
      <c r="H17" s="8" t="s">
        <v>164</v>
      </c>
      <c r="I17" s="8" t="s">
        <v>30</v>
      </c>
      <c r="J17" s="8" t="s">
        <v>31</v>
      </c>
      <c r="K17" s="8" t="s">
        <v>46</v>
      </c>
      <c r="L17" s="8" t="s">
        <v>78</v>
      </c>
      <c r="M17" s="8">
        <v>3</v>
      </c>
      <c r="N17" s="8">
        <v>1200</v>
      </c>
      <c r="O17" s="8">
        <v>5</v>
      </c>
      <c r="P17" s="8">
        <v>3420</v>
      </c>
      <c r="Q17" s="8">
        <v>5</v>
      </c>
      <c r="R17" s="8" t="s">
        <v>88</v>
      </c>
      <c r="S17" s="8" t="s">
        <v>35</v>
      </c>
      <c r="T17" s="8" t="s">
        <v>165</v>
      </c>
      <c r="U17" s="9" t="s">
        <v>166</v>
      </c>
      <c r="V17" s="8" t="s">
        <v>38</v>
      </c>
    </row>
    <row r="18" spans="1:22">
      <c r="A18" s="3" t="s">
        <v>167</v>
      </c>
      <c r="B18" s="4" t="s">
        <v>168</v>
      </c>
      <c r="C18" s="4" t="s">
        <v>169</v>
      </c>
      <c r="D18" s="4" t="s">
        <v>170</v>
      </c>
      <c r="E18" s="4" t="s">
        <v>171</v>
      </c>
      <c r="F18" s="4" t="s">
        <v>172</v>
      </c>
      <c r="G18" s="4" t="s">
        <v>28</v>
      </c>
      <c r="H18" s="4" t="s">
        <v>173</v>
      </c>
      <c r="I18" s="4" t="s">
        <v>114</v>
      </c>
      <c r="J18" s="4" t="s">
        <v>106</v>
      </c>
      <c r="K18" s="4" t="s">
        <v>32</v>
      </c>
      <c r="L18" s="4" t="s">
        <v>174</v>
      </c>
      <c r="M18" s="4">
        <v>13</v>
      </c>
      <c r="N18" s="4">
        <v>8500</v>
      </c>
      <c r="O18" s="4">
        <v>20</v>
      </c>
      <c r="P18" s="4">
        <v>88400</v>
      </c>
      <c r="Q18" s="4">
        <v>4</v>
      </c>
      <c r="R18" s="4" t="s">
        <v>79</v>
      </c>
      <c r="S18" s="4" t="s">
        <v>49</v>
      </c>
      <c r="T18" s="4" t="s">
        <v>175</v>
      </c>
      <c r="U18" s="6" t="s">
        <v>176</v>
      </c>
      <c r="V18" s="4" t="s">
        <v>64</v>
      </c>
    </row>
    <row r="19" spans="1:22">
      <c r="A19" s="7" t="s">
        <v>177</v>
      </c>
      <c r="B19" s="8" t="s">
        <v>83</v>
      </c>
      <c r="C19" s="8" t="s">
        <v>169</v>
      </c>
      <c r="D19" s="8" t="s">
        <v>178</v>
      </c>
      <c r="E19" s="8" t="s">
        <v>179</v>
      </c>
      <c r="F19" s="8" t="s">
        <v>180</v>
      </c>
      <c r="G19" s="8" t="s">
        <v>76</v>
      </c>
      <c r="H19" s="8" t="s">
        <v>181</v>
      </c>
      <c r="I19" s="8" t="s">
        <v>138</v>
      </c>
      <c r="J19" s="8" t="s">
        <v>106</v>
      </c>
      <c r="K19" s="8" t="s">
        <v>32</v>
      </c>
      <c r="L19" s="8" t="s">
        <v>174</v>
      </c>
      <c r="M19" s="8">
        <v>4</v>
      </c>
      <c r="N19" s="8">
        <v>8500</v>
      </c>
      <c r="O19" s="8">
        <v>20</v>
      </c>
      <c r="P19" s="8">
        <v>27200</v>
      </c>
      <c r="Q19" s="8">
        <v>5</v>
      </c>
      <c r="R19" s="8" t="s">
        <v>79</v>
      </c>
      <c r="S19" s="8" t="s">
        <v>61</v>
      </c>
      <c r="T19" s="8" t="s">
        <v>89</v>
      </c>
      <c r="U19" s="9" t="s">
        <v>182</v>
      </c>
      <c r="V19" s="8" t="s">
        <v>64</v>
      </c>
    </row>
    <row r="20" spans="1:22">
      <c r="A20" s="3" t="s">
        <v>183</v>
      </c>
      <c r="B20" s="4" t="s">
        <v>83</v>
      </c>
      <c r="C20" s="4" t="s">
        <v>184</v>
      </c>
      <c r="D20" s="4" t="s">
        <v>185</v>
      </c>
      <c r="E20" s="4" t="s">
        <v>186</v>
      </c>
      <c r="F20" s="4" t="s">
        <v>187</v>
      </c>
      <c r="G20" s="4" t="s">
        <v>76</v>
      </c>
      <c r="H20" s="4" t="s">
        <v>188</v>
      </c>
      <c r="I20" s="4" t="s">
        <v>105</v>
      </c>
      <c r="J20" s="4" t="s">
        <v>106</v>
      </c>
      <c r="K20" s="4" t="s">
        <v>46</v>
      </c>
      <c r="L20" s="4" t="s">
        <v>189</v>
      </c>
      <c r="M20" s="4">
        <v>9</v>
      </c>
      <c r="N20" s="4">
        <v>700</v>
      </c>
      <c r="O20" s="4">
        <v>5</v>
      </c>
      <c r="P20" s="4">
        <v>5985</v>
      </c>
      <c r="Q20" s="4">
        <v>3</v>
      </c>
      <c r="R20" s="4" t="s">
        <v>88</v>
      </c>
      <c r="S20" s="4" t="s">
        <v>35</v>
      </c>
      <c r="T20" s="5" t="s">
        <v>190</v>
      </c>
      <c r="U20" s="6" t="s">
        <v>191</v>
      </c>
      <c r="V20" s="4" t="s">
        <v>64</v>
      </c>
    </row>
    <row r="21" spans="1:22">
      <c r="A21" s="7" t="s">
        <v>192</v>
      </c>
      <c r="B21" s="8" t="s">
        <v>23</v>
      </c>
      <c r="C21" s="8" t="s">
        <v>54</v>
      </c>
      <c r="D21" s="8" t="s">
        <v>193</v>
      </c>
      <c r="E21" s="8" t="s">
        <v>194</v>
      </c>
      <c r="F21" s="8" t="s">
        <v>27</v>
      </c>
      <c r="G21" s="8" t="s">
        <v>28</v>
      </c>
      <c r="H21" s="8" t="s">
        <v>195</v>
      </c>
      <c r="I21" s="8" t="s">
        <v>138</v>
      </c>
      <c r="J21" s="8" t="s">
        <v>106</v>
      </c>
      <c r="K21" s="8" t="s">
        <v>46</v>
      </c>
      <c r="L21" s="8" t="s">
        <v>60</v>
      </c>
      <c r="M21" s="8">
        <v>8</v>
      </c>
      <c r="N21" s="8">
        <v>55000</v>
      </c>
      <c r="O21" s="8">
        <v>20</v>
      </c>
      <c r="P21" s="8">
        <v>352000</v>
      </c>
      <c r="Q21" s="8">
        <v>1</v>
      </c>
      <c r="R21" s="8" t="s">
        <v>34</v>
      </c>
      <c r="S21" s="8" t="s">
        <v>151</v>
      </c>
      <c r="T21" s="8" t="s">
        <v>50</v>
      </c>
      <c r="U21" s="9" t="s">
        <v>196</v>
      </c>
      <c r="V21" s="8" t="s">
        <v>38</v>
      </c>
    </row>
    <row r="22" spans="1:22">
      <c r="A22" s="3" t="s">
        <v>197</v>
      </c>
      <c r="B22" s="4" t="s">
        <v>127</v>
      </c>
      <c r="C22" s="4" t="s">
        <v>184</v>
      </c>
      <c r="D22" s="4" t="s">
        <v>198</v>
      </c>
      <c r="E22" s="4" t="s">
        <v>199</v>
      </c>
      <c r="F22" s="4" t="s">
        <v>200</v>
      </c>
      <c r="G22" s="4" t="s">
        <v>76</v>
      </c>
      <c r="H22" s="4" t="s">
        <v>201</v>
      </c>
      <c r="I22" s="4" t="s">
        <v>44</v>
      </c>
      <c r="J22" s="4" t="s">
        <v>45</v>
      </c>
      <c r="K22" s="4" t="s">
        <v>202</v>
      </c>
      <c r="L22" s="4" t="s">
        <v>189</v>
      </c>
      <c r="M22" s="4">
        <v>10</v>
      </c>
      <c r="N22" s="4">
        <v>700</v>
      </c>
      <c r="O22" s="4">
        <v>20</v>
      </c>
      <c r="P22" s="4">
        <v>5600</v>
      </c>
      <c r="Q22" s="4">
        <v>4</v>
      </c>
      <c r="R22" s="4" t="s">
        <v>79</v>
      </c>
      <c r="S22" s="4" t="s">
        <v>61</v>
      </c>
      <c r="T22" s="4" t="s">
        <v>132</v>
      </c>
      <c r="U22" s="6" t="s">
        <v>203</v>
      </c>
      <c r="V22" s="4" t="s">
        <v>69</v>
      </c>
    </row>
    <row r="23" spans="1:22">
      <c r="A23" s="7" t="s">
        <v>204</v>
      </c>
      <c r="B23" s="8" t="s">
        <v>23</v>
      </c>
      <c r="C23" s="8" t="s">
        <v>92</v>
      </c>
      <c r="D23" s="8" t="s">
        <v>205</v>
      </c>
      <c r="E23" s="8" t="s">
        <v>206</v>
      </c>
      <c r="F23" s="8" t="s">
        <v>112</v>
      </c>
      <c r="G23" s="8" t="s">
        <v>28</v>
      </c>
      <c r="H23" s="8" t="s">
        <v>207</v>
      </c>
      <c r="I23" s="8" t="s">
        <v>59</v>
      </c>
      <c r="J23" s="8" t="s">
        <v>31</v>
      </c>
      <c r="K23" s="8" t="s">
        <v>32</v>
      </c>
      <c r="L23" s="8" t="s">
        <v>97</v>
      </c>
      <c r="M23" s="8">
        <v>1</v>
      </c>
      <c r="N23" s="8">
        <v>3500</v>
      </c>
      <c r="O23" s="8">
        <v>5</v>
      </c>
      <c r="P23" s="8">
        <v>3325</v>
      </c>
      <c r="Q23" s="8">
        <v>3</v>
      </c>
      <c r="R23" s="8" t="s">
        <v>88</v>
      </c>
      <c r="S23" s="8" t="s">
        <v>115</v>
      </c>
      <c r="T23" s="8" t="s">
        <v>50</v>
      </c>
      <c r="U23" s="9" t="s">
        <v>208</v>
      </c>
      <c r="V23" s="8" t="s">
        <v>69</v>
      </c>
    </row>
    <row r="24" spans="1:22">
      <c r="A24" s="3" t="s">
        <v>209</v>
      </c>
      <c r="B24" s="4" t="s">
        <v>100</v>
      </c>
      <c r="C24" s="4" t="s">
        <v>184</v>
      </c>
      <c r="D24" s="4" t="s">
        <v>102</v>
      </c>
      <c r="E24" s="4" t="s">
        <v>210</v>
      </c>
      <c r="F24" s="4" t="s">
        <v>103</v>
      </c>
      <c r="G24" s="4" t="s">
        <v>28</v>
      </c>
      <c r="H24" s="4" t="s">
        <v>211</v>
      </c>
      <c r="I24" s="4" t="s">
        <v>212</v>
      </c>
      <c r="J24" s="4" t="s">
        <v>45</v>
      </c>
      <c r="K24" s="4" t="s">
        <v>46</v>
      </c>
      <c r="L24" s="4" t="s">
        <v>189</v>
      </c>
      <c r="M24" s="4">
        <v>19</v>
      </c>
      <c r="N24" s="4">
        <v>700</v>
      </c>
      <c r="O24" s="4">
        <v>15</v>
      </c>
      <c r="P24" s="4">
        <v>11305</v>
      </c>
      <c r="Q24" s="4">
        <v>3</v>
      </c>
      <c r="R24" s="4" t="s">
        <v>48</v>
      </c>
      <c r="S24" s="4" t="s">
        <v>151</v>
      </c>
      <c r="T24" s="4" t="s">
        <v>144</v>
      </c>
      <c r="U24" s="6" t="s">
        <v>213</v>
      </c>
      <c r="V24" s="4" t="s">
        <v>64</v>
      </c>
    </row>
    <row r="25" spans="1:22">
      <c r="A25" s="7" t="s">
        <v>214</v>
      </c>
      <c r="B25" s="8" t="s">
        <v>71</v>
      </c>
      <c r="C25" s="8" t="s">
        <v>54</v>
      </c>
      <c r="D25" s="8" t="s">
        <v>215</v>
      </c>
      <c r="E25" s="8" t="s">
        <v>216</v>
      </c>
      <c r="F25" s="8" t="s">
        <v>217</v>
      </c>
      <c r="G25" s="8" t="s">
        <v>76</v>
      </c>
      <c r="H25" s="8" t="s">
        <v>218</v>
      </c>
      <c r="I25" s="8" t="s">
        <v>59</v>
      </c>
      <c r="J25" s="8" t="s">
        <v>31</v>
      </c>
      <c r="K25" s="8" t="s">
        <v>46</v>
      </c>
      <c r="L25" s="8" t="s">
        <v>60</v>
      </c>
      <c r="M25" s="8">
        <v>12</v>
      </c>
      <c r="N25" s="8">
        <v>55000</v>
      </c>
      <c r="O25" s="8">
        <v>0</v>
      </c>
      <c r="P25" s="8">
        <v>660000</v>
      </c>
      <c r="Q25" s="8">
        <v>1</v>
      </c>
      <c r="R25" s="8" t="s">
        <v>79</v>
      </c>
      <c r="S25" s="8" t="s">
        <v>49</v>
      </c>
      <c r="T25" s="8" t="s">
        <v>80</v>
      </c>
      <c r="U25" s="9" t="s">
        <v>219</v>
      </c>
      <c r="V25" s="8" t="s">
        <v>64</v>
      </c>
    </row>
    <row r="26" spans="1:22">
      <c r="A26" s="3" t="s">
        <v>220</v>
      </c>
      <c r="B26" s="4" t="s">
        <v>221</v>
      </c>
      <c r="C26" s="4" t="s">
        <v>222</v>
      </c>
      <c r="D26" s="4" t="s">
        <v>223</v>
      </c>
      <c r="E26" s="4" t="s">
        <v>224</v>
      </c>
      <c r="F26" s="4" t="s">
        <v>225</v>
      </c>
      <c r="G26" s="4" t="s">
        <v>76</v>
      </c>
      <c r="H26" s="4" t="s">
        <v>226</v>
      </c>
      <c r="I26" s="4" t="s">
        <v>105</v>
      </c>
      <c r="J26" s="4" t="s">
        <v>106</v>
      </c>
      <c r="K26" s="4" t="s">
        <v>122</v>
      </c>
      <c r="L26" s="4" t="s">
        <v>227</v>
      </c>
      <c r="M26" s="4">
        <v>1</v>
      </c>
      <c r="N26" s="4">
        <v>20</v>
      </c>
      <c r="O26" s="4">
        <v>5</v>
      </c>
      <c r="P26" s="4">
        <v>19</v>
      </c>
      <c r="Q26" s="4">
        <v>5</v>
      </c>
      <c r="R26" s="4" t="s">
        <v>79</v>
      </c>
      <c r="S26" s="4" t="s">
        <v>35</v>
      </c>
      <c r="T26" s="4" t="s">
        <v>228</v>
      </c>
      <c r="U26" s="6" t="s">
        <v>229</v>
      </c>
      <c r="V26" s="4" t="s">
        <v>69</v>
      </c>
    </row>
    <row r="27" spans="1:22">
      <c r="A27" s="7" t="s">
        <v>230</v>
      </c>
      <c r="B27" s="8" t="s">
        <v>83</v>
      </c>
      <c r="C27" s="8" t="s">
        <v>222</v>
      </c>
      <c r="D27" s="8" t="s">
        <v>231</v>
      </c>
      <c r="E27" s="8" t="s">
        <v>232</v>
      </c>
      <c r="F27" s="8" t="s">
        <v>180</v>
      </c>
      <c r="G27" s="8" t="s">
        <v>76</v>
      </c>
      <c r="H27" s="8" t="s">
        <v>233</v>
      </c>
      <c r="I27" s="8" t="s">
        <v>105</v>
      </c>
      <c r="J27" s="8" t="s">
        <v>106</v>
      </c>
      <c r="K27" s="8" t="s">
        <v>122</v>
      </c>
      <c r="L27" s="8" t="s">
        <v>227</v>
      </c>
      <c r="M27" s="8">
        <v>2</v>
      </c>
      <c r="N27" s="8">
        <v>20</v>
      </c>
      <c r="O27" s="8">
        <v>15</v>
      </c>
      <c r="P27" s="8">
        <v>34</v>
      </c>
      <c r="Q27" s="8">
        <v>1</v>
      </c>
      <c r="R27" s="8" t="s">
        <v>88</v>
      </c>
      <c r="S27" s="8" t="s">
        <v>35</v>
      </c>
      <c r="T27" s="8" t="s">
        <v>89</v>
      </c>
      <c r="U27" s="9" t="s">
        <v>234</v>
      </c>
      <c r="V27" s="8" t="s">
        <v>64</v>
      </c>
    </row>
    <row r="28" spans="1:22">
      <c r="A28" s="3" t="s">
        <v>235</v>
      </c>
      <c r="B28" s="4" t="s">
        <v>71</v>
      </c>
      <c r="C28" s="4" t="s">
        <v>92</v>
      </c>
      <c r="D28" s="4" t="s">
        <v>236</v>
      </c>
      <c r="E28" s="4" t="s">
        <v>237</v>
      </c>
      <c r="F28" s="4" t="s">
        <v>217</v>
      </c>
      <c r="G28" s="4" t="s">
        <v>76</v>
      </c>
      <c r="H28" s="4" t="s">
        <v>238</v>
      </c>
      <c r="I28" s="4" t="s">
        <v>138</v>
      </c>
      <c r="J28" s="4" t="s">
        <v>106</v>
      </c>
      <c r="K28" s="4" t="s">
        <v>32</v>
      </c>
      <c r="L28" s="4" t="s">
        <v>97</v>
      </c>
      <c r="M28" s="4">
        <v>12</v>
      </c>
      <c r="N28" s="4">
        <v>3500</v>
      </c>
      <c r="O28" s="4">
        <v>15</v>
      </c>
      <c r="P28" s="4">
        <v>35700</v>
      </c>
      <c r="Q28" s="4">
        <v>4</v>
      </c>
      <c r="R28" s="4" t="s">
        <v>34</v>
      </c>
      <c r="S28" s="4" t="s">
        <v>49</v>
      </c>
      <c r="T28" s="4" t="s">
        <v>80</v>
      </c>
      <c r="U28" s="6" t="s">
        <v>239</v>
      </c>
      <c r="V28" s="4" t="s">
        <v>69</v>
      </c>
    </row>
    <row r="29" spans="1:22">
      <c r="A29" s="7" t="s">
        <v>240</v>
      </c>
      <c r="B29" s="8" t="s">
        <v>23</v>
      </c>
      <c r="C29" s="8" t="s">
        <v>72</v>
      </c>
      <c r="D29" s="8" t="s">
        <v>241</v>
      </c>
      <c r="E29" s="8" t="s">
        <v>242</v>
      </c>
      <c r="F29" s="8" t="s">
        <v>27</v>
      </c>
      <c r="G29" s="8" t="s">
        <v>28</v>
      </c>
      <c r="H29" s="8" t="s">
        <v>243</v>
      </c>
      <c r="I29" s="8" t="s">
        <v>138</v>
      </c>
      <c r="J29" s="8" t="s">
        <v>106</v>
      </c>
      <c r="K29" s="8" t="s">
        <v>46</v>
      </c>
      <c r="L29" s="8" t="s">
        <v>78</v>
      </c>
      <c r="M29" s="8">
        <v>11</v>
      </c>
      <c r="N29" s="8">
        <v>1200</v>
      </c>
      <c r="O29" s="8">
        <v>0</v>
      </c>
      <c r="P29" s="8">
        <v>13200</v>
      </c>
      <c r="Q29" s="8">
        <v>2</v>
      </c>
      <c r="R29" s="8" t="s">
        <v>88</v>
      </c>
      <c r="S29" s="8" t="s">
        <v>151</v>
      </c>
      <c r="T29" s="8" t="s">
        <v>50</v>
      </c>
      <c r="U29" s="9" t="s">
        <v>244</v>
      </c>
      <c r="V29" s="8" t="s">
        <v>38</v>
      </c>
    </row>
    <row r="30" spans="1:22">
      <c r="A30" s="3" t="s">
        <v>245</v>
      </c>
      <c r="B30" s="4" t="s">
        <v>127</v>
      </c>
      <c r="C30" s="4" t="s">
        <v>169</v>
      </c>
      <c r="D30" s="4" t="s">
        <v>246</v>
      </c>
      <c r="E30" s="4" t="s">
        <v>247</v>
      </c>
      <c r="F30" s="4" t="s">
        <v>200</v>
      </c>
      <c r="G30" s="4" t="s">
        <v>76</v>
      </c>
      <c r="H30" s="4" t="s">
        <v>248</v>
      </c>
      <c r="I30" s="4" t="s">
        <v>114</v>
      </c>
      <c r="J30" s="4" t="s">
        <v>106</v>
      </c>
      <c r="K30" s="4" t="s">
        <v>32</v>
      </c>
      <c r="L30" s="4" t="s">
        <v>174</v>
      </c>
      <c r="M30" s="4">
        <v>6</v>
      </c>
      <c r="N30" s="4">
        <v>8500</v>
      </c>
      <c r="O30" s="4">
        <v>65</v>
      </c>
      <c r="P30" s="4">
        <v>51000</v>
      </c>
      <c r="Q30" s="4">
        <v>1</v>
      </c>
      <c r="R30" s="4" t="s">
        <v>79</v>
      </c>
      <c r="S30" s="4" t="s">
        <v>61</v>
      </c>
      <c r="T30" s="4" t="s">
        <v>132</v>
      </c>
      <c r="U30" s="6" t="s">
        <v>249</v>
      </c>
      <c r="V30" s="4" t="s">
        <v>38</v>
      </c>
    </row>
    <row r="31" spans="1:22">
      <c r="A31" s="7" t="s">
        <v>250</v>
      </c>
      <c r="B31" s="8" t="s">
        <v>251</v>
      </c>
      <c r="C31" s="8" t="s">
        <v>118</v>
      </c>
      <c r="D31" s="8" t="s">
        <v>252</v>
      </c>
      <c r="E31" s="8" t="s">
        <v>253</v>
      </c>
      <c r="F31" s="8" t="s">
        <v>254</v>
      </c>
      <c r="G31" s="8" t="s">
        <v>28</v>
      </c>
      <c r="H31" s="8" t="s">
        <v>255</v>
      </c>
      <c r="I31" s="8" t="s">
        <v>114</v>
      </c>
      <c r="J31" s="8" t="s">
        <v>106</v>
      </c>
      <c r="K31" s="8" t="s">
        <v>122</v>
      </c>
      <c r="L31" s="8" t="s">
        <v>123</v>
      </c>
      <c r="M31" s="8">
        <v>2</v>
      </c>
      <c r="N31" s="8">
        <v>60</v>
      </c>
      <c r="O31" s="8">
        <v>5</v>
      </c>
      <c r="P31" s="8">
        <v>114</v>
      </c>
      <c r="Q31" s="8">
        <v>3</v>
      </c>
      <c r="R31" s="8" t="s">
        <v>34</v>
      </c>
      <c r="S31" s="8" t="s">
        <v>151</v>
      </c>
      <c r="T31" s="8" t="s">
        <v>256</v>
      </c>
      <c r="U31" s="9" t="s">
        <v>257</v>
      </c>
      <c r="V31" s="8" t="s">
        <v>69</v>
      </c>
    </row>
    <row r="32" spans="1:22">
      <c r="A32" s="3" t="s">
        <v>258</v>
      </c>
      <c r="B32" s="4" t="s">
        <v>23</v>
      </c>
      <c r="C32" s="4" t="s">
        <v>259</v>
      </c>
      <c r="D32" s="4" t="s">
        <v>260</v>
      </c>
      <c r="E32" s="4" t="s">
        <v>261</v>
      </c>
      <c r="F32" s="4" t="s">
        <v>27</v>
      </c>
      <c r="G32" s="4" t="s">
        <v>28</v>
      </c>
      <c r="H32" s="4" t="s">
        <v>262</v>
      </c>
      <c r="I32" s="4" t="s">
        <v>59</v>
      </c>
      <c r="J32" s="4" t="s">
        <v>31</v>
      </c>
      <c r="K32" s="4" t="s">
        <v>122</v>
      </c>
      <c r="L32" s="4" t="s">
        <v>263</v>
      </c>
      <c r="M32" s="4">
        <v>19</v>
      </c>
      <c r="N32" s="4">
        <v>45</v>
      </c>
      <c r="O32" s="4">
        <v>20</v>
      </c>
      <c r="P32" s="4">
        <v>684</v>
      </c>
      <c r="Q32" s="4">
        <v>4</v>
      </c>
      <c r="R32" s="4" t="s">
        <v>48</v>
      </c>
      <c r="S32" s="4" t="s">
        <v>61</v>
      </c>
      <c r="T32" s="4" t="s">
        <v>50</v>
      </c>
      <c r="U32" s="6" t="s">
        <v>264</v>
      </c>
      <c r="V32" s="4" t="s">
        <v>69</v>
      </c>
    </row>
    <row r="33" spans="1:22">
      <c r="A33" s="7" t="s">
        <v>265</v>
      </c>
      <c r="B33" s="8" t="s">
        <v>100</v>
      </c>
      <c r="C33" s="8" t="s">
        <v>40</v>
      </c>
      <c r="D33" s="8" t="s">
        <v>266</v>
      </c>
      <c r="E33" s="8" t="s">
        <v>267</v>
      </c>
      <c r="F33" s="8" t="s">
        <v>268</v>
      </c>
      <c r="G33" s="8" t="s">
        <v>28</v>
      </c>
      <c r="H33" s="8" t="s">
        <v>269</v>
      </c>
      <c r="I33" s="8" t="s">
        <v>138</v>
      </c>
      <c r="J33" s="8" t="s">
        <v>106</v>
      </c>
      <c r="K33" s="8" t="s">
        <v>46</v>
      </c>
      <c r="L33" s="8" t="s">
        <v>47</v>
      </c>
      <c r="M33" s="8">
        <v>11</v>
      </c>
      <c r="N33" s="8">
        <v>12000</v>
      </c>
      <c r="O33" s="8">
        <v>0</v>
      </c>
      <c r="P33" s="8">
        <v>132000</v>
      </c>
      <c r="Q33" s="8">
        <v>3</v>
      </c>
      <c r="R33" s="8" t="s">
        <v>88</v>
      </c>
      <c r="S33" s="8" t="s">
        <v>35</v>
      </c>
      <c r="T33" s="8" t="s">
        <v>144</v>
      </c>
      <c r="U33" s="9" t="s">
        <v>270</v>
      </c>
      <c r="V33" s="8" t="s">
        <v>64</v>
      </c>
    </row>
    <row r="34" spans="1:22">
      <c r="A34" s="3" t="s">
        <v>271</v>
      </c>
      <c r="B34" s="4" t="s">
        <v>251</v>
      </c>
      <c r="C34" s="4" t="s">
        <v>24</v>
      </c>
      <c r="D34" s="4" t="s">
        <v>272</v>
      </c>
      <c r="E34" s="4" t="s">
        <v>136</v>
      </c>
      <c r="F34" s="4" t="s">
        <v>254</v>
      </c>
      <c r="G34" s="4" t="s">
        <v>28</v>
      </c>
      <c r="H34" s="4" t="s">
        <v>273</v>
      </c>
      <c r="I34" s="4" t="s">
        <v>59</v>
      </c>
      <c r="J34" s="4" t="s">
        <v>31</v>
      </c>
      <c r="K34" s="4" t="s">
        <v>32</v>
      </c>
      <c r="L34" s="4" t="s">
        <v>33</v>
      </c>
      <c r="M34" s="4">
        <v>20</v>
      </c>
      <c r="N34" s="4">
        <v>2200</v>
      </c>
      <c r="O34" s="4">
        <v>5</v>
      </c>
      <c r="P34" s="4">
        <v>41800</v>
      </c>
      <c r="Q34" s="4">
        <v>1</v>
      </c>
      <c r="R34" s="4" t="s">
        <v>34</v>
      </c>
      <c r="S34" s="4" t="s">
        <v>49</v>
      </c>
      <c r="T34" s="4" t="s">
        <v>256</v>
      </c>
      <c r="U34" s="6" t="s">
        <v>274</v>
      </c>
      <c r="V34" s="4" t="s">
        <v>64</v>
      </c>
    </row>
    <row r="35" spans="1:22">
      <c r="A35" s="7" t="s">
        <v>275</v>
      </c>
      <c r="B35" s="8" t="s">
        <v>83</v>
      </c>
      <c r="C35" s="8" t="s">
        <v>222</v>
      </c>
      <c r="D35" s="8" t="s">
        <v>231</v>
      </c>
      <c r="E35" s="8" t="s">
        <v>276</v>
      </c>
      <c r="F35" s="8" t="s">
        <v>180</v>
      </c>
      <c r="G35" s="8" t="s">
        <v>76</v>
      </c>
      <c r="H35" s="8" t="s">
        <v>277</v>
      </c>
      <c r="I35" s="8" t="s">
        <v>138</v>
      </c>
      <c r="J35" s="8" t="s">
        <v>106</v>
      </c>
      <c r="K35" s="8" t="s">
        <v>122</v>
      </c>
      <c r="L35" s="8" t="s">
        <v>227</v>
      </c>
      <c r="M35" s="8">
        <v>3</v>
      </c>
      <c r="N35" s="8">
        <v>20</v>
      </c>
      <c r="O35" s="8">
        <v>0</v>
      </c>
      <c r="P35" s="8">
        <v>60</v>
      </c>
      <c r="Q35" s="8">
        <v>2</v>
      </c>
      <c r="R35" s="8" t="s">
        <v>79</v>
      </c>
      <c r="S35" s="8" t="s">
        <v>35</v>
      </c>
      <c r="T35" s="8" t="s">
        <v>278</v>
      </c>
      <c r="U35" s="9" t="s">
        <v>279</v>
      </c>
      <c r="V35" s="8" t="s">
        <v>69</v>
      </c>
    </row>
    <row r="36" spans="1:22">
      <c r="A36" s="3" t="s">
        <v>280</v>
      </c>
      <c r="B36" s="4" t="s">
        <v>127</v>
      </c>
      <c r="C36" s="4" t="s">
        <v>259</v>
      </c>
      <c r="D36" s="4" t="s">
        <v>281</v>
      </c>
      <c r="E36" s="4" t="s">
        <v>282</v>
      </c>
      <c r="F36" s="4" t="s">
        <v>200</v>
      </c>
      <c r="G36" s="4" t="s">
        <v>76</v>
      </c>
      <c r="H36" s="4" t="s">
        <v>283</v>
      </c>
      <c r="I36" s="4" t="s">
        <v>114</v>
      </c>
      <c r="J36" s="4" t="s">
        <v>106</v>
      </c>
      <c r="K36" s="4" t="s">
        <v>122</v>
      </c>
      <c r="L36" s="4" t="s">
        <v>263</v>
      </c>
      <c r="M36" s="4">
        <v>18</v>
      </c>
      <c r="N36" s="4">
        <v>45</v>
      </c>
      <c r="O36" s="4">
        <v>20</v>
      </c>
      <c r="P36" s="4">
        <v>648</v>
      </c>
      <c r="Q36" s="4">
        <v>4</v>
      </c>
      <c r="R36" s="4" t="s">
        <v>48</v>
      </c>
      <c r="S36" s="4" t="s">
        <v>35</v>
      </c>
      <c r="T36" s="4" t="s">
        <v>132</v>
      </c>
      <c r="U36" s="6" t="s">
        <v>284</v>
      </c>
      <c r="V36" s="4" t="s">
        <v>69</v>
      </c>
    </row>
    <row r="37" spans="1:22">
      <c r="A37" s="7" t="s">
        <v>285</v>
      </c>
      <c r="B37" s="8" t="s">
        <v>127</v>
      </c>
      <c r="C37" s="8" t="s">
        <v>72</v>
      </c>
      <c r="D37" s="8" t="s">
        <v>286</v>
      </c>
      <c r="E37" s="8" t="s">
        <v>287</v>
      </c>
      <c r="F37" s="8" t="s">
        <v>200</v>
      </c>
      <c r="G37" s="8" t="s">
        <v>76</v>
      </c>
      <c r="H37" s="8" t="s">
        <v>288</v>
      </c>
      <c r="I37" s="8" t="s">
        <v>59</v>
      </c>
      <c r="J37" s="8" t="s">
        <v>31</v>
      </c>
      <c r="K37" s="8" t="s">
        <v>46</v>
      </c>
      <c r="L37" s="8" t="s">
        <v>78</v>
      </c>
      <c r="M37" s="8">
        <v>4</v>
      </c>
      <c r="N37" s="8">
        <v>1200</v>
      </c>
      <c r="O37" s="8">
        <v>20</v>
      </c>
      <c r="P37" s="8">
        <v>3840</v>
      </c>
      <c r="Q37" s="8">
        <v>3</v>
      </c>
      <c r="R37" s="8" t="s">
        <v>48</v>
      </c>
      <c r="S37" s="8" t="s">
        <v>61</v>
      </c>
      <c r="T37" s="8" t="s">
        <v>132</v>
      </c>
      <c r="U37" s="9" t="s">
        <v>289</v>
      </c>
      <c r="V37" s="8" t="s">
        <v>38</v>
      </c>
    </row>
    <row r="38" spans="1:22">
      <c r="A38" s="3" t="s">
        <v>290</v>
      </c>
      <c r="B38" s="4" t="s">
        <v>71</v>
      </c>
      <c r="C38" s="4" t="s">
        <v>54</v>
      </c>
      <c r="D38" s="4" t="s">
        <v>291</v>
      </c>
      <c r="E38" s="4" t="s">
        <v>292</v>
      </c>
      <c r="F38" s="4" t="s">
        <v>217</v>
      </c>
      <c r="G38" s="4" t="s">
        <v>76</v>
      </c>
      <c r="H38" s="4" t="s">
        <v>293</v>
      </c>
      <c r="I38" s="4" t="s">
        <v>294</v>
      </c>
      <c r="J38" s="4" t="s">
        <v>295</v>
      </c>
      <c r="K38" s="4" t="s">
        <v>46</v>
      </c>
      <c r="L38" s="4" t="s">
        <v>60</v>
      </c>
      <c r="M38" s="4">
        <v>10</v>
      </c>
      <c r="N38" s="4">
        <v>55000</v>
      </c>
      <c r="O38" s="4">
        <v>0</v>
      </c>
      <c r="P38" s="4">
        <v>550000</v>
      </c>
      <c r="Q38" s="4">
        <v>1</v>
      </c>
      <c r="R38" s="4" t="s">
        <v>88</v>
      </c>
      <c r="S38" s="4" t="s">
        <v>49</v>
      </c>
      <c r="T38" s="4" t="s">
        <v>80</v>
      </c>
      <c r="U38" s="6" t="s">
        <v>296</v>
      </c>
      <c r="V38" s="4" t="s">
        <v>69</v>
      </c>
    </row>
    <row r="39" spans="1:22">
      <c r="A39" s="7" t="s">
        <v>297</v>
      </c>
      <c r="B39" s="8" t="s">
        <v>251</v>
      </c>
      <c r="C39" s="8" t="s">
        <v>92</v>
      </c>
      <c r="D39" s="8" t="s">
        <v>298</v>
      </c>
      <c r="E39" s="8" t="s">
        <v>242</v>
      </c>
      <c r="F39" s="8" t="s">
        <v>254</v>
      </c>
      <c r="G39" s="8" t="s">
        <v>28</v>
      </c>
      <c r="H39" s="8" t="s">
        <v>299</v>
      </c>
      <c r="I39" s="8" t="s">
        <v>44</v>
      </c>
      <c r="J39" s="8" t="s">
        <v>45</v>
      </c>
      <c r="K39" s="8" t="s">
        <v>32</v>
      </c>
      <c r="L39" s="8" t="s">
        <v>97</v>
      </c>
      <c r="M39" s="8">
        <v>20</v>
      </c>
      <c r="N39" s="8">
        <v>3500</v>
      </c>
      <c r="O39" s="8">
        <v>10</v>
      </c>
      <c r="P39" s="8">
        <v>63000</v>
      </c>
      <c r="Q39" s="8">
        <v>3</v>
      </c>
      <c r="R39" s="8" t="s">
        <v>79</v>
      </c>
      <c r="S39" s="8" t="s">
        <v>49</v>
      </c>
      <c r="T39" s="8" t="s">
        <v>256</v>
      </c>
      <c r="U39" s="9" t="s">
        <v>300</v>
      </c>
      <c r="V39" s="8" t="s">
        <v>69</v>
      </c>
    </row>
    <row r="40" spans="1:22">
      <c r="A40" s="3" t="s">
        <v>301</v>
      </c>
      <c r="B40" s="4" t="s">
        <v>23</v>
      </c>
      <c r="C40" s="4" t="s">
        <v>222</v>
      </c>
      <c r="D40" s="4" t="s">
        <v>302</v>
      </c>
      <c r="E40" s="4" t="s">
        <v>303</v>
      </c>
      <c r="F40" s="4" t="s">
        <v>27</v>
      </c>
      <c r="G40" s="4" t="s">
        <v>28</v>
      </c>
      <c r="H40" s="4" t="s">
        <v>304</v>
      </c>
      <c r="I40" s="4" t="s">
        <v>114</v>
      </c>
      <c r="J40" s="4" t="s">
        <v>106</v>
      </c>
      <c r="K40" s="4" t="s">
        <v>122</v>
      </c>
      <c r="L40" s="4" t="s">
        <v>227</v>
      </c>
      <c r="M40" s="4">
        <v>5</v>
      </c>
      <c r="N40" s="4" t="s">
        <v>305</v>
      </c>
      <c r="O40" s="4">
        <v>0</v>
      </c>
      <c r="P40" s="4">
        <v>100</v>
      </c>
      <c r="Q40" s="4">
        <v>1</v>
      </c>
      <c r="R40" s="4" t="s">
        <v>34</v>
      </c>
      <c r="S40" s="4" t="s">
        <v>49</v>
      </c>
      <c r="T40" s="4" t="s">
        <v>50</v>
      </c>
      <c r="U40" s="6" t="s">
        <v>306</v>
      </c>
      <c r="V40" s="4" t="s">
        <v>69</v>
      </c>
    </row>
    <row r="41" spans="1:22">
      <c r="A41" s="7" t="s">
        <v>307</v>
      </c>
      <c r="B41" s="8" t="s">
        <v>53</v>
      </c>
      <c r="C41" s="8" t="s">
        <v>169</v>
      </c>
      <c r="D41" s="8" t="s">
        <v>308</v>
      </c>
      <c r="E41" s="8" t="s">
        <v>309</v>
      </c>
      <c r="F41" s="8" t="s">
        <v>163</v>
      </c>
      <c r="G41" s="8" t="s">
        <v>28</v>
      </c>
      <c r="H41" s="8" t="s">
        <v>310</v>
      </c>
      <c r="I41" s="8" t="s">
        <v>105</v>
      </c>
      <c r="J41" s="8" t="s">
        <v>106</v>
      </c>
      <c r="K41" s="8" t="s">
        <v>32</v>
      </c>
      <c r="L41" s="8" t="s">
        <v>174</v>
      </c>
      <c r="M41" s="8">
        <v>20</v>
      </c>
      <c r="N41" s="8">
        <v>8500</v>
      </c>
      <c r="O41" s="8">
        <v>0</v>
      </c>
      <c r="P41" s="8">
        <v>170000</v>
      </c>
      <c r="Q41" s="8">
        <v>1</v>
      </c>
      <c r="R41" s="8" t="s">
        <v>88</v>
      </c>
      <c r="S41" s="8" t="s">
        <v>115</v>
      </c>
      <c r="T41" s="8" t="s">
        <v>62</v>
      </c>
      <c r="U41" s="9" t="s">
        <v>311</v>
      </c>
      <c r="V41" s="8" t="s">
        <v>69</v>
      </c>
    </row>
    <row r="42" spans="1:22">
      <c r="A42" s="3" t="s">
        <v>312</v>
      </c>
      <c r="B42" s="4" t="s">
        <v>83</v>
      </c>
      <c r="C42" s="4" t="s">
        <v>118</v>
      </c>
      <c r="D42" s="4" t="s">
        <v>313</v>
      </c>
      <c r="E42" s="4" t="s">
        <v>314</v>
      </c>
      <c r="F42" s="4" t="s">
        <v>180</v>
      </c>
      <c r="G42" s="4" t="s">
        <v>76</v>
      </c>
      <c r="H42" s="4" t="s">
        <v>315</v>
      </c>
      <c r="I42" s="4" t="s">
        <v>59</v>
      </c>
      <c r="J42" s="4" t="s">
        <v>31</v>
      </c>
      <c r="K42" s="4" t="s">
        <v>122</v>
      </c>
      <c r="L42" s="4" t="s">
        <v>123</v>
      </c>
      <c r="M42" s="4">
        <v>8</v>
      </c>
      <c r="N42" s="4">
        <v>60</v>
      </c>
      <c r="O42" s="4">
        <v>15</v>
      </c>
      <c r="P42" s="4">
        <v>408</v>
      </c>
      <c r="Q42" s="4">
        <v>5</v>
      </c>
      <c r="R42" s="4" t="s">
        <v>88</v>
      </c>
      <c r="S42" s="4" t="s">
        <v>49</v>
      </c>
      <c r="T42" s="4" t="s">
        <v>89</v>
      </c>
      <c r="U42" s="6" t="s">
        <v>316</v>
      </c>
      <c r="V42" s="4" t="s">
        <v>64</v>
      </c>
    </row>
    <row r="43" spans="1:22">
      <c r="A43" s="7" t="s">
        <v>317</v>
      </c>
      <c r="B43" s="8" t="s">
        <v>53</v>
      </c>
      <c r="C43" s="8" t="s">
        <v>92</v>
      </c>
      <c r="D43" s="8" t="s">
        <v>318</v>
      </c>
      <c r="E43" s="8" t="s">
        <v>260</v>
      </c>
      <c r="F43" s="8" t="s">
        <v>163</v>
      </c>
      <c r="G43" s="8" t="s">
        <v>28</v>
      </c>
      <c r="H43" s="8" t="s">
        <v>319</v>
      </c>
      <c r="I43" s="8" t="s">
        <v>114</v>
      </c>
      <c r="J43" s="8" t="s">
        <v>106</v>
      </c>
      <c r="K43" s="8" t="s">
        <v>32</v>
      </c>
      <c r="L43" s="8" t="s">
        <v>97</v>
      </c>
      <c r="M43" s="8">
        <v>8</v>
      </c>
      <c r="N43" s="8">
        <v>3500</v>
      </c>
      <c r="O43" s="8">
        <v>5</v>
      </c>
      <c r="P43" s="8">
        <v>26600</v>
      </c>
      <c r="Q43" s="8">
        <v>1</v>
      </c>
      <c r="R43" s="8" t="s">
        <v>79</v>
      </c>
      <c r="S43" s="8" t="s">
        <v>115</v>
      </c>
      <c r="T43" s="8" t="s">
        <v>62</v>
      </c>
      <c r="U43" s="9" t="s">
        <v>320</v>
      </c>
      <c r="V43" s="8" t="s">
        <v>64</v>
      </c>
    </row>
    <row r="44" spans="1:22">
      <c r="A44" s="3" t="s">
        <v>321</v>
      </c>
      <c r="B44" s="4" t="s">
        <v>71</v>
      </c>
      <c r="C44" s="4" t="s">
        <v>169</v>
      </c>
      <c r="D44" s="4" t="s">
        <v>322</v>
      </c>
      <c r="E44" s="4" t="s">
        <v>323</v>
      </c>
      <c r="F44" s="4" t="s">
        <v>217</v>
      </c>
      <c r="G44" s="4" t="s">
        <v>76</v>
      </c>
      <c r="H44" s="4" t="s">
        <v>324</v>
      </c>
      <c r="I44" s="4" t="s">
        <v>212</v>
      </c>
      <c r="J44" s="4" t="s">
        <v>45</v>
      </c>
      <c r="K44" s="4" t="s">
        <v>32</v>
      </c>
      <c r="L44" s="4" t="s">
        <v>174</v>
      </c>
      <c r="M44" s="4">
        <v>1</v>
      </c>
      <c r="N44" s="4">
        <v>8500</v>
      </c>
      <c r="O44" s="4">
        <v>0</v>
      </c>
      <c r="P44" s="4">
        <v>8500</v>
      </c>
      <c r="Q44" s="4">
        <v>2</v>
      </c>
      <c r="R44" s="4" t="s">
        <v>79</v>
      </c>
      <c r="S44" s="4" t="s">
        <v>115</v>
      </c>
      <c r="T44" s="4" t="s">
        <v>80</v>
      </c>
      <c r="U44" s="6" t="s">
        <v>325</v>
      </c>
      <c r="V44" s="4" t="s">
        <v>64</v>
      </c>
    </row>
    <row r="45" spans="1:22">
      <c r="A45" s="7" t="s">
        <v>326</v>
      </c>
      <c r="B45" s="8" t="s">
        <v>327</v>
      </c>
      <c r="C45" s="8" t="s">
        <v>259</v>
      </c>
      <c r="D45" s="8" t="s">
        <v>328</v>
      </c>
      <c r="E45" s="8" t="s">
        <v>329</v>
      </c>
      <c r="F45" s="8" t="s">
        <v>330</v>
      </c>
      <c r="G45" s="8" t="s">
        <v>76</v>
      </c>
      <c r="H45" s="8" t="s">
        <v>331</v>
      </c>
      <c r="I45" s="8" t="s">
        <v>114</v>
      </c>
      <c r="J45" s="8" t="s">
        <v>106</v>
      </c>
      <c r="K45" s="8" t="s">
        <v>122</v>
      </c>
      <c r="L45" s="8" t="s">
        <v>263</v>
      </c>
      <c r="M45" s="8">
        <v>8</v>
      </c>
      <c r="N45" s="8">
        <v>45</v>
      </c>
      <c r="O45" s="8">
        <v>15</v>
      </c>
      <c r="P45" s="8">
        <v>306</v>
      </c>
      <c r="Q45" s="8">
        <v>2</v>
      </c>
      <c r="R45" s="8" t="s">
        <v>79</v>
      </c>
      <c r="S45" s="8" t="s">
        <v>61</v>
      </c>
      <c r="T45" s="8" t="s">
        <v>332</v>
      </c>
      <c r="U45" s="9" t="s">
        <v>333</v>
      </c>
      <c r="V45" s="8" t="s">
        <v>38</v>
      </c>
    </row>
    <row r="46" spans="1:22">
      <c r="A46" s="3" t="s">
        <v>334</v>
      </c>
      <c r="B46" s="4" t="s">
        <v>251</v>
      </c>
      <c r="C46" s="4" t="s">
        <v>24</v>
      </c>
      <c r="D46" s="4" t="s">
        <v>335</v>
      </c>
      <c r="E46" s="4" t="s">
        <v>336</v>
      </c>
      <c r="F46" s="4" t="s">
        <v>254</v>
      </c>
      <c r="G46" s="4" t="s">
        <v>28</v>
      </c>
      <c r="H46" s="4" t="s">
        <v>337</v>
      </c>
      <c r="I46" s="4" t="s">
        <v>114</v>
      </c>
      <c r="J46" s="4" t="s">
        <v>106</v>
      </c>
      <c r="K46" s="4" t="s">
        <v>32</v>
      </c>
      <c r="L46" s="4" t="s">
        <v>33</v>
      </c>
      <c r="M46" s="4">
        <v>16</v>
      </c>
      <c r="N46" s="4">
        <v>2200</v>
      </c>
      <c r="O46" s="4">
        <v>5</v>
      </c>
      <c r="P46" s="4">
        <v>33440</v>
      </c>
      <c r="Q46" s="4">
        <v>5</v>
      </c>
      <c r="R46" s="4" t="s">
        <v>79</v>
      </c>
      <c r="S46" s="4" t="s">
        <v>61</v>
      </c>
      <c r="T46" s="4" t="s">
        <v>256</v>
      </c>
      <c r="U46" s="6" t="s">
        <v>338</v>
      </c>
      <c r="V46" s="4" t="s">
        <v>69</v>
      </c>
    </row>
    <row r="47" spans="1:22">
      <c r="A47" s="7" t="s">
        <v>339</v>
      </c>
      <c r="B47" s="8" t="s">
        <v>71</v>
      </c>
      <c r="C47" s="8" t="s">
        <v>92</v>
      </c>
      <c r="D47" s="8" t="s">
        <v>340</v>
      </c>
      <c r="E47" s="8" t="s">
        <v>341</v>
      </c>
      <c r="F47" s="8" t="s">
        <v>217</v>
      </c>
      <c r="G47" s="8" t="s">
        <v>76</v>
      </c>
      <c r="H47" s="8" t="s">
        <v>342</v>
      </c>
      <c r="I47" s="8" t="s">
        <v>59</v>
      </c>
      <c r="J47" s="8" t="s">
        <v>31</v>
      </c>
      <c r="K47" s="8" t="s">
        <v>32</v>
      </c>
      <c r="L47" s="8" t="s">
        <v>97</v>
      </c>
      <c r="M47" s="8">
        <v>19</v>
      </c>
      <c r="N47" s="8">
        <v>3500</v>
      </c>
      <c r="O47" s="8">
        <v>20</v>
      </c>
      <c r="P47" s="8">
        <v>53200</v>
      </c>
      <c r="Q47" s="8">
        <v>3</v>
      </c>
      <c r="R47" s="8" t="s">
        <v>34</v>
      </c>
      <c r="S47" s="8" t="s">
        <v>151</v>
      </c>
      <c r="T47" s="8" t="s">
        <v>80</v>
      </c>
      <c r="U47" s="9" t="s">
        <v>343</v>
      </c>
      <c r="V47" s="8" t="s">
        <v>69</v>
      </c>
    </row>
    <row r="48" spans="1:22">
      <c r="A48" s="3" t="s">
        <v>344</v>
      </c>
      <c r="B48" s="4" t="s">
        <v>251</v>
      </c>
      <c r="C48" s="4" t="s">
        <v>184</v>
      </c>
      <c r="D48" s="4" t="s">
        <v>345</v>
      </c>
      <c r="E48" s="4" t="s">
        <v>346</v>
      </c>
      <c r="F48" s="4" t="s">
        <v>254</v>
      </c>
      <c r="G48" s="4" t="s">
        <v>28</v>
      </c>
      <c r="H48" s="4" t="s">
        <v>347</v>
      </c>
      <c r="I48" s="4" t="s">
        <v>114</v>
      </c>
      <c r="J48" s="4" t="s">
        <v>106</v>
      </c>
      <c r="K48" s="4" t="s">
        <v>46</v>
      </c>
      <c r="L48" s="4" t="s">
        <v>189</v>
      </c>
      <c r="M48" s="4">
        <v>15</v>
      </c>
      <c r="N48" s="4">
        <v>700</v>
      </c>
      <c r="O48" s="4">
        <v>15</v>
      </c>
      <c r="P48" s="4">
        <v>8925</v>
      </c>
      <c r="Q48" s="4">
        <v>4</v>
      </c>
      <c r="R48" s="4" t="s">
        <v>88</v>
      </c>
      <c r="S48" s="4" t="s">
        <v>115</v>
      </c>
      <c r="T48" s="4" t="s">
        <v>348</v>
      </c>
      <c r="U48" s="6" t="s">
        <v>349</v>
      </c>
      <c r="V48" s="4" t="s">
        <v>38</v>
      </c>
    </row>
    <row r="49" spans="1:22">
      <c r="A49" s="7" t="s">
        <v>350</v>
      </c>
      <c r="B49" s="8" t="s">
        <v>251</v>
      </c>
      <c r="C49" s="8" t="s">
        <v>184</v>
      </c>
      <c r="D49" s="8" t="s">
        <v>351</v>
      </c>
      <c r="E49" s="8" t="s">
        <v>352</v>
      </c>
      <c r="F49" s="8" t="s">
        <v>254</v>
      </c>
      <c r="G49" s="8" t="s">
        <v>28</v>
      </c>
      <c r="H49" s="8" t="s">
        <v>353</v>
      </c>
      <c r="I49" s="8" t="s">
        <v>212</v>
      </c>
      <c r="J49" s="8" t="s">
        <v>45</v>
      </c>
      <c r="K49" s="8" t="s">
        <v>46</v>
      </c>
      <c r="L49" s="8" t="s">
        <v>189</v>
      </c>
      <c r="M49" s="8">
        <v>19</v>
      </c>
      <c r="N49" s="8">
        <v>700</v>
      </c>
      <c r="O49" s="8">
        <v>20</v>
      </c>
      <c r="P49" s="8">
        <v>10640</v>
      </c>
      <c r="Q49" s="8">
        <v>1</v>
      </c>
      <c r="R49" s="8" t="s">
        <v>34</v>
      </c>
      <c r="S49" s="8" t="s">
        <v>115</v>
      </c>
      <c r="T49" s="8" t="s">
        <v>256</v>
      </c>
      <c r="U49" s="9" t="s">
        <v>354</v>
      </c>
      <c r="V49" s="8" t="s">
        <v>38</v>
      </c>
    </row>
    <row r="50" spans="1:22">
      <c r="A50" s="3" t="s">
        <v>355</v>
      </c>
      <c r="B50" s="4" t="s">
        <v>71</v>
      </c>
      <c r="C50" s="4" t="s">
        <v>40</v>
      </c>
      <c r="D50" s="4" t="s">
        <v>356</v>
      </c>
      <c r="E50" s="4"/>
      <c r="F50" s="4" t="s">
        <v>217</v>
      </c>
      <c r="G50" s="4" t="s">
        <v>76</v>
      </c>
      <c r="H50" s="4" t="s">
        <v>357</v>
      </c>
      <c r="I50" s="4" t="s">
        <v>44</v>
      </c>
      <c r="J50" s="4" t="s">
        <v>45</v>
      </c>
      <c r="K50" s="4" t="s">
        <v>46</v>
      </c>
      <c r="L50" s="4" t="s">
        <v>47</v>
      </c>
      <c r="M50" s="4">
        <v>19</v>
      </c>
      <c r="N50" s="4">
        <v>12000</v>
      </c>
      <c r="O50" s="4">
        <v>0</v>
      </c>
      <c r="P50" s="4">
        <v>228000</v>
      </c>
      <c r="Q50" s="4">
        <v>1</v>
      </c>
      <c r="R50" s="4" t="s">
        <v>48</v>
      </c>
      <c r="S50" s="4" t="s">
        <v>61</v>
      </c>
      <c r="T50" s="4" t="s">
        <v>80</v>
      </c>
      <c r="U50" s="6" t="s">
        <v>358</v>
      </c>
      <c r="V50" s="4" t="s">
        <v>38</v>
      </c>
    </row>
    <row r="51" spans="1:22">
      <c r="A51" s="7" t="s">
        <v>359</v>
      </c>
      <c r="B51" s="8" t="s">
        <v>168</v>
      </c>
      <c r="C51" s="8" t="s">
        <v>72</v>
      </c>
      <c r="D51" s="8" t="s">
        <v>356</v>
      </c>
      <c r="E51" s="8" t="s">
        <v>360</v>
      </c>
      <c r="F51" s="8" t="s">
        <v>361</v>
      </c>
      <c r="G51" s="8" t="s">
        <v>28</v>
      </c>
      <c r="H51" s="8" t="s">
        <v>362</v>
      </c>
      <c r="I51" s="8" t="s">
        <v>114</v>
      </c>
      <c r="J51" s="8" t="s">
        <v>106</v>
      </c>
      <c r="K51" s="8" t="s">
        <v>46</v>
      </c>
      <c r="L51" s="8" t="s">
        <v>78</v>
      </c>
      <c r="M51" s="8">
        <v>6</v>
      </c>
      <c r="N51" s="8">
        <v>1200</v>
      </c>
      <c r="O51" s="8">
        <v>5</v>
      </c>
      <c r="P51" s="8">
        <v>6840</v>
      </c>
      <c r="Q51" s="8">
        <v>2</v>
      </c>
      <c r="R51" s="8" t="s">
        <v>34</v>
      </c>
      <c r="S51" s="8" t="s">
        <v>35</v>
      </c>
      <c r="T51" s="8" t="s">
        <v>175</v>
      </c>
      <c r="U51" s="9" t="s">
        <v>363</v>
      </c>
      <c r="V51" s="8" t="s">
        <v>64</v>
      </c>
    </row>
    <row r="52" spans="1:22">
      <c r="A52" s="3" t="s">
        <v>364</v>
      </c>
      <c r="B52" s="4" t="s">
        <v>53</v>
      </c>
      <c r="C52" s="4" t="s">
        <v>24</v>
      </c>
      <c r="D52" s="4" t="s">
        <v>365</v>
      </c>
      <c r="E52" s="4" t="s">
        <v>366</v>
      </c>
      <c r="F52" s="4" t="s">
        <v>367</v>
      </c>
      <c r="G52" s="4" t="s">
        <v>28</v>
      </c>
      <c r="H52" s="4" t="s">
        <v>368</v>
      </c>
      <c r="I52" s="4" t="s">
        <v>59</v>
      </c>
      <c r="J52" s="4" t="s">
        <v>31</v>
      </c>
      <c r="K52" s="4" t="s">
        <v>32</v>
      </c>
      <c r="L52" s="4" t="s">
        <v>33</v>
      </c>
      <c r="M52" s="4">
        <v>7</v>
      </c>
      <c r="N52" s="4">
        <v>2200</v>
      </c>
      <c r="O52" s="4">
        <v>15</v>
      </c>
      <c r="P52" s="4">
        <v>13090</v>
      </c>
      <c r="Q52" s="4">
        <v>1</v>
      </c>
      <c r="R52" s="4" t="s">
        <v>88</v>
      </c>
      <c r="S52" s="4" t="s">
        <v>61</v>
      </c>
      <c r="T52" s="4" t="s">
        <v>62</v>
      </c>
      <c r="U52" s="6" t="s">
        <v>369</v>
      </c>
      <c r="V52" s="4" t="s">
        <v>38</v>
      </c>
    </row>
    <row r="53" spans="1:22">
      <c r="A53" s="7" t="s">
        <v>370</v>
      </c>
      <c r="B53" s="8" t="s">
        <v>100</v>
      </c>
      <c r="C53" s="8" t="s">
        <v>118</v>
      </c>
      <c r="D53" s="8" t="s">
        <v>371</v>
      </c>
      <c r="E53" s="8" t="s">
        <v>372</v>
      </c>
      <c r="F53" s="8" t="s">
        <v>103</v>
      </c>
      <c r="G53" s="8" t="s">
        <v>28</v>
      </c>
      <c r="H53" s="8" t="s">
        <v>373</v>
      </c>
      <c r="I53" s="8" t="s">
        <v>212</v>
      </c>
      <c r="J53" s="8" t="s">
        <v>45</v>
      </c>
      <c r="K53" s="8" t="s">
        <v>122</v>
      </c>
      <c r="L53" s="8" t="s">
        <v>123</v>
      </c>
      <c r="M53" s="8">
        <v>8</v>
      </c>
      <c r="N53" s="8">
        <v>60</v>
      </c>
      <c r="O53" s="8">
        <v>10</v>
      </c>
      <c r="P53" s="8">
        <v>432</v>
      </c>
      <c r="Q53" s="8">
        <v>5</v>
      </c>
      <c r="R53" s="8" t="s">
        <v>79</v>
      </c>
      <c r="S53" s="8" t="s">
        <v>61</v>
      </c>
      <c r="T53" s="8" t="s">
        <v>144</v>
      </c>
      <c r="U53" s="9" t="s">
        <v>374</v>
      </c>
      <c r="V53" s="8" t="s">
        <v>69</v>
      </c>
    </row>
    <row r="54" spans="1:22">
      <c r="A54" s="3" t="s">
        <v>375</v>
      </c>
      <c r="B54" s="4" t="s">
        <v>221</v>
      </c>
      <c r="C54" s="4" t="s">
        <v>54</v>
      </c>
      <c r="D54" s="4" t="s">
        <v>376</v>
      </c>
      <c r="E54" s="4" t="s">
        <v>377</v>
      </c>
      <c r="F54" s="4" t="s">
        <v>225</v>
      </c>
      <c r="G54" s="4" t="s">
        <v>76</v>
      </c>
      <c r="H54" s="4" t="s">
        <v>378</v>
      </c>
      <c r="I54" s="4" t="s">
        <v>294</v>
      </c>
      <c r="J54" s="4" t="s">
        <v>295</v>
      </c>
      <c r="K54" s="4" t="s">
        <v>46</v>
      </c>
      <c r="L54" s="4" t="s">
        <v>60</v>
      </c>
      <c r="M54" s="4">
        <v>12</v>
      </c>
      <c r="N54" s="4">
        <v>55000</v>
      </c>
      <c r="O54" s="4">
        <v>5</v>
      </c>
      <c r="P54" s="4">
        <v>627000</v>
      </c>
      <c r="Q54" s="4">
        <v>2</v>
      </c>
      <c r="R54" s="4" t="s">
        <v>88</v>
      </c>
      <c r="S54" s="4" t="s">
        <v>49</v>
      </c>
      <c r="T54" s="4" t="s">
        <v>228</v>
      </c>
      <c r="U54" s="6" t="s">
        <v>379</v>
      </c>
      <c r="V54" s="4" t="s">
        <v>64</v>
      </c>
    </row>
    <row r="55" spans="1:22">
      <c r="A55" s="7" t="s">
        <v>380</v>
      </c>
      <c r="B55" s="8" t="s">
        <v>23</v>
      </c>
      <c r="C55" s="8" t="s">
        <v>184</v>
      </c>
      <c r="D55" s="8" t="s">
        <v>381</v>
      </c>
      <c r="E55" s="8" t="s">
        <v>382</v>
      </c>
      <c r="F55" s="8" t="s">
        <v>27</v>
      </c>
      <c r="G55" s="8" t="s">
        <v>28</v>
      </c>
      <c r="H55" s="8" t="s">
        <v>383</v>
      </c>
      <c r="I55" s="8" t="s">
        <v>212</v>
      </c>
      <c r="J55" s="8" t="s">
        <v>45</v>
      </c>
      <c r="K55" s="8" t="s">
        <v>46</v>
      </c>
      <c r="L55" s="8" t="s">
        <v>189</v>
      </c>
      <c r="M55" s="8">
        <v>3</v>
      </c>
      <c r="N55" s="8">
        <v>700</v>
      </c>
      <c r="O55" s="8">
        <v>0</v>
      </c>
      <c r="P55" s="8">
        <v>2100</v>
      </c>
      <c r="Q55" s="8">
        <v>3</v>
      </c>
      <c r="R55" s="8" t="s">
        <v>79</v>
      </c>
      <c r="S55" s="8" t="s">
        <v>151</v>
      </c>
      <c r="T55" s="8" t="s">
        <v>50</v>
      </c>
      <c r="U55" s="9" t="s">
        <v>384</v>
      </c>
      <c r="V55" s="8" t="s">
        <v>69</v>
      </c>
    </row>
    <row r="56" spans="1:22">
      <c r="A56" s="3" t="s">
        <v>385</v>
      </c>
      <c r="B56" s="4" t="s">
        <v>127</v>
      </c>
      <c r="C56" s="4" t="s">
        <v>118</v>
      </c>
      <c r="D56" s="4" t="s">
        <v>386</v>
      </c>
      <c r="E56" s="4" t="s">
        <v>387</v>
      </c>
      <c r="F56" s="4" t="s">
        <v>388</v>
      </c>
      <c r="G56" s="4" t="s">
        <v>76</v>
      </c>
      <c r="H56" s="4" t="s">
        <v>389</v>
      </c>
      <c r="I56" s="4" t="s">
        <v>138</v>
      </c>
      <c r="J56" s="4" t="s">
        <v>106</v>
      </c>
      <c r="K56" s="4" t="s">
        <v>122</v>
      </c>
      <c r="L56" s="4" t="s">
        <v>123</v>
      </c>
      <c r="M56" s="4">
        <v>19</v>
      </c>
      <c r="N56" s="4">
        <v>60</v>
      </c>
      <c r="O56" s="4">
        <v>15</v>
      </c>
      <c r="P56" s="4">
        <v>969</v>
      </c>
      <c r="Q56" s="4">
        <v>4</v>
      </c>
      <c r="R56" s="4" t="s">
        <v>79</v>
      </c>
      <c r="S56" s="4" t="s">
        <v>49</v>
      </c>
      <c r="T56" s="4" t="s">
        <v>132</v>
      </c>
      <c r="U56" s="6" t="s">
        <v>390</v>
      </c>
      <c r="V56" s="4" t="s">
        <v>69</v>
      </c>
    </row>
    <row r="57" spans="1:22">
      <c r="A57" s="7" t="s">
        <v>391</v>
      </c>
      <c r="B57" s="8" t="s">
        <v>327</v>
      </c>
      <c r="C57" s="8" t="s">
        <v>118</v>
      </c>
      <c r="D57" s="8" t="s">
        <v>392</v>
      </c>
      <c r="E57" s="8" t="s">
        <v>393</v>
      </c>
      <c r="F57" s="8" t="s">
        <v>394</v>
      </c>
      <c r="G57" s="8" t="s">
        <v>76</v>
      </c>
      <c r="H57" s="8" t="s">
        <v>395</v>
      </c>
      <c r="I57" s="8" t="s">
        <v>212</v>
      </c>
      <c r="J57" s="8" t="s">
        <v>45</v>
      </c>
      <c r="K57" s="8" t="s">
        <v>122</v>
      </c>
      <c r="L57" s="8" t="s">
        <v>123</v>
      </c>
      <c r="M57" s="8">
        <v>9</v>
      </c>
      <c r="N57" s="8">
        <v>60</v>
      </c>
      <c r="O57" s="8">
        <v>20</v>
      </c>
      <c r="P57" s="8">
        <v>432</v>
      </c>
      <c r="Q57" s="8">
        <v>1</v>
      </c>
      <c r="R57" s="8" t="s">
        <v>48</v>
      </c>
      <c r="S57" s="8" t="s">
        <v>115</v>
      </c>
      <c r="T57" s="8" t="s">
        <v>332</v>
      </c>
      <c r="U57" s="9" t="s">
        <v>396</v>
      </c>
      <c r="V57" s="8" t="s">
        <v>64</v>
      </c>
    </row>
    <row r="58" spans="1:22">
      <c r="A58" s="3" t="s">
        <v>397</v>
      </c>
      <c r="B58" s="4" t="s">
        <v>327</v>
      </c>
      <c r="C58" s="4" t="s">
        <v>184</v>
      </c>
      <c r="D58" s="4" t="s">
        <v>398</v>
      </c>
      <c r="E58" s="4" t="s">
        <v>399</v>
      </c>
      <c r="F58" s="4" t="s">
        <v>394</v>
      </c>
      <c r="G58" s="4" t="s">
        <v>76</v>
      </c>
      <c r="H58" s="4" t="s">
        <v>400</v>
      </c>
      <c r="I58" s="4" t="s">
        <v>59</v>
      </c>
      <c r="J58" s="4" t="s">
        <v>31</v>
      </c>
      <c r="K58" s="4" t="s">
        <v>46</v>
      </c>
      <c r="L58" s="4" t="s">
        <v>189</v>
      </c>
      <c r="M58" s="4">
        <v>6</v>
      </c>
      <c r="N58" s="4">
        <v>700</v>
      </c>
      <c r="O58" s="4">
        <v>0</v>
      </c>
      <c r="P58" s="4">
        <v>4200</v>
      </c>
      <c r="Q58" s="4">
        <v>4</v>
      </c>
      <c r="R58" s="4" t="s">
        <v>88</v>
      </c>
      <c r="S58" s="4" t="s">
        <v>49</v>
      </c>
      <c r="T58" s="4" t="s">
        <v>401</v>
      </c>
      <c r="U58" s="6" t="s">
        <v>402</v>
      </c>
      <c r="V58" s="4" t="s">
        <v>69</v>
      </c>
    </row>
    <row r="59" spans="1:22">
      <c r="A59" s="7" t="s">
        <v>403</v>
      </c>
      <c r="B59" s="8" t="s">
        <v>127</v>
      </c>
      <c r="C59" s="8" t="s">
        <v>259</v>
      </c>
      <c r="D59" s="8" t="s">
        <v>241</v>
      </c>
      <c r="E59" s="8" t="s">
        <v>404</v>
      </c>
      <c r="F59" s="8" t="s">
        <v>200</v>
      </c>
      <c r="G59" s="8" t="s">
        <v>76</v>
      </c>
      <c r="H59" s="8" t="s">
        <v>405</v>
      </c>
      <c r="I59" s="8" t="s">
        <v>44</v>
      </c>
      <c r="J59" s="8" t="s">
        <v>45</v>
      </c>
      <c r="K59" s="8" t="s">
        <v>122</v>
      </c>
      <c r="L59" s="8" t="s">
        <v>263</v>
      </c>
      <c r="M59" s="8">
        <v>18</v>
      </c>
      <c r="N59" s="8">
        <v>45</v>
      </c>
      <c r="O59" s="8">
        <v>5</v>
      </c>
      <c r="P59" s="8">
        <v>769.5</v>
      </c>
      <c r="Q59" s="8">
        <v>1</v>
      </c>
      <c r="R59" s="8" t="s">
        <v>79</v>
      </c>
      <c r="S59" s="8" t="s">
        <v>61</v>
      </c>
      <c r="T59" s="8" t="s">
        <v>132</v>
      </c>
      <c r="U59" s="9" t="s">
        <v>406</v>
      </c>
      <c r="V59" s="8" t="s">
        <v>64</v>
      </c>
    </row>
    <row r="60" spans="1:22">
      <c r="A60" s="3" t="s">
        <v>407</v>
      </c>
      <c r="B60" s="4" t="s">
        <v>83</v>
      </c>
      <c r="C60" s="4" t="s">
        <v>222</v>
      </c>
      <c r="D60" s="4" t="s">
        <v>408</v>
      </c>
      <c r="E60" s="4" t="s">
        <v>261</v>
      </c>
      <c r="F60" s="4" t="s">
        <v>180</v>
      </c>
      <c r="G60" s="4" t="s">
        <v>76</v>
      </c>
      <c r="H60" s="4" t="s">
        <v>409</v>
      </c>
      <c r="I60" s="4" t="s">
        <v>212</v>
      </c>
      <c r="J60" s="4" t="s">
        <v>45</v>
      </c>
      <c r="K60" s="4" t="s">
        <v>122</v>
      </c>
      <c r="L60" s="4" t="s">
        <v>227</v>
      </c>
      <c r="M60" s="4">
        <v>8</v>
      </c>
      <c r="N60" s="4">
        <v>20</v>
      </c>
      <c r="O60" s="4">
        <v>5</v>
      </c>
      <c r="P60" s="4">
        <v>152</v>
      </c>
      <c r="Q60" s="4">
        <v>1</v>
      </c>
      <c r="R60" s="4" t="s">
        <v>79</v>
      </c>
      <c r="S60" s="4" t="s">
        <v>35</v>
      </c>
      <c r="T60" s="4" t="s">
        <v>89</v>
      </c>
      <c r="U60" s="6" t="s">
        <v>410</v>
      </c>
      <c r="V60" s="4" t="s">
        <v>411</v>
      </c>
    </row>
    <row r="61" spans="1:22">
      <c r="A61" s="7" t="s">
        <v>412</v>
      </c>
      <c r="B61" s="8" t="s">
        <v>221</v>
      </c>
      <c r="C61" s="8" t="s">
        <v>184</v>
      </c>
      <c r="D61" s="8" t="s">
        <v>413</v>
      </c>
      <c r="E61" s="8" t="s">
        <v>414</v>
      </c>
      <c r="F61" s="8" t="s">
        <v>225</v>
      </c>
      <c r="G61" s="8" t="s">
        <v>76</v>
      </c>
      <c r="H61" s="8" t="s">
        <v>415</v>
      </c>
      <c r="I61" s="8" t="s">
        <v>212</v>
      </c>
      <c r="J61" s="8" t="s">
        <v>45</v>
      </c>
      <c r="K61" s="8" t="s">
        <v>46</v>
      </c>
      <c r="L61" s="8" t="s">
        <v>189</v>
      </c>
      <c r="M61" s="8">
        <v>8</v>
      </c>
      <c r="N61" s="8">
        <v>700</v>
      </c>
      <c r="O61" s="8">
        <v>10</v>
      </c>
      <c r="P61" s="8">
        <v>5040</v>
      </c>
      <c r="Q61" s="8">
        <v>1</v>
      </c>
      <c r="R61" s="8" t="s">
        <v>48</v>
      </c>
      <c r="S61" s="8" t="s">
        <v>61</v>
      </c>
      <c r="T61" s="10" t="s">
        <v>416</v>
      </c>
      <c r="U61" s="9" t="s">
        <v>417</v>
      </c>
      <c r="V61" s="8" t="s">
        <v>69</v>
      </c>
    </row>
    <row r="62" spans="1:22">
      <c r="A62" s="3" t="s">
        <v>418</v>
      </c>
      <c r="B62" s="4" t="s">
        <v>23</v>
      </c>
      <c r="C62" s="4" t="s">
        <v>222</v>
      </c>
      <c r="D62" s="4" t="s">
        <v>223</v>
      </c>
      <c r="E62" s="4" t="s">
        <v>356</v>
      </c>
      <c r="F62" s="4" t="s">
        <v>27</v>
      </c>
      <c r="G62" s="4" t="s">
        <v>28</v>
      </c>
      <c r="H62" s="4" t="s">
        <v>419</v>
      </c>
      <c r="I62" s="4" t="s">
        <v>44</v>
      </c>
      <c r="J62" s="4" t="s">
        <v>45</v>
      </c>
      <c r="K62" s="4" t="s">
        <v>122</v>
      </c>
      <c r="L62" s="4" t="s">
        <v>227</v>
      </c>
      <c r="M62" s="4">
        <v>7</v>
      </c>
      <c r="N62" s="4">
        <v>20</v>
      </c>
      <c r="O62" s="4">
        <v>15</v>
      </c>
      <c r="P62" s="4">
        <v>119</v>
      </c>
      <c r="Q62" s="4">
        <v>5</v>
      </c>
      <c r="R62" s="4" t="s">
        <v>79</v>
      </c>
      <c r="S62" s="4" t="s">
        <v>49</v>
      </c>
      <c r="T62" s="4" t="s">
        <v>50</v>
      </c>
      <c r="U62" s="6" t="s">
        <v>420</v>
      </c>
      <c r="V62" s="4" t="s">
        <v>38</v>
      </c>
    </row>
    <row r="63" spans="1:22">
      <c r="A63" s="7" t="s">
        <v>421</v>
      </c>
      <c r="B63" s="8" t="s">
        <v>100</v>
      </c>
      <c r="C63" s="8" t="s">
        <v>222</v>
      </c>
      <c r="D63" s="8" t="s">
        <v>422</v>
      </c>
      <c r="E63" s="8" t="s">
        <v>371</v>
      </c>
      <c r="F63" s="8" t="s">
        <v>103</v>
      </c>
      <c r="G63" s="8" t="s">
        <v>28</v>
      </c>
      <c r="H63" s="8" t="s">
        <v>423</v>
      </c>
      <c r="I63" s="8" t="s">
        <v>114</v>
      </c>
      <c r="J63" s="8" t="s">
        <v>106</v>
      </c>
      <c r="K63" s="8" t="s">
        <v>122</v>
      </c>
      <c r="L63" s="8" t="s">
        <v>227</v>
      </c>
      <c r="M63" s="8">
        <v>16</v>
      </c>
      <c r="N63" s="8">
        <v>20</v>
      </c>
      <c r="O63" s="8">
        <v>0</v>
      </c>
      <c r="P63" s="8">
        <v>320</v>
      </c>
      <c r="Q63" s="8">
        <v>5</v>
      </c>
      <c r="R63" s="8" t="s">
        <v>48</v>
      </c>
      <c r="S63" s="8" t="s">
        <v>61</v>
      </c>
      <c r="T63" s="8" t="s">
        <v>144</v>
      </c>
      <c r="U63" s="9" t="s">
        <v>424</v>
      </c>
      <c r="V63" s="8" t="s">
        <v>64</v>
      </c>
    </row>
    <row r="64" spans="1:22">
      <c r="A64" s="3" t="s">
        <v>425</v>
      </c>
      <c r="B64" s="4" t="s">
        <v>53</v>
      </c>
      <c r="C64" s="4" t="s">
        <v>259</v>
      </c>
      <c r="D64" s="4" t="s">
        <v>426</v>
      </c>
      <c r="E64" s="4" t="s">
        <v>427</v>
      </c>
      <c r="F64" s="4" t="s">
        <v>163</v>
      </c>
      <c r="G64" s="4" t="s">
        <v>28</v>
      </c>
      <c r="H64" s="4" t="s">
        <v>428</v>
      </c>
      <c r="I64" s="4" t="s">
        <v>105</v>
      </c>
      <c r="J64" s="4" t="s">
        <v>106</v>
      </c>
      <c r="K64" s="4" t="s">
        <v>122</v>
      </c>
      <c r="L64" s="4" t="s">
        <v>263</v>
      </c>
      <c r="M64" s="4">
        <v>15</v>
      </c>
      <c r="N64" s="4">
        <v>45</v>
      </c>
      <c r="O64" s="4">
        <v>0</v>
      </c>
      <c r="P64" s="4">
        <v>675</v>
      </c>
      <c r="Q64" s="4">
        <v>4</v>
      </c>
      <c r="R64" s="4" t="s">
        <v>34</v>
      </c>
      <c r="S64" s="4" t="s">
        <v>61</v>
      </c>
      <c r="T64" s="4" t="s">
        <v>62</v>
      </c>
      <c r="U64" s="6" t="s">
        <v>429</v>
      </c>
      <c r="V64" s="4" t="s">
        <v>69</v>
      </c>
    </row>
    <row r="65" spans="1:22">
      <c r="A65" s="7" t="s">
        <v>430</v>
      </c>
      <c r="B65" s="8" t="s">
        <v>251</v>
      </c>
      <c r="C65" s="8" t="s">
        <v>184</v>
      </c>
      <c r="D65" s="8" t="s">
        <v>431</v>
      </c>
      <c r="E65" s="8" t="s">
        <v>413</v>
      </c>
      <c r="F65" s="8" t="s">
        <v>254</v>
      </c>
      <c r="G65" s="8" t="s">
        <v>28</v>
      </c>
      <c r="H65" s="8" t="s">
        <v>432</v>
      </c>
      <c r="I65" s="8" t="s">
        <v>138</v>
      </c>
      <c r="J65" s="8" t="s">
        <v>106</v>
      </c>
      <c r="K65" s="8" t="s">
        <v>46</v>
      </c>
      <c r="L65" s="8" t="s">
        <v>189</v>
      </c>
      <c r="M65" s="8">
        <v>15</v>
      </c>
      <c r="N65" s="8">
        <v>700</v>
      </c>
      <c r="O65" s="8">
        <v>10</v>
      </c>
      <c r="P65" s="8">
        <v>9450</v>
      </c>
      <c r="Q65" s="8">
        <v>3</v>
      </c>
      <c r="R65" s="8" t="s">
        <v>48</v>
      </c>
      <c r="S65" s="8" t="s">
        <v>151</v>
      </c>
      <c r="T65" s="8" t="s">
        <v>256</v>
      </c>
      <c r="U65" s="9" t="s">
        <v>433</v>
      </c>
      <c r="V65" s="8" t="s">
        <v>38</v>
      </c>
    </row>
    <row r="66" spans="1:22">
      <c r="A66" s="3" t="s">
        <v>434</v>
      </c>
      <c r="B66" s="4" t="s">
        <v>53</v>
      </c>
      <c r="C66" s="4" t="s">
        <v>259</v>
      </c>
      <c r="D66" s="4" t="s">
        <v>435</v>
      </c>
      <c r="E66" s="4" t="s">
        <v>436</v>
      </c>
      <c r="F66" s="4" t="s">
        <v>163</v>
      </c>
      <c r="G66" s="4" t="s">
        <v>28</v>
      </c>
      <c r="H66" s="4" t="s">
        <v>437</v>
      </c>
      <c r="I66" s="4" t="s">
        <v>294</v>
      </c>
      <c r="J66" s="4" t="s">
        <v>295</v>
      </c>
      <c r="K66" s="4" t="s">
        <v>122</v>
      </c>
      <c r="L66" s="4" t="s">
        <v>263</v>
      </c>
      <c r="M66" s="4">
        <v>3</v>
      </c>
      <c r="N66" s="4">
        <v>45</v>
      </c>
      <c r="O66" s="4">
        <v>15</v>
      </c>
      <c r="P66" s="4">
        <v>114.75</v>
      </c>
      <c r="Q66" s="4">
        <v>2</v>
      </c>
      <c r="R66" s="4" t="s">
        <v>88</v>
      </c>
      <c r="S66" s="4" t="s">
        <v>115</v>
      </c>
      <c r="T66" s="4" t="s">
        <v>62</v>
      </c>
      <c r="U66" s="6" t="s">
        <v>438</v>
      </c>
      <c r="V66" s="4" t="s">
        <v>64</v>
      </c>
    </row>
    <row r="67" spans="1:22">
      <c r="A67" s="7" t="s">
        <v>439</v>
      </c>
      <c r="B67" s="8" t="s">
        <v>100</v>
      </c>
      <c r="C67" s="8" t="s">
        <v>24</v>
      </c>
      <c r="D67" s="8" t="s">
        <v>440</v>
      </c>
      <c r="E67" s="8" t="s">
        <v>441</v>
      </c>
      <c r="F67" s="8" t="s">
        <v>103</v>
      </c>
      <c r="G67" s="8" t="s">
        <v>28</v>
      </c>
      <c r="H67" s="8" t="s">
        <v>442</v>
      </c>
      <c r="I67" s="8" t="s">
        <v>294</v>
      </c>
      <c r="J67" s="8" t="s">
        <v>295</v>
      </c>
      <c r="K67" s="8" t="s">
        <v>32</v>
      </c>
      <c r="L67" s="8" t="s">
        <v>33</v>
      </c>
      <c r="M67" s="8">
        <v>7</v>
      </c>
      <c r="N67" s="8">
        <v>2200</v>
      </c>
      <c r="O67" s="8">
        <v>15</v>
      </c>
      <c r="P67" s="8">
        <v>13090</v>
      </c>
      <c r="Q67" s="8">
        <v>5</v>
      </c>
      <c r="R67" s="8" t="s">
        <v>88</v>
      </c>
      <c r="S67" s="8" t="s">
        <v>115</v>
      </c>
      <c r="T67" s="8" t="s">
        <v>144</v>
      </c>
      <c r="U67" s="9" t="s">
        <v>443</v>
      </c>
      <c r="V67" s="8" t="s">
        <v>38</v>
      </c>
    </row>
    <row r="68" spans="1:22">
      <c r="A68" s="3" t="s">
        <v>444</v>
      </c>
      <c r="B68" s="4" t="s">
        <v>23</v>
      </c>
      <c r="C68" s="4" t="s">
        <v>259</v>
      </c>
      <c r="D68" s="4" t="s">
        <v>445</v>
      </c>
      <c r="E68" s="4" t="s">
        <v>446</v>
      </c>
      <c r="F68" s="4" t="s">
        <v>27</v>
      </c>
      <c r="G68" s="4" t="s">
        <v>28</v>
      </c>
      <c r="H68" s="4" t="s">
        <v>447</v>
      </c>
      <c r="I68" s="4" t="s">
        <v>44</v>
      </c>
      <c r="J68" s="4" t="s">
        <v>45</v>
      </c>
      <c r="K68" s="4" t="s">
        <v>122</v>
      </c>
      <c r="L68" s="4" t="s">
        <v>263</v>
      </c>
      <c r="M68" s="4">
        <v>19</v>
      </c>
      <c r="N68" s="4">
        <v>45</v>
      </c>
      <c r="O68" s="4">
        <v>10</v>
      </c>
      <c r="P68" s="4">
        <v>769.5</v>
      </c>
      <c r="Q68" s="4">
        <v>5</v>
      </c>
      <c r="R68" s="4" t="s">
        <v>79</v>
      </c>
      <c r="S68" s="4" t="s">
        <v>115</v>
      </c>
      <c r="T68" s="4" t="s">
        <v>50</v>
      </c>
      <c r="U68" s="6" t="s">
        <v>448</v>
      </c>
      <c r="V68" s="4" t="s">
        <v>69</v>
      </c>
    </row>
    <row r="69" spans="1:22">
      <c r="A69" s="7" t="s">
        <v>449</v>
      </c>
      <c r="B69" s="8" t="s">
        <v>251</v>
      </c>
      <c r="C69" s="8" t="s">
        <v>92</v>
      </c>
      <c r="D69" s="8" t="s">
        <v>450</v>
      </c>
      <c r="E69" s="8" t="s">
        <v>323</v>
      </c>
      <c r="F69" s="8" t="s">
        <v>254</v>
      </c>
      <c r="G69" s="8" t="s">
        <v>28</v>
      </c>
      <c r="H69" s="8" t="s">
        <v>451</v>
      </c>
      <c r="I69" s="8" t="s">
        <v>30</v>
      </c>
      <c r="J69" s="8" t="s">
        <v>31</v>
      </c>
      <c r="K69" s="8" t="s">
        <v>32</v>
      </c>
      <c r="L69" s="8" t="s">
        <v>97</v>
      </c>
      <c r="M69" s="8">
        <v>7</v>
      </c>
      <c r="N69" s="8">
        <v>3500</v>
      </c>
      <c r="O69" s="8">
        <v>15</v>
      </c>
      <c r="P69" s="8">
        <v>20825</v>
      </c>
      <c r="Q69" s="8">
        <v>1</v>
      </c>
      <c r="R69" s="8" t="s">
        <v>34</v>
      </c>
      <c r="S69" s="8" t="s">
        <v>151</v>
      </c>
      <c r="T69" s="8" t="s">
        <v>256</v>
      </c>
      <c r="U69" s="9" t="s">
        <v>452</v>
      </c>
      <c r="V69" s="8" t="s">
        <v>64</v>
      </c>
    </row>
    <row r="70" spans="1:22">
      <c r="A70" s="3" t="s">
        <v>453</v>
      </c>
      <c r="B70" s="4" t="s">
        <v>53</v>
      </c>
      <c r="C70" s="4" t="s">
        <v>169</v>
      </c>
      <c r="D70" s="4" t="s">
        <v>454</v>
      </c>
      <c r="E70" s="4" t="s">
        <v>455</v>
      </c>
      <c r="F70" s="4" t="s">
        <v>163</v>
      </c>
      <c r="G70" s="4" t="s">
        <v>28</v>
      </c>
      <c r="H70" s="4" t="s">
        <v>456</v>
      </c>
      <c r="I70" s="4" t="s">
        <v>212</v>
      </c>
      <c r="J70" s="4" t="s">
        <v>45</v>
      </c>
      <c r="K70" s="4" t="s">
        <v>32</v>
      </c>
      <c r="L70" s="4" t="s">
        <v>174</v>
      </c>
      <c r="M70" s="4">
        <v>7</v>
      </c>
      <c r="N70" s="4">
        <v>8500</v>
      </c>
      <c r="O70" s="4">
        <v>20</v>
      </c>
      <c r="P70" s="4">
        <v>47600</v>
      </c>
      <c r="Q70" s="4">
        <v>4</v>
      </c>
      <c r="R70" s="4" t="s">
        <v>48</v>
      </c>
      <c r="S70" s="4" t="s">
        <v>115</v>
      </c>
      <c r="T70" s="4" t="s">
        <v>62</v>
      </c>
      <c r="U70" s="6" t="s">
        <v>457</v>
      </c>
      <c r="V70" s="4" t="s">
        <v>38</v>
      </c>
    </row>
    <row r="71" spans="1:22">
      <c r="A71" s="7" t="s">
        <v>458</v>
      </c>
      <c r="B71" s="8" t="s">
        <v>23</v>
      </c>
      <c r="C71" s="8" t="s">
        <v>54</v>
      </c>
      <c r="D71" s="8" t="s">
        <v>366</v>
      </c>
      <c r="E71" s="8" t="s">
        <v>459</v>
      </c>
      <c r="F71" s="8" t="s">
        <v>27</v>
      </c>
      <c r="G71" s="8" t="s">
        <v>28</v>
      </c>
      <c r="H71" s="8" t="s">
        <v>460</v>
      </c>
      <c r="I71" s="8" t="s">
        <v>59</v>
      </c>
      <c r="J71" s="8" t="s">
        <v>31</v>
      </c>
      <c r="K71" s="8" t="s">
        <v>46</v>
      </c>
      <c r="L71" s="8" t="s">
        <v>60</v>
      </c>
      <c r="M71" s="8">
        <v>16</v>
      </c>
      <c r="N71" s="8">
        <v>55000</v>
      </c>
      <c r="O71" s="8">
        <v>10</v>
      </c>
      <c r="P71" s="8">
        <v>792000</v>
      </c>
      <c r="Q71" s="8">
        <v>1</v>
      </c>
      <c r="R71" s="8" t="s">
        <v>79</v>
      </c>
      <c r="S71" s="8" t="s">
        <v>61</v>
      </c>
      <c r="T71" s="8" t="s">
        <v>50</v>
      </c>
      <c r="U71" s="9" t="s">
        <v>461</v>
      </c>
      <c r="V71" s="8" t="s">
        <v>38</v>
      </c>
    </row>
    <row r="72" spans="1:22">
      <c r="A72" s="3" t="s">
        <v>462</v>
      </c>
      <c r="B72" s="4" t="s">
        <v>168</v>
      </c>
      <c r="C72" s="4" t="s">
        <v>40</v>
      </c>
      <c r="D72" s="4" t="s">
        <v>463</v>
      </c>
      <c r="E72" s="4" t="s">
        <v>464</v>
      </c>
      <c r="F72" s="4" t="s">
        <v>361</v>
      </c>
      <c r="G72" s="4" t="s">
        <v>28</v>
      </c>
      <c r="H72" s="4" t="s">
        <v>465</v>
      </c>
      <c r="I72" s="4" t="s">
        <v>105</v>
      </c>
      <c r="J72" s="4" t="s">
        <v>106</v>
      </c>
      <c r="K72" s="4" t="s">
        <v>46</v>
      </c>
      <c r="L72" s="4" t="s">
        <v>47</v>
      </c>
      <c r="M72" s="4">
        <v>2</v>
      </c>
      <c r="N72" s="4">
        <v>12000</v>
      </c>
      <c r="O72" s="4">
        <v>20</v>
      </c>
      <c r="P72" s="4">
        <v>19200</v>
      </c>
      <c r="Q72" s="4">
        <v>1</v>
      </c>
      <c r="R72" s="4" t="s">
        <v>34</v>
      </c>
      <c r="S72" s="4" t="s">
        <v>151</v>
      </c>
      <c r="T72" s="5" t="s">
        <v>466</v>
      </c>
      <c r="U72" s="6" t="s">
        <v>467</v>
      </c>
      <c r="V72" s="4" t="s">
        <v>64</v>
      </c>
    </row>
    <row r="73" spans="1:22">
      <c r="A73" s="7" t="s">
        <v>468</v>
      </c>
      <c r="B73" s="8" t="s">
        <v>127</v>
      </c>
      <c r="C73" s="8" t="s">
        <v>259</v>
      </c>
      <c r="D73" s="8" t="s">
        <v>469</v>
      </c>
      <c r="E73" s="8" t="s">
        <v>446</v>
      </c>
      <c r="F73" s="8" t="s">
        <v>200</v>
      </c>
      <c r="G73" s="8" t="s">
        <v>76</v>
      </c>
      <c r="H73" s="8" t="s">
        <v>470</v>
      </c>
      <c r="I73" s="8" t="s">
        <v>59</v>
      </c>
      <c r="J73" s="8" t="s">
        <v>31</v>
      </c>
      <c r="K73" s="8" t="s">
        <v>122</v>
      </c>
      <c r="L73" s="8" t="s">
        <v>263</v>
      </c>
      <c r="M73" s="8">
        <v>4</v>
      </c>
      <c r="N73" s="8">
        <v>45</v>
      </c>
      <c r="O73" s="8">
        <v>5</v>
      </c>
      <c r="P73" s="8">
        <v>171</v>
      </c>
      <c r="Q73" s="8">
        <v>1</v>
      </c>
      <c r="R73" s="8" t="s">
        <v>79</v>
      </c>
      <c r="S73" s="8" t="s">
        <v>49</v>
      </c>
      <c r="T73" s="8" t="s">
        <v>132</v>
      </c>
      <c r="U73" s="9" t="s">
        <v>471</v>
      </c>
      <c r="V73" s="8" t="s">
        <v>64</v>
      </c>
    </row>
    <row r="74" spans="1:22">
      <c r="A74" s="3" t="s">
        <v>472</v>
      </c>
      <c r="B74" s="4" t="s">
        <v>23</v>
      </c>
      <c r="C74" s="4" t="s">
        <v>72</v>
      </c>
      <c r="D74" s="4" t="s">
        <v>473</v>
      </c>
      <c r="E74" s="4" t="s">
        <v>474</v>
      </c>
      <c r="F74" s="4" t="s">
        <v>27</v>
      </c>
      <c r="G74" s="4" t="s">
        <v>28</v>
      </c>
      <c r="H74" s="4" t="s">
        <v>475</v>
      </c>
      <c r="I74" s="4" t="s">
        <v>212</v>
      </c>
      <c r="J74" s="4" t="s">
        <v>45</v>
      </c>
      <c r="K74" s="4" t="s">
        <v>46</v>
      </c>
      <c r="L74" s="4" t="s">
        <v>78</v>
      </c>
      <c r="M74" s="4">
        <v>1</v>
      </c>
      <c r="N74" s="4">
        <v>1200</v>
      </c>
      <c r="O74" s="4">
        <v>5</v>
      </c>
      <c r="P74" s="4">
        <v>1140</v>
      </c>
      <c r="Q74" s="4">
        <v>3</v>
      </c>
      <c r="R74" s="4" t="s">
        <v>88</v>
      </c>
      <c r="S74" s="4" t="s">
        <v>61</v>
      </c>
      <c r="T74" s="4" t="s">
        <v>50</v>
      </c>
      <c r="U74" s="6" t="s">
        <v>476</v>
      </c>
      <c r="V74" s="4" t="s">
        <v>69</v>
      </c>
    </row>
    <row r="75" spans="1:22">
      <c r="A75" s="7" t="s">
        <v>477</v>
      </c>
      <c r="B75" s="8" t="s">
        <v>53</v>
      </c>
      <c r="C75" s="8" t="s">
        <v>24</v>
      </c>
      <c r="D75" s="8" t="s">
        <v>478</v>
      </c>
      <c r="E75" s="8" t="s">
        <v>479</v>
      </c>
      <c r="F75" s="8" t="s">
        <v>163</v>
      </c>
      <c r="G75" s="8" t="s">
        <v>28</v>
      </c>
      <c r="H75" s="8" t="s">
        <v>480</v>
      </c>
      <c r="I75" s="8"/>
      <c r="J75" s="8" t="s">
        <v>31</v>
      </c>
      <c r="K75" s="8" t="s">
        <v>32</v>
      </c>
      <c r="L75" s="8" t="s">
        <v>33</v>
      </c>
      <c r="M75" s="8">
        <v>1</v>
      </c>
      <c r="N75" s="8">
        <v>2200</v>
      </c>
      <c r="O75" s="8">
        <v>15</v>
      </c>
      <c r="P75" s="8">
        <v>1870</v>
      </c>
      <c r="Q75" s="8">
        <v>4</v>
      </c>
      <c r="R75" s="8" t="s">
        <v>79</v>
      </c>
      <c r="S75" s="8" t="s">
        <v>61</v>
      </c>
      <c r="T75" s="8" t="s">
        <v>62</v>
      </c>
      <c r="U75" s="9" t="s">
        <v>481</v>
      </c>
      <c r="V75" s="8" t="s">
        <v>38</v>
      </c>
    </row>
    <row r="76" spans="1:22">
      <c r="A76" s="3" t="s">
        <v>482</v>
      </c>
      <c r="B76" s="4" t="s">
        <v>127</v>
      </c>
      <c r="C76" s="4" t="s">
        <v>72</v>
      </c>
      <c r="D76" s="4" t="s">
        <v>483</v>
      </c>
      <c r="E76" s="4" t="s">
        <v>484</v>
      </c>
      <c r="F76" s="4" t="s">
        <v>200</v>
      </c>
      <c r="G76" s="4" t="s">
        <v>76</v>
      </c>
      <c r="H76" s="4" t="s">
        <v>485</v>
      </c>
      <c r="I76" s="4" t="s">
        <v>114</v>
      </c>
      <c r="J76" s="4" t="s">
        <v>106</v>
      </c>
      <c r="K76" s="4" t="s">
        <v>46</v>
      </c>
      <c r="L76" s="4" t="s">
        <v>78</v>
      </c>
      <c r="M76" s="4">
        <v>3</v>
      </c>
      <c r="N76" s="4">
        <v>1200</v>
      </c>
      <c r="O76" s="4">
        <v>10</v>
      </c>
      <c r="P76" s="4">
        <v>3240</v>
      </c>
      <c r="Q76" s="4">
        <v>5</v>
      </c>
      <c r="R76" s="4" t="s">
        <v>34</v>
      </c>
      <c r="S76" s="4" t="s">
        <v>49</v>
      </c>
      <c r="T76" s="4" t="s">
        <v>132</v>
      </c>
      <c r="U76" s="6" t="s">
        <v>486</v>
      </c>
      <c r="V76" s="4" t="s">
        <v>38</v>
      </c>
    </row>
    <row r="77" spans="1:22">
      <c r="A77" s="7" t="s">
        <v>487</v>
      </c>
      <c r="B77" s="8" t="s">
        <v>23</v>
      </c>
      <c r="C77" s="8" t="s">
        <v>92</v>
      </c>
      <c r="D77" s="8" t="s">
        <v>488</v>
      </c>
      <c r="E77" s="8" t="s">
        <v>489</v>
      </c>
      <c r="F77" s="8" t="s">
        <v>27</v>
      </c>
      <c r="G77" s="8" t="s">
        <v>28</v>
      </c>
      <c r="H77" s="8" t="s">
        <v>490</v>
      </c>
      <c r="I77" s="8" t="s">
        <v>59</v>
      </c>
      <c r="J77" s="8" t="s">
        <v>31</v>
      </c>
      <c r="K77" s="8" t="s">
        <v>32</v>
      </c>
      <c r="L77" s="8" t="s">
        <v>97</v>
      </c>
      <c r="M77" s="8">
        <v>10</v>
      </c>
      <c r="N77" s="8">
        <v>3500</v>
      </c>
      <c r="O77" s="8">
        <v>20</v>
      </c>
      <c r="P77" s="8">
        <v>28000</v>
      </c>
      <c r="Q77" s="8">
        <v>5</v>
      </c>
      <c r="R77" s="8" t="s">
        <v>79</v>
      </c>
      <c r="S77" s="8" t="s">
        <v>35</v>
      </c>
      <c r="T77" s="8" t="s">
        <v>50</v>
      </c>
      <c r="U77" s="9" t="s">
        <v>491</v>
      </c>
      <c r="V77" s="8" t="s">
        <v>38</v>
      </c>
    </row>
    <row r="78" spans="1:22">
      <c r="A78" s="3" t="s">
        <v>492</v>
      </c>
      <c r="B78" s="4" t="s">
        <v>83</v>
      </c>
      <c r="C78" s="4" t="s">
        <v>184</v>
      </c>
      <c r="D78" s="4" t="s">
        <v>493</v>
      </c>
      <c r="E78" s="4" t="s">
        <v>404</v>
      </c>
      <c r="F78" s="4" t="s">
        <v>180</v>
      </c>
      <c r="G78" s="4" t="s">
        <v>76</v>
      </c>
      <c r="H78" s="4" t="s">
        <v>494</v>
      </c>
      <c r="I78" s="4" t="s">
        <v>44</v>
      </c>
      <c r="J78" s="4" t="s">
        <v>45</v>
      </c>
      <c r="K78" s="4" t="s">
        <v>46</v>
      </c>
      <c r="L78" s="4" t="s">
        <v>189</v>
      </c>
      <c r="M78" s="4">
        <v>18</v>
      </c>
      <c r="N78" s="4">
        <v>700</v>
      </c>
      <c r="O78" s="4">
        <v>5</v>
      </c>
      <c r="P78" s="4">
        <v>11970</v>
      </c>
      <c r="Q78" s="4">
        <v>3</v>
      </c>
      <c r="R78" s="4" t="s">
        <v>79</v>
      </c>
      <c r="S78" s="4" t="s">
        <v>115</v>
      </c>
      <c r="T78" s="4" t="s">
        <v>89</v>
      </c>
      <c r="U78" s="6" t="s">
        <v>495</v>
      </c>
      <c r="V78" s="4" t="s">
        <v>69</v>
      </c>
    </row>
    <row r="79" spans="1:22">
      <c r="A79" s="7" t="s">
        <v>496</v>
      </c>
      <c r="B79" s="8" t="s">
        <v>221</v>
      </c>
      <c r="C79" s="8" t="s">
        <v>184</v>
      </c>
      <c r="D79" s="8" t="s">
        <v>497</v>
      </c>
      <c r="E79" s="8" t="s">
        <v>498</v>
      </c>
      <c r="F79" s="8" t="s">
        <v>225</v>
      </c>
      <c r="G79" s="8" t="s">
        <v>76</v>
      </c>
      <c r="H79" s="8" t="s">
        <v>499</v>
      </c>
      <c r="I79" s="8" t="s">
        <v>59</v>
      </c>
      <c r="J79" s="8" t="s">
        <v>31</v>
      </c>
      <c r="K79" s="8" t="s">
        <v>46</v>
      </c>
      <c r="L79" s="8" t="s">
        <v>189</v>
      </c>
      <c r="M79" s="8">
        <v>12</v>
      </c>
      <c r="N79" s="8">
        <v>700</v>
      </c>
      <c r="O79" s="8">
        <v>15</v>
      </c>
      <c r="P79" s="8">
        <v>7140</v>
      </c>
      <c r="Q79" s="8">
        <v>2</v>
      </c>
      <c r="R79" s="8" t="s">
        <v>88</v>
      </c>
      <c r="S79" s="8" t="s">
        <v>49</v>
      </c>
      <c r="T79" s="8" t="s">
        <v>228</v>
      </c>
      <c r="U79" s="9" t="s">
        <v>500</v>
      </c>
      <c r="V79" s="8" t="s">
        <v>38</v>
      </c>
    </row>
    <row r="80" spans="1:22">
      <c r="A80" s="3" t="s">
        <v>501</v>
      </c>
      <c r="B80" s="4" t="s">
        <v>71</v>
      </c>
      <c r="C80" s="4" t="s">
        <v>72</v>
      </c>
      <c r="D80" s="4" t="s">
        <v>502</v>
      </c>
      <c r="E80" s="4" t="s">
        <v>503</v>
      </c>
      <c r="F80" s="4" t="s">
        <v>217</v>
      </c>
      <c r="G80" s="4" t="s">
        <v>76</v>
      </c>
      <c r="H80" s="4" t="s">
        <v>504</v>
      </c>
      <c r="I80" s="4" t="s">
        <v>105</v>
      </c>
      <c r="J80" s="4" t="s">
        <v>106</v>
      </c>
      <c r="K80" s="4" t="s">
        <v>46</v>
      </c>
      <c r="L80" s="4" t="s">
        <v>78</v>
      </c>
      <c r="M80" s="4">
        <v>8</v>
      </c>
      <c r="N80" s="4">
        <v>1200</v>
      </c>
      <c r="O80" s="4">
        <v>0</v>
      </c>
      <c r="P80" s="4">
        <v>9600</v>
      </c>
      <c r="Q80" s="4">
        <v>4</v>
      </c>
      <c r="R80" s="4" t="s">
        <v>79</v>
      </c>
      <c r="S80" s="4" t="s">
        <v>49</v>
      </c>
      <c r="T80" s="4" t="s">
        <v>80</v>
      </c>
      <c r="U80" s="6" t="s">
        <v>505</v>
      </c>
      <c r="V80" s="4" t="s">
        <v>64</v>
      </c>
    </row>
    <row r="81" spans="1:22">
      <c r="A81" s="7" t="s">
        <v>506</v>
      </c>
      <c r="B81" s="8" t="s">
        <v>127</v>
      </c>
      <c r="C81" s="8" t="s">
        <v>118</v>
      </c>
      <c r="D81" s="8" t="s">
        <v>507</v>
      </c>
      <c r="E81" s="8" t="s">
        <v>508</v>
      </c>
      <c r="F81" s="8" t="s">
        <v>200</v>
      </c>
      <c r="G81" s="8" t="s">
        <v>76</v>
      </c>
      <c r="H81" s="8" t="s">
        <v>509</v>
      </c>
      <c r="I81" s="8" t="s">
        <v>114</v>
      </c>
      <c r="J81" s="8" t="s">
        <v>106</v>
      </c>
      <c r="K81" s="8" t="s">
        <v>122</v>
      </c>
      <c r="L81" s="8" t="s">
        <v>123</v>
      </c>
      <c r="M81" s="8">
        <v>2</v>
      </c>
      <c r="N81" s="8">
        <v>60</v>
      </c>
      <c r="O81" s="8">
        <v>0</v>
      </c>
      <c r="P81" s="8">
        <v>120</v>
      </c>
      <c r="Q81" s="8">
        <v>2</v>
      </c>
      <c r="R81" s="8" t="s">
        <v>88</v>
      </c>
      <c r="S81" s="8" t="s">
        <v>49</v>
      </c>
      <c r="T81" s="8" t="s">
        <v>132</v>
      </c>
      <c r="U81" s="9" t="s">
        <v>510</v>
      </c>
      <c r="V81" s="8" t="s">
        <v>38</v>
      </c>
    </row>
    <row r="82" spans="1:22">
      <c r="A82" s="3" t="s">
        <v>511</v>
      </c>
      <c r="B82" s="4" t="s">
        <v>327</v>
      </c>
      <c r="C82" s="4" t="s">
        <v>259</v>
      </c>
      <c r="D82" s="4" t="s">
        <v>512</v>
      </c>
      <c r="E82" s="4" t="s">
        <v>513</v>
      </c>
      <c r="F82" s="4" t="s">
        <v>394</v>
      </c>
      <c r="G82" s="4" t="s">
        <v>76</v>
      </c>
      <c r="H82" s="4" t="s">
        <v>514</v>
      </c>
      <c r="I82" s="4" t="s">
        <v>114</v>
      </c>
      <c r="J82" s="4" t="s">
        <v>106</v>
      </c>
      <c r="K82" s="4" t="s">
        <v>122</v>
      </c>
      <c r="L82" s="4" t="s">
        <v>263</v>
      </c>
      <c r="M82" s="4">
        <v>10</v>
      </c>
      <c r="N82" s="4">
        <v>45</v>
      </c>
      <c r="O82" s="4">
        <v>15</v>
      </c>
      <c r="P82" s="4">
        <v>382.5</v>
      </c>
      <c r="Q82" s="4">
        <v>3</v>
      </c>
      <c r="R82" s="4" t="s">
        <v>48</v>
      </c>
      <c r="S82" s="4" t="s">
        <v>35</v>
      </c>
      <c r="T82" s="4" t="s">
        <v>332</v>
      </c>
      <c r="U82" s="6" t="s">
        <v>515</v>
      </c>
      <c r="V82" s="4" t="s">
        <v>69</v>
      </c>
    </row>
    <row r="83" spans="1:22">
      <c r="A83" s="7" t="s">
        <v>516</v>
      </c>
      <c r="B83" s="8" t="s">
        <v>221</v>
      </c>
      <c r="C83" s="8" t="s">
        <v>92</v>
      </c>
      <c r="D83" s="8" t="s">
        <v>517</v>
      </c>
      <c r="E83" s="8" t="s">
        <v>518</v>
      </c>
      <c r="F83" s="8" t="s">
        <v>225</v>
      </c>
      <c r="G83" s="8" t="s">
        <v>76</v>
      </c>
      <c r="H83" s="8" t="s">
        <v>519</v>
      </c>
      <c r="I83" s="8" t="s">
        <v>294</v>
      </c>
      <c r="J83" s="8" t="s">
        <v>295</v>
      </c>
      <c r="K83" s="8" t="s">
        <v>32</v>
      </c>
      <c r="L83" s="8" t="s">
        <v>97</v>
      </c>
      <c r="M83" s="8">
        <v>12</v>
      </c>
      <c r="N83" s="8">
        <v>3500</v>
      </c>
      <c r="O83" s="8">
        <v>5</v>
      </c>
      <c r="P83" s="8">
        <v>39900</v>
      </c>
      <c r="Q83" s="8">
        <v>3</v>
      </c>
      <c r="R83" s="8" t="s">
        <v>48</v>
      </c>
      <c r="S83" s="8" t="s">
        <v>61</v>
      </c>
      <c r="T83" s="8" t="s">
        <v>228</v>
      </c>
      <c r="U83" s="9" t="s">
        <v>520</v>
      </c>
      <c r="V83" s="8" t="s">
        <v>64</v>
      </c>
    </row>
    <row r="84" spans="1:22">
      <c r="A84" s="3" t="s">
        <v>521</v>
      </c>
      <c r="B84" s="4" t="s">
        <v>127</v>
      </c>
      <c r="C84" s="4" t="s">
        <v>118</v>
      </c>
      <c r="D84" s="4" t="s">
        <v>128</v>
      </c>
      <c r="E84" s="4" t="s">
        <v>73</v>
      </c>
      <c r="F84" s="4" t="s">
        <v>200</v>
      </c>
      <c r="G84" s="4" t="s">
        <v>76</v>
      </c>
      <c r="H84" s="4" t="s">
        <v>522</v>
      </c>
      <c r="I84" s="4" t="s">
        <v>105</v>
      </c>
      <c r="J84" s="4" t="s">
        <v>106</v>
      </c>
      <c r="K84" s="4" t="s">
        <v>122</v>
      </c>
      <c r="L84" s="4" t="s">
        <v>123</v>
      </c>
      <c r="M84" s="4">
        <v>2</v>
      </c>
      <c r="N84" s="4">
        <v>60</v>
      </c>
      <c r="O84" s="4">
        <v>15</v>
      </c>
      <c r="P84" s="4">
        <v>102</v>
      </c>
      <c r="Q84" s="4">
        <v>1</v>
      </c>
      <c r="R84" s="4" t="s">
        <v>88</v>
      </c>
      <c r="S84" s="4" t="s">
        <v>115</v>
      </c>
      <c r="T84" s="4" t="s">
        <v>132</v>
      </c>
      <c r="U84" s="6" t="s">
        <v>523</v>
      </c>
      <c r="V84" s="4" t="s">
        <v>38</v>
      </c>
    </row>
    <row r="85" spans="1:22">
      <c r="A85" s="7" t="s">
        <v>524</v>
      </c>
      <c r="B85" s="8" t="s">
        <v>127</v>
      </c>
      <c r="C85" s="8" t="s">
        <v>72</v>
      </c>
      <c r="D85" s="8" t="s">
        <v>525</v>
      </c>
      <c r="E85" s="8" t="s">
        <v>526</v>
      </c>
      <c r="F85" s="8" t="s">
        <v>200</v>
      </c>
      <c r="G85" s="8" t="s">
        <v>76</v>
      </c>
      <c r="H85" s="8" t="s">
        <v>527</v>
      </c>
      <c r="I85" s="8" t="s">
        <v>30</v>
      </c>
      <c r="J85" s="8" t="s">
        <v>31</v>
      </c>
      <c r="K85" s="8" t="s">
        <v>46</v>
      </c>
      <c r="L85" s="8" t="s">
        <v>78</v>
      </c>
      <c r="M85" s="8">
        <v>18</v>
      </c>
      <c r="N85" s="8">
        <v>1200</v>
      </c>
      <c r="O85" s="8">
        <v>15</v>
      </c>
      <c r="P85" s="8">
        <v>18360</v>
      </c>
      <c r="Q85" s="8">
        <v>3</v>
      </c>
      <c r="R85" s="8" t="s">
        <v>79</v>
      </c>
      <c r="S85" s="8" t="s">
        <v>115</v>
      </c>
      <c r="T85" s="8" t="s">
        <v>132</v>
      </c>
      <c r="U85" s="9" t="s">
        <v>528</v>
      </c>
      <c r="V85" s="8" t="s">
        <v>64</v>
      </c>
    </row>
    <row r="86" spans="1:22">
      <c r="A86" s="3" t="s">
        <v>529</v>
      </c>
      <c r="B86" s="4" t="s">
        <v>23</v>
      </c>
      <c r="C86" s="4" t="s">
        <v>40</v>
      </c>
      <c r="D86" s="4" t="s">
        <v>530</v>
      </c>
      <c r="E86" s="4" t="s">
        <v>531</v>
      </c>
      <c r="F86" s="4" t="s">
        <v>27</v>
      </c>
      <c r="G86" s="4" t="s">
        <v>28</v>
      </c>
      <c r="H86" s="4" t="s">
        <v>532</v>
      </c>
      <c r="I86" s="4" t="s">
        <v>105</v>
      </c>
      <c r="J86" s="4" t="s">
        <v>106</v>
      </c>
      <c r="K86" s="4" t="s">
        <v>46</v>
      </c>
      <c r="L86" s="4" t="s">
        <v>47</v>
      </c>
      <c r="M86" s="4">
        <v>18</v>
      </c>
      <c r="N86" s="4">
        <v>12000</v>
      </c>
      <c r="O86" s="4">
        <v>15</v>
      </c>
      <c r="P86" s="4">
        <v>183600</v>
      </c>
      <c r="Q86" s="4">
        <v>2</v>
      </c>
      <c r="R86" s="4" t="s">
        <v>34</v>
      </c>
      <c r="S86" s="4" t="s">
        <v>49</v>
      </c>
      <c r="T86" s="4" t="s">
        <v>50</v>
      </c>
      <c r="U86" s="6" t="s">
        <v>533</v>
      </c>
      <c r="V86" s="4" t="s">
        <v>38</v>
      </c>
    </row>
    <row r="87" spans="1:22">
      <c r="A87" s="7" t="s">
        <v>534</v>
      </c>
      <c r="B87" s="8" t="s">
        <v>83</v>
      </c>
      <c r="C87" s="8" t="s">
        <v>222</v>
      </c>
      <c r="D87" s="8" t="s">
        <v>531</v>
      </c>
      <c r="E87" s="8" t="s">
        <v>535</v>
      </c>
      <c r="F87" s="8" t="s">
        <v>180</v>
      </c>
      <c r="G87" s="8" t="s">
        <v>76</v>
      </c>
      <c r="H87" s="8" t="s">
        <v>536</v>
      </c>
      <c r="I87" s="8" t="s">
        <v>138</v>
      </c>
      <c r="J87" s="8" t="s">
        <v>106</v>
      </c>
      <c r="K87" s="8" t="s">
        <v>122</v>
      </c>
      <c r="L87" s="8" t="s">
        <v>227</v>
      </c>
      <c r="M87" s="8">
        <v>7</v>
      </c>
      <c r="N87" s="8">
        <v>20</v>
      </c>
      <c r="O87" s="8">
        <v>0</v>
      </c>
      <c r="P87" s="8">
        <v>140</v>
      </c>
      <c r="Q87" s="8">
        <v>2</v>
      </c>
      <c r="R87" s="8" t="s">
        <v>79</v>
      </c>
      <c r="S87" s="8" t="s">
        <v>35</v>
      </c>
      <c r="T87" s="8" t="s">
        <v>89</v>
      </c>
      <c r="U87" s="9" t="s">
        <v>537</v>
      </c>
      <c r="V87" s="8" t="s">
        <v>69</v>
      </c>
    </row>
    <row r="88" spans="1:22">
      <c r="A88" s="3" t="s">
        <v>538</v>
      </c>
      <c r="B88" s="4" t="s">
        <v>251</v>
      </c>
      <c r="C88" s="4" t="s">
        <v>92</v>
      </c>
      <c r="D88" s="4" t="s">
        <v>459</v>
      </c>
      <c r="E88" s="4" t="s">
        <v>539</v>
      </c>
      <c r="F88" s="4" t="s">
        <v>254</v>
      </c>
      <c r="G88" s="4" t="s">
        <v>28</v>
      </c>
      <c r="H88" s="4" t="s">
        <v>540</v>
      </c>
      <c r="I88" s="4" t="s">
        <v>114</v>
      </c>
      <c r="J88" s="4" t="s">
        <v>106</v>
      </c>
      <c r="K88" s="4" t="s">
        <v>32</v>
      </c>
      <c r="L88" s="4" t="s">
        <v>97</v>
      </c>
      <c r="M88" s="4">
        <v>20</v>
      </c>
      <c r="N88" s="4">
        <v>3500</v>
      </c>
      <c r="O88" s="4">
        <v>20</v>
      </c>
      <c r="P88" s="4">
        <v>56000</v>
      </c>
      <c r="Q88" s="4">
        <v>4</v>
      </c>
      <c r="R88" s="4" t="s">
        <v>79</v>
      </c>
      <c r="S88" s="4" t="s">
        <v>115</v>
      </c>
      <c r="T88" s="4" t="s">
        <v>256</v>
      </c>
      <c r="U88" s="6" t="s">
        <v>541</v>
      </c>
      <c r="V88" s="4" t="s">
        <v>64</v>
      </c>
    </row>
    <row r="89" spans="1:22">
      <c r="A89" s="7" t="s">
        <v>542</v>
      </c>
      <c r="B89" s="8" t="s">
        <v>100</v>
      </c>
      <c r="C89" s="8" t="s">
        <v>169</v>
      </c>
      <c r="D89" s="8" t="s">
        <v>543</v>
      </c>
      <c r="E89" s="8" t="s">
        <v>544</v>
      </c>
      <c r="F89" s="8" t="s">
        <v>103</v>
      </c>
      <c r="G89" s="8" t="s">
        <v>28</v>
      </c>
      <c r="H89" s="8" t="s">
        <v>545</v>
      </c>
      <c r="I89" s="8" t="s">
        <v>138</v>
      </c>
      <c r="J89" s="8" t="s">
        <v>106</v>
      </c>
      <c r="K89" s="8" t="s">
        <v>32</v>
      </c>
      <c r="L89" s="8" t="s">
        <v>174</v>
      </c>
      <c r="M89" s="8">
        <v>8</v>
      </c>
      <c r="N89" s="8">
        <v>8500</v>
      </c>
      <c r="O89" s="8">
        <v>20</v>
      </c>
      <c r="P89" s="8">
        <v>54400</v>
      </c>
      <c r="Q89" s="8">
        <v>3</v>
      </c>
      <c r="R89" s="8" t="s">
        <v>79</v>
      </c>
      <c r="S89" s="8" t="s">
        <v>115</v>
      </c>
      <c r="T89" s="8" t="s">
        <v>144</v>
      </c>
      <c r="U89" s="9" t="s">
        <v>546</v>
      </c>
      <c r="V89" s="8" t="s">
        <v>64</v>
      </c>
    </row>
    <row r="90" spans="1:22">
      <c r="A90" s="3" t="s">
        <v>547</v>
      </c>
      <c r="B90" s="4" t="s">
        <v>327</v>
      </c>
      <c r="C90" s="4" t="s">
        <v>40</v>
      </c>
      <c r="D90" s="4" t="s">
        <v>548</v>
      </c>
      <c r="E90" s="4" t="s">
        <v>549</v>
      </c>
      <c r="F90" s="4" t="s">
        <v>394</v>
      </c>
      <c r="G90" s="4" t="s">
        <v>76</v>
      </c>
      <c r="H90" s="4" t="s">
        <v>550</v>
      </c>
      <c r="I90" s="4" t="s">
        <v>138</v>
      </c>
      <c r="J90" s="4" t="s">
        <v>551</v>
      </c>
      <c r="K90" s="4" t="s">
        <v>46</v>
      </c>
      <c r="L90" s="4" t="s">
        <v>47</v>
      </c>
      <c r="M90" s="4">
        <v>6</v>
      </c>
      <c r="N90" s="4">
        <v>12000</v>
      </c>
      <c r="O90" s="4">
        <v>5</v>
      </c>
      <c r="P90" s="4">
        <v>68400</v>
      </c>
      <c r="Q90" s="4">
        <v>4</v>
      </c>
      <c r="R90" s="4" t="s">
        <v>48</v>
      </c>
      <c r="S90" s="4" t="s">
        <v>35</v>
      </c>
      <c r="T90" s="4" t="s">
        <v>332</v>
      </c>
      <c r="U90" s="6" t="s">
        <v>552</v>
      </c>
      <c r="V90" s="4" t="s">
        <v>38</v>
      </c>
    </row>
    <row r="91" spans="1:22">
      <c r="A91" s="7" t="s">
        <v>553</v>
      </c>
      <c r="B91" s="8" t="s">
        <v>23</v>
      </c>
      <c r="C91" s="8" t="s">
        <v>169</v>
      </c>
      <c r="D91" s="8" t="s">
        <v>554</v>
      </c>
      <c r="E91" s="8" t="s">
        <v>404</v>
      </c>
      <c r="F91" s="8" t="s">
        <v>27</v>
      </c>
      <c r="G91" s="8" t="s">
        <v>28</v>
      </c>
      <c r="H91" s="8" t="s">
        <v>555</v>
      </c>
      <c r="I91" s="8" t="s">
        <v>114</v>
      </c>
      <c r="J91" s="8" t="s">
        <v>106</v>
      </c>
      <c r="K91" s="8" t="s">
        <v>32</v>
      </c>
      <c r="L91" s="8" t="s">
        <v>174</v>
      </c>
      <c r="M91" s="8">
        <v>15</v>
      </c>
      <c r="N91" s="8">
        <v>8500</v>
      </c>
      <c r="O91" s="8">
        <v>0</v>
      </c>
      <c r="P91" s="8">
        <v>127500</v>
      </c>
      <c r="Q91" s="8">
        <v>4</v>
      </c>
      <c r="R91" s="8" t="s">
        <v>48</v>
      </c>
      <c r="S91" s="8" t="s">
        <v>35</v>
      </c>
      <c r="T91" s="8" t="s">
        <v>50</v>
      </c>
      <c r="U91" s="9" t="s">
        <v>556</v>
      </c>
      <c r="V91" s="8" t="s">
        <v>69</v>
      </c>
    </row>
    <row r="92" spans="1:22">
      <c r="A92" s="3" t="s">
        <v>557</v>
      </c>
      <c r="B92" s="4" t="s">
        <v>53</v>
      </c>
      <c r="C92" s="4" t="s">
        <v>72</v>
      </c>
      <c r="D92" s="4" t="s">
        <v>558</v>
      </c>
      <c r="E92" s="4" t="s">
        <v>377</v>
      </c>
      <c r="F92" s="4" t="s">
        <v>163</v>
      </c>
      <c r="G92" s="4" t="s">
        <v>28</v>
      </c>
      <c r="H92" s="4" t="s">
        <v>559</v>
      </c>
      <c r="I92" s="4" t="s">
        <v>212</v>
      </c>
      <c r="J92" s="4" t="s">
        <v>45</v>
      </c>
      <c r="K92" s="4" t="s">
        <v>46</v>
      </c>
      <c r="L92" s="4" t="s">
        <v>78</v>
      </c>
      <c r="M92" s="4">
        <v>5</v>
      </c>
      <c r="N92" s="4">
        <v>1200</v>
      </c>
      <c r="O92" s="4">
        <v>15</v>
      </c>
      <c r="P92" s="4">
        <v>5100</v>
      </c>
      <c r="Q92" s="4">
        <v>1</v>
      </c>
      <c r="R92" s="4" t="s">
        <v>48</v>
      </c>
      <c r="S92" s="4" t="s">
        <v>35</v>
      </c>
      <c r="T92" s="4" t="s">
        <v>62</v>
      </c>
      <c r="U92" s="6" t="s">
        <v>560</v>
      </c>
      <c r="V92" s="4" t="s">
        <v>69</v>
      </c>
    </row>
    <row r="93" spans="1:22">
      <c r="A93" s="7" t="s">
        <v>561</v>
      </c>
      <c r="B93" s="8" t="s">
        <v>53</v>
      </c>
      <c r="C93" s="8" t="s">
        <v>222</v>
      </c>
      <c r="D93" s="8" t="s">
        <v>562</v>
      </c>
      <c r="E93" s="8" t="s">
        <v>563</v>
      </c>
      <c r="F93" s="8" t="s">
        <v>163</v>
      </c>
      <c r="G93" s="8" t="s">
        <v>28</v>
      </c>
      <c r="H93" s="8" t="s">
        <v>564</v>
      </c>
      <c r="I93" s="8" t="s">
        <v>30</v>
      </c>
      <c r="J93" s="8" t="s">
        <v>31</v>
      </c>
      <c r="K93" s="8" t="s">
        <v>122</v>
      </c>
      <c r="L93" s="8" t="s">
        <v>227</v>
      </c>
      <c r="M93" s="8">
        <v>4</v>
      </c>
      <c r="N93" s="8">
        <v>20</v>
      </c>
      <c r="O93" s="8">
        <v>0</v>
      </c>
      <c r="P93" s="8">
        <v>80</v>
      </c>
      <c r="Q93" s="8">
        <v>4</v>
      </c>
      <c r="R93" s="8" t="s">
        <v>48</v>
      </c>
      <c r="S93" s="8" t="s">
        <v>49</v>
      </c>
      <c r="T93" s="8" t="s">
        <v>62</v>
      </c>
      <c r="U93" s="9" t="s">
        <v>565</v>
      </c>
      <c r="V93" s="8" t="s">
        <v>38</v>
      </c>
    </row>
    <row r="94" spans="1:22">
      <c r="A94" s="3" t="s">
        <v>566</v>
      </c>
      <c r="B94" s="4" t="s">
        <v>23</v>
      </c>
      <c r="C94" s="4" t="s">
        <v>222</v>
      </c>
      <c r="D94" s="4" t="s">
        <v>567</v>
      </c>
      <c r="E94" s="4" t="s">
        <v>568</v>
      </c>
      <c r="F94" s="4" t="s">
        <v>27</v>
      </c>
      <c r="G94" s="4" t="s">
        <v>28</v>
      </c>
      <c r="H94" s="4" t="s">
        <v>569</v>
      </c>
      <c r="I94" s="4" t="s">
        <v>59</v>
      </c>
      <c r="J94" s="4" t="s">
        <v>31</v>
      </c>
      <c r="K94" s="4" t="s">
        <v>122</v>
      </c>
      <c r="L94" s="4" t="s">
        <v>227</v>
      </c>
      <c r="M94" s="4">
        <v>10</v>
      </c>
      <c r="N94" s="4">
        <v>20</v>
      </c>
      <c r="O94" s="4">
        <v>0</v>
      </c>
      <c r="P94" s="4">
        <v>200</v>
      </c>
      <c r="Q94" s="4">
        <v>3</v>
      </c>
      <c r="R94" s="4" t="s">
        <v>34</v>
      </c>
      <c r="S94" s="4" t="s">
        <v>151</v>
      </c>
      <c r="T94" s="4" t="s">
        <v>50</v>
      </c>
      <c r="U94" s="6" t="s">
        <v>570</v>
      </c>
      <c r="V94" s="4" t="s">
        <v>64</v>
      </c>
    </row>
    <row r="95" spans="1:22">
      <c r="A95" s="7" t="s">
        <v>571</v>
      </c>
      <c r="B95" s="8" t="s">
        <v>168</v>
      </c>
      <c r="C95" s="8" t="s">
        <v>24</v>
      </c>
      <c r="D95" s="8" t="s">
        <v>572</v>
      </c>
      <c r="E95" s="8" t="s">
        <v>573</v>
      </c>
      <c r="F95" s="8" t="s">
        <v>361</v>
      </c>
      <c r="G95" s="8" t="s">
        <v>28</v>
      </c>
      <c r="H95" s="8" t="s">
        <v>574</v>
      </c>
      <c r="I95" s="8" t="s">
        <v>44</v>
      </c>
      <c r="J95" s="8" t="s">
        <v>45</v>
      </c>
      <c r="K95" s="8" t="s">
        <v>32</v>
      </c>
      <c r="L95" s="8" t="s">
        <v>33</v>
      </c>
      <c r="M95" s="8">
        <v>18</v>
      </c>
      <c r="N95" s="8">
        <v>2200</v>
      </c>
      <c r="O95" s="8">
        <v>10</v>
      </c>
      <c r="P95" s="8">
        <v>35640</v>
      </c>
      <c r="Q95" s="8">
        <v>3</v>
      </c>
      <c r="R95" s="8" t="s">
        <v>34</v>
      </c>
      <c r="S95" s="8" t="s">
        <v>35</v>
      </c>
      <c r="T95" s="8" t="s">
        <v>175</v>
      </c>
      <c r="U95" s="9" t="s">
        <v>575</v>
      </c>
      <c r="V95" s="8" t="s">
        <v>69</v>
      </c>
    </row>
    <row r="96" spans="1:22">
      <c r="A96" s="3" t="s">
        <v>576</v>
      </c>
      <c r="B96" s="4" t="s">
        <v>327</v>
      </c>
      <c r="C96" s="4" t="s">
        <v>92</v>
      </c>
      <c r="D96" s="4" t="s">
        <v>577</v>
      </c>
      <c r="E96" s="4" t="s">
        <v>578</v>
      </c>
      <c r="F96" s="4" t="s">
        <v>394</v>
      </c>
      <c r="G96" s="4" t="s">
        <v>76</v>
      </c>
      <c r="H96" s="4" t="s">
        <v>579</v>
      </c>
      <c r="I96" s="4" t="s">
        <v>44</v>
      </c>
      <c r="J96" s="4" t="s">
        <v>45</v>
      </c>
      <c r="K96" s="4" t="s">
        <v>32</v>
      </c>
      <c r="L96" s="4" t="s">
        <v>97</v>
      </c>
      <c r="M96" s="4">
        <v>7</v>
      </c>
      <c r="N96" s="4">
        <v>3500</v>
      </c>
      <c r="O96" s="4">
        <v>15</v>
      </c>
      <c r="P96" s="4">
        <v>20825</v>
      </c>
      <c r="Q96" s="4">
        <v>3</v>
      </c>
      <c r="R96" s="4" t="s">
        <v>48</v>
      </c>
      <c r="S96" s="4" t="s">
        <v>49</v>
      </c>
      <c r="T96" s="4" t="s">
        <v>332</v>
      </c>
      <c r="U96" s="6" t="s">
        <v>580</v>
      </c>
      <c r="V96" s="4" t="s">
        <v>38</v>
      </c>
    </row>
    <row r="97" spans="1:22">
      <c r="A97" s="7" t="s">
        <v>581</v>
      </c>
      <c r="B97" s="8" t="s">
        <v>100</v>
      </c>
      <c r="C97" s="8" t="s">
        <v>169</v>
      </c>
      <c r="D97" s="8" t="s">
        <v>582</v>
      </c>
      <c r="E97" s="8" t="s">
        <v>583</v>
      </c>
      <c r="F97" s="8" t="s">
        <v>103</v>
      </c>
      <c r="G97" s="8" t="s">
        <v>28</v>
      </c>
      <c r="H97" s="8" t="s">
        <v>584</v>
      </c>
      <c r="I97" s="8" t="s">
        <v>294</v>
      </c>
      <c r="J97" s="8" t="s">
        <v>295</v>
      </c>
      <c r="K97" s="8" t="s">
        <v>32</v>
      </c>
      <c r="L97" s="8" t="s">
        <v>174</v>
      </c>
      <c r="M97" s="8">
        <v>19</v>
      </c>
      <c r="N97" s="8">
        <v>8500</v>
      </c>
      <c r="O97" s="8">
        <v>15</v>
      </c>
      <c r="P97" s="8">
        <v>137275</v>
      </c>
      <c r="Q97" s="8">
        <v>4</v>
      </c>
      <c r="R97" s="8" t="s">
        <v>79</v>
      </c>
      <c r="S97" s="8" t="s">
        <v>151</v>
      </c>
      <c r="T97" s="8" t="s">
        <v>144</v>
      </c>
      <c r="U97" s="9" t="s">
        <v>585</v>
      </c>
      <c r="V97" s="8" t="s">
        <v>64</v>
      </c>
    </row>
    <row r="98" spans="1:22">
      <c r="A98" s="3" t="s">
        <v>586</v>
      </c>
      <c r="B98" s="4" t="s">
        <v>251</v>
      </c>
      <c r="C98" s="4" t="s">
        <v>40</v>
      </c>
      <c r="D98" s="4" t="s">
        <v>587</v>
      </c>
      <c r="E98" s="4" t="s">
        <v>588</v>
      </c>
      <c r="F98" s="4" t="s">
        <v>254</v>
      </c>
      <c r="G98" s="4" t="s">
        <v>28</v>
      </c>
      <c r="H98" s="4" t="s">
        <v>589</v>
      </c>
      <c r="I98" s="4" t="s">
        <v>138</v>
      </c>
      <c r="J98" s="4" t="s">
        <v>106</v>
      </c>
      <c r="K98" s="4" t="s">
        <v>46</v>
      </c>
      <c r="L98" s="4" t="s">
        <v>47</v>
      </c>
      <c r="M98" s="4">
        <v>13</v>
      </c>
      <c r="N98" s="4">
        <v>12000</v>
      </c>
      <c r="O98" s="4">
        <v>15</v>
      </c>
      <c r="P98" s="4">
        <v>132600</v>
      </c>
      <c r="Q98" s="4">
        <v>4</v>
      </c>
      <c r="R98" s="4" t="s">
        <v>34</v>
      </c>
      <c r="S98" s="4" t="s">
        <v>49</v>
      </c>
      <c r="T98" s="4" t="s">
        <v>256</v>
      </c>
      <c r="U98" s="6" t="s">
        <v>590</v>
      </c>
      <c r="V98" s="4" t="s">
        <v>38</v>
      </c>
    </row>
    <row r="99" spans="1:22">
      <c r="A99" s="7" t="s">
        <v>591</v>
      </c>
      <c r="B99" s="8" t="s">
        <v>327</v>
      </c>
      <c r="C99" s="8" t="s">
        <v>222</v>
      </c>
      <c r="D99" s="8" t="s">
        <v>592</v>
      </c>
      <c r="E99" s="8" t="s">
        <v>398</v>
      </c>
      <c r="F99" s="8" t="s">
        <v>394</v>
      </c>
      <c r="G99" s="8" t="s">
        <v>76</v>
      </c>
      <c r="H99" s="8" t="s">
        <v>593</v>
      </c>
      <c r="I99" s="8" t="s">
        <v>114</v>
      </c>
      <c r="J99" s="8" t="s">
        <v>106</v>
      </c>
      <c r="K99" s="8" t="s">
        <v>122</v>
      </c>
      <c r="L99" s="8" t="s">
        <v>227</v>
      </c>
      <c r="M99" s="8">
        <v>7</v>
      </c>
      <c r="N99" s="8">
        <v>20</v>
      </c>
      <c r="O99" s="8">
        <v>0</v>
      </c>
      <c r="P99" s="8">
        <v>140</v>
      </c>
      <c r="Q99" s="8">
        <v>1</v>
      </c>
      <c r="R99" s="8" t="s">
        <v>79</v>
      </c>
      <c r="S99" s="8" t="s">
        <v>151</v>
      </c>
      <c r="T99" s="8" t="s">
        <v>332</v>
      </c>
      <c r="U99" s="9" t="s">
        <v>594</v>
      </c>
      <c r="V99" s="8" t="s">
        <v>69</v>
      </c>
    </row>
    <row r="100" spans="1:22">
      <c r="A100" s="3" t="s">
        <v>595</v>
      </c>
      <c r="B100" s="4" t="s">
        <v>168</v>
      </c>
      <c r="C100" s="4" t="s">
        <v>184</v>
      </c>
      <c r="D100" s="4" t="s">
        <v>596</v>
      </c>
      <c r="E100" s="4" t="s">
        <v>597</v>
      </c>
      <c r="F100" s="4" t="s">
        <v>361</v>
      </c>
      <c r="G100" s="4" t="s">
        <v>28</v>
      </c>
      <c r="H100" s="4" t="s">
        <v>598</v>
      </c>
      <c r="I100" s="4" t="s">
        <v>44</v>
      </c>
      <c r="J100" s="4" t="s">
        <v>45</v>
      </c>
      <c r="K100" s="4" t="s">
        <v>46</v>
      </c>
      <c r="L100" s="4" t="s">
        <v>189</v>
      </c>
      <c r="M100" s="4">
        <v>5</v>
      </c>
      <c r="N100" s="4">
        <v>700</v>
      </c>
      <c r="O100" s="4">
        <v>15</v>
      </c>
      <c r="P100" s="4">
        <v>999999</v>
      </c>
      <c r="Q100" s="4">
        <v>4</v>
      </c>
      <c r="R100" s="4" t="s">
        <v>79</v>
      </c>
      <c r="S100" s="4" t="s">
        <v>35</v>
      </c>
      <c r="T100" s="4" t="s">
        <v>175</v>
      </c>
      <c r="U100" s="6" t="s">
        <v>599</v>
      </c>
      <c r="V100" s="4" t="s">
        <v>64</v>
      </c>
    </row>
    <row r="101" spans="1:22">
      <c r="A101" s="7" t="s">
        <v>600</v>
      </c>
      <c r="B101" s="8" t="s">
        <v>83</v>
      </c>
      <c r="C101" s="8" t="s">
        <v>259</v>
      </c>
      <c r="D101" s="8" t="s">
        <v>583</v>
      </c>
      <c r="E101" s="8" t="s">
        <v>601</v>
      </c>
      <c r="F101" s="8" t="s">
        <v>180</v>
      </c>
      <c r="G101" s="8" t="s">
        <v>76</v>
      </c>
      <c r="H101" s="8" t="s">
        <v>602</v>
      </c>
      <c r="I101" s="8" t="s">
        <v>59</v>
      </c>
      <c r="J101" s="8" t="s">
        <v>31</v>
      </c>
      <c r="K101" s="8" t="s">
        <v>122</v>
      </c>
      <c r="L101" s="8" t="s">
        <v>263</v>
      </c>
      <c r="M101" s="8">
        <v>9</v>
      </c>
      <c r="N101" s="8">
        <v>45</v>
      </c>
      <c r="O101" s="8">
        <v>5</v>
      </c>
      <c r="P101" s="8">
        <v>384.75</v>
      </c>
      <c r="Q101" s="8">
        <v>3</v>
      </c>
      <c r="R101" s="8" t="s">
        <v>34</v>
      </c>
      <c r="S101" s="8" t="s">
        <v>35</v>
      </c>
      <c r="T101" s="8" t="s">
        <v>89</v>
      </c>
      <c r="U101" s="9" t="s">
        <v>603</v>
      </c>
      <c r="V101" s="8" t="s">
        <v>38</v>
      </c>
    </row>
    <row r="102" spans="1:22">
      <c r="A102" s="3" t="s">
        <v>604</v>
      </c>
      <c r="B102" s="4" t="s">
        <v>127</v>
      </c>
      <c r="C102" s="4" t="s">
        <v>118</v>
      </c>
      <c r="D102" s="4" t="s">
        <v>605</v>
      </c>
      <c r="E102" s="4" t="s">
        <v>606</v>
      </c>
      <c r="F102" s="4" t="s">
        <v>200</v>
      </c>
      <c r="G102" s="4" t="s">
        <v>76</v>
      </c>
      <c r="H102" s="4" t="s">
        <v>607</v>
      </c>
      <c r="I102" s="4" t="s">
        <v>294</v>
      </c>
      <c r="J102" s="4" t="s">
        <v>295</v>
      </c>
      <c r="K102" s="4" t="s">
        <v>122</v>
      </c>
      <c r="L102" s="4" t="s">
        <v>123</v>
      </c>
      <c r="M102" s="4">
        <v>19</v>
      </c>
      <c r="N102" s="4">
        <v>60</v>
      </c>
      <c r="O102" s="4">
        <v>10</v>
      </c>
      <c r="P102" s="4">
        <v>1026</v>
      </c>
      <c r="Q102" s="4">
        <v>5</v>
      </c>
      <c r="R102" s="4" t="s">
        <v>48</v>
      </c>
      <c r="S102" s="4" t="s">
        <v>115</v>
      </c>
      <c r="T102" s="4" t="s">
        <v>132</v>
      </c>
      <c r="U102" s="6" t="s">
        <v>608</v>
      </c>
      <c r="V102" s="4" t="s">
        <v>38</v>
      </c>
    </row>
    <row r="103" spans="1:22">
      <c r="A103" s="7" t="s">
        <v>609</v>
      </c>
      <c r="B103" s="8" t="s">
        <v>327</v>
      </c>
      <c r="C103" s="8" t="s">
        <v>184</v>
      </c>
      <c r="D103" s="8" t="s">
        <v>610</v>
      </c>
      <c r="E103" s="8" t="s">
        <v>611</v>
      </c>
      <c r="F103" s="8" t="s">
        <v>394</v>
      </c>
      <c r="G103" s="8" t="s">
        <v>76</v>
      </c>
      <c r="H103" s="8" t="s">
        <v>612</v>
      </c>
      <c r="I103" s="8" t="s">
        <v>138</v>
      </c>
      <c r="J103" s="8" t="s">
        <v>106</v>
      </c>
      <c r="K103" s="8" t="s">
        <v>46</v>
      </c>
      <c r="L103" s="8" t="s">
        <v>189</v>
      </c>
      <c r="M103" s="8">
        <v>4</v>
      </c>
      <c r="N103" s="8">
        <v>700</v>
      </c>
      <c r="O103" s="8">
        <v>5</v>
      </c>
      <c r="P103" s="8">
        <v>2660</v>
      </c>
      <c r="Q103" s="8">
        <v>3</v>
      </c>
      <c r="R103" s="8" t="s">
        <v>48</v>
      </c>
      <c r="S103" s="8" t="s">
        <v>61</v>
      </c>
      <c r="T103" s="8" t="s">
        <v>332</v>
      </c>
      <c r="U103" s="9" t="s">
        <v>613</v>
      </c>
      <c r="V103" s="8" t="s">
        <v>38</v>
      </c>
    </row>
    <row r="104" spans="1:22">
      <c r="A104" s="3" t="s">
        <v>614</v>
      </c>
      <c r="B104" s="4" t="s">
        <v>327</v>
      </c>
      <c r="C104" s="4" t="s">
        <v>92</v>
      </c>
      <c r="D104" s="4" t="s">
        <v>583</v>
      </c>
      <c r="E104" s="4" t="s">
        <v>615</v>
      </c>
      <c r="F104" s="4" t="s">
        <v>394</v>
      </c>
      <c r="G104" s="4" t="s">
        <v>76</v>
      </c>
      <c r="H104" s="4" t="s">
        <v>616</v>
      </c>
      <c r="I104" s="4" t="s">
        <v>114</v>
      </c>
      <c r="J104" s="4" t="s">
        <v>106</v>
      </c>
      <c r="K104" s="4" t="s">
        <v>32</v>
      </c>
      <c r="L104" s="4" t="s">
        <v>97</v>
      </c>
      <c r="M104" s="4">
        <v>16</v>
      </c>
      <c r="N104" s="4">
        <v>3500</v>
      </c>
      <c r="O104" s="4">
        <v>0</v>
      </c>
      <c r="P104" s="4">
        <v>56000</v>
      </c>
      <c r="Q104" s="4">
        <v>2</v>
      </c>
      <c r="R104" s="4" t="s">
        <v>79</v>
      </c>
      <c r="S104" s="4" t="s">
        <v>49</v>
      </c>
      <c r="T104" s="4" t="s">
        <v>332</v>
      </c>
      <c r="U104" s="6" t="s">
        <v>617</v>
      </c>
      <c r="V104" s="4" t="s">
        <v>38</v>
      </c>
    </row>
    <row r="105" spans="1:22">
      <c r="A105" s="7" t="s">
        <v>618</v>
      </c>
      <c r="B105" s="8" t="s">
        <v>251</v>
      </c>
      <c r="C105" s="8" t="s">
        <v>259</v>
      </c>
      <c r="D105" s="8" t="s">
        <v>619</v>
      </c>
      <c r="E105" s="8" t="s">
        <v>620</v>
      </c>
      <c r="F105" s="8" t="s">
        <v>254</v>
      </c>
      <c r="G105" s="8" t="s">
        <v>28</v>
      </c>
      <c r="H105" s="8" t="s">
        <v>621</v>
      </c>
      <c r="I105" s="8" t="s">
        <v>59</v>
      </c>
      <c r="J105" s="8" t="s">
        <v>31</v>
      </c>
      <c r="K105" s="8" t="s">
        <v>122</v>
      </c>
      <c r="L105" s="8" t="s">
        <v>263</v>
      </c>
      <c r="M105" s="8">
        <v>5</v>
      </c>
      <c r="N105" s="8">
        <v>45</v>
      </c>
      <c r="O105" s="8">
        <v>20</v>
      </c>
      <c r="P105" s="8">
        <v>180</v>
      </c>
      <c r="Q105" s="8">
        <v>3</v>
      </c>
      <c r="R105" s="8" t="s">
        <v>79</v>
      </c>
      <c r="S105" s="8" t="s">
        <v>35</v>
      </c>
      <c r="T105" s="8" t="s">
        <v>256</v>
      </c>
      <c r="U105" s="9" t="s">
        <v>622</v>
      </c>
      <c r="V105" s="8" t="s">
        <v>38</v>
      </c>
    </row>
    <row r="106" spans="1:22">
      <c r="A106" s="3" t="s">
        <v>623</v>
      </c>
      <c r="B106" s="4" t="s">
        <v>83</v>
      </c>
      <c r="C106" s="4" t="s">
        <v>222</v>
      </c>
      <c r="D106" s="4" t="s">
        <v>624</v>
      </c>
      <c r="E106" s="4" t="s">
        <v>525</v>
      </c>
      <c r="F106" s="4" t="s">
        <v>180</v>
      </c>
      <c r="G106" s="4" t="s">
        <v>76</v>
      </c>
      <c r="H106" s="4" t="s">
        <v>625</v>
      </c>
      <c r="I106" s="4" t="s">
        <v>105</v>
      </c>
      <c r="J106" s="4" t="s">
        <v>106</v>
      </c>
      <c r="K106" s="4" t="s">
        <v>122</v>
      </c>
      <c r="L106" s="4" t="s">
        <v>227</v>
      </c>
      <c r="M106" s="4">
        <v>9</v>
      </c>
      <c r="N106" s="4">
        <v>20</v>
      </c>
      <c r="O106" s="4">
        <v>10</v>
      </c>
      <c r="P106" s="4">
        <v>162</v>
      </c>
      <c r="Q106" s="4">
        <v>4</v>
      </c>
      <c r="R106" s="4" t="s">
        <v>79</v>
      </c>
      <c r="S106" s="4" t="s">
        <v>35</v>
      </c>
      <c r="T106" s="4" t="s">
        <v>89</v>
      </c>
      <c r="U106" s="6" t="s">
        <v>626</v>
      </c>
      <c r="V106" s="4" t="s">
        <v>64</v>
      </c>
    </row>
    <row r="107" spans="1:22">
      <c r="A107" s="7" t="s">
        <v>627</v>
      </c>
      <c r="B107" s="8" t="s">
        <v>53</v>
      </c>
      <c r="C107" s="8" t="s">
        <v>72</v>
      </c>
      <c r="D107" s="8" t="s">
        <v>628</v>
      </c>
      <c r="E107" s="8" t="s">
        <v>431</v>
      </c>
      <c r="F107" s="8" t="s">
        <v>163</v>
      </c>
      <c r="G107" s="8" t="s">
        <v>28</v>
      </c>
      <c r="H107" s="8" t="s">
        <v>629</v>
      </c>
      <c r="I107" s="8" t="s">
        <v>44</v>
      </c>
      <c r="J107" s="8" t="s">
        <v>45</v>
      </c>
      <c r="K107" s="8" t="s">
        <v>46</v>
      </c>
      <c r="L107" s="8" t="s">
        <v>78</v>
      </c>
      <c r="M107" s="8">
        <v>9</v>
      </c>
      <c r="N107" s="8">
        <v>1200</v>
      </c>
      <c r="O107" s="8">
        <v>5</v>
      </c>
      <c r="P107" s="8">
        <v>10260</v>
      </c>
      <c r="Q107" s="8">
        <v>3</v>
      </c>
      <c r="R107" s="8" t="s">
        <v>88</v>
      </c>
      <c r="S107" s="8" t="s">
        <v>35</v>
      </c>
      <c r="T107" s="8" t="s">
        <v>62</v>
      </c>
      <c r="U107" s="9" t="s">
        <v>630</v>
      </c>
      <c r="V107" s="8" t="s">
        <v>64</v>
      </c>
    </row>
    <row r="108" spans="1:22">
      <c r="A108" s="3" t="s">
        <v>631</v>
      </c>
      <c r="B108" s="4" t="s">
        <v>100</v>
      </c>
      <c r="C108" s="4" t="s">
        <v>92</v>
      </c>
      <c r="D108" s="4" t="s">
        <v>387</v>
      </c>
      <c r="E108" s="4" t="s">
        <v>632</v>
      </c>
      <c r="F108" s="4" t="s">
        <v>103</v>
      </c>
      <c r="G108" s="4" t="s">
        <v>28</v>
      </c>
      <c r="H108" s="4" t="s">
        <v>633</v>
      </c>
      <c r="I108" s="4" t="s">
        <v>44</v>
      </c>
      <c r="J108" s="4" t="s">
        <v>45</v>
      </c>
      <c r="K108" s="4" t="s">
        <v>32</v>
      </c>
      <c r="L108" s="4" t="s">
        <v>97</v>
      </c>
      <c r="M108" s="4">
        <v>3</v>
      </c>
      <c r="N108" s="4">
        <v>3500</v>
      </c>
      <c r="O108" s="4">
        <v>10</v>
      </c>
      <c r="P108" s="4">
        <v>9450</v>
      </c>
      <c r="Q108" s="4">
        <v>2</v>
      </c>
      <c r="R108" s="4" t="s">
        <v>79</v>
      </c>
      <c r="S108" s="4" t="s">
        <v>151</v>
      </c>
      <c r="T108" s="4" t="s">
        <v>144</v>
      </c>
      <c r="U108" s="6" t="s">
        <v>634</v>
      </c>
      <c r="V108" s="4" t="s">
        <v>69</v>
      </c>
    </row>
    <row r="109" spans="1:22">
      <c r="A109" s="7" t="s">
        <v>635</v>
      </c>
      <c r="B109" s="8" t="s">
        <v>221</v>
      </c>
      <c r="C109" s="8" t="s">
        <v>72</v>
      </c>
      <c r="D109" s="8" t="s">
        <v>241</v>
      </c>
      <c r="E109" s="8" t="s">
        <v>636</v>
      </c>
      <c r="F109" s="8" t="s">
        <v>225</v>
      </c>
      <c r="G109" s="8" t="s">
        <v>76</v>
      </c>
      <c r="H109" s="8" t="s">
        <v>637</v>
      </c>
      <c r="I109" s="8" t="s">
        <v>105</v>
      </c>
      <c r="J109" s="8" t="s">
        <v>106</v>
      </c>
      <c r="K109" s="8" t="s">
        <v>46</v>
      </c>
      <c r="L109" s="8" t="s">
        <v>78</v>
      </c>
      <c r="M109" s="8">
        <v>6</v>
      </c>
      <c r="N109" s="8">
        <v>1200</v>
      </c>
      <c r="O109" s="8">
        <v>15</v>
      </c>
      <c r="P109" s="8">
        <v>6120</v>
      </c>
      <c r="Q109" s="8">
        <v>4</v>
      </c>
      <c r="R109" s="8" t="s">
        <v>88</v>
      </c>
      <c r="S109" s="8" t="s">
        <v>35</v>
      </c>
      <c r="T109" s="8" t="s">
        <v>228</v>
      </c>
      <c r="U109" s="9" t="s">
        <v>638</v>
      </c>
      <c r="V109" s="8" t="s">
        <v>69</v>
      </c>
    </row>
    <row r="110" spans="1:22">
      <c r="A110" s="3" t="s">
        <v>639</v>
      </c>
      <c r="B110" s="4" t="s">
        <v>83</v>
      </c>
      <c r="C110" s="4" t="s">
        <v>72</v>
      </c>
      <c r="D110" s="4" t="s">
        <v>640</v>
      </c>
      <c r="E110" s="4" t="s">
        <v>641</v>
      </c>
      <c r="F110" s="4" t="s">
        <v>180</v>
      </c>
      <c r="G110" s="4" t="s">
        <v>76</v>
      </c>
      <c r="H110" s="4" t="s">
        <v>642</v>
      </c>
      <c r="I110" s="4" t="s">
        <v>212</v>
      </c>
      <c r="J110" s="4" t="s">
        <v>45</v>
      </c>
      <c r="K110" s="4" t="s">
        <v>46</v>
      </c>
      <c r="L110" s="4" t="s">
        <v>78</v>
      </c>
      <c r="M110" s="4">
        <v>17</v>
      </c>
      <c r="N110" s="4">
        <v>1200</v>
      </c>
      <c r="O110" s="4">
        <v>15</v>
      </c>
      <c r="P110" s="4">
        <v>17340</v>
      </c>
      <c r="Q110" s="4">
        <v>1</v>
      </c>
      <c r="R110" s="4" t="s">
        <v>34</v>
      </c>
      <c r="S110" s="4" t="s">
        <v>61</v>
      </c>
      <c r="T110" s="4" t="s">
        <v>89</v>
      </c>
      <c r="U110" s="6" t="s">
        <v>643</v>
      </c>
      <c r="V110" s="4" t="s">
        <v>38</v>
      </c>
    </row>
    <row r="111" spans="1:22">
      <c r="A111" s="7" t="s">
        <v>644</v>
      </c>
      <c r="B111" s="8" t="s">
        <v>221</v>
      </c>
      <c r="C111" s="8" t="s">
        <v>169</v>
      </c>
      <c r="D111" s="8" t="s">
        <v>645</v>
      </c>
      <c r="E111" s="8" t="s">
        <v>287</v>
      </c>
      <c r="F111" s="8" t="s">
        <v>225</v>
      </c>
      <c r="G111" s="8" t="s">
        <v>76</v>
      </c>
      <c r="H111" s="8" t="s">
        <v>646</v>
      </c>
      <c r="I111" s="8" t="s">
        <v>59</v>
      </c>
      <c r="J111" s="8" t="s">
        <v>31</v>
      </c>
      <c r="K111" s="8" t="s">
        <v>32</v>
      </c>
      <c r="L111" s="8" t="s">
        <v>174</v>
      </c>
      <c r="M111" s="8">
        <v>15</v>
      </c>
      <c r="N111" s="8">
        <v>8500</v>
      </c>
      <c r="O111" s="8">
        <v>0</v>
      </c>
      <c r="P111" s="8">
        <v>127500</v>
      </c>
      <c r="Q111" s="8">
        <v>3</v>
      </c>
      <c r="R111" s="8" t="s">
        <v>34</v>
      </c>
      <c r="S111" s="8" t="s">
        <v>115</v>
      </c>
      <c r="T111" s="8" t="s">
        <v>228</v>
      </c>
      <c r="U111" s="9" t="s">
        <v>647</v>
      </c>
      <c r="V111" s="8" t="s">
        <v>64</v>
      </c>
    </row>
    <row r="112" spans="1:22">
      <c r="A112" s="3" t="s">
        <v>648</v>
      </c>
      <c r="B112" s="4" t="s">
        <v>127</v>
      </c>
      <c r="C112" s="4" t="s">
        <v>72</v>
      </c>
      <c r="D112" s="4" t="s">
        <v>101</v>
      </c>
      <c r="E112" s="4" t="s">
        <v>102</v>
      </c>
      <c r="F112" s="4" t="s">
        <v>200</v>
      </c>
      <c r="G112" s="4" t="s">
        <v>76</v>
      </c>
      <c r="H112" s="4" t="s">
        <v>649</v>
      </c>
      <c r="I112" s="4" t="s">
        <v>30</v>
      </c>
      <c r="J112" s="4" t="s">
        <v>31</v>
      </c>
      <c r="K112" s="4" t="s">
        <v>46</v>
      </c>
      <c r="L112" s="4" t="s">
        <v>78</v>
      </c>
      <c r="M112" s="4">
        <v>1</v>
      </c>
      <c r="N112" s="4">
        <v>1200</v>
      </c>
      <c r="O112" s="4">
        <v>20</v>
      </c>
      <c r="P112" s="4">
        <v>960</v>
      </c>
      <c r="Q112" s="4">
        <v>1</v>
      </c>
      <c r="R112" s="4" t="s">
        <v>88</v>
      </c>
      <c r="S112" s="4" t="s">
        <v>115</v>
      </c>
      <c r="T112" s="4" t="s">
        <v>132</v>
      </c>
      <c r="U112" s="6" t="s">
        <v>650</v>
      </c>
      <c r="V112" s="4" t="s">
        <v>64</v>
      </c>
    </row>
    <row r="113" spans="1:22">
      <c r="A113" s="7" t="s">
        <v>651</v>
      </c>
      <c r="B113" s="8" t="s">
        <v>127</v>
      </c>
      <c r="C113" s="8" t="s">
        <v>169</v>
      </c>
      <c r="D113" s="8" t="s">
        <v>652</v>
      </c>
      <c r="E113" s="8" t="s">
        <v>539</v>
      </c>
      <c r="F113" s="8" t="s">
        <v>200</v>
      </c>
      <c r="G113" s="8" t="s">
        <v>76</v>
      </c>
      <c r="H113" s="8" t="s">
        <v>653</v>
      </c>
      <c r="I113" s="8" t="s">
        <v>294</v>
      </c>
      <c r="J113" s="8" t="s">
        <v>295</v>
      </c>
      <c r="K113" s="8" t="s">
        <v>32</v>
      </c>
      <c r="L113" s="8" t="s">
        <v>174</v>
      </c>
      <c r="M113" s="8">
        <v>5</v>
      </c>
      <c r="N113" s="8">
        <v>8500</v>
      </c>
      <c r="O113" s="8">
        <v>10</v>
      </c>
      <c r="P113" s="8">
        <v>38250</v>
      </c>
      <c r="Q113" s="8">
        <v>1</v>
      </c>
      <c r="R113" s="8" t="s">
        <v>79</v>
      </c>
      <c r="S113" s="8" t="s">
        <v>61</v>
      </c>
      <c r="T113" s="8" t="s">
        <v>132</v>
      </c>
      <c r="U113" s="9" t="s">
        <v>654</v>
      </c>
      <c r="V113" s="8" t="s">
        <v>38</v>
      </c>
    </row>
    <row r="114" spans="1:22">
      <c r="A114" s="3" t="s">
        <v>655</v>
      </c>
      <c r="B114" s="4" t="s">
        <v>53</v>
      </c>
      <c r="C114" s="4" t="s">
        <v>259</v>
      </c>
      <c r="D114" s="4" t="s">
        <v>656</v>
      </c>
      <c r="E114" s="4" t="s">
        <v>657</v>
      </c>
      <c r="F114" s="4" t="s">
        <v>163</v>
      </c>
      <c r="G114" s="4" t="s">
        <v>28</v>
      </c>
      <c r="H114" s="4" t="s">
        <v>658</v>
      </c>
      <c r="I114" s="4" t="s">
        <v>30</v>
      </c>
      <c r="J114" s="4" t="s">
        <v>31</v>
      </c>
      <c r="K114" s="4" t="s">
        <v>122</v>
      </c>
      <c r="L114" s="4" t="s">
        <v>263</v>
      </c>
      <c r="M114" s="4">
        <v>12</v>
      </c>
      <c r="N114" s="4">
        <v>45</v>
      </c>
      <c r="O114" s="4">
        <v>5</v>
      </c>
      <c r="P114" s="4">
        <v>513</v>
      </c>
      <c r="Q114" s="4">
        <v>2</v>
      </c>
      <c r="R114" s="4" t="s">
        <v>48</v>
      </c>
      <c r="S114" s="4" t="s">
        <v>35</v>
      </c>
      <c r="T114" s="4" t="s">
        <v>62</v>
      </c>
      <c r="U114" s="6" t="s">
        <v>659</v>
      </c>
      <c r="V114" s="4" t="s">
        <v>69</v>
      </c>
    </row>
    <row r="115" spans="1:22">
      <c r="A115" s="7" t="s">
        <v>660</v>
      </c>
      <c r="B115" s="8" t="s">
        <v>221</v>
      </c>
      <c r="C115" s="8" t="s">
        <v>118</v>
      </c>
      <c r="D115" s="8" t="s">
        <v>341</v>
      </c>
      <c r="E115" s="8" t="s">
        <v>661</v>
      </c>
      <c r="F115" s="8" t="s">
        <v>225</v>
      </c>
      <c r="G115" s="8" t="s">
        <v>76</v>
      </c>
      <c r="H115" s="8" t="s">
        <v>662</v>
      </c>
      <c r="I115" s="8" t="s">
        <v>114</v>
      </c>
      <c r="J115" s="8" t="s">
        <v>106</v>
      </c>
      <c r="K115" s="8" t="s">
        <v>122</v>
      </c>
      <c r="L115" s="8" t="s">
        <v>123</v>
      </c>
      <c r="M115" s="8">
        <v>5</v>
      </c>
      <c r="N115" s="8">
        <v>60</v>
      </c>
      <c r="O115" s="8">
        <v>5</v>
      </c>
      <c r="P115" s="8">
        <v>285</v>
      </c>
      <c r="Q115" s="8">
        <v>2</v>
      </c>
      <c r="R115" s="8" t="s">
        <v>34</v>
      </c>
      <c r="S115" s="8" t="s">
        <v>61</v>
      </c>
      <c r="T115" s="8" t="s">
        <v>228</v>
      </c>
      <c r="U115" s="9" t="s">
        <v>663</v>
      </c>
      <c r="V115" s="8" t="s">
        <v>38</v>
      </c>
    </row>
    <row r="116" spans="1:22">
      <c r="A116" s="3" t="s">
        <v>664</v>
      </c>
      <c r="B116" s="4" t="s">
        <v>53</v>
      </c>
      <c r="C116" s="4" t="s">
        <v>184</v>
      </c>
      <c r="D116" s="4" t="s">
        <v>665</v>
      </c>
      <c r="E116" s="4" t="s">
        <v>666</v>
      </c>
      <c r="F116" s="4" t="s">
        <v>163</v>
      </c>
      <c r="G116" s="4" t="s">
        <v>28</v>
      </c>
      <c r="H116" s="4" t="s">
        <v>667</v>
      </c>
      <c r="I116" s="4" t="s">
        <v>294</v>
      </c>
      <c r="J116" s="4" t="s">
        <v>295</v>
      </c>
      <c r="K116" s="4" t="s">
        <v>46</v>
      </c>
      <c r="L116" s="4" t="s">
        <v>189</v>
      </c>
      <c r="M116" s="4">
        <v>3</v>
      </c>
      <c r="N116" s="4">
        <v>700</v>
      </c>
      <c r="O116" s="4">
        <v>0</v>
      </c>
      <c r="P116" s="4">
        <v>2100</v>
      </c>
      <c r="Q116" s="4">
        <v>4</v>
      </c>
      <c r="R116" s="4" t="s">
        <v>79</v>
      </c>
      <c r="S116" s="4" t="s">
        <v>61</v>
      </c>
      <c r="T116" s="4" t="s">
        <v>62</v>
      </c>
      <c r="U116" s="6" t="s">
        <v>668</v>
      </c>
      <c r="V116" s="4" t="s">
        <v>38</v>
      </c>
    </row>
    <row r="117" spans="1:22">
      <c r="A117" s="7" t="s">
        <v>669</v>
      </c>
      <c r="B117" s="8" t="s">
        <v>168</v>
      </c>
      <c r="C117" s="8" t="s">
        <v>222</v>
      </c>
      <c r="D117" s="8" t="s">
        <v>335</v>
      </c>
      <c r="E117" s="8" t="s">
        <v>606</v>
      </c>
      <c r="F117" s="8" t="s">
        <v>361</v>
      </c>
      <c r="G117" s="8" t="s">
        <v>28</v>
      </c>
      <c r="H117" s="8" t="s">
        <v>670</v>
      </c>
      <c r="I117" s="8" t="s">
        <v>44</v>
      </c>
      <c r="J117" s="8" t="s">
        <v>45</v>
      </c>
      <c r="K117" s="8" t="s">
        <v>122</v>
      </c>
      <c r="L117" s="8" t="s">
        <v>227</v>
      </c>
      <c r="M117" s="8">
        <v>6</v>
      </c>
      <c r="N117" s="8">
        <v>20</v>
      </c>
      <c r="O117" s="8">
        <v>15</v>
      </c>
      <c r="P117" s="8">
        <v>102</v>
      </c>
      <c r="Q117" s="8">
        <v>5</v>
      </c>
      <c r="R117" s="8" t="s">
        <v>79</v>
      </c>
      <c r="S117" s="8" t="s">
        <v>151</v>
      </c>
      <c r="T117" s="8" t="s">
        <v>175</v>
      </c>
      <c r="U117" s="9" t="s">
        <v>671</v>
      </c>
      <c r="V117" s="8" t="s">
        <v>38</v>
      </c>
    </row>
    <row r="118" spans="1:22">
      <c r="A118" s="3" t="s">
        <v>672</v>
      </c>
      <c r="B118" s="4" t="s">
        <v>100</v>
      </c>
      <c r="C118" s="4" t="s">
        <v>184</v>
      </c>
      <c r="D118" s="4" t="s">
        <v>673</v>
      </c>
      <c r="E118" s="4" t="s">
        <v>674</v>
      </c>
      <c r="F118" s="4" t="s">
        <v>103</v>
      </c>
      <c r="G118" s="4" t="s">
        <v>28</v>
      </c>
      <c r="H118" s="4" t="s">
        <v>675</v>
      </c>
      <c r="I118" s="4" t="s">
        <v>59</v>
      </c>
      <c r="J118" s="4" t="s">
        <v>31</v>
      </c>
      <c r="K118" s="4" t="s">
        <v>46</v>
      </c>
      <c r="L118" s="4" t="s">
        <v>189</v>
      </c>
      <c r="M118" s="4">
        <v>2</v>
      </c>
      <c r="N118" s="4">
        <v>700</v>
      </c>
      <c r="O118" s="4">
        <v>15</v>
      </c>
      <c r="P118" s="4">
        <v>1190</v>
      </c>
      <c r="Q118" s="4">
        <v>4</v>
      </c>
      <c r="R118" s="4" t="s">
        <v>34</v>
      </c>
      <c r="S118" s="4" t="s">
        <v>151</v>
      </c>
      <c r="T118" s="4" t="s">
        <v>144</v>
      </c>
      <c r="U118" s="6" t="s">
        <v>676</v>
      </c>
      <c r="V118" s="4" t="s">
        <v>64</v>
      </c>
    </row>
    <row r="119" spans="1:22">
      <c r="A119" s="7" t="s">
        <v>677</v>
      </c>
      <c r="B119" s="8" t="s">
        <v>327</v>
      </c>
      <c r="C119" s="8" t="s">
        <v>259</v>
      </c>
      <c r="D119" s="8" t="s">
        <v>678</v>
      </c>
      <c r="E119" s="8" t="s">
        <v>679</v>
      </c>
      <c r="F119" s="8" t="s">
        <v>394</v>
      </c>
      <c r="G119" s="8" t="s">
        <v>76</v>
      </c>
      <c r="H119" s="8" t="s">
        <v>680</v>
      </c>
      <c r="I119" s="8" t="s">
        <v>114</v>
      </c>
      <c r="J119" s="8" t="s">
        <v>106</v>
      </c>
      <c r="K119" s="8" t="s">
        <v>122</v>
      </c>
      <c r="L119" s="8" t="s">
        <v>263</v>
      </c>
      <c r="M119" s="8">
        <v>16</v>
      </c>
      <c r="N119" s="8">
        <v>45</v>
      </c>
      <c r="O119" s="8">
        <v>0</v>
      </c>
      <c r="P119" s="8">
        <v>720</v>
      </c>
      <c r="Q119" s="8">
        <v>1</v>
      </c>
      <c r="R119" s="8" t="s">
        <v>48</v>
      </c>
      <c r="S119" s="8" t="s">
        <v>61</v>
      </c>
      <c r="T119" s="8" t="s">
        <v>332</v>
      </c>
      <c r="U119" s="9" t="s">
        <v>681</v>
      </c>
      <c r="V119" s="8" t="s">
        <v>38</v>
      </c>
    </row>
    <row r="120" spans="1:22">
      <c r="A120" s="3" t="s">
        <v>682</v>
      </c>
      <c r="B120" s="4" t="s">
        <v>71</v>
      </c>
      <c r="C120" s="4" t="s">
        <v>72</v>
      </c>
      <c r="D120" s="4" t="s">
        <v>683</v>
      </c>
      <c r="E120" s="4" t="s">
        <v>684</v>
      </c>
      <c r="F120" s="4" t="s">
        <v>217</v>
      </c>
      <c r="G120" s="4" t="s">
        <v>76</v>
      </c>
      <c r="H120" s="4" t="s">
        <v>685</v>
      </c>
      <c r="I120" s="4" t="s">
        <v>138</v>
      </c>
      <c r="J120" s="4" t="s">
        <v>106</v>
      </c>
      <c r="K120" s="4" t="s">
        <v>46</v>
      </c>
      <c r="L120" s="4" t="s">
        <v>78</v>
      </c>
      <c r="M120" s="4" t="s">
        <v>686</v>
      </c>
      <c r="N120" s="4">
        <v>1200</v>
      </c>
      <c r="O120" s="4">
        <v>15</v>
      </c>
      <c r="P120" s="4">
        <v>7140</v>
      </c>
      <c r="Q120" s="4">
        <v>4</v>
      </c>
      <c r="R120" s="4" t="s">
        <v>88</v>
      </c>
      <c r="S120" s="4" t="s">
        <v>151</v>
      </c>
      <c r="T120" s="4" t="s">
        <v>80</v>
      </c>
      <c r="U120" s="6" t="s">
        <v>687</v>
      </c>
      <c r="V120" s="4" t="s">
        <v>64</v>
      </c>
    </row>
    <row r="121" spans="1:22">
      <c r="A121" s="7" t="s">
        <v>688</v>
      </c>
      <c r="B121" s="8" t="s">
        <v>100</v>
      </c>
      <c r="C121" s="8" t="s">
        <v>40</v>
      </c>
      <c r="D121" s="8" t="s">
        <v>376</v>
      </c>
      <c r="E121" s="8" t="s">
        <v>469</v>
      </c>
      <c r="F121" s="8" t="s">
        <v>103</v>
      </c>
      <c r="G121" s="8" t="s">
        <v>28</v>
      </c>
      <c r="H121" s="8" t="s">
        <v>689</v>
      </c>
      <c r="I121" s="8" t="s">
        <v>212</v>
      </c>
      <c r="J121" s="8" t="s">
        <v>45</v>
      </c>
      <c r="K121" s="8" t="s">
        <v>46</v>
      </c>
      <c r="L121" s="8" t="s">
        <v>47</v>
      </c>
      <c r="M121" s="8">
        <v>14</v>
      </c>
      <c r="N121" s="8">
        <v>12000</v>
      </c>
      <c r="O121" s="8">
        <v>15</v>
      </c>
      <c r="P121" s="8">
        <v>142800</v>
      </c>
      <c r="Q121" s="8">
        <v>2</v>
      </c>
      <c r="R121" s="8" t="s">
        <v>48</v>
      </c>
      <c r="S121" s="8" t="s">
        <v>61</v>
      </c>
      <c r="T121" s="8" t="s">
        <v>144</v>
      </c>
      <c r="U121" s="9" t="s">
        <v>690</v>
      </c>
      <c r="V121" s="8" t="s">
        <v>64</v>
      </c>
    </row>
    <row r="122" spans="1:22">
      <c r="A122" s="3" t="s">
        <v>691</v>
      </c>
      <c r="B122" s="4" t="s">
        <v>127</v>
      </c>
      <c r="C122" s="4" t="s">
        <v>169</v>
      </c>
      <c r="D122" s="4" t="s">
        <v>454</v>
      </c>
      <c r="E122" s="4" t="s">
        <v>692</v>
      </c>
      <c r="F122" s="4" t="s">
        <v>200</v>
      </c>
      <c r="G122" s="4" t="s">
        <v>76</v>
      </c>
      <c r="H122" s="4" t="s">
        <v>693</v>
      </c>
      <c r="I122" s="4" t="s">
        <v>114</v>
      </c>
      <c r="J122" s="4" t="s">
        <v>106</v>
      </c>
      <c r="K122" s="4" t="s">
        <v>32</v>
      </c>
      <c r="L122" s="4" t="s">
        <v>174</v>
      </c>
      <c r="M122" s="4">
        <v>8</v>
      </c>
      <c r="N122" s="4">
        <v>8500</v>
      </c>
      <c r="O122" s="4">
        <v>20</v>
      </c>
      <c r="P122" s="4">
        <v>54400</v>
      </c>
      <c r="Q122" s="4">
        <v>3</v>
      </c>
      <c r="R122" s="4" t="s">
        <v>79</v>
      </c>
      <c r="S122" s="4" t="s">
        <v>49</v>
      </c>
      <c r="T122" s="4" t="s">
        <v>132</v>
      </c>
      <c r="U122" s="6" t="s">
        <v>694</v>
      </c>
      <c r="V122" s="4" t="s">
        <v>38</v>
      </c>
    </row>
    <row r="123" spans="1:22">
      <c r="A123" s="7" t="s">
        <v>695</v>
      </c>
      <c r="B123" s="8" t="s">
        <v>83</v>
      </c>
      <c r="C123" s="8" t="s">
        <v>259</v>
      </c>
      <c r="D123" s="8" t="s">
        <v>110</v>
      </c>
      <c r="E123" s="8" t="s">
        <v>313</v>
      </c>
      <c r="F123" s="8" t="s">
        <v>180</v>
      </c>
      <c r="G123" s="8" t="s">
        <v>76</v>
      </c>
      <c r="H123" s="8" t="s">
        <v>696</v>
      </c>
      <c r="I123" s="8" t="s">
        <v>59</v>
      </c>
      <c r="J123" s="8" t="s">
        <v>31</v>
      </c>
      <c r="K123" s="8" t="s">
        <v>122</v>
      </c>
      <c r="L123" s="8" t="s">
        <v>263</v>
      </c>
      <c r="M123" s="8">
        <v>3</v>
      </c>
      <c r="N123" s="8">
        <v>45</v>
      </c>
      <c r="O123" s="8">
        <v>0</v>
      </c>
      <c r="P123" s="8">
        <v>135</v>
      </c>
      <c r="Q123" s="8">
        <v>4</v>
      </c>
      <c r="R123" s="8" t="s">
        <v>88</v>
      </c>
      <c r="S123" s="8" t="s">
        <v>61</v>
      </c>
      <c r="T123" s="8" t="s">
        <v>89</v>
      </c>
      <c r="U123" s="9" t="s">
        <v>697</v>
      </c>
      <c r="V123" s="8" t="s">
        <v>69</v>
      </c>
    </row>
    <row r="124" spans="1:22">
      <c r="A124" s="3" t="s">
        <v>698</v>
      </c>
      <c r="B124" s="4" t="s">
        <v>327</v>
      </c>
      <c r="C124" s="4" t="s">
        <v>184</v>
      </c>
      <c r="D124" s="4" t="s">
        <v>464</v>
      </c>
      <c r="E124" s="4" t="s">
        <v>84</v>
      </c>
      <c r="F124" s="4" t="s">
        <v>394</v>
      </c>
      <c r="G124" s="4" t="s">
        <v>76</v>
      </c>
      <c r="H124" s="4" t="s">
        <v>699</v>
      </c>
      <c r="I124" s="4" t="s">
        <v>212</v>
      </c>
      <c r="J124" s="4" t="s">
        <v>45</v>
      </c>
      <c r="K124" s="4" t="s">
        <v>46</v>
      </c>
      <c r="L124" s="4" t="s">
        <v>189</v>
      </c>
      <c r="M124" s="4">
        <v>13</v>
      </c>
      <c r="N124" s="4">
        <v>700</v>
      </c>
      <c r="O124" s="4">
        <v>5</v>
      </c>
      <c r="P124" s="4">
        <v>8645</v>
      </c>
      <c r="Q124" s="4">
        <v>3</v>
      </c>
      <c r="R124" s="4" t="s">
        <v>79</v>
      </c>
      <c r="S124" s="4" t="s">
        <v>115</v>
      </c>
      <c r="T124" s="4" t="s">
        <v>332</v>
      </c>
      <c r="U124" s="6" t="s">
        <v>700</v>
      </c>
      <c r="V124" s="4" t="s">
        <v>64</v>
      </c>
    </row>
    <row r="125" spans="1:22">
      <c r="A125" s="7" t="s">
        <v>701</v>
      </c>
      <c r="B125" s="8" t="s">
        <v>168</v>
      </c>
      <c r="C125" s="8" t="s">
        <v>72</v>
      </c>
      <c r="D125" s="8" t="s">
        <v>702</v>
      </c>
      <c r="E125" s="8" t="s">
        <v>703</v>
      </c>
      <c r="F125" s="8" t="s">
        <v>361</v>
      </c>
      <c r="G125" s="8" t="s">
        <v>28</v>
      </c>
      <c r="H125" s="8" t="s">
        <v>704</v>
      </c>
      <c r="I125" s="8" t="s">
        <v>105</v>
      </c>
      <c r="J125" s="8" t="s">
        <v>106</v>
      </c>
      <c r="K125" s="8" t="s">
        <v>46</v>
      </c>
      <c r="L125" s="8" t="s">
        <v>78</v>
      </c>
      <c r="M125" s="8">
        <v>14</v>
      </c>
      <c r="N125" s="8">
        <v>1200</v>
      </c>
      <c r="O125" s="8">
        <v>20</v>
      </c>
      <c r="P125" s="8">
        <v>13440</v>
      </c>
      <c r="Q125" s="8">
        <v>5</v>
      </c>
      <c r="R125" s="8" t="s">
        <v>48</v>
      </c>
      <c r="S125" s="8" t="s">
        <v>61</v>
      </c>
      <c r="T125" s="8" t="s">
        <v>175</v>
      </c>
      <c r="U125" s="9" t="s">
        <v>705</v>
      </c>
      <c r="V125" s="8" t="s">
        <v>38</v>
      </c>
    </row>
    <row r="126" spans="1:22">
      <c r="A126" s="3" t="s">
        <v>706</v>
      </c>
      <c r="B126" s="4" t="s">
        <v>100</v>
      </c>
      <c r="C126" s="4" t="s">
        <v>259</v>
      </c>
      <c r="D126" s="4" t="s">
        <v>597</v>
      </c>
      <c r="E126" s="4" t="s">
        <v>707</v>
      </c>
      <c r="F126" s="4" t="s">
        <v>103</v>
      </c>
      <c r="G126" s="4" t="s">
        <v>28</v>
      </c>
      <c r="H126" s="4" t="s">
        <v>708</v>
      </c>
      <c r="I126" s="4" t="s">
        <v>44</v>
      </c>
      <c r="J126" s="4" t="s">
        <v>45</v>
      </c>
      <c r="K126" s="4" t="s">
        <v>122</v>
      </c>
      <c r="L126" s="4" t="s">
        <v>263</v>
      </c>
      <c r="M126" s="4">
        <v>2</v>
      </c>
      <c r="N126" s="4">
        <v>45</v>
      </c>
      <c r="O126" s="4">
        <v>5</v>
      </c>
      <c r="P126" s="4">
        <v>85.5</v>
      </c>
      <c r="Q126" s="4">
        <v>3</v>
      </c>
      <c r="R126" s="4" t="s">
        <v>88</v>
      </c>
      <c r="S126" s="4" t="s">
        <v>35</v>
      </c>
      <c r="T126" s="4" t="s">
        <v>144</v>
      </c>
      <c r="U126" s="6" t="s">
        <v>709</v>
      </c>
      <c r="V126" s="4" t="s">
        <v>69</v>
      </c>
    </row>
    <row r="127" spans="1:22">
      <c r="A127" s="7" t="s">
        <v>710</v>
      </c>
      <c r="B127" s="8" t="s">
        <v>168</v>
      </c>
      <c r="C127" s="8" t="s">
        <v>72</v>
      </c>
      <c r="D127" s="8" t="s">
        <v>711</v>
      </c>
      <c r="E127" s="8" t="s">
        <v>712</v>
      </c>
      <c r="F127" s="8" t="s">
        <v>361</v>
      </c>
      <c r="G127" s="8" t="s">
        <v>28</v>
      </c>
      <c r="H127" s="8" t="s">
        <v>713</v>
      </c>
      <c r="I127" s="8" t="s">
        <v>59</v>
      </c>
      <c r="J127" s="8" t="s">
        <v>31</v>
      </c>
      <c r="K127" s="8" t="s">
        <v>46</v>
      </c>
      <c r="L127" s="8" t="s">
        <v>78</v>
      </c>
      <c r="M127" s="8">
        <v>2</v>
      </c>
      <c r="N127" s="8">
        <v>1200</v>
      </c>
      <c r="O127" s="8">
        <v>20</v>
      </c>
      <c r="P127" s="8">
        <v>1920</v>
      </c>
      <c r="Q127" s="8">
        <v>3</v>
      </c>
      <c r="R127" s="8" t="s">
        <v>79</v>
      </c>
      <c r="S127" s="8" t="s">
        <v>115</v>
      </c>
      <c r="T127" s="8" t="s">
        <v>175</v>
      </c>
      <c r="U127" s="9" t="s">
        <v>714</v>
      </c>
      <c r="V127" s="8" t="s">
        <v>38</v>
      </c>
    </row>
    <row r="128" spans="1:22">
      <c r="A128" s="3" t="s">
        <v>715</v>
      </c>
      <c r="B128" s="4" t="s">
        <v>127</v>
      </c>
      <c r="C128" s="4" t="s">
        <v>54</v>
      </c>
      <c r="D128" s="4" t="s">
        <v>224</v>
      </c>
      <c r="E128" s="4" t="s">
        <v>716</v>
      </c>
      <c r="F128" s="4" t="s">
        <v>200</v>
      </c>
      <c r="G128" s="4" t="s">
        <v>76</v>
      </c>
      <c r="H128" s="4" t="s">
        <v>717</v>
      </c>
      <c r="I128" s="4" t="s">
        <v>59</v>
      </c>
      <c r="J128" s="4" t="s">
        <v>31</v>
      </c>
      <c r="K128" s="4" t="s">
        <v>46</v>
      </c>
      <c r="L128" s="4" t="s">
        <v>60</v>
      </c>
      <c r="M128" s="4">
        <v>10</v>
      </c>
      <c r="N128" s="4">
        <v>55000</v>
      </c>
      <c r="O128" s="4">
        <v>5</v>
      </c>
      <c r="P128" s="4">
        <v>522500</v>
      </c>
      <c r="Q128" s="4">
        <v>5</v>
      </c>
      <c r="R128" s="4" t="s">
        <v>88</v>
      </c>
      <c r="S128" s="4" t="s">
        <v>61</v>
      </c>
      <c r="T128" s="4" t="s">
        <v>132</v>
      </c>
      <c r="U128" s="6" t="s">
        <v>718</v>
      </c>
      <c r="V128" s="4" t="s">
        <v>64</v>
      </c>
    </row>
    <row r="129" spans="1:22">
      <c r="A129" s="7" t="s">
        <v>719</v>
      </c>
      <c r="B129" s="8" t="s">
        <v>251</v>
      </c>
      <c r="C129" s="8" t="s">
        <v>92</v>
      </c>
      <c r="D129" s="8" t="s">
        <v>720</v>
      </c>
      <c r="E129" s="8" t="s">
        <v>382</v>
      </c>
      <c r="F129" s="8" t="s">
        <v>254</v>
      </c>
      <c r="G129" s="8" t="s">
        <v>28</v>
      </c>
      <c r="H129" s="8" t="s">
        <v>721</v>
      </c>
      <c r="I129" s="8" t="s">
        <v>212</v>
      </c>
      <c r="J129" s="8" t="s">
        <v>45</v>
      </c>
      <c r="K129" s="8" t="s">
        <v>32</v>
      </c>
      <c r="L129" s="8" t="s">
        <v>97</v>
      </c>
      <c r="M129" s="8">
        <v>15</v>
      </c>
      <c r="N129" s="8">
        <v>3500</v>
      </c>
      <c r="O129" s="8">
        <v>10</v>
      </c>
      <c r="P129" s="8">
        <v>47250</v>
      </c>
      <c r="Q129" s="8">
        <v>3</v>
      </c>
      <c r="R129" s="8" t="s">
        <v>48</v>
      </c>
      <c r="S129" s="8" t="s">
        <v>115</v>
      </c>
      <c r="T129" s="8" t="s">
        <v>256</v>
      </c>
      <c r="U129" s="9" t="s">
        <v>722</v>
      </c>
      <c r="V129" s="8" t="s">
        <v>38</v>
      </c>
    </row>
    <row r="130" spans="1:22">
      <c r="A130" s="3" t="s">
        <v>723</v>
      </c>
      <c r="B130" s="4" t="s">
        <v>100</v>
      </c>
      <c r="C130" s="4" t="s">
        <v>24</v>
      </c>
      <c r="D130" s="4" t="s">
        <v>562</v>
      </c>
      <c r="E130" s="4" t="s">
        <v>724</v>
      </c>
      <c r="F130" s="4" t="s">
        <v>103</v>
      </c>
      <c r="G130" s="4" t="s">
        <v>28</v>
      </c>
      <c r="H130" s="4" t="s">
        <v>725</v>
      </c>
      <c r="I130" s="4" t="s">
        <v>59</v>
      </c>
      <c r="J130" s="4" t="s">
        <v>31</v>
      </c>
      <c r="K130" s="4" t="s">
        <v>32</v>
      </c>
      <c r="L130" s="4" t="s">
        <v>33</v>
      </c>
      <c r="M130" s="4">
        <v>10</v>
      </c>
      <c r="N130" s="4">
        <v>2200</v>
      </c>
      <c r="O130" s="4">
        <v>15</v>
      </c>
      <c r="P130" s="4">
        <v>18700</v>
      </c>
      <c r="Q130" s="4">
        <v>4</v>
      </c>
      <c r="R130" s="4" t="s">
        <v>79</v>
      </c>
      <c r="S130" s="4" t="s">
        <v>49</v>
      </c>
      <c r="T130" s="4" t="s">
        <v>144</v>
      </c>
      <c r="U130" s="6" t="s">
        <v>726</v>
      </c>
      <c r="V130" s="4" t="s">
        <v>64</v>
      </c>
    </row>
    <row r="131" spans="1:22">
      <c r="A131" s="7" t="s">
        <v>727</v>
      </c>
      <c r="B131" s="8" t="s">
        <v>251</v>
      </c>
      <c r="C131" s="8" t="s">
        <v>92</v>
      </c>
      <c r="D131" s="8" t="s">
        <v>260</v>
      </c>
      <c r="E131" s="8" t="s">
        <v>231</v>
      </c>
      <c r="F131" s="8" t="s">
        <v>254</v>
      </c>
      <c r="G131" s="8" t="s">
        <v>28</v>
      </c>
      <c r="H131" s="8" t="s">
        <v>728</v>
      </c>
      <c r="I131" s="8" t="s">
        <v>114</v>
      </c>
      <c r="J131" s="8" t="s">
        <v>106</v>
      </c>
      <c r="K131" s="8" t="s">
        <v>32</v>
      </c>
      <c r="L131" s="8" t="s">
        <v>97</v>
      </c>
      <c r="M131" s="8">
        <v>11</v>
      </c>
      <c r="N131" s="8">
        <v>3500</v>
      </c>
      <c r="O131" s="8">
        <v>5</v>
      </c>
      <c r="P131" s="8">
        <v>36575</v>
      </c>
      <c r="Q131" s="8">
        <v>5</v>
      </c>
      <c r="R131" s="8" t="s">
        <v>34</v>
      </c>
      <c r="S131" s="8" t="s">
        <v>35</v>
      </c>
      <c r="T131" s="8" t="s">
        <v>256</v>
      </c>
      <c r="U131" s="9" t="s">
        <v>729</v>
      </c>
      <c r="V131" s="8" t="s">
        <v>69</v>
      </c>
    </row>
    <row r="132" spans="1:22">
      <c r="A132" s="3" t="s">
        <v>730</v>
      </c>
      <c r="B132" s="4" t="s">
        <v>168</v>
      </c>
      <c r="C132" s="4" t="s">
        <v>72</v>
      </c>
      <c r="D132" s="4" t="s">
        <v>731</v>
      </c>
      <c r="E132" s="4" t="s">
        <v>732</v>
      </c>
      <c r="F132" s="4" t="s">
        <v>361</v>
      </c>
      <c r="G132" s="4" t="s">
        <v>28</v>
      </c>
      <c r="H132" s="4" t="s">
        <v>733</v>
      </c>
      <c r="I132" s="4" t="s">
        <v>59</v>
      </c>
      <c r="J132" s="4" t="s">
        <v>31</v>
      </c>
      <c r="K132" s="4" t="s">
        <v>46</v>
      </c>
      <c r="L132" s="4" t="s">
        <v>78</v>
      </c>
      <c r="M132" s="4">
        <v>14</v>
      </c>
      <c r="N132" s="4">
        <v>1200</v>
      </c>
      <c r="O132" s="4">
        <v>0</v>
      </c>
      <c r="P132" s="4">
        <v>16800</v>
      </c>
      <c r="Q132" s="4">
        <v>5</v>
      </c>
      <c r="R132" s="4" t="s">
        <v>34</v>
      </c>
      <c r="S132" s="4" t="s">
        <v>49</v>
      </c>
      <c r="T132" s="4" t="s">
        <v>175</v>
      </c>
      <c r="U132" s="6" t="s">
        <v>734</v>
      </c>
      <c r="V132" s="4" t="s">
        <v>69</v>
      </c>
    </row>
    <row r="133" spans="1:22">
      <c r="A133" s="7" t="s">
        <v>735</v>
      </c>
      <c r="B133" s="8" t="s">
        <v>100</v>
      </c>
      <c r="C133" s="8" t="s">
        <v>222</v>
      </c>
      <c r="D133" s="8" t="s">
        <v>736</v>
      </c>
      <c r="E133" s="8" t="s">
        <v>170</v>
      </c>
      <c r="F133" s="8" t="s">
        <v>103</v>
      </c>
      <c r="G133" s="8" t="s">
        <v>28</v>
      </c>
      <c r="H133" s="8" t="s">
        <v>737</v>
      </c>
      <c r="I133" s="8" t="s">
        <v>44</v>
      </c>
      <c r="J133" s="8" t="s">
        <v>45</v>
      </c>
      <c r="K133" s="8" t="s">
        <v>122</v>
      </c>
      <c r="L133" s="8" t="s">
        <v>227</v>
      </c>
      <c r="M133" s="8">
        <v>11</v>
      </c>
      <c r="N133" s="8">
        <v>20</v>
      </c>
      <c r="O133" s="8">
        <v>20</v>
      </c>
      <c r="P133" s="8">
        <v>176</v>
      </c>
      <c r="Q133" s="8">
        <v>4</v>
      </c>
      <c r="R133" s="8" t="s">
        <v>48</v>
      </c>
      <c r="S133" s="8" t="s">
        <v>35</v>
      </c>
      <c r="T133" s="8" t="s">
        <v>144</v>
      </c>
      <c r="U133" s="9" t="s">
        <v>738</v>
      </c>
      <c r="V133" s="8" t="s">
        <v>38</v>
      </c>
    </row>
    <row r="134" spans="1:22">
      <c r="A134" s="3" t="s">
        <v>739</v>
      </c>
      <c r="B134" s="4" t="s">
        <v>71</v>
      </c>
      <c r="C134" s="4" t="s">
        <v>40</v>
      </c>
      <c r="D134" s="4" t="s">
        <v>740</v>
      </c>
      <c r="E134" s="4" t="s">
        <v>657</v>
      </c>
      <c r="F134" s="4" t="s">
        <v>217</v>
      </c>
      <c r="G134" s="4" t="s">
        <v>76</v>
      </c>
      <c r="H134" s="4" t="s">
        <v>741</v>
      </c>
      <c r="I134" s="4" t="s">
        <v>114</v>
      </c>
      <c r="J134" s="4" t="s">
        <v>106</v>
      </c>
      <c r="K134" s="4" t="s">
        <v>46</v>
      </c>
      <c r="L134" s="4" t="s">
        <v>47</v>
      </c>
      <c r="M134" s="4">
        <v>6</v>
      </c>
      <c r="N134" s="4">
        <v>12000</v>
      </c>
      <c r="O134" s="4">
        <v>10</v>
      </c>
      <c r="P134" s="4">
        <v>64800</v>
      </c>
      <c r="Q134" s="4">
        <v>5</v>
      </c>
      <c r="R134" s="4" t="s">
        <v>88</v>
      </c>
      <c r="S134" s="4" t="s">
        <v>151</v>
      </c>
      <c r="T134" s="4" t="s">
        <v>80</v>
      </c>
      <c r="U134" s="6" t="s">
        <v>742</v>
      </c>
      <c r="V134" s="4" t="s">
        <v>38</v>
      </c>
    </row>
    <row r="135" spans="1:22">
      <c r="A135" s="7" t="s">
        <v>743</v>
      </c>
      <c r="B135" s="8" t="s">
        <v>71</v>
      </c>
      <c r="C135" s="8" t="s">
        <v>24</v>
      </c>
      <c r="D135" s="8" t="s">
        <v>652</v>
      </c>
      <c r="E135" s="8" t="s">
        <v>539</v>
      </c>
      <c r="F135" s="8" t="s">
        <v>217</v>
      </c>
      <c r="G135" s="8" t="s">
        <v>76</v>
      </c>
      <c r="H135" s="8" t="s">
        <v>744</v>
      </c>
      <c r="I135" s="8" t="s">
        <v>30</v>
      </c>
      <c r="J135" s="8" t="s">
        <v>31</v>
      </c>
      <c r="K135" s="8" t="s">
        <v>32</v>
      </c>
      <c r="L135" s="8" t="s">
        <v>33</v>
      </c>
      <c r="M135" s="8">
        <v>6</v>
      </c>
      <c r="N135" s="8">
        <v>2200</v>
      </c>
      <c r="O135" s="8">
        <v>5</v>
      </c>
      <c r="P135" s="8">
        <v>12540</v>
      </c>
      <c r="Q135" s="8">
        <v>4</v>
      </c>
      <c r="R135" s="8" t="s">
        <v>34</v>
      </c>
      <c r="S135" s="8" t="s">
        <v>49</v>
      </c>
      <c r="T135" s="8" t="s">
        <v>80</v>
      </c>
      <c r="U135" s="9" t="s">
        <v>745</v>
      </c>
      <c r="V135" s="8" t="s">
        <v>38</v>
      </c>
    </row>
    <row r="136" spans="1:22">
      <c r="A136" s="3" t="s">
        <v>746</v>
      </c>
      <c r="B136" s="4" t="s">
        <v>53</v>
      </c>
      <c r="C136" s="4" t="s">
        <v>92</v>
      </c>
      <c r="D136" s="4" t="s">
        <v>408</v>
      </c>
      <c r="E136" s="4" t="s">
        <v>488</v>
      </c>
      <c r="F136" s="4" t="s">
        <v>163</v>
      </c>
      <c r="G136" s="4" t="s">
        <v>28</v>
      </c>
      <c r="H136" s="4" t="s">
        <v>747</v>
      </c>
      <c r="I136" s="4" t="s">
        <v>44</v>
      </c>
      <c r="J136" s="4" t="s">
        <v>45</v>
      </c>
      <c r="K136" s="4" t="s">
        <v>32</v>
      </c>
      <c r="L136" s="4" t="s">
        <v>97</v>
      </c>
      <c r="M136" s="4">
        <v>3</v>
      </c>
      <c r="N136" s="4">
        <v>3500</v>
      </c>
      <c r="O136" s="4">
        <v>5</v>
      </c>
      <c r="P136" s="4">
        <v>9975</v>
      </c>
      <c r="Q136" s="4">
        <v>4</v>
      </c>
      <c r="R136" s="4" t="s">
        <v>48</v>
      </c>
      <c r="S136" s="4" t="s">
        <v>49</v>
      </c>
      <c r="T136" s="4" t="s">
        <v>62</v>
      </c>
      <c r="U136" s="6" t="s">
        <v>748</v>
      </c>
      <c r="V136" s="4" t="s">
        <v>64</v>
      </c>
    </row>
    <row r="137" spans="1:22">
      <c r="A137" s="7" t="s">
        <v>749</v>
      </c>
      <c r="B137" s="8" t="s">
        <v>71</v>
      </c>
      <c r="C137" s="8" t="s">
        <v>169</v>
      </c>
      <c r="D137" s="8" t="s">
        <v>750</v>
      </c>
      <c r="E137" s="8" t="s">
        <v>751</v>
      </c>
      <c r="F137" s="8" t="s">
        <v>217</v>
      </c>
      <c r="G137" s="8" t="s">
        <v>76</v>
      </c>
      <c r="H137" s="8" t="s">
        <v>752</v>
      </c>
      <c r="I137" s="8" t="s">
        <v>30</v>
      </c>
      <c r="J137" s="8" t="s">
        <v>31</v>
      </c>
      <c r="K137" s="8" t="s">
        <v>32</v>
      </c>
      <c r="L137" s="8" t="s">
        <v>174</v>
      </c>
      <c r="M137" s="8">
        <v>5</v>
      </c>
      <c r="N137" s="8">
        <v>8500</v>
      </c>
      <c r="O137" s="8">
        <v>20</v>
      </c>
      <c r="P137" s="8">
        <v>34000</v>
      </c>
      <c r="Q137" s="8">
        <v>5</v>
      </c>
      <c r="R137" s="8" t="s">
        <v>34</v>
      </c>
      <c r="S137" s="8" t="s">
        <v>61</v>
      </c>
      <c r="T137" s="8" t="s">
        <v>80</v>
      </c>
      <c r="U137" s="9" t="s">
        <v>753</v>
      </c>
      <c r="V137" s="8" t="s">
        <v>64</v>
      </c>
    </row>
    <row r="138" spans="1:22">
      <c r="A138" s="3" t="s">
        <v>754</v>
      </c>
      <c r="B138" s="4" t="s">
        <v>23</v>
      </c>
      <c r="C138" s="4" t="s">
        <v>92</v>
      </c>
      <c r="D138" s="4" t="s">
        <v>755</v>
      </c>
      <c r="E138" s="4" t="s">
        <v>756</v>
      </c>
      <c r="F138" s="4" t="s">
        <v>27</v>
      </c>
      <c r="G138" s="4" t="s">
        <v>28</v>
      </c>
      <c r="H138" s="4" t="s">
        <v>757</v>
      </c>
      <c r="I138" s="4" t="s">
        <v>59</v>
      </c>
      <c r="J138" s="4" t="s">
        <v>31</v>
      </c>
      <c r="K138" s="4" t="s">
        <v>32</v>
      </c>
      <c r="L138" s="4" t="s">
        <v>97</v>
      </c>
      <c r="M138" s="4">
        <v>14</v>
      </c>
      <c r="N138" s="4">
        <v>3500</v>
      </c>
      <c r="O138" s="4">
        <v>10</v>
      </c>
      <c r="P138" s="4">
        <v>44100</v>
      </c>
      <c r="Q138" s="4">
        <v>4</v>
      </c>
      <c r="R138" s="4" t="s">
        <v>88</v>
      </c>
      <c r="S138" s="4" t="s">
        <v>35</v>
      </c>
      <c r="T138" s="4" t="s">
        <v>50</v>
      </c>
      <c r="U138" s="6" t="s">
        <v>758</v>
      </c>
      <c r="V138" s="4" t="s">
        <v>69</v>
      </c>
    </row>
    <row r="139" spans="1:22">
      <c r="A139" s="7" t="s">
        <v>759</v>
      </c>
      <c r="B139" s="8" t="s">
        <v>327</v>
      </c>
      <c r="C139" s="8" t="s">
        <v>259</v>
      </c>
      <c r="D139" s="8" t="s">
        <v>760</v>
      </c>
      <c r="E139" s="8" t="s">
        <v>761</v>
      </c>
      <c r="F139" s="8" t="s">
        <v>394</v>
      </c>
      <c r="G139" s="8" t="s">
        <v>76</v>
      </c>
      <c r="H139" s="8" t="s">
        <v>762</v>
      </c>
      <c r="I139" s="8" t="s">
        <v>138</v>
      </c>
      <c r="J139" s="8" t="s">
        <v>106</v>
      </c>
      <c r="K139" s="8" t="s">
        <v>122</v>
      </c>
      <c r="L139" s="8" t="s">
        <v>263</v>
      </c>
      <c r="M139" s="8">
        <v>8</v>
      </c>
      <c r="N139" s="8">
        <v>45</v>
      </c>
      <c r="O139" s="8">
        <v>0</v>
      </c>
      <c r="P139" s="8">
        <v>360</v>
      </c>
      <c r="Q139" s="8">
        <v>1</v>
      </c>
      <c r="R139" s="8" t="s">
        <v>79</v>
      </c>
      <c r="S139" s="8" t="s">
        <v>151</v>
      </c>
      <c r="T139" s="8" t="s">
        <v>332</v>
      </c>
      <c r="U139" s="9" t="s">
        <v>763</v>
      </c>
      <c r="V139" s="8" t="s">
        <v>69</v>
      </c>
    </row>
    <row r="140" spans="1:22">
      <c r="A140" s="3" t="s">
        <v>764</v>
      </c>
      <c r="B140" s="4" t="s">
        <v>221</v>
      </c>
      <c r="C140" s="4" t="s">
        <v>259</v>
      </c>
      <c r="D140" s="4" t="s">
        <v>765</v>
      </c>
      <c r="E140" s="4" t="s">
        <v>766</v>
      </c>
      <c r="F140" s="4" t="s">
        <v>225</v>
      </c>
      <c r="G140" s="4" t="s">
        <v>76</v>
      </c>
      <c r="H140" s="4" t="s">
        <v>767</v>
      </c>
      <c r="I140" s="4" t="s">
        <v>44</v>
      </c>
      <c r="J140" s="4" t="s">
        <v>45</v>
      </c>
      <c r="K140" s="4" t="s">
        <v>122</v>
      </c>
      <c r="L140" s="4" t="s">
        <v>263</v>
      </c>
      <c r="M140" s="4">
        <v>11</v>
      </c>
      <c r="N140" s="4">
        <v>45</v>
      </c>
      <c r="O140" s="4">
        <v>5</v>
      </c>
      <c r="P140" s="4">
        <v>470.25</v>
      </c>
      <c r="Q140" s="4">
        <v>3</v>
      </c>
      <c r="R140" s="4" t="s">
        <v>79</v>
      </c>
      <c r="S140" s="4" t="s">
        <v>49</v>
      </c>
      <c r="T140" s="4" t="s">
        <v>228</v>
      </c>
      <c r="U140" s="6" t="s">
        <v>768</v>
      </c>
      <c r="V140" s="4" t="s">
        <v>38</v>
      </c>
    </row>
    <row r="141" spans="1:22">
      <c r="A141" s="7" t="s">
        <v>769</v>
      </c>
      <c r="B141" s="8" t="s">
        <v>83</v>
      </c>
      <c r="C141" s="8" t="s">
        <v>54</v>
      </c>
      <c r="D141" s="8" t="s">
        <v>770</v>
      </c>
      <c r="E141" s="8" t="s">
        <v>771</v>
      </c>
      <c r="F141" s="8" t="s">
        <v>180</v>
      </c>
      <c r="G141" s="8" t="s">
        <v>76</v>
      </c>
      <c r="H141" s="8" t="s">
        <v>772</v>
      </c>
      <c r="I141" s="8" t="s">
        <v>138</v>
      </c>
      <c r="J141" s="8" t="s">
        <v>106</v>
      </c>
      <c r="K141" s="8" t="s">
        <v>46</v>
      </c>
      <c r="L141" s="8" t="s">
        <v>60</v>
      </c>
      <c r="M141" s="8">
        <v>19</v>
      </c>
      <c r="N141" s="8">
        <v>55000</v>
      </c>
      <c r="O141" s="8">
        <v>0</v>
      </c>
      <c r="P141" s="8">
        <v>1045000</v>
      </c>
      <c r="Q141" s="8">
        <v>2</v>
      </c>
      <c r="R141" s="8" t="s">
        <v>79</v>
      </c>
      <c r="S141" s="8" t="s">
        <v>35</v>
      </c>
      <c r="T141" s="8" t="s">
        <v>89</v>
      </c>
      <c r="U141" s="9" t="s">
        <v>773</v>
      </c>
      <c r="V141" s="8" t="s">
        <v>69</v>
      </c>
    </row>
    <row r="142" spans="1:22">
      <c r="A142" s="3" t="s">
        <v>774</v>
      </c>
      <c r="B142" s="4" t="s">
        <v>53</v>
      </c>
      <c r="C142" s="4" t="s">
        <v>92</v>
      </c>
      <c r="D142" s="4" t="s">
        <v>775</v>
      </c>
      <c r="E142" s="4" t="s">
        <v>539</v>
      </c>
      <c r="F142" s="4" t="s">
        <v>163</v>
      </c>
      <c r="G142" s="4" t="s">
        <v>28</v>
      </c>
      <c r="H142" s="4" t="s">
        <v>776</v>
      </c>
      <c r="I142" s="4" t="s">
        <v>114</v>
      </c>
      <c r="J142" s="4" t="s">
        <v>106</v>
      </c>
      <c r="K142" s="4" t="s">
        <v>32</v>
      </c>
      <c r="L142" s="4" t="s">
        <v>97</v>
      </c>
      <c r="M142" s="4">
        <v>20</v>
      </c>
      <c r="N142" s="4">
        <v>3500</v>
      </c>
      <c r="O142" s="4">
        <v>20</v>
      </c>
      <c r="P142" s="4">
        <v>56000</v>
      </c>
      <c r="Q142" s="4">
        <v>4</v>
      </c>
      <c r="R142" s="4" t="s">
        <v>48</v>
      </c>
      <c r="S142" s="4" t="s">
        <v>49</v>
      </c>
      <c r="T142" s="4" t="s">
        <v>62</v>
      </c>
      <c r="U142" s="6" t="s">
        <v>777</v>
      </c>
      <c r="V142" s="4" t="s">
        <v>38</v>
      </c>
    </row>
    <row r="143" spans="1:22">
      <c r="A143" s="7" t="s">
        <v>778</v>
      </c>
      <c r="B143" s="8" t="s">
        <v>83</v>
      </c>
      <c r="C143" s="8" t="s">
        <v>24</v>
      </c>
      <c r="D143" s="8" t="s">
        <v>276</v>
      </c>
      <c r="E143" s="8" t="s">
        <v>779</v>
      </c>
      <c r="F143" s="8" t="s">
        <v>180</v>
      </c>
      <c r="G143" s="8" t="s">
        <v>76</v>
      </c>
      <c r="H143" s="8" t="s">
        <v>780</v>
      </c>
      <c r="I143" s="8" t="s">
        <v>114</v>
      </c>
      <c r="J143" s="8" t="s">
        <v>106</v>
      </c>
      <c r="K143" s="8" t="s">
        <v>32</v>
      </c>
      <c r="L143" s="8" t="s">
        <v>33</v>
      </c>
      <c r="M143" s="8">
        <v>17</v>
      </c>
      <c r="N143" s="8">
        <v>2200</v>
      </c>
      <c r="O143" s="8">
        <v>0</v>
      </c>
      <c r="P143" s="8">
        <v>37400</v>
      </c>
      <c r="Q143" s="8">
        <v>5</v>
      </c>
      <c r="R143" s="8" t="s">
        <v>48</v>
      </c>
      <c r="S143" s="8" t="s">
        <v>35</v>
      </c>
      <c r="T143" s="8" t="s">
        <v>89</v>
      </c>
      <c r="U143" s="9" t="s">
        <v>781</v>
      </c>
      <c r="V143" s="8" t="s">
        <v>64</v>
      </c>
    </row>
    <row r="144" spans="1:22">
      <c r="A144" s="3" t="s">
        <v>782</v>
      </c>
      <c r="B144" s="4" t="s">
        <v>83</v>
      </c>
      <c r="C144" s="4" t="s">
        <v>72</v>
      </c>
      <c r="D144" s="4" t="s">
        <v>770</v>
      </c>
      <c r="E144" s="4" t="s">
        <v>783</v>
      </c>
      <c r="F144" s="4" t="s">
        <v>180</v>
      </c>
      <c r="G144" s="4" t="s">
        <v>76</v>
      </c>
      <c r="H144" s="4" t="s">
        <v>784</v>
      </c>
      <c r="I144" s="4" t="s">
        <v>114</v>
      </c>
      <c r="J144" s="4" t="s">
        <v>106</v>
      </c>
      <c r="K144" s="4" t="s">
        <v>46</v>
      </c>
      <c r="L144" s="4" t="s">
        <v>78</v>
      </c>
      <c r="M144" s="4">
        <v>10</v>
      </c>
      <c r="N144" s="4">
        <v>1200</v>
      </c>
      <c r="O144" s="4">
        <v>5</v>
      </c>
      <c r="P144" s="4">
        <v>11400</v>
      </c>
      <c r="Q144" s="4">
        <v>2</v>
      </c>
      <c r="R144" s="4" t="s">
        <v>34</v>
      </c>
      <c r="S144" s="4" t="s">
        <v>49</v>
      </c>
      <c r="T144" s="4" t="s">
        <v>89</v>
      </c>
      <c r="U144" s="6" t="s">
        <v>785</v>
      </c>
      <c r="V144" s="4" t="s">
        <v>69</v>
      </c>
    </row>
    <row r="145" spans="1:22">
      <c r="A145" s="7" t="s">
        <v>786</v>
      </c>
      <c r="B145" s="8" t="s">
        <v>221</v>
      </c>
      <c r="C145" s="8" t="s">
        <v>118</v>
      </c>
      <c r="D145" s="8" t="s">
        <v>787</v>
      </c>
      <c r="E145" s="8" t="s">
        <v>788</v>
      </c>
      <c r="F145" s="8" t="s">
        <v>225</v>
      </c>
      <c r="G145" s="8" t="s">
        <v>76</v>
      </c>
      <c r="H145" s="8" t="s">
        <v>789</v>
      </c>
      <c r="I145" s="8" t="s">
        <v>30</v>
      </c>
      <c r="J145" s="8" t="s">
        <v>31</v>
      </c>
      <c r="K145" s="8" t="s">
        <v>122</v>
      </c>
      <c r="L145" s="8" t="s">
        <v>123</v>
      </c>
      <c r="M145" s="8">
        <v>3</v>
      </c>
      <c r="N145" s="8">
        <v>60</v>
      </c>
      <c r="O145" s="8">
        <v>0</v>
      </c>
      <c r="P145" s="8">
        <v>180</v>
      </c>
      <c r="Q145" s="8">
        <v>4</v>
      </c>
      <c r="R145" s="8" t="s">
        <v>48</v>
      </c>
      <c r="S145" s="8" t="s">
        <v>151</v>
      </c>
      <c r="T145" s="8" t="s">
        <v>228</v>
      </c>
      <c r="U145" s="9" t="s">
        <v>790</v>
      </c>
      <c r="V145" s="8" t="s">
        <v>38</v>
      </c>
    </row>
    <row r="146" spans="1:22">
      <c r="A146" s="3" t="s">
        <v>791</v>
      </c>
      <c r="B146" s="4" t="s">
        <v>53</v>
      </c>
      <c r="C146" s="4" t="s">
        <v>24</v>
      </c>
      <c r="D146" s="4" t="s">
        <v>792</v>
      </c>
      <c r="E146" s="4" t="s">
        <v>793</v>
      </c>
      <c r="F146" s="4" t="s">
        <v>163</v>
      </c>
      <c r="G146" s="4" t="s">
        <v>28</v>
      </c>
      <c r="H146" s="4" t="s">
        <v>794</v>
      </c>
      <c r="I146" s="4" t="s">
        <v>105</v>
      </c>
      <c r="J146" s="4" t="s">
        <v>106</v>
      </c>
      <c r="K146" s="4" t="s">
        <v>32</v>
      </c>
      <c r="L146" s="4" t="s">
        <v>33</v>
      </c>
      <c r="M146" s="4">
        <v>18</v>
      </c>
      <c r="N146" s="4">
        <v>2200</v>
      </c>
      <c r="O146" s="4">
        <v>10</v>
      </c>
      <c r="P146" s="4">
        <v>35640</v>
      </c>
      <c r="Q146" s="4">
        <v>1</v>
      </c>
      <c r="R146" s="4" t="s">
        <v>79</v>
      </c>
      <c r="S146" s="4" t="s">
        <v>151</v>
      </c>
      <c r="T146" s="4" t="s">
        <v>62</v>
      </c>
      <c r="U146" s="6" t="s">
        <v>795</v>
      </c>
      <c r="V146" s="4" t="s">
        <v>69</v>
      </c>
    </row>
    <row r="147" spans="1:22">
      <c r="A147" s="7" t="s">
        <v>796</v>
      </c>
      <c r="B147" s="8" t="s">
        <v>71</v>
      </c>
      <c r="C147" s="8" t="s">
        <v>118</v>
      </c>
      <c r="D147" s="8" t="s">
        <v>797</v>
      </c>
      <c r="E147" s="8" t="s">
        <v>798</v>
      </c>
      <c r="F147" s="8" t="s">
        <v>217</v>
      </c>
      <c r="G147" s="8" t="s">
        <v>76</v>
      </c>
      <c r="H147" s="8" t="s">
        <v>799</v>
      </c>
      <c r="I147" s="8" t="s">
        <v>44</v>
      </c>
      <c r="J147" s="8" t="s">
        <v>45</v>
      </c>
      <c r="K147" s="8" t="s">
        <v>122</v>
      </c>
      <c r="L147" s="8" t="s">
        <v>123</v>
      </c>
      <c r="M147" s="8">
        <v>18</v>
      </c>
      <c r="N147" s="8">
        <v>60</v>
      </c>
      <c r="O147" s="8">
        <v>5</v>
      </c>
      <c r="P147" s="8">
        <v>1026</v>
      </c>
      <c r="Q147" s="8">
        <v>3</v>
      </c>
      <c r="R147" s="8" t="s">
        <v>79</v>
      </c>
      <c r="S147" s="8" t="s">
        <v>49</v>
      </c>
      <c r="T147" s="8" t="s">
        <v>80</v>
      </c>
      <c r="U147" s="9" t="s">
        <v>800</v>
      </c>
      <c r="V147" s="8" t="s">
        <v>64</v>
      </c>
    </row>
    <row r="148" spans="1:22">
      <c r="A148" s="3" t="s">
        <v>801</v>
      </c>
      <c r="B148" s="4" t="s">
        <v>127</v>
      </c>
      <c r="C148" s="4" t="s">
        <v>54</v>
      </c>
      <c r="D148" s="4" t="s">
        <v>422</v>
      </c>
      <c r="E148" s="4" t="s">
        <v>377</v>
      </c>
      <c r="F148" s="4" t="s">
        <v>200</v>
      </c>
      <c r="G148" s="4" t="s">
        <v>76</v>
      </c>
      <c r="H148" s="4" t="s">
        <v>802</v>
      </c>
      <c r="I148" s="4" t="s">
        <v>114</v>
      </c>
      <c r="J148" s="4" t="s">
        <v>106</v>
      </c>
      <c r="K148" s="4" t="s">
        <v>46</v>
      </c>
      <c r="L148" s="4" t="s">
        <v>60</v>
      </c>
      <c r="M148" s="4">
        <v>11</v>
      </c>
      <c r="N148" s="4">
        <v>55000</v>
      </c>
      <c r="O148" s="4">
        <v>15</v>
      </c>
      <c r="P148" s="4">
        <v>514250</v>
      </c>
      <c r="Q148" s="4">
        <v>4</v>
      </c>
      <c r="R148" s="4" t="s">
        <v>88</v>
      </c>
      <c r="S148" s="4" t="s">
        <v>115</v>
      </c>
      <c r="T148" s="4" t="s">
        <v>132</v>
      </c>
      <c r="U148" s="6" t="s">
        <v>803</v>
      </c>
      <c r="V148" s="4" t="s">
        <v>69</v>
      </c>
    </row>
    <row r="149" spans="1:22">
      <c r="A149" s="7" t="s">
        <v>804</v>
      </c>
      <c r="B149" s="8" t="s">
        <v>251</v>
      </c>
      <c r="C149" s="8" t="s">
        <v>169</v>
      </c>
      <c r="D149" s="8" t="s">
        <v>474</v>
      </c>
      <c r="E149" s="8" t="s">
        <v>464</v>
      </c>
      <c r="F149" s="8" t="s">
        <v>254</v>
      </c>
      <c r="G149" s="8" t="s">
        <v>28</v>
      </c>
      <c r="H149" s="8" t="s">
        <v>805</v>
      </c>
      <c r="I149" s="8" t="s">
        <v>294</v>
      </c>
      <c r="J149" s="8" t="s">
        <v>295</v>
      </c>
      <c r="K149" s="8" t="s">
        <v>32</v>
      </c>
      <c r="L149" s="8" t="s">
        <v>174</v>
      </c>
      <c r="M149" s="8">
        <v>5</v>
      </c>
      <c r="N149" s="8">
        <v>8500</v>
      </c>
      <c r="O149" s="8">
        <v>5</v>
      </c>
      <c r="P149" s="8">
        <v>40375</v>
      </c>
      <c r="Q149" s="8">
        <v>4</v>
      </c>
      <c r="R149" s="8" t="s">
        <v>34</v>
      </c>
      <c r="S149" s="8" t="s">
        <v>151</v>
      </c>
      <c r="T149" s="8" t="s">
        <v>256</v>
      </c>
      <c r="U149" s="9" t="s">
        <v>806</v>
      </c>
      <c r="V149" s="8" t="s">
        <v>38</v>
      </c>
    </row>
    <row r="150" spans="1:22">
      <c r="A150" s="3" t="s">
        <v>192</v>
      </c>
      <c r="B150" s="4" t="s">
        <v>100</v>
      </c>
      <c r="C150" s="4" t="s">
        <v>184</v>
      </c>
      <c r="D150" s="4" t="s">
        <v>246</v>
      </c>
      <c r="E150" s="4" t="s">
        <v>128</v>
      </c>
      <c r="F150" s="4" t="s">
        <v>103</v>
      </c>
      <c r="G150" s="4" t="s">
        <v>28</v>
      </c>
      <c r="H150" s="4" t="s">
        <v>807</v>
      </c>
      <c r="I150" s="4" t="s">
        <v>212</v>
      </c>
      <c r="J150" s="4" t="s">
        <v>45</v>
      </c>
      <c r="K150" s="4" t="s">
        <v>46</v>
      </c>
      <c r="L150" s="4" t="s">
        <v>189</v>
      </c>
      <c r="M150" s="4">
        <v>16</v>
      </c>
      <c r="N150" s="4">
        <v>700</v>
      </c>
      <c r="O150" s="4">
        <v>15</v>
      </c>
      <c r="P150" s="4">
        <v>9520</v>
      </c>
      <c r="Q150" s="4">
        <v>4</v>
      </c>
      <c r="R150" s="4" t="s">
        <v>79</v>
      </c>
      <c r="S150" s="4" t="s">
        <v>61</v>
      </c>
      <c r="T150" s="4" t="s">
        <v>144</v>
      </c>
      <c r="U150" s="6" t="s">
        <v>808</v>
      </c>
      <c r="V150" s="4" t="s">
        <v>38</v>
      </c>
    </row>
    <row r="151" spans="1:22">
      <c r="A151" s="7" t="s">
        <v>809</v>
      </c>
      <c r="B151" s="8" t="s">
        <v>127</v>
      </c>
      <c r="C151" s="8" t="s">
        <v>184</v>
      </c>
      <c r="D151" s="8" t="s">
        <v>489</v>
      </c>
      <c r="E151" s="8" t="s">
        <v>267</v>
      </c>
      <c r="F151" s="8" t="s">
        <v>200</v>
      </c>
      <c r="G151" s="8" t="s">
        <v>76</v>
      </c>
      <c r="H151" s="8" t="s">
        <v>810</v>
      </c>
      <c r="I151" s="8" t="s">
        <v>114</v>
      </c>
      <c r="J151" s="8" t="s">
        <v>106</v>
      </c>
      <c r="K151" s="8" t="s">
        <v>46</v>
      </c>
      <c r="L151" s="8" t="s">
        <v>189</v>
      </c>
      <c r="M151" s="8">
        <v>6</v>
      </c>
      <c r="N151" s="8">
        <v>700</v>
      </c>
      <c r="O151" s="8">
        <v>10</v>
      </c>
      <c r="P151" s="8">
        <v>3780</v>
      </c>
      <c r="Q151" s="8">
        <v>4</v>
      </c>
      <c r="R151" s="8" t="s">
        <v>34</v>
      </c>
      <c r="S151" s="8" t="s">
        <v>49</v>
      </c>
      <c r="T151" s="8" t="s">
        <v>132</v>
      </c>
      <c r="U151" s="9" t="s">
        <v>811</v>
      </c>
      <c r="V151" s="8" t="s">
        <v>69</v>
      </c>
    </row>
    <row r="152" spans="1:22">
      <c r="A152" s="3" t="s">
        <v>812</v>
      </c>
      <c r="B152" s="4" t="s">
        <v>53</v>
      </c>
      <c r="C152" s="4" t="s">
        <v>92</v>
      </c>
      <c r="D152" s="4" t="s">
        <v>518</v>
      </c>
      <c r="E152" s="4" t="s">
        <v>615</v>
      </c>
      <c r="F152" s="4" t="s">
        <v>163</v>
      </c>
      <c r="G152" s="4" t="s">
        <v>28</v>
      </c>
      <c r="H152" s="4" t="s">
        <v>813</v>
      </c>
      <c r="I152" s="4" t="s">
        <v>44</v>
      </c>
      <c r="J152" s="4" t="s">
        <v>45</v>
      </c>
      <c r="K152" s="4" t="s">
        <v>32</v>
      </c>
      <c r="L152" s="4" t="s">
        <v>97</v>
      </c>
      <c r="M152" s="4">
        <v>20</v>
      </c>
      <c r="N152" s="4">
        <v>3500</v>
      </c>
      <c r="O152" s="4">
        <v>10</v>
      </c>
      <c r="P152" s="4">
        <v>63000</v>
      </c>
      <c r="Q152" s="4">
        <v>4</v>
      </c>
      <c r="R152" s="4" t="s">
        <v>88</v>
      </c>
      <c r="S152" s="4" t="s">
        <v>49</v>
      </c>
      <c r="T152" s="4" t="s">
        <v>62</v>
      </c>
      <c r="U152" s="6" t="s">
        <v>814</v>
      </c>
      <c r="V152" s="4" t="s">
        <v>64</v>
      </c>
    </row>
    <row r="153" spans="1:22">
      <c r="A153" s="7" t="s">
        <v>815</v>
      </c>
      <c r="B153" s="8" t="s">
        <v>23</v>
      </c>
      <c r="C153" s="8" t="s">
        <v>222</v>
      </c>
      <c r="D153" s="8" t="s">
        <v>816</v>
      </c>
      <c r="E153" s="8" t="s">
        <v>817</v>
      </c>
      <c r="F153" s="8" t="s">
        <v>27</v>
      </c>
      <c r="G153" s="8" t="s">
        <v>28</v>
      </c>
      <c r="H153" s="8" t="s">
        <v>818</v>
      </c>
      <c r="I153" s="8" t="s">
        <v>59</v>
      </c>
      <c r="J153" s="8" t="s">
        <v>31</v>
      </c>
      <c r="K153" s="8" t="s">
        <v>122</v>
      </c>
      <c r="L153" s="8" t="s">
        <v>227</v>
      </c>
      <c r="M153" s="8">
        <v>2</v>
      </c>
      <c r="N153" s="8">
        <v>20</v>
      </c>
      <c r="O153" s="8">
        <v>10</v>
      </c>
      <c r="P153" s="8">
        <v>36</v>
      </c>
      <c r="Q153" s="8">
        <v>1</v>
      </c>
      <c r="R153" s="8" t="s">
        <v>48</v>
      </c>
      <c r="S153" s="8" t="s">
        <v>115</v>
      </c>
      <c r="T153" s="8" t="s">
        <v>50</v>
      </c>
      <c r="U153" s="9" t="s">
        <v>819</v>
      </c>
      <c r="V153" s="8" t="s">
        <v>64</v>
      </c>
    </row>
    <row r="154" spans="1:22">
      <c r="A154" s="3" t="s">
        <v>820</v>
      </c>
      <c r="B154" s="4" t="s">
        <v>100</v>
      </c>
      <c r="C154" s="4" t="s">
        <v>24</v>
      </c>
      <c r="D154" s="4" t="s">
        <v>779</v>
      </c>
      <c r="E154" s="4" t="s">
        <v>821</v>
      </c>
      <c r="F154" s="4" t="s">
        <v>103</v>
      </c>
      <c r="G154" s="4" t="s">
        <v>28</v>
      </c>
      <c r="H154" s="4" t="s">
        <v>822</v>
      </c>
      <c r="I154" s="4" t="s">
        <v>114</v>
      </c>
      <c r="J154" s="4" t="s">
        <v>106</v>
      </c>
      <c r="K154" s="4" t="s">
        <v>32</v>
      </c>
      <c r="L154" s="4" t="s">
        <v>33</v>
      </c>
      <c r="M154" s="4">
        <v>16</v>
      </c>
      <c r="N154" s="4">
        <v>2200</v>
      </c>
      <c r="O154" s="4">
        <v>20</v>
      </c>
      <c r="P154" s="4">
        <v>28160</v>
      </c>
      <c r="Q154" s="4">
        <v>2</v>
      </c>
      <c r="R154" s="4" t="s">
        <v>88</v>
      </c>
      <c r="S154" s="4" t="s">
        <v>151</v>
      </c>
      <c r="T154" s="4" t="s">
        <v>144</v>
      </c>
      <c r="U154" s="6" t="s">
        <v>823</v>
      </c>
      <c r="V154" s="4" t="s">
        <v>64</v>
      </c>
    </row>
    <row r="155" spans="1:22">
      <c r="A155" s="7" t="s">
        <v>824</v>
      </c>
      <c r="B155" s="8" t="s">
        <v>221</v>
      </c>
      <c r="C155" s="8" t="s">
        <v>40</v>
      </c>
      <c r="D155" s="8" t="s">
        <v>148</v>
      </c>
      <c r="E155" s="8" t="s">
        <v>825</v>
      </c>
      <c r="F155" s="8" t="s">
        <v>225</v>
      </c>
      <c r="G155" s="8" t="s">
        <v>76</v>
      </c>
      <c r="H155" s="8" t="s">
        <v>826</v>
      </c>
      <c r="I155" s="8" t="s">
        <v>114</v>
      </c>
      <c r="J155" s="8" t="s">
        <v>106</v>
      </c>
      <c r="K155" s="8" t="s">
        <v>46</v>
      </c>
      <c r="L155" s="8" t="s">
        <v>47</v>
      </c>
      <c r="M155" s="8">
        <v>15</v>
      </c>
      <c r="N155" s="8">
        <v>12000</v>
      </c>
      <c r="O155" s="8">
        <v>0</v>
      </c>
      <c r="P155" s="8">
        <v>180000</v>
      </c>
      <c r="Q155" s="8">
        <v>1</v>
      </c>
      <c r="R155" s="8" t="s">
        <v>79</v>
      </c>
      <c r="S155" s="8" t="s">
        <v>61</v>
      </c>
      <c r="T155" s="8" t="s">
        <v>228</v>
      </c>
      <c r="U155" s="9" t="s">
        <v>827</v>
      </c>
      <c r="V155" s="8" t="s">
        <v>64</v>
      </c>
    </row>
    <row r="156" spans="1:22">
      <c r="A156" s="3" t="s">
        <v>828</v>
      </c>
      <c r="B156" s="4" t="s">
        <v>23</v>
      </c>
      <c r="C156" s="4" t="s">
        <v>118</v>
      </c>
      <c r="D156" s="4" t="s">
        <v>829</v>
      </c>
      <c r="E156" s="4" t="s">
        <v>830</v>
      </c>
      <c r="F156" s="4" t="s">
        <v>27</v>
      </c>
      <c r="G156" s="4" t="s">
        <v>28</v>
      </c>
      <c r="H156" s="4" t="s">
        <v>831</v>
      </c>
      <c r="I156" s="4" t="s">
        <v>44</v>
      </c>
      <c r="J156" s="4" t="s">
        <v>45</v>
      </c>
      <c r="K156" s="4" t="s">
        <v>122</v>
      </c>
      <c r="L156" s="4" t="s">
        <v>123</v>
      </c>
      <c r="M156" s="4">
        <v>14</v>
      </c>
      <c r="N156" s="4">
        <v>60</v>
      </c>
      <c r="O156" s="4">
        <v>15</v>
      </c>
      <c r="P156" s="4">
        <v>714</v>
      </c>
      <c r="Q156" s="4">
        <v>4</v>
      </c>
      <c r="R156" s="4" t="s">
        <v>88</v>
      </c>
      <c r="S156" s="4" t="s">
        <v>49</v>
      </c>
      <c r="T156" s="4" t="s">
        <v>50</v>
      </c>
      <c r="U156" s="6" t="s">
        <v>832</v>
      </c>
      <c r="V156" s="4" t="s">
        <v>38</v>
      </c>
    </row>
    <row r="157" spans="1:22">
      <c r="A157" s="7" t="s">
        <v>833</v>
      </c>
      <c r="B157" s="8" t="s">
        <v>53</v>
      </c>
      <c r="C157" s="8" t="s">
        <v>72</v>
      </c>
      <c r="D157" s="8" t="s">
        <v>834</v>
      </c>
      <c r="E157" s="8" t="s">
        <v>835</v>
      </c>
      <c r="F157" s="8" t="s">
        <v>163</v>
      </c>
      <c r="G157" s="8" t="s">
        <v>28</v>
      </c>
      <c r="H157" s="8" t="s">
        <v>836</v>
      </c>
      <c r="I157" s="8" t="s">
        <v>30</v>
      </c>
      <c r="J157" s="8" t="s">
        <v>31</v>
      </c>
      <c r="K157" s="8" t="s">
        <v>46</v>
      </c>
      <c r="L157" s="8" t="s">
        <v>78</v>
      </c>
      <c r="M157" s="8">
        <v>9</v>
      </c>
      <c r="N157" s="8">
        <v>1200</v>
      </c>
      <c r="O157" s="8">
        <v>5</v>
      </c>
      <c r="P157" s="8">
        <v>10260</v>
      </c>
      <c r="Q157" s="8">
        <v>5</v>
      </c>
      <c r="R157" s="8" t="s">
        <v>48</v>
      </c>
      <c r="S157" s="8" t="s">
        <v>61</v>
      </c>
      <c r="T157" s="8" t="s">
        <v>62</v>
      </c>
      <c r="U157" s="9" t="s">
        <v>837</v>
      </c>
      <c r="V157" s="8" t="s">
        <v>64</v>
      </c>
    </row>
    <row r="158" spans="1:22">
      <c r="A158" s="3" t="s">
        <v>838</v>
      </c>
      <c r="B158" s="4" t="s">
        <v>221</v>
      </c>
      <c r="C158" s="4" t="s">
        <v>72</v>
      </c>
      <c r="D158" s="4" t="s">
        <v>821</v>
      </c>
      <c r="E158" s="4" t="s">
        <v>839</v>
      </c>
      <c r="F158" s="4" t="s">
        <v>225</v>
      </c>
      <c r="G158" s="4" t="s">
        <v>76</v>
      </c>
      <c r="H158" s="4" t="s">
        <v>840</v>
      </c>
      <c r="I158" s="4" t="s">
        <v>294</v>
      </c>
      <c r="J158" s="4" t="s">
        <v>295</v>
      </c>
      <c r="K158" s="4" t="s">
        <v>46</v>
      </c>
      <c r="L158" s="4" t="s">
        <v>78</v>
      </c>
      <c r="M158" s="4">
        <v>3</v>
      </c>
      <c r="N158" s="4">
        <v>1200</v>
      </c>
      <c r="O158" s="4">
        <v>10</v>
      </c>
      <c r="P158" s="4">
        <v>3240</v>
      </c>
      <c r="Q158" s="4">
        <v>2</v>
      </c>
      <c r="R158" s="4" t="s">
        <v>79</v>
      </c>
      <c r="S158" s="4" t="s">
        <v>151</v>
      </c>
      <c r="T158" s="4" t="s">
        <v>228</v>
      </c>
      <c r="U158" s="6" t="s">
        <v>841</v>
      </c>
      <c r="V158" s="4" t="s">
        <v>69</v>
      </c>
    </row>
    <row r="159" spans="1:22">
      <c r="A159" s="7" t="s">
        <v>842</v>
      </c>
      <c r="B159" s="8" t="s">
        <v>327</v>
      </c>
      <c r="C159" s="8" t="s">
        <v>118</v>
      </c>
      <c r="D159" s="8" t="s">
        <v>459</v>
      </c>
      <c r="E159" s="8" t="s">
        <v>577</v>
      </c>
      <c r="F159" s="8" t="s">
        <v>394</v>
      </c>
      <c r="G159" s="8" t="s">
        <v>76</v>
      </c>
      <c r="H159" s="8" t="s">
        <v>843</v>
      </c>
      <c r="I159" s="8" t="s">
        <v>30</v>
      </c>
      <c r="J159" s="8" t="s">
        <v>31</v>
      </c>
      <c r="K159" s="8" t="s">
        <v>122</v>
      </c>
      <c r="L159" s="8" t="s">
        <v>123</v>
      </c>
      <c r="M159" s="8">
        <v>2</v>
      </c>
      <c r="N159" s="8">
        <v>60</v>
      </c>
      <c r="O159" s="8">
        <v>10</v>
      </c>
      <c r="P159" s="8">
        <v>108</v>
      </c>
      <c r="Q159" s="8">
        <v>2</v>
      </c>
      <c r="R159" s="8" t="s">
        <v>88</v>
      </c>
      <c r="S159" s="8" t="s">
        <v>61</v>
      </c>
      <c r="T159" s="8" t="s">
        <v>332</v>
      </c>
      <c r="U159" s="9" t="s">
        <v>844</v>
      </c>
      <c r="V159" s="8" t="s">
        <v>38</v>
      </c>
    </row>
    <row r="160" spans="1:22">
      <c r="A160" s="3" t="s">
        <v>845</v>
      </c>
      <c r="B160" s="4" t="s">
        <v>71</v>
      </c>
      <c r="C160" s="4" t="s">
        <v>92</v>
      </c>
      <c r="D160" s="4" t="s">
        <v>426</v>
      </c>
      <c r="E160" s="4" t="s">
        <v>846</v>
      </c>
      <c r="F160" s="4" t="s">
        <v>217</v>
      </c>
      <c r="G160" s="4" t="s">
        <v>76</v>
      </c>
      <c r="H160" s="4" t="s">
        <v>847</v>
      </c>
      <c r="I160" s="4" t="s">
        <v>44</v>
      </c>
      <c r="J160" s="4" t="s">
        <v>45</v>
      </c>
      <c r="K160" s="4" t="s">
        <v>32</v>
      </c>
      <c r="L160" s="4" t="s">
        <v>97</v>
      </c>
      <c r="M160" s="4">
        <v>9</v>
      </c>
      <c r="N160" s="4">
        <v>3500</v>
      </c>
      <c r="O160" s="4">
        <v>20</v>
      </c>
      <c r="P160" s="4">
        <v>25200</v>
      </c>
      <c r="Q160" s="4">
        <v>1</v>
      </c>
      <c r="R160" s="4" t="s">
        <v>48</v>
      </c>
      <c r="S160" s="4" t="s">
        <v>35</v>
      </c>
      <c r="T160" s="4" t="s">
        <v>80</v>
      </c>
      <c r="U160" s="6" t="s">
        <v>848</v>
      </c>
      <c r="V160" s="4" t="s">
        <v>38</v>
      </c>
    </row>
    <row r="161" spans="1:22">
      <c r="A161" s="7" t="s">
        <v>849</v>
      </c>
      <c r="B161" s="8" t="s">
        <v>221</v>
      </c>
      <c r="C161" s="8" t="s">
        <v>54</v>
      </c>
      <c r="D161" s="8" t="s">
        <v>241</v>
      </c>
      <c r="E161" s="8" t="s">
        <v>543</v>
      </c>
      <c r="F161" s="8" t="s">
        <v>225</v>
      </c>
      <c r="G161" s="8" t="s">
        <v>76</v>
      </c>
      <c r="H161" s="8" t="s">
        <v>850</v>
      </c>
      <c r="I161" s="8" t="s">
        <v>212</v>
      </c>
      <c r="J161" s="8" t="s">
        <v>45</v>
      </c>
      <c r="K161" s="8" t="s">
        <v>46</v>
      </c>
      <c r="L161" s="8" t="s">
        <v>60</v>
      </c>
      <c r="M161" s="8">
        <v>4</v>
      </c>
      <c r="N161" s="8">
        <v>55000</v>
      </c>
      <c r="O161" s="8">
        <v>5</v>
      </c>
      <c r="P161" s="8">
        <v>209000</v>
      </c>
      <c r="Q161" s="8">
        <v>2</v>
      </c>
      <c r="R161" s="8" t="s">
        <v>34</v>
      </c>
      <c r="S161" s="8" t="s">
        <v>151</v>
      </c>
      <c r="T161" s="8" t="s">
        <v>228</v>
      </c>
      <c r="U161" s="9" t="s">
        <v>851</v>
      </c>
      <c r="V161" s="8" t="s">
        <v>64</v>
      </c>
    </row>
    <row r="162" spans="1:22">
      <c r="A162" s="3" t="s">
        <v>852</v>
      </c>
      <c r="B162" s="4" t="s">
        <v>327</v>
      </c>
      <c r="C162" s="4" t="s">
        <v>184</v>
      </c>
      <c r="D162" s="4" t="s">
        <v>488</v>
      </c>
      <c r="E162" s="4" t="s">
        <v>266</v>
      </c>
      <c r="F162" s="4" t="s">
        <v>853</v>
      </c>
      <c r="G162" s="4" t="s">
        <v>76</v>
      </c>
      <c r="H162" s="4" t="s">
        <v>854</v>
      </c>
      <c r="I162" s="4" t="s">
        <v>44</v>
      </c>
      <c r="J162" s="4" t="s">
        <v>45</v>
      </c>
      <c r="K162" s="4" t="s">
        <v>46</v>
      </c>
      <c r="L162" s="4" t="s">
        <v>189</v>
      </c>
      <c r="M162" s="4">
        <v>11</v>
      </c>
      <c r="N162" s="4">
        <v>700</v>
      </c>
      <c r="O162" s="4">
        <v>20</v>
      </c>
      <c r="P162" s="4">
        <v>6160</v>
      </c>
      <c r="Q162" s="4">
        <v>4</v>
      </c>
      <c r="R162" s="4" t="s">
        <v>34</v>
      </c>
      <c r="S162" s="4" t="s">
        <v>151</v>
      </c>
      <c r="T162" s="4" t="s">
        <v>332</v>
      </c>
      <c r="U162" s="6" t="s">
        <v>855</v>
      </c>
      <c r="V162" s="4" t="s">
        <v>69</v>
      </c>
    </row>
    <row r="163" spans="1:22">
      <c r="A163" s="7" t="s">
        <v>856</v>
      </c>
      <c r="B163" s="8" t="s">
        <v>168</v>
      </c>
      <c r="C163" s="8" t="s">
        <v>72</v>
      </c>
      <c r="D163" s="8" t="s">
        <v>286</v>
      </c>
      <c r="E163" s="8" t="s">
        <v>816</v>
      </c>
      <c r="F163" s="8" t="s">
        <v>361</v>
      </c>
      <c r="G163" s="8" t="s">
        <v>28</v>
      </c>
      <c r="H163" s="8" t="s">
        <v>857</v>
      </c>
      <c r="I163" s="8" t="s">
        <v>294</v>
      </c>
      <c r="J163" s="8" t="s">
        <v>295</v>
      </c>
      <c r="K163" s="8" t="s">
        <v>46</v>
      </c>
      <c r="L163" s="8" t="s">
        <v>78</v>
      </c>
      <c r="M163" s="8">
        <v>16</v>
      </c>
      <c r="N163" s="8">
        <v>1200</v>
      </c>
      <c r="O163" s="8">
        <v>5</v>
      </c>
      <c r="P163" s="8">
        <v>18240</v>
      </c>
      <c r="Q163" s="8">
        <v>1</v>
      </c>
      <c r="R163" s="8" t="s">
        <v>79</v>
      </c>
      <c r="S163" s="8" t="s">
        <v>35</v>
      </c>
      <c r="T163" s="8" t="s">
        <v>175</v>
      </c>
      <c r="U163" s="9" t="s">
        <v>858</v>
      </c>
      <c r="V163" s="8" t="s">
        <v>64</v>
      </c>
    </row>
    <row r="164" spans="1:22">
      <c r="A164" s="3" t="s">
        <v>859</v>
      </c>
      <c r="B164" s="4" t="s">
        <v>168</v>
      </c>
      <c r="C164" s="4" t="s">
        <v>72</v>
      </c>
      <c r="D164" s="4" t="s">
        <v>548</v>
      </c>
      <c r="E164" s="4" t="s">
        <v>860</v>
      </c>
      <c r="F164" s="4" t="s">
        <v>361</v>
      </c>
      <c r="G164" s="4" t="s">
        <v>28</v>
      </c>
      <c r="H164" s="4" t="s">
        <v>861</v>
      </c>
      <c r="I164" s="4" t="s">
        <v>114</v>
      </c>
      <c r="J164" s="4" t="s">
        <v>106</v>
      </c>
      <c r="K164" s="4" t="s">
        <v>46</v>
      </c>
      <c r="L164" s="4" t="s">
        <v>78</v>
      </c>
      <c r="M164" s="4">
        <v>1</v>
      </c>
      <c r="N164" s="4">
        <v>1200</v>
      </c>
      <c r="O164" s="4">
        <v>5</v>
      </c>
      <c r="P164" s="4">
        <v>1140</v>
      </c>
      <c r="Q164" s="4">
        <v>4</v>
      </c>
      <c r="R164" s="4" t="s">
        <v>79</v>
      </c>
      <c r="S164" s="4" t="s">
        <v>35</v>
      </c>
      <c r="T164" s="4" t="s">
        <v>175</v>
      </c>
      <c r="U164" s="6" t="s">
        <v>862</v>
      </c>
      <c r="V164" s="4" t="s">
        <v>38</v>
      </c>
    </row>
    <row r="165" spans="1:22">
      <c r="A165" s="7" t="s">
        <v>863</v>
      </c>
      <c r="B165" s="8" t="s">
        <v>327</v>
      </c>
      <c r="C165" s="8" t="s">
        <v>118</v>
      </c>
      <c r="D165" s="8" t="s">
        <v>864</v>
      </c>
      <c r="E165" s="8" t="s">
        <v>865</v>
      </c>
      <c r="F165" s="8" t="s">
        <v>853</v>
      </c>
      <c r="G165" s="8" t="s">
        <v>76</v>
      </c>
      <c r="H165" s="8" t="s">
        <v>866</v>
      </c>
      <c r="I165" s="8" t="s">
        <v>212</v>
      </c>
      <c r="J165" s="8" t="s">
        <v>45</v>
      </c>
      <c r="K165" s="8" t="s">
        <v>122</v>
      </c>
      <c r="L165" s="8" t="s">
        <v>123</v>
      </c>
      <c r="M165" s="8">
        <v>7</v>
      </c>
      <c r="N165" s="8">
        <v>60</v>
      </c>
      <c r="O165" s="8">
        <v>0</v>
      </c>
      <c r="P165" s="8">
        <v>420</v>
      </c>
      <c r="Q165" s="8">
        <v>2</v>
      </c>
      <c r="R165" s="8" t="s">
        <v>88</v>
      </c>
      <c r="S165" s="8" t="s">
        <v>151</v>
      </c>
      <c r="T165" s="8" t="s">
        <v>332</v>
      </c>
      <c r="U165" s="9" t="s">
        <v>867</v>
      </c>
      <c r="V165" s="8" t="s">
        <v>38</v>
      </c>
    </row>
    <row r="166" spans="1:22">
      <c r="A166" s="3" t="s">
        <v>868</v>
      </c>
      <c r="B166" s="4" t="s">
        <v>168</v>
      </c>
      <c r="C166" s="4" t="s">
        <v>24</v>
      </c>
      <c r="D166" s="4" t="s">
        <v>205</v>
      </c>
      <c r="E166" s="4" t="s">
        <v>513</v>
      </c>
      <c r="F166" s="4" t="s">
        <v>361</v>
      </c>
      <c r="G166" s="4" t="s">
        <v>28</v>
      </c>
      <c r="H166" s="4" t="s">
        <v>869</v>
      </c>
      <c r="I166" s="4" t="s">
        <v>114</v>
      </c>
      <c r="J166" s="4" t="s">
        <v>106</v>
      </c>
      <c r="K166" s="4" t="s">
        <v>32</v>
      </c>
      <c r="L166" s="4" t="s">
        <v>33</v>
      </c>
      <c r="M166" s="4">
        <v>14</v>
      </c>
      <c r="N166" s="4">
        <v>2200</v>
      </c>
      <c r="O166" s="4">
        <v>0</v>
      </c>
      <c r="P166" s="4">
        <v>30800</v>
      </c>
      <c r="Q166" s="4">
        <v>2</v>
      </c>
      <c r="R166" s="4" t="s">
        <v>88</v>
      </c>
      <c r="S166" s="4" t="s">
        <v>35</v>
      </c>
      <c r="T166" s="4" t="s">
        <v>175</v>
      </c>
      <c r="U166" s="6" t="s">
        <v>870</v>
      </c>
      <c r="V166" s="4" t="s">
        <v>69</v>
      </c>
    </row>
    <row r="167" spans="1:22">
      <c r="A167" s="7" t="s">
        <v>871</v>
      </c>
      <c r="B167" s="8" t="s">
        <v>168</v>
      </c>
      <c r="C167" s="8" t="s">
        <v>92</v>
      </c>
      <c r="D167" s="8" t="s">
        <v>872</v>
      </c>
      <c r="E167" s="8" t="s">
        <v>488</v>
      </c>
      <c r="F167" s="8" t="s">
        <v>361</v>
      </c>
      <c r="G167" s="8" t="s">
        <v>28</v>
      </c>
      <c r="H167" s="8" t="s">
        <v>873</v>
      </c>
      <c r="I167" s="8" t="s">
        <v>138</v>
      </c>
      <c r="J167" s="8" t="s">
        <v>106</v>
      </c>
      <c r="K167" s="8" t="s">
        <v>32</v>
      </c>
      <c r="L167" s="8" t="s">
        <v>97</v>
      </c>
      <c r="M167" s="8">
        <v>15</v>
      </c>
      <c r="N167" s="8">
        <v>3500</v>
      </c>
      <c r="O167" s="8">
        <v>15</v>
      </c>
      <c r="P167" s="8">
        <v>44625</v>
      </c>
      <c r="Q167" s="8">
        <v>2</v>
      </c>
      <c r="R167" s="8" t="s">
        <v>88</v>
      </c>
      <c r="S167" s="8" t="s">
        <v>61</v>
      </c>
      <c r="T167" s="8" t="s">
        <v>175</v>
      </c>
      <c r="U167" s="9" t="s">
        <v>874</v>
      </c>
      <c r="V167" s="8" t="s">
        <v>64</v>
      </c>
    </row>
    <row r="168" spans="1:22">
      <c r="A168" s="3" t="s">
        <v>875</v>
      </c>
      <c r="B168" s="4" t="s">
        <v>127</v>
      </c>
      <c r="C168" s="4" t="s">
        <v>92</v>
      </c>
      <c r="D168" s="4" t="s">
        <v>876</v>
      </c>
      <c r="E168" s="4" t="s">
        <v>877</v>
      </c>
      <c r="F168" s="4" t="s">
        <v>200</v>
      </c>
      <c r="G168" s="4" t="s">
        <v>76</v>
      </c>
      <c r="H168" s="4" t="s">
        <v>878</v>
      </c>
      <c r="I168" s="4" t="s">
        <v>294</v>
      </c>
      <c r="J168" s="4" t="s">
        <v>295</v>
      </c>
      <c r="K168" s="4" t="s">
        <v>32</v>
      </c>
      <c r="L168" s="4" t="s">
        <v>97</v>
      </c>
      <c r="M168" s="4">
        <v>19</v>
      </c>
      <c r="N168" s="4">
        <v>3500</v>
      </c>
      <c r="O168" s="4">
        <v>5</v>
      </c>
      <c r="P168" s="4">
        <v>63175</v>
      </c>
      <c r="Q168" s="4">
        <v>2</v>
      </c>
      <c r="R168" s="4" t="s">
        <v>34</v>
      </c>
      <c r="S168" s="4" t="s">
        <v>115</v>
      </c>
      <c r="T168" s="4" t="s">
        <v>132</v>
      </c>
      <c r="U168" s="6" t="s">
        <v>879</v>
      </c>
      <c r="V168" s="4" t="s">
        <v>69</v>
      </c>
    </row>
    <row r="169" spans="1:22">
      <c r="A169" s="7" t="s">
        <v>880</v>
      </c>
      <c r="B169" s="8" t="s">
        <v>327</v>
      </c>
      <c r="C169" s="8" t="s">
        <v>54</v>
      </c>
      <c r="D169" s="8" t="s">
        <v>881</v>
      </c>
      <c r="E169" s="8" t="s">
        <v>640</v>
      </c>
      <c r="F169" s="8" t="s">
        <v>394</v>
      </c>
      <c r="G169" s="8" t="s">
        <v>76</v>
      </c>
      <c r="H169" s="8" t="s">
        <v>882</v>
      </c>
      <c r="I169" s="8" t="s">
        <v>59</v>
      </c>
      <c r="J169" s="8" t="s">
        <v>31</v>
      </c>
      <c r="K169" s="8" t="s">
        <v>46</v>
      </c>
      <c r="L169" s="8" t="s">
        <v>60</v>
      </c>
      <c r="M169" s="8">
        <v>12</v>
      </c>
      <c r="N169" s="8">
        <v>55000</v>
      </c>
      <c r="O169" s="8">
        <v>5</v>
      </c>
      <c r="P169" s="8">
        <v>627000</v>
      </c>
      <c r="Q169" s="8">
        <v>4</v>
      </c>
      <c r="R169" s="8" t="s">
        <v>79</v>
      </c>
      <c r="S169" s="8" t="s">
        <v>61</v>
      </c>
      <c r="T169" s="8" t="s">
        <v>332</v>
      </c>
      <c r="U169" s="9" t="s">
        <v>883</v>
      </c>
      <c r="V169" s="8" t="s">
        <v>69</v>
      </c>
    </row>
    <row r="170" spans="1:22">
      <c r="A170" s="3" t="s">
        <v>884</v>
      </c>
      <c r="B170" s="4" t="s">
        <v>53</v>
      </c>
      <c r="C170" s="4" t="s">
        <v>72</v>
      </c>
      <c r="D170" s="4" t="s">
        <v>587</v>
      </c>
      <c r="E170" s="4" t="s">
        <v>483</v>
      </c>
      <c r="F170" s="4" t="s">
        <v>163</v>
      </c>
      <c r="G170" s="4" t="s">
        <v>28</v>
      </c>
      <c r="H170" s="4" t="s">
        <v>885</v>
      </c>
      <c r="I170" s="4" t="s">
        <v>105</v>
      </c>
      <c r="J170" s="4" t="s">
        <v>106</v>
      </c>
      <c r="K170" s="4" t="s">
        <v>46</v>
      </c>
      <c r="L170" s="4" t="s">
        <v>78</v>
      </c>
      <c r="M170" s="4">
        <v>6</v>
      </c>
      <c r="N170" s="4">
        <v>1200</v>
      </c>
      <c r="O170" s="4">
        <v>10</v>
      </c>
      <c r="P170" s="4">
        <v>6480</v>
      </c>
      <c r="Q170" s="4">
        <v>5</v>
      </c>
      <c r="R170" s="4" t="s">
        <v>48</v>
      </c>
      <c r="S170" s="4" t="s">
        <v>115</v>
      </c>
      <c r="T170" s="4" t="s">
        <v>62</v>
      </c>
      <c r="U170" s="6" t="s">
        <v>886</v>
      </c>
      <c r="V170" s="4" t="s">
        <v>69</v>
      </c>
    </row>
    <row r="171" spans="1:22">
      <c r="A171" s="7" t="s">
        <v>887</v>
      </c>
      <c r="B171" s="8" t="s">
        <v>251</v>
      </c>
      <c r="C171" s="8" t="s">
        <v>169</v>
      </c>
      <c r="D171" s="8" t="s">
        <v>128</v>
      </c>
      <c r="E171" s="8" t="s">
        <v>247</v>
      </c>
      <c r="F171" s="8" t="s">
        <v>254</v>
      </c>
      <c r="G171" s="8" t="s">
        <v>28</v>
      </c>
      <c r="H171" s="8" t="s">
        <v>888</v>
      </c>
      <c r="I171" s="8" t="s">
        <v>30</v>
      </c>
      <c r="J171" s="8" t="s">
        <v>31</v>
      </c>
      <c r="K171" s="8" t="s">
        <v>32</v>
      </c>
      <c r="L171" s="8" t="s">
        <v>174</v>
      </c>
      <c r="M171" s="8">
        <v>1</v>
      </c>
      <c r="N171" s="8">
        <v>8500</v>
      </c>
      <c r="O171" s="8">
        <v>0</v>
      </c>
      <c r="P171" s="8">
        <v>8500</v>
      </c>
      <c r="Q171" s="8">
        <v>1</v>
      </c>
      <c r="R171" s="8" t="s">
        <v>88</v>
      </c>
      <c r="S171" s="8" t="s">
        <v>151</v>
      </c>
      <c r="T171" s="8" t="s">
        <v>256</v>
      </c>
      <c r="U171" s="9" t="s">
        <v>889</v>
      </c>
      <c r="V171" s="8" t="s">
        <v>69</v>
      </c>
    </row>
    <row r="172" spans="1:22">
      <c r="A172" s="3" t="s">
        <v>890</v>
      </c>
      <c r="B172" s="4" t="s">
        <v>127</v>
      </c>
      <c r="C172" s="4" t="s">
        <v>54</v>
      </c>
      <c r="D172" s="4" t="s">
        <v>891</v>
      </c>
      <c r="E172" s="4" t="s">
        <v>892</v>
      </c>
      <c r="F172" s="4" t="s">
        <v>200</v>
      </c>
      <c r="G172" s="4" t="s">
        <v>76</v>
      </c>
      <c r="H172" s="4" t="s">
        <v>893</v>
      </c>
      <c r="I172" s="4" t="s">
        <v>138</v>
      </c>
      <c r="J172" s="4" t="s">
        <v>106</v>
      </c>
      <c r="K172" s="4" t="s">
        <v>46</v>
      </c>
      <c r="L172" s="4" t="s">
        <v>60</v>
      </c>
      <c r="M172" s="4">
        <v>20</v>
      </c>
      <c r="N172" s="4">
        <v>55000</v>
      </c>
      <c r="O172" s="4">
        <v>10</v>
      </c>
      <c r="P172" s="4">
        <v>990000</v>
      </c>
      <c r="Q172" s="4">
        <v>5</v>
      </c>
      <c r="R172" s="4" t="s">
        <v>48</v>
      </c>
      <c r="S172" s="4" t="s">
        <v>151</v>
      </c>
      <c r="T172" s="4" t="s">
        <v>132</v>
      </c>
      <c r="U172" s="6" t="s">
        <v>894</v>
      </c>
      <c r="V172" s="4" t="s">
        <v>38</v>
      </c>
    </row>
    <row r="173" spans="1:22">
      <c r="A173" s="7" t="s">
        <v>895</v>
      </c>
      <c r="B173" s="8" t="s">
        <v>221</v>
      </c>
      <c r="C173" s="8" t="s">
        <v>72</v>
      </c>
      <c r="D173" s="8" t="s">
        <v>661</v>
      </c>
      <c r="E173" s="8" t="s">
        <v>896</v>
      </c>
      <c r="F173" s="8" t="s">
        <v>225</v>
      </c>
      <c r="G173" s="8" t="s">
        <v>76</v>
      </c>
      <c r="H173" s="8" t="s">
        <v>897</v>
      </c>
      <c r="I173" s="8" t="s">
        <v>138</v>
      </c>
      <c r="J173" s="8" t="s">
        <v>106</v>
      </c>
      <c r="K173" s="8" t="s">
        <v>46</v>
      </c>
      <c r="L173" s="8" t="s">
        <v>78</v>
      </c>
      <c r="M173" s="8">
        <v>8</v>
      </c>
      <c r="N173" s="8">
        <v>1200</v>
      </c>
      <c r="O173" s="8">
        <v>15</v>
      </c>
      <c r="P173" s="8">
        <v>8160</v>
      </c>
      <c r="Q173" s="8">
        <v>2</v>
      </c>
      <c r="R173" s="8" t="s">
        <v>88</v>
      </c>
      <c r="S173" s="8" t="s">
        <v>115</v>
      </c>
      <c r="T173" s="8" t="s">
        <v>228</v>
      </c>
      <c r="U173" s="9" t="s">
        <v>898</v>
      </c>
      <c r="V173" s="8" t="s">
        <v>69</v>
      </c>
    </row>
    <row r="174" spans="1:22">
      <c r="A174" s="3" t="s">
        <v>899</v>
      </c>
      <c r="B174" s="4" t="s">
        <v>23</v>
      </c>
      <c r="C174" s="4" t="s">
        <v>92</v>
      </c>
      <c r="D174" s="4" t="s">
        <v>900</v>
      </c>
      <c r="E174" s="4" t="s">
        <v>901</v>
      </c>
      <c r="F174" s="4" t="s">
        <v>27</v>
      </c>
      <c r="G174" s="4" t="s">
        <v>28</v>
      </c>
      <c r="H174" s="4" t="s">
        <v>902</v>
      </c>
      <c r="I174" s="4" t="s">
        <v>212</v>
      </c>
      <c r="J174" s="4" t="s">
        <v>45</v>
      </c>
      <c r="K174" s="4" t="s">
        <v>32</v>
      </c>
      <c r="L174" s="4" t="s">
        <v>97</v>
      </c>
      <c r="M174" s="4">
        <v>19</v>
      </c>
      <c r="N174" s="4">
        <v>3500</v>
      </c>
      <c r="O174" s="4">
        <v>5</v>
      </c>
      <c r="P174" s="4">
        <v>63175</v>
      </c>
      <c r="Q174" s="4">
        <v>4</v>
      </c>
      <c r="R174" s="4" t="s">
        <v>88</v>
      </c>
      <c r="S174" s="4" t="s">
        <v>49</v>
      </c>
      <c r="T174" s="4" t="s">
        <v>50</v>
      </c>
      <c r="U174" s="6" t="s">
        <v>903</v>
      </c>
      <c r="V174" s="4" t="s">
        <v>64</v>
      </c>
    </row>
    <row r="175" spans="1:22">
      <c r="A175" s="7" t="s">
        <v>904</v>
      </c>
      <c r="B175" s="8" t="s">
        <v>221</v>
      </c>
      <c r="C175" s="8" t="s">
        <v>259</v>
      </c>
      <c r="D175" s="8" t="s">
        <v>41</v>
      </c>
      <c r="E175" s="8" t="s">
        <v>606</v>
      </c>
      <c r="F175" s="8" t="s">
        <v>905</v>
      </c>
      <c r="G175" s="8" t="s">
        <v>76</v>
      </c>
      <c r="H175" s="8" t="s">
        <v>906</v>
      </c>
      <c r="I175" s="8" t="s">
        <v>212</v>
      </c>
      <c r="J175" s="8" t="s">
        <v>45</v>
      </c>
      <c r="K175" s="8" t="s">
        <v>122</v>
      </c>
      <c r="L175" s="8" t="s">
        <v>263</v>
      </c>
      <c r="M175" s="8">
        <v>6</v>
      </c>
      <c r="N175" s="8">
        <v>45</v>
      </c>
      <c r="O175" s="8">
        <v>20</v>
      </c>
      <c r="P175" s="8">
        <v>216</v>
      </c>
      <c r="Q175" s="8">
        <v>1</v>
      </c>
      <c r="R175" s="8" t="s">
        <v>79</v>
      </c>
      <c r="S175" s="8" t="s">
        <v>49</v>
      </c>
      <c r="T175" s="8" t="s">
        <v>907</v>
      </c>
      <c r="U175" s="9" t="s">
        <v>908</v>
      </c>
      <c r="V175" s="8" t="s">
        <v>64</v>
      </c>
    </row>
    <row r="176" spans="1:22">
      <c r="A176" s="3" t="s">
        <v>909</v>
      </c>
      <c r="B176" s="4" t="s">
        <v>251</v>
      </c>
      <c r="C176" s="4" t="s">
        <v>259</v>
      </c>
      <c r="D176" s="4" t="s">
        <v>910</v>
      </c>
      <c r="E176" s="4" t="s">
        <v>119</v>
      </c>
      <c r="F176" s="4" t="s">
        <v>254</v>
      </c>
      <c r="G176" s="4" t="s">
        <v>28</v>
      </c>
      <c r="H176" s="4" t="s">
        <v>911</v>
      </c>
      <c r="I176" s="4" t="s">
        <v>114</v>
      </c>
      <c r="J176" s="4" t="s">
        <v>106</v>
      </c>
      <c r="K176" s="4" t="s">
        <v>122</v>
      </c>
      <c r="L176" s="4" t="s">
        <v>263</v>
      </c>
      <c r="M176" s="4">
        <v>17</v>
      </c>
      <c r="N176" s="4">
        <v>45</v>
      </c>
      <c r="O176" s="4">
        <v>15</v>
      </c>
      <c r="P176" s="4">
        <v>650.25</v>
      </c>
      <c r="Q176" s="4">
        <v>5</v>
      </c>
      <c r="R176" s="4" t="s">
        <v>34</v>
      </c>
      <c r="S176" s="4" t="s">
        <v>115</v>
      </c>
      <c r="T176" s="4" t="s">
        <v>256</v>
      </c>
      <c r="U176" s="6" t="s">
        <v>912</v>
      </c>
      <c r="V176" s="4" t="s">
        <v>64</v>
      </c>
    </row>
    <row r="177" spans="1:22">
      <c r="A177" s="7" t="s">
        <v>913</v>
      </c>
      <c r="B177" s="8" t="s">
        <v>23</v>
      </c>
      <c r="C177" s="8" t="s">
        <v>222</v>
      </c>
      <c r="D177" s="8" t="s">
        <v>276</v>
      </c>
      <c r="E177" s="8" t="s">
        <v>914</v>
      </c>
      <c r="F177" s="8" t="s">
        <v>27</v>
      </c>
      <c r="G177" s="8" t="s">
        <v>28</v>
      </c>
      <c r="H177" s="8" t="s">
        <v>915</v>
      </c>
      <c r="I177" s="8" t="s">
        <v>114</v>
      </c>
      <c r="J177" s="8" t="s">
        <v>106</v>
      </c>
      <c r="K177" s="8" t="s">
        <v>122</v>
      </c>
      <c r="L177" s="8" t="s">
        <v>227</v>
      </c>
      <c r="M177" s="8">
        <v>19</v>
      </c>
      <c r="N177" s="8">
        <v>20</v>
      </c>
      <c r="O177" s="8">
        <v>5</v>
      </c>
      <c r="P177" s="8">
        <v>361</v>
      </c>
      <c r="Q177" s="8">
        <v>4</v>
      </c>
      <c r="R177" s="8" t="s">
        <v>34</v>
      </c>
      <c r="S177" s="8" t="s">
        <v>35</v>
      </c>
      <c r="T177" s="8" t="s">
        <v>50</v>
      </c>
      <c r="U177" s="9" t="s">
        <v>916</v>
      </c>
      <c r="V177" s="8" t="s">
        <v>64</v>
      </c>
    </row>
    <row r="178" spans="1:22">
      <c r="A178" s="3" t="s">
        <v>917</v>
      </c>
      <c r="B178" s="4" t="s">
        <v>251</v>
      </c>
      <c r="C178" s="4" t="s">
        <v>222</v>
      </c>
      <c r="D178" s="4" t="s">
        <v>918</v>
      </c>
      <c r="E178" s="4" t="s">
        <v>352</v>
      </c>
      <c r="F178" s="4" t="s">
        <v>919</v>
      </c>
      <c r="G178" s="4" t="s">
        <v>28</v>
      </c>
      <c r="H178" s="4" t="s">
        <v>920</v>
      </c>
      <c r="I178" s="4" t="s">
        <v>138</v>
      </c>
      <c r="J178" s="4" t="s">
        <v>106</v>
      </c>
      <c r="K178" s="4" t="s">
        <v>122</v>
      </c>
      <c r="L178" s="4" t="s">
        <v>227</v>
      </c>
      <c r="M178" s="4">
        <v>11</v>
      </c>
      <c r="N178" s="4">
        <v>20</v>
      </c>
      <c r="O178" s="4">
        <v>0</v>
      </c>
      <c r="P178" s="4">
        <v>220</v>
      </c>
      <c r="Q178" s="4">
        <v>3</v>
      </c>
      <c r="R178" s="4" t="s">
        <v>48</v>
      </c>
      <c r="S178" s="4" t="s">
        <v>49</v>
      </c>
      <c r="T178" s="4" t="s">
        <v>256</v>
      </c>
      <c r="U178" s="6" t="s">
        <v>921</v>
      </c>
      <c r="V178" s="4" t="s">
        <v>38</v>
      </c>
    </row>
    <row r="179" spans="1:22">
      <c r="A179" s="7" t="s">
        <v>922</v>
      </c>
      <c r="B179" s="8" t="s">
        <v>168</v>
      </c>
      <c r="C179" s="8" t="s">
        <v>118</v>
      </c>
      <c r="D179" s="8" t="s">
        <v>323</v>
      </c>
      <c r="E179" s="8" t="s">
        <v>923</v>
      </c>
      <c r="F179" s="8" t="s">
        <v>361</v>
      </c>
      <c r="G179" s="8" t="s">
        <v>28</v>
      </c>
      <c r="H179" s="8" t="s">
        <v>924</v>
      </c>
      <c r="I179" s="8" t="s">
        <v>44</v>
      </c>
      <c r="J179" s="8" t="s">
        <v>45</v>
      </c>
      <c r="K179" s="8" t="s">
        <v>122</v>
      </c>
      <c r="L179" s="8" t="s">
        <v>123</v>
      </c>
      <c r="M179" s="8">
        <v>12</v>
      </c>
      <c r="N179" s="8">
        <v>60</v>
      </c>
      <c r="O179" s="8">
        <v>0</v>
      </c>
      <c r="P179" s="8">
        <v>720</v>
      </c>
      <c r="Q179" s="8">
        <v>2</v>
      </c>
      <c r="R179" s="8" t="s">
        <v>48</v>
      </c>
      <c r="S179" s="8" t="s">
        <v>49</v>
      </c>
      <c r="T179" s="8" t="s">
        <v>175</v>
      </c>
      <c r="U179" s="9" t="s">
        <v>925</v>
      </c>
      <c r="V179" s="8" t="s">
        <v>38</v>
      </c>
    </row>
    <row r="180" spans="1:22">
      <c r="A180" s="3" t="s">
        <v>926</v>
      </c>
      <c r="B180" s="4" t="s">
        <v>221</v>
      </c>
      <c r="C180" s="4" t="s">
        <v>259</v>
      </c>
      <c r="D180" s="4" t="s">
        <v>927</v>
      </c>
      <c r="E180" s="4" t="s">
        <v>865</v>
      </c>
      <c r="F180" s="4" t="s">
        <v>928</v>
      </c>
      <c r="G180" s="4" t="s">
        <v>76</v>
      </c>
      <c r="H180" s="4" t="s">
        <v>929</v>
      </c>
      <c r="I180" s="4" t="s">
        <v>294</v>
      </c>
      <c r="J180" s="4" t="s">
        <v>295</v>
      </c>
      <c r="K180" s="4" t="s">
        <v>122</v>
      </c>
      <c r="L180" s="4" t="s">
        <v>263</v>
      </c>
      <c r="M180" s="4">
        <v>14</v>
      </c>
      <c r="N180" s="4">
        <v>45</v>
      </c>
      <c r="O180" s="4">
        <v>15</v>
      </c>
      <c r="P180" s="4">
        <v>535.5</v>
      </c>
      <c r="Q180" s="4">
        <v>5</v>
      </c>
      <c r="R180" s="4" t="s">
        <v>88</v>
      </c>
      <c r="S180" s="4" t="s">
        <v>115</v>
      </c>
      <c r="T180" s="4" t="s">
        <v>228</v>
      </c>
      <c r="U180" s="6" t="s">
        <v>930</v>
      </c>
      <c r="V180" s="4" t="s">
        <v>64</v>
      </c>
    </row>
    <row r="181" spans="1:22">
      <c r="A181" s="7" t="s">
        <v>931</v>
      </c>
      <c r="B181" s="8" t="s">
        <v>23</v>
      </c>
      <c r="C181" s="8" t="s">
        <v>184</v>
      </c>
      <c r="D181" s="8" t="s">
        <v>932</v>
      </c>
      <c r="E181" s="8" t="s">
        <v>303</v>
      </c>
      <c r="F181" s="8" t="s">
        <v>27</v>
      </c>
      <c r="G181" s="8" t="s">
        <v>28</v>
      </c>
      <c r="H181" s="8" t="s">
        <v>933</v>
      </c>
      <c r="I181" s="8" t="s">
        <v>30</v>
      </c>
      <c r="J181" s="8" t="s">
        <v>31</v>
      </c>
      <c r="K181" s="8" t="s">
        <v>46</v>
      </c>
      <c r="L181" s="8" t="s">
        <v>189</v>
      </c>
      <c r="M181" s="8">
        <v>15</v>
      </c>
      <c r="N181" s="8">
        <v>700</v>
      </c>
      <c r="O181" s="8">
        <v>10</v>
      </c>
      <c r="P181" s="8">
        <v>9450</v>
      </c>
      <c r="Q181" s="8">
        <v>3</v>
      </c>
      <c r="R181" s="8" t="s">
        <v>48</v>
      </c>
      <c r="S181" s="8" t="s">
        <v>49</v>
      </c>
      <c r="T181" s="8" t="s">
        <v>50</v>
      </c>
      <c r="U181" s="9" t="s">
        <v>934</v>
      </c>
      <c r="V181" s="8" t="s">
        <v>64</v>
      </c>
    </row>
    <row r="182" spans="1:22">
      <c r="A182" s="3" t="s">
        <v>935</v>
      </c>
      <c r="B182" s="4" t="s">
        <v>100</v>
      </c>
      <c r="C182" s="4" t="s">
        <v>169</v>
      </c>
      <c r="D182" s="4" t="s">
        <v>936</v>
      </c>
      <c r="E182" s="4" t="s">
        <v>683</v>
      </c>
      <c r="F182" s="4" t="s">
        <v>103</v>
      </c>
      <c r="G182" s="4" t="s">
        <v>28</v>
      </c>
      <c r="H182" s="4" t="s">
        <v>937</v>
      </c>
      <c r="I182" s="4" t="s">
        <v>138</v>
      </c>
      <c r="J182" s="4" t="s">
        <v>106</v>
      </c>
      <c r="K182" s="4" t="s">
        <v>32</v>
      </c>
      <c r="L182" s="4" t="s">
        <v>174</v>
      </c>
      <c r="M182" s="4">
        <v>19</v>
      </c>
      <c r="N182" s="4">
        <v>8500</v>
      </c>
      <c r="O182" s="4">
        <v>15</v>
      </c>
      <c r="P182" s="4">
        <v>137275</v>
      </c>
      <c r="Q182" s="4">
        <v>2</v>
      </c>
      <c r="R182" s="4" t="s">
        <v>34</v>
      </c>
      <c r="S182" s="4" t="s">
        <v>35</v>
      </c>
      <c r="T182" s="4" t="s">
        <v>144</v>
      </c>
      <c r="U182" s="6" t="s">
        <v>938</v>
      </c>
      <c r="V182" s="4" t="s">
        <v>69</v>
      </c>
    </row>
    <row r="183" spans="1:22">
      <c r="A183" s="7" t="s">
        <v>939</v>
      </c>
      <c r="B183" s="8" t="s">
        <v>251</v>
      </c>
      <c r="C183" s="8" t="s">
        <v>118</v>
      </c>
      <c r="D183" s="8" t="s">
        <v>940</v>
      </c>
      <c r="E183" s="8" t="s">
        <v>941</v>
      </c>
      <c r="F183" s="8" t="s">
        <v>254</v>
      </c>
      <c r="G183" s="8" t="s">
        <v>28</v>
      </c>
      <c r="H183" s="8" t="s">
        <v>911</v>
      </c>
      <c r="I183" s="8" t="s">
        <v>212</v>
      </c>
      <c r="J183" s="8" t="s">
        <v>45</v>
      </c>
      <c r="K183" s="8" t="s">
        <v>122</v>
      </c>
      <c r="L183" s="8" t="s">
        <v>123</v>
      </c>
      <c r="M183" s="8">
        <v>19</v>
      </c>
      <c r="N183" s="8">
        <v>60</v>
      </c>
      <c r="O183" s="8">
        <v>20</v>
      </c>
      <c r="P183" s="8">
        <v>912</v>
      </c>
      <c r="Q183" s="8">
        <v>4</v>
      </c>
      <c r="R183" s="8" t="s">
        <v>79</v>
      </c>
      <c r="S183" s="8" t="s">
        <v>49</v>
      </c>
      <c r="T183" s="8" t="s">
        <v>256</v>
      </c>
      <c r="U183" s="9" t="s">
        <v>942</v>
      </c>
      <c r="V183" s="8" t="s">
        <v>64</v>
      </c>
    </row>
    <row r="184" spans="1:22">
      <c r="A184" s="3" t="s">
        <v>943</v>
      </c>
      <c r="B184" s="4" t="s">
        <v>100</v>
      </c>
      <c r="C184" s="4" t="s">
        <v>259</v>
      </c>
      <c r="D184" s="4" t="s">
        <v>944</v>
      </c>
      <c r="E184" s="4" t="s">
        <v>936</v>
      </c>
      <c r="F184" s="4" t="s">
        <v>103</v>
      </c>
      <c r="G184" s="4" t="s">
        <v>28</v>
      </c>
      <c r="H184" s="4" t="s">
        <v>945</v>
      </c>
      <c r="I184" s="4" t="s">
        <v>59</v>
      </c>
      <c r="J184" s="4" t="s">
        <v>31</v>
      </c>
      <c r="K184" s="4" t="s">
        <v>122</v>
      </c>
      <c r="L184" s="4" t="s">
        <v>263</v>
      </c>
      <c r="M184" s="4">
        <v>10</v>
      </c>
      <c r="N184" s="4">
        <v>45</v>
      </c>
      <c r="O184" s="4">
        <v>15</v>
      </c>
      <c r="P184" s="4">
        <v>382.5</v>
      </c>
      <c r="Q184" s="4">
        <v>4</v>
      </c>
      <c r="R184" s="4" t="s">
        <v>34</v>
      </c>
      <c r="S184" s="4" t="s">
        <v>151</v>
      </c>
      <c r="T184" s="4" t="s">
        <v>144</v>
      </c>
      <c r="U184" s="6" t="s">
        <v>946</v>
      </c>
      <c r="V184" s="4" t="s">
        <v>38</v>
      </c>
    </row>
    <row r="185" spans="1:22">
      <c r="A185" s="7" t="s">
        <v>947</v>
      </c>
      <c r="B185" s="8" t="s">
        <v>71</v>
      </c>
      <c r="C185" s="8" t="s">
        <v>24</v>
      </c>
      <c r="D185" s="8" t="s">
        <v>948</v>
      </c>
      <c r="E185" s="8" t="s">
        <v>949</v>
      </c>
      <c r="F185" s="8" t="s">
        <v>217</v>
      </c>
      <c r="G185" s="8" t="s">
        <v>76</v>
      </c>
      <c r="H185" s="8" t="s">
        <v>950</v>
      </c>
      <c r="I185" s="8" t="s">
        <v>44</v>
      </c>
      <c r="J185" s="8" t="s">
        <v>45</v>
      </c>
      <c r="K185" s="8" t="s">
        <v>32</v>
      </c>
      <c r="L185" s="8" t="s">
        <v>33</v>
      </c>
      <c r="M185" s="8">
        <v>7</v>
      </c>
      <c r="N185" s="8">
        <v>2200</v>
      </c>
      <c r="O185" s="8">
        <v>20</v>
      </c>
      <c r="P185" s="8">
        <v>12320</v>
      </c>
      <c r="Q185" s="8">
        <v>5</v>
      </c>
      <c r="R185" s="8" t="s">
        <v>88</v>
      </c>
      <c r="S185" s="8" t="s">
        <v>49</v>
      </c>
      <c r="T185" s="8" t="s">
        <v>80</v>
      </c>
      <c r="U185" s="9" t="s">
        <v>951</v>
      </c>
      <c r="V185" s="8" t="s">
        <v>64</v>
      </c>
    </row>
    <row r="186" spans="1:22">
      <c r="A186" s="3" t="s">
        <v>952</v>
      </c>
      <c r="B186" s="4" t="s">
        <v>100</v>
      </c>
      <c r="C186" s="4" t="s">
        <v>169</v>
      </c>
      <c r="D186" s="4" t="s">
        <v>953</v>
      </c>
      <c r="E186" s="4" t="s">
        <v>42</v>
      </c>
      <c r="F186" s="4" t="s">
        <v>103</v>
      </c>
      <c r="G186" s="4" t="s">
        <v>28</v>
      </c>
      <c r="H186" s="4" t="s">
        <v>954</v>
      </c>
      <c r="I186" s="4" t="s">
        <v>294</v>
      </c>
      <c r="J186" s="4" t="s">
        <v>295</v>
      </c>
      <c r="K186" s="4" t="s">
        <v>32</v>
      </c>
      <c r="L186" s="4" t="s">
        <v>174</v>
      </c>
      <c r="M186" s="4">
        <v>20</v>
      </c>
      <c r="N186" s="4">
        <v>8500</v>
      </c>
      <c r="O186" s="4">
        <v>20</v>
      </c>
      <c r="P186" s="4">
        <v>136000</v>
      </c>
      <c r="Q186" s="4">
        <v>4</v>
      </c>
      <c r="R186" s="4" t="s">
        <v>48</v>
      </c>
      <c r="S186" s="4" t="s">
        <v>35</v>
      </c>
      <c r="T186" s="4" t="s">
        <v>144</v>
      </c>
      <c r="U186" s="6" t="s">
        <v>955</v>
      </c>
      <c r="V186" s="4" t="s">
        <v>38</v>
      </c>
    </row>
    <row r="187" spans="1:22">
      <c r="A187" s="7" t="s">
        <v>956</v>
      </c>
      <c r="B187" s="8" t="s">
        <v>251</v>
      </c>
      <c r="C187" s="8" t="s">
        <v>24</v>
      </c>
      <c r="D187" s="8" t="s">
        <v>770</v>
      </c>
      <c r="E187" s="8" t="s">
        <v>957</v>
      </c>
      <c r="F187" s="8" t="s">
        <v>254</v>
      </c>
      <c r="G187" s="8" t="s">
        <v>28</v>
      </c>
      <c r="H187" s="8" t="s">
        <v>958</v>
      </c>
      <c r="I187" s="8" t="s">
        <v>30</v>
      </c>
      <c r="J187" s="8" t="s">
        <v>31</v>
      </c>
      <c r="K187" s="8" t="s">
        <v>32</v>
      </c>
      <c r="L187" s="8" t="s">
        <v>33</v>
      </c>
      <c r="M187" s="8">
        <v>10</v>
      </c>
      <c r="N187" s="8">
        <v>2200</v>
      </c>
      <c r="O187" s="8">
        <v>5</v>
      </c>
      <c r="P187" s="8">
        <v>20900</v>
      </c>
      <c r="Q187" s="8">
        <v>2</v>
      </c>
      <c r="R187" s="8" t="s">
        <v>48</v>
      </c>
      <c r="S187" s="8" t="s">
        <v>49</v>
      </c>
      <c r="T187" s="8" t="s">
        <v>256</v>
      </c>
      <c r="U187" s="9" t="s">
        <v>959</v>
      </c>
      <c r="V187" s="8" t="s">
        <v>38</v>
      </c>
    </row>
    <row r="188" spans="1:22">
      <c r="A188" s="3" t="s">
        <v>960</v>
      </c>
      <c r="B188" s="4" t="s">
        <v>127</v>
      </c>
      <c r="C188" s="4" t="s">
        <v>118</v>
      </c>
      <c r="D188" s="4" t="s">
        <v>692</v>
      </c>
      <c r="E188" s="4" t="s">
        <v>961</v>
      </c>
      <c r="F188" s="4" t="s">
        <v>200</v>
      </c>
      <c r="G188" s="4" t="s">
        <v>76</v>
      </c>
      <c r="H188" s="4" t="s">
        <v>962</v>
      </c>
      <c r="I188" s="4" t="s">
        <v>114</v>
      </c>
      <c r="J188" s="4" t="s">
        <v>106</v>
      </c>
      <c r="K188" s="4" t="s">
        <v>122</v>
      </c>
      <c r="L188" s="4" t="s">
        <v>123</v>
      </c>
      <c r="M188" s="4">
        <v>15</v>
      </c>
      <c r="N188" s="4">
        <v>60</v>
      </c>
      <c r="O188" s="4">
        <v>20</v>
      </c>
      <c r="P188" s="4">
        <v>720</v>
      </c>
      <c r="Q188" s="4">
        <v>1</v>
      </c>
      <c r="R188" s="4" t="s">
        <v>79</v>
      </c>
      <c r="S188" s="4" t="s">
        <v>35</v>
      </c>
      <c r="T188" s="4" t="s">
        <v>132</v>
      </c>
      <c r="U188" s="6" t="s">
        <v>963</v>
      </c>
      <c r="V188" s="4" t="s">
        <v>38</v>
      </c>
    </row>
    <row r="189" spans="1:22">
      <c r="A189" s="7" t="s">
        <v>964</v>
      </c>
      <c r="B189" s="8" t="s">
        <v>221</v>
      </c>
      <c r="C189" s="8" t="s">
        <v>92</v>
      </c>
      <c r="D189" s="8" t="s">
        <v>231</v>
      </c>
      <c r="E189" s="8" t="s">
        <v>965</v>
      </c>
      <c r="F189" s="8" t="s">
        <v>225</v>
      </c>
      <c r="G189" s="8" t="s">
        <v>76</v>
      </c>
      <c r="H189" s="8" t="s">
        <v>966</v>
      </c>
      <c r="I189" s="8" t="s">
        <v>30</v>
      </c>
      <c r="J189" s="8" t="s">
        <v>31</v>
      </c>
      <c r="K189" s="8" t="s">
        <v>32</v>
      </c>
      <c r="L189" s="8" t="s">
        <v>97</v>
      </c>
      <c r="M189" s="8">
        <v>18</v>
      </c>
      <c r="N189" s="8">
        <v>3500</v>
      </c>
      <c r="O189" s="8">
        <v>5</v>
      </c>
      <c r="P189" s="8">
        <v>59850</v>
      </c>
      <c r="Q189" s="8">
        <v>1</v>
      </c>
      <c r="R189" s="8" t="s">
        <v>79</v>
      </c>
      <c r="S189" s="8" t="s">
        <v>49</v>
      </c>
      <c r="T189" s="8" t="s">
        <v>228</v>
      </c>
      <c r="U189" s="9" t="s">
        <v>967</v>
      </c>
      <c r="V189" s="8" t="s">
        <v>69</v>
      </c>
    </row>
    <row r="190" spans="1:22">
      <c r="A190" s="3" t="s">
        <v>968</v>
      </c>
      <c r="B190" s="4" t="s">
        <v>327</v>
      </c>
      <c r="C190" s="4" t="s">
        <v>40</v>
      </c>
      <c r="D190" s="4" t="s">
        <v>969</v>
      </c>
      <c r="E190" s="4" t="s">
        <v>970</v>
      </c>
      <c r="F190" s="4" t="s">
        <v>394</v>
      </c>
      <c r="G190" s="4" t="s">
        <v>76</v>
      </c>
      <c r="H190" s="4" t="s">
        <v>971</v>
      </c>
      <c r="I190" s="4" t="s">
        <v>114</v>
      </c>
      <c r="J190" s="4" t="s">
        <v>106</v>
      </c>
      <c r="K190" s="4" t="s">
        <v>46</v>
      </c>
      <c r="L190" s="4" t="s">
        <v>47</v>
      </c>
      <c r="M190" s="4">
        <v>6</v>
      </c>
      <c r="N190" s="4">
        <v>12000</v>
      </c>
      <c r="O190" s="4">
        <v>5</v>
      </c>
      <c r="P190" s="4">
        <v>68400</v>
      </c>
      <c r="Q190" s="4">
        <v>1</v>
      </c>
      <c r="R190" s="4" t="s">
        <v>48</v>
      </c>
      <c r="S190" s="4" t="s">
        <v>49</v>
      </c>
      <c r="T190" s="4" t="s">
        <v>332</v>
      </c>
      <c r="U190" s="6" t="s">
        <v>972</v>
      </c>
      <c r="V190" s="4" t="s">
        <v>69</v>
      </c>
    </row>
    <row r="191" spans="1:22">
      <c r="A191" s="7" t="s">
        <v>973</v>
      </c>
      <c r="B191" s="8" t="s">
        <v>327</v>
      </c>
      <c r="C191" s="8" t="s">
        <v>222</v>
      </c>
      <c r="D191" s="8" t="s">
        <v>323</v>
      </c>
      <c r="E191" s="8" t="s">
        <v>479</v>
      </c>
      <c r="F191" s="8" t="s">
        <v>394</v>
      </c>
      <c r="G191" s="8" t="s">
        <v>76</v>
      </c>
      <c r="H191" s="8" t="s">
        <v>974</v>
      </c>
      <c r="I191" s="8" t="s">
        <v>59</v>
      </c>
      <c r="J191" s="8" t="s">
        <v>31</v>
      </c>
      <c r="K191" s="8" t="s">
        <v>122</v>
      </c>
      <c r="L191" s="8" t="s">
        <v>227</v>
      </c>
      <c r="M191" s="8">
        <v>19</v>
      </c>
      <c r="N191" s="8">
        <v>20</v>
      </c>
      <c r="O191" s="8">
        <v>10</v>
      </c>
      <c r="P191" s="8">
        <v>342</v>
      </c>
      <c r="Q191" s="8">
        <v>2</v>
      </c>
      <c r="R191" s="8" t="s">
        <v>48</v>
      </c>
      <c r="S191" s="8" t="s">
        <v>35</v>
      </c>
      <c r="T191" s="8" t="s">
        <v>332</v>
      </c>
      <c r="U191" s="9" t="s">
        <v>975</v>
      </c>
      <c r="V191" s="8" t="s">
        <v>64</v>
      </c>
    </row>
    <row r="192" spans="1:22">
      <c r="A192" s="3" t="s">
        <v>976</v>
      </c>
      <c r="B192" s="4" t="s">
        <v>221</v>
      </c>
      <c r="C192" s="4" t="s">
        <v>24</v>
      </c>
      <c r="D192" s="4" t="s">
        <v>426</v>
      </c>
      <c r="E192" s="4" t="s">
        <v>427</v>
      </c>
      <c r="F192" s="4" t="s">
        <v>225</v>
      </c>
      <c r="G192" s="4" t="s">
        <v>76</v>
      </c>
      <c r="H192" s="4" t="s">
        <v>977</v>
      </c>
      <c r="I192" s="4" t="s">
        <v>114</v>
      </c>
      <c r="J192" s="4" t="s">
        <v>106</v>
      </c>
      <c r="K192" s="4" t="s">
        <v>32</v>
      </c>
      <c r="L192" s="4" t="s">
        <v>33</v>
      </c>
      <c r="M192" s="4">
        <v>7</v>
      </c>
      <c r="N192" s="4">
        <v>2200</v>
      </c>
      <c r="O192" s="4">
        <v>0</v>
      </c>
      <c r="P192" s="4">
        <v>15400</v>
      </c>
      <c r="Q192" s="4">
        <v>1</v>
      </c>
      <c r="R192" s="4" t="s">
        <v>79</v>
      </c>
      <c r="S192" s="4" t="s">
        <v>115</v>
      </c>
      <c r="T192" s="4" t="s">
        <v>228</v>
      </c>
      <c r="U192" s="6" t="s">
        <v>978</v>
      </c>
      <c r="V192" s="4" t="s">
        <v>69</v>
      </c>
    </row>
    <row r="193" spans="1:22">
      <c r="A193" s="7" t="s">
        <v>979</v>
      </c>
      <c r="B193" s="8" t="s">
        <v>327</v>
      </c>
      <c r="C193" s="8" t="s">
        <v>40</v>
      </c>
      <c r="D193" s="8" t="s">
        <v>503</v>
      </c>
      <c r="E193" s="8" t="s">
        <v>980</v>
      </c>
      <c r="F193" s="8" t="s">
        <v>394</v>
      </c>
      <c r="G193" s="8" t="s">
        <v>76</v>
      </c>
      <c r="H193" s="8" t="s">
        <v>981</v>
      </c>
      <c r="I193" s="8" t="s">
        <v>212</v>
      </c>
      <c r="J193" s="8" t="s">
        <v>45</v>
      </c>
      <c r="K193" s="8" t="s">
        <v>46</v>
      </c>
      <c r="L193" s="8" t="s">
        <v>47</v>
      </c>
      <c r="M193" s="8">
        <v>3</v>
      </c>
      <c r="N193" s="8">
        <v>12000</v>
      </c>
      <c r="O193" s="8">
        <v>5</v>
      </c>
      <c r="P193" s="8">
        <v>34200</v>
      </c>
      <c r="Q193" s="8">
        <v>3</v>
      </c>
      <c r="R193" s="8" t="s">
        <v>79</v>
      </c>
      <c r="S193" s="8" t="s">
        <v>61</v>
      </c>
      <c r="T193" s="8" t="s">
        <v>332</v>
      </c>
      <c r="U193" s="9" t="s">
        <v>982</v>
      </c>
      <c r="V193" s="8" t="s">
        <v>69</v>
      </c>
    </row>
    <row r="194" spans="1:22">
      <c r="A194" s="3" t="s">
        <v>983</v>
      </c>
      <c r="B194" s="4" t="s">
        <v>168</v>
      </c>
      <c r="C194" s="4" t="s">
        <v>24</v>
      </c>
      <c r="D194" s="4" t="s">
        <v>341</v>
      </c>
      <c r="E194" s="4" t="s">
        <v>864</v>
      </c>
      <c r="F194" s="4" t="s">
        <v>361</v>
      </c>
      <c r="G194" s="4" t="s">
        <v>28</v>
      </c>
      <c r="H194" s="4" t="s">
        <v>984</v>
      </c>
      <c r="I194" s="4" t="s">
        <v>212</v>
      </c>
      <c r="J194" s="4" t="s">
        <v>45</v>
      </c>
      <c r="K194" s="4" t="s">
        <v>32</v>
      </c>
      <c r="L194" s="4" t="s">
        <v>33</v>
      </c>
      <c r="M194" s="4">
        <v>16</v>
      </c>
      <c r="N194" s="4">
        <v>2200</v>
      </c>
      <c r="O194" s="4">
        <v>0</v>
      </c>
      <c r="P194" s="4">
        <v>35200</v>
      </c>
      <c r="Q194" s="4">
        <v>5</v>
      </c>
      <c r="R194" s="4" t="s">
        <v>79</v>
      </c>
      <c r="S194" s="4" t="s">
        <v>35</v>
      </c>
      <c r="T194" s="4" t="s">
        <v>175</v>
      </c>
      <c r="U194" s="6" t="s">
        <v>985</v>
      </c>
      <c r="V194" s="4" t="s">
        <v>64</v>
      </c>
    </row>
    <row r="195" spans="1:22">
      <c r="A195" s="7" t="s">
        <v>986</v>
      </c>
      <c r="B195" s="8" t="s">
        <v>251</v>
      </c>
      <c r="C195" s="8" t="s">
        <v>24</v>
      </c>
      <c r="D195" s="8" t="s">
        <v>987</v>
      </c>
      <c r="E195" s="8" t="s">
        <v>988</v>
      </c>
      <c r="F195" s="8" t="s">
        <v>254</v>
      </c>
      <c r="G195" s="8" t="s">
        <v>28</v>
      </c>
      <c r="H195" s="8" t="s">
        <v>989</v>
      </c>
      <c r="I195" s="8" t="s">
        <v>44</v>
      </c>
      <c r="J195" s="8" t="s">
        <v>45</v>
      </c>
      <c r="K195" s="8" t="s">
        <v>32</v>
      </c>
      <c r="L195" s="8" t="s">
        <v>33</v>
      </c>
      <c r="M195" s="8">
        <v>8</v>
      </c>
      <c r="N195" s="8">
        <v>2200</v>
      </c>
      <c r="O195" s="8">
        <v>5</v>
      </c>
      <c r="P195" s="8">
        <v>16720</v>
      </c>
      <c r="Q195" s="8">
        <v>2</v>
      </c>
      <c r="R195" s="8" t="s">
        <v>88</v>
      </c>
      <c r="S195" s="8" t="s">
        <v>151</v>
      </c>
      <c r="T195" s="8" t="s">
        <v>256</v>
      </c>
      <c r="U195" s="9" t="s">
        <v>990</v>
      </c>
      <c r="V195" s="8" t="s">
        <v>38</v>
      </c>
    </row>
    <row r="196" spans="1:22">
      <c r="A196" s="3" t="s">
        <v>991</v>
      </c>
      <c r="B196" s="4" t="s">
        <v>251</v>
      </c>
      <c r="C196" s="4" t="s">
        <v>24</v>
      </c>
      <c r="D196" s="4" t="s">
        <v>610</v>
      </c>
      <c r="E196" s="4" t="s">
        <v>454</v>
      </c>
      <c r="F196" s="4" t="s">
        <v>254</v>
      </c>
      <c r="G196" s="4" t="s">
        <v>28</v>
      </c>
      <c r="H196" s="4" t="s">
        <v>992</v>
      </c>
      <c r="I196" s="4" t="s">
        <v>138</v>
      </c>
      <c r="J196" s="4" t="s">
        <v>106</v>
      </c>
      <c r="K196" s="4" t="s">
        <v>32</v>
      </c>
      <c r="L196" s="4" t="s">
        <v>33</v>
      </c>
      <c r="M196" s="4">
        <v>10</v>
      </c>
      <c r="N196" s="4">
        <v>2200</v>
      </c>
      <c r="O196" s="4">
        <v>10</v>
      </c>
      <c r="P196" s="4">
        <v>19800</v>
      </c>
      <c r="Q196" s="4">
        <v>5</v>
      </c>
      <c r="R196" s="4" t="s">
        <v>48</v>
      </c>
      <c r="S196" s="4" t="s">
        <v>115</v>
      </c>
      <c r="T196" s="4" t="s">
        <v>256</v>
      </c>
      <c r="U196" s="6" t="s">
        <v>993</v>
      </c>
      <c r="V196" s="4" t="s">
        <v>64</v>
      </c>
    </row>
    <row r="197" spans="1:22">
      <c r="A197" s="7" t="s">
        <v>994</v>
      </c>
      <c r="B197" s="8" t="s">
        <v>83</v>
      </c>
      <c r="C197" s="8" t="s">
        <v>222</v>
      </c>
      <c r="D197" s="8" t="s">
        <v>336</v>
      </c>
      <c r="E197" s="8" t="s">
        <v>596</v>
      </c>
      <c r="F197" s="8" t="s">
        <v>180</v>
      </c>
      <c r="G197" s="8" t="s">
        <v>76</v>
      </c>
      <c r="H197" s="8" t="s">
        <v>995</v>
      </c>
      <c r="I197" s="8" t="s">
        <v>44</v>
      </c>
      <c r="J197" s="8" t="s">
        <v>45</v>
      </c>
      <c r="K197" s="8" t="s">
        <v>122</v>
      </c>
      <c r="L197" s="8" t="s">
        <v>227</v>
      </c>
      <c r="M197" s="8">
        <v>7</v>
      </c>
      <c r="N197" s="8">
        <v>20</v>
      </c>
      <c r="O197" s="8">
        <v>10</v>
      </c>
      <c r="P197" s="8">
        <v>126</v>
      </c>
      <c r="Q197" s="8">
        <v>4</v>
      </c>
      <c r="R197" s="8" t="s">
        <v>79</v>
      </c>
      <c r="S197" s="8" t="s">
        <v>61</v>
      </c>
      <c r="T197" s="8" t="s">
        <v>89</v>
      </c>
      <c r="U197" s="9" t="s">
        <v>996</v>
      </c>
      <c r="V197" s="8" t="s">
        <v>38</v>
      </c>
    </row>
    <row r="198" spans="1:22">
      <c r="A198" s="3" t="s">
        <v>997</v>
      </c>
      <c r="B198" s="4" t="s">
        <v>221</v>
      </c>
      <c r="C198" s="4" t="s">
        <v>169</v>
      </c>
      <c r="D198" s="4" t="s">
        <v>252</v>
      </c>
      <c r="E198" s="4" t="s">
        <v>998</v>
      </c>
      <c r="F198" s="4" t="s">
        <v>225</v>
      </c>
      <c r="G198" s="4" t="s">
        <v>76</v>
      </c>
      <c r="H198" s="4" t="s">
        <v>999</v>
      </c>
      <c r="I198" s="4" t="s">
        <v>30</v>
      </c>
      <c r="J198" s="4" t="s">
        <v>31</v>
      </c>
      <c r="K198" s="4" t="s">
        <v>32</v>
      </c>
      <c r="L198" s="4" t="s">
        <v>174</v>
      </c>
      <c r="M198" s="4">
        <v>19</v>
      </c>
      <c r="N198" s="4">
        <v>8500</v>
      </c>
      <c r="O198" s="4">
        <v>20</v>
      </c>
      <c r="P198" s="4">
        <v>129200</v>
      </c>
      <c r="Q198" s="4">
        <v>3</v>
      </c>
      <c r="R198" s="4" t="s">
        <v>48</v>
      </c>
      <c r="S198" s="4" t="s">
        <v>61</v>
      </c>
      <c r="T198" s="4" t="s">
        <v>228</v>
      </c>
      <c r="U198" s="6" t="s">
        <v>1000</v>
      </c>
      <c r="V198" s="4" t="s">
        <v>64</v>
      </c>
    </row>
    <row r="199" spans="1:22">
      <c r="A199" s="7" t="s">
        <v>1001</v>
      </c>
      <c r="B199" s="8" t="s">
        <v>100</v>
      </c>
      <c r="C199" s="8" t="s">
        <v>118</v>
      </c>
      <c r="D199" s="8" t="s">
        <v>431</v>
      </c>
      <c r="E199" s="8" t="s">
        <v>414</v>
      </c>
      <c r="F199" s="8" t="s">
        <v>103</v>
      </c>
      <c r="G199" s="8" t="s">
        <v>28</v>
      </c>
      <c r="H199" s="8" t="s">
        <v>1002</v>
      </c>
      <c r="I199" s="8" t="s">
        <v>114</v>
      </c>
      <c r="J199" s="8" t="s">
        <v>106</v>
      </c>
      <c r="K199" s="8" t="s">
        <v>122</v>
      </c>
      <c r="L199" s="8" t="s">
        <v>123</v>
      </c>
      <c r="M199" s="8">
        <v>16</v>
      </c>
      <c r="N199" s="8">
        <v>60</v>
      </c>
      <c r="O199" s="8">
        <v>0</v>
      </c>
      <c r="P199" s="8">
        <v>960</v>
      </c>
      <c r="Q199" s="8">
        <v>2</v>
      </c>
      <c r="R199" s="8" t="s">
        <v>48</v>
      </c>
      <c r="S199" s="8" t="s">
        <v>115</v>
      </c>
      <c r="T199" s="8" t="s">
        <v>144</v>
      </c>
      <c r="U199" s="9" t="s">
        <v>1003</v>
      </c>
      <c r="V199" s="8" t="s">
        <v>38</v>
      </c>
    </row>
    <row r="200" spans="1:22">
      <c r="A200" s="3" t="s">
        <v>1004</v>
      </c>
      <c r="B200" s="4" t="s">
        <v>221</v>
      </c>
      <c r="C200" s="4" t="s">
        <v>92</v>
      </c>
      <c r="D200" s="4" t="s">
        <v>1005</v>
      </c>
      <c r="E200" s="4" t="s">
        <v>731</v>
      </c>
      <c r="F200" s="4" t="s">
        <v>225</v>
      </c>
      <c r="G200" s="4" t="s">
        <v>76</v>
      </c>
      <c r="H200" s="4" t="s">
        <v>1006</v>
      </c>
      <c r="I200" s="4" t="s">
        <v>59</v>
      </c>
      <c r="J200" s="4" t="s">
        <v>31</v>
      </c>
      <c r="K200" s="4" t="s">
        <v>1007</v>
      </c>
      <c r="L200" s="4" t="s">
        <v>97</v>
      </c>
      <c r="M200" s="4">
        <v>18</v>
      </c>
      <c r="N200" s="4">
        <v>3500</v>
      </c>
      <c r="O200" s="4">
        <v>5</v>
      </c>
      <c r="P200" s="4">
        <v>59850</v>
      </c>
      <c r="Q200" s="4">
        <v>1</v>
      </c>
      <c r="R200" s="4" t="s">
        <v>88</v>
      </c>
      <c r="S200" s="4" t="s">
        <v>115</v>
      </c>
      <c r="T200" s="4" t="s">
        <v>228</v>
      </c>
      <c r="U200" s="6" t="s">
        <v>1008</v>
      </c>
      <c r="V200" s="4" t="s">
        <v>64</v>
      </c>
    </row>
    <row r="201" spans="1:22">
      <c r="A201" s="7" t="s">
        <v>1009</v>
      </c>
      <c r="B201" s="8" t="s">
        <v>100</v>
      </c>
      <c r="C201" s="8" t="s">
        <v>54</v>
      </c>
      <c r="D201" s="8" t="s">
        <v>1010</v>
      </c>
      <c r="E201" s="8" t="s">
        <v>431</v>
      </c>
      <c r="F201" s="8" t="s">
        <v>103</v>
      </c>
      <c r="G201" s="8" t="s">
        <v>28</v>
      </c>
      <c r="H201" s="8" t="s">
        <v>1011</v>
      </c>
      <c r="I201" s="8" t="s">
        <v>212</v>
      </c>
      <c r="J201" s="8" t="s">
        <v>45</v>
      </c>
      <c r="K201" s="8" t="s">
        <v>46</v>
      </c>
      <c r="L201" s="8" t="s">
        <v>60</v>
      </c>
      <c r="M201" s="8">
        <v>16</v>
      </c>
      <c r="N201" s="8">
        <v>55000</v>
      </c>
      <c r="O201" s="8">
        <v>0</v>
      </c>
      <c r="P201" s="8">
        <v>880000</v>
      </c>
      <c r="Q201" s="8">
        <v>1</v>
      </c>
      <c r="R201" s="8" t="s">
        <v>79</v>
      </c>
      <c r="S201" s="8" t="s">
        <v>61</v>
      </c>
      <c r="T201" s="8" t="s">
        <v>144</v>
      </c>
      <c r="U201" s="9" t="s">
        <v>1012</v>
      </c>
      <c r="V201" s="8" t="s">
        <v>69</v>
      </c>
    </row>
    <row r="202" spans="1:22">
      <c r="A202" s="3" t="s">
        <v>1013</v>
      </c>
      <c r="B202" s="4" t="s">
        <v>221</v>
      </c>
      <c r="C202" s="4" t="s">
        <v>72</v>
      </c>
      <c r="D202" s="4" t="s">
        <v>900</v>
      </c>
      <c r="E202" s="4" t="s">
        <v>435</v>
      </c>
      <c r="F202" s="4" t="s">
        <v>225</v>
      </c>
      <c r="G202" s="4" t="s">
        <v>76</v>
      </c>
      <c r="H202" s="4" t="s">
        <v>1014</v>
      </c>
      <c r="I202" s="4" t="s">
        <v>138</v>
      </c>
      <c r="J202" s="4" t="s">
        <v>106</v>
      </c>
      <c r="K202" s="4" t="s">
        <v>46</v>
      </c>
      <c r="L202" s="4" t="s">
        <v>78</v>
      </c>
      <c r="M202" s="4">
        <v>18</v>
      </c>
      <c r="N202" s="4">
        <v>1200</v>
      </c>
      <c r="O202" s="4">
        <v>15</v>
      </c>
      <c r="P202" s="4">
        <v>18360</v>
      </c>
      <c r="Q202" s="4">
        <v>2</v>
      </c>
      <c r="R202" s="4" t="s">
        <v>48</v>
      </c>
      <c r="S202" s="4" t="s">
        <v>35</v>
      </c>
      <c r="T202" s="4" t="s">
        <v>228</v>
      </c>
      <c r="U202" s="6" t="s">
        <v>1015</v>
      </c>
      <c r="V202" s="4" t="s">
        <v>69</v>
      </c>
    </row>
    <row r="203" spans="1:22">
      <c r="A203" s="7" t="s">
        <v>1016</v>
      </c>
      <c r="B203" s="8" t="s">
        <v>71</v>
      </c>
      <c r="C203" s="8" t="s">
        <v>259</v>
      </c>
      <c r="D203" s="8" t="s">
        <v>1017</v>
      </c>
      <c r="E203" s="8" t="s">
        <v>1018</v>
      </c>
      <c r="F203" s="8" t="s">
        <v>217</v>
      </c>
      <c r="G203" s="8" t="s">
        <v>76</v>
      </c>
      <c r="H203" s="8" t="s">
        <v>1019</v>
      </c>
      <c r="I203" s="8" t="s">
        <v>30</v>
      </c>
      <c r="J203" s="8" t="s">
        <v>31</v>
      </c>
      <c r="K203" s="8" t="s">
        <v>122</v>
      </c>
      <c r="L203" s="8" t="s">
        <v>263</v>
      </c>
      <c r="M203" s="8">
        <v>2</v>
      </c>
      <c r="N203" s="8">
        <v>45</v>
      </c>
      <c r="O203" s="8">
        <v>15</v>
      </c>
      <c r="P203" s="8">
        <v>76.5</v>
      </c>
      <c r="Q203" s="8">
        <v>5</v>
      </c>
      <c r="R203" s="8" t="s">
        <v>34</v>
      </c>
      <c r="S203" s="8" t="s">
        <v>61</v>
      </c>
      <c r="T203" s="8" t="s">
        <v>80</v>
      </c>
      <c r="U203" s="9" t="s">
        <v>1020</v>
      </c>
      <c r="V203" s="8" t="s">
        <v>69</v>
      </c>
    </row>
    <row r="204" spans="1:22">
      <c r="A204" s="3" t="s">
        <v>1021</v>
      </c>
      <c r="B204" s="4" t="s">
        <v>53</v>
      </c>
      <c r="C204" s="4" t="s">
        <v>169</v>
      </c>
      <c r="D204" s="4" t="s">
        <v>712</v>
      </c>
      <c r="E204" s="4" t="s">
        <v>85</v>
      </c>
      <c r="F204" s="4" t="s">
        <v>163</v>
      </c>
      <c r="G204" s="4" t="s">
        <v>28</v>
      </c>
      <c r="H204" s="4" t="s">
        <v>1022</v>
      </c>
      <c r="I204" s="4" t="s">
        <v>59</v>
      </c>
      <c r="J204" s="4" t="s">
        <v>31</v>
      </c>
      <c r="K204" s="4" t="s">
        <v>32</v>
      </c>
      <c r="L204" s="4" t="s">
        <v>174</v>
      </c>
      <c r="M204" s="4">
        <v>20</v>
      </c>
      <c r="N204" s="4">
        <v>8500</v>
      </c>
      <c r="O204" s="4">
        <v>0</v>
      </c>
      <c r="P204" s="4">
        <v>170000</v>
      </c>
      <c r="Q204" s="4">
        <v>4</v>
      </c>
      <c r="R204" s="4" t="s">
        <v>48</v>
      </c>
      <c r="S204" s="4" t="s">
        <v>61</v>
      </c>
      <c r="T204" s="4" t="s">
        <v>62</v>
      </c>
      <c r="U204" s="6" t="s">
        <v>1023</v>
      </c>
      <c r="V204" s="4" t="s">
        <v>69</v>
      </c>
    </row>
    <row r="205" spans="1:22">
      <c r="A205" s="7" t="s">
        <v>1024</v>
      </c>
      <c r="B205" s="8" t="s">
        <v>127</v>
      </c>
      <c r="C205" s="8" t="s">
        <v>92</v>
      </c>
      <c r="D205" s="8" t="s">
        <v>298</v>
      </c>
      <c r="E205" s="8" t="s">
        <v>1025</v>
      </c>
      <c r="F205" s="8" t="s">
        <v>200</v>
      </c>
      <c r="G205" s="8" t="s">
        <v>76</v>
      </c>
      <c r="H205" s="8" t="s">
        <v>494</v>
      </c>
      <c r="I205" s="8" t="s">
        <v>212</v>
      </c>
      <c r="J205" s="8" t="s">
        <v>45</v>
      </c>
      <c r="K205" s="8" t="s">
        <v>32</v>
      </c>
      <c r="L205" s="8" t="s">
        <v>97</v>
      </c>
      <c r="M205" s="8">
        <v>6</v>
      </c>
      <c r="N205" s="8">
        <v>3500</v>
      </c>
      <c r="O205" s="8">
        <v>5</v>
      </c>
      <c r="P205" s="8">
        <v>19950</v>
      </c>
      <c r="Q205" s="8">
        <v>1</v>
      </c>
      <c r="R205" s="8" t="s">
        <v>34</v>
      </c>
      <c r="S205" s="8" t="s">
        <v>151</v>
      </c>
      <c r="T205" s="8" t="s">
        <v>132</v>
      </c>
      <c r="U205" s="9" t="s">
        <v>1026</v>
      </c>
      <c r="V205" s="8" t="s">
        <v>38</v>
      </c>
    </row>
    <row r="206" spans="1:22">
      <c r="A206" s="3" t="s">
        <v>1027</v>
      </c>
      <c r="B206" s="4" t="s">
        <v>168</v>
      </c>
      <c r="C206" s="4" t="s">
        <v>259</v>
      </c>
      <c r="D206" s="4" t="s">
        <v>308</v>
      </c>
      <c r="E206" s="4" t="s">
        <v>281</v>
      </c>
      <c r="F206" s="4" t="s">
        <v>361</v>
      </c>
      <c r="G206" s="4" t="s">
        <v>28</v>
      </c>
      <c r="H206" s="4" t="s">
        <v>1028</v>
      </c>
      <c r="I206" s="4" t="s">
        <v>114</v>
      </c>
      <c r="J206" s="4" t="s">
        <v>106</v>
      </c>
      <c r="K206" s="4" t="s">
        <v>122</v>
      </c>
      <c r="L206" s="4" t="s">
        <v>263</v>
      </c>
      <c r="M206" s="4">
        <v>8</v>
      </c>
      <c r="N206" s="4">
        <v>45</v>
      </c>
      <c r="O206" s="4">
        <v>5</v>
      </c>
      <c r="P206" s="4">
        <v>342</v>
      </c>
      <c r="Q206" s="4">
        <v>2</v>
      </c>
      <c r="R206" s="4" t="s">
        <v>34</v>
      </c>
      <c r="S206" s="4" t="s">
        <v>49</v>
      </c>
      <c r="T206" s="4" t="s">
        <v>175</v>
      </c>
      <c r="U206" s="6" t="s">
        <v>1029</v>
      </c>
      <c r="V206" s="4" t="s">
        <v>64</v>
      </c>
    </row>
    <row r="207" spans="1:22">
      <c r="A207" s="7" t="s">
        <v>1030</v>
      </c>
      <c r="B207" s="8" t="s">
        <v>327</v>
      </c>
      <c r="C207" s="8" t="s">
        <v>24</v>
      </c>
      <c r="D207" s="8" t="s">
        <v>414</v>
      </c>
      <c r="E207" s="8" t="s">
        <v>1031</v>
      </c>
      <c r="F207" s="8" t="s">
        <v>394</v>
      </c>
      <c r="G207" s="8" t="s">
        <v>76</v>
      </c>
      <c r="H207" s="8" t="s">
        <v>1032</v>
      </c>
      <c r="I207" s="8" t="s">
        <v>105</v>
      </c>
      <c r="J207" s="8" t="s">
        <v>106</v>
      </c>
      <c r="K207" s="8" t="s">
        <v>32</v>
      </c>
      <c r="L207" s="8" t="s">
        <v>33</v>
      </c>
      <c r="M207" s="8">
        <v>18</v>
      </c>
      <c r="N207" s="8">
        <v>2200</v>
      </c>
      <c r="O207" s="8">
        <v>15</v>
      </c>
      <c r="P207" s="8">
        <v>33660</v>
      </c>
      <c r="Q207" s="8">
        <v>4</v>
      </c>
      <c r="R207" s="8" t="s">
        <v>79</v>
      </c>
      <c r="S207" s="8" t="s">
        <v>61</v>
      </c>
      <c r="T207" s="8" t="s">
        <v>332</v>
      </c>
      <c r="U207" s="9" t="s">
        <v>1033</v>
      </c>
      <c r="V207" s="8" t="s">
        <v>64</v>
      </c>
    </row>
    <row r="208" spans="1:22">
      <c r="A208" s="3" t="s">
        <v>1034</v>
      </c>
      <c r="B208" s="4" t="s">
        <v>221</v>
      </c>
      <c r="C208" s="4" t="s">
        <v>184</v>
      </c>
      <c r="D208" s="4" t="s">
        <v>1035</v>
      </c>
      <c r="E208" s="4" t="s">
        <v>1005</v>
      </c>
      <c r="F208" s="4" t="s">
        <v>225</v>
      </c>
      <c r="G208" s="4" t="s">
        <v>76</v>
      </c>
      <c r="H208" s="4" t="s">
        <v>1036</v>
      </c>
      <c r="I208" s="4" t="s">
        <v>30</v>
      </c>
      <c r="J208" s="4" t="s">
        <v>31</v>
      </c>
      <c r="K208" s="4" t="s">
        <v>46</v>
      </c>
      <c r="L208" s="4" t="s">
        <v>189</v>
      </c>
      <c r="M208" s="4">
        <v>18</v>
      </c>
      <c r="N208" s="4">
        <v>700</v>
      </c>
      <c r="O208" s="4">
        <v>15</v>
      </c>
      <c r="P208" s="4">
        <v>10710</v>
      </c>
      <c r="Q208" s="4">
        <v>3</v>
      </c>
      <c r="R208" s="4" t="s">
        <v>79</v>
      </c>
      <c r="S208" s="4" t="s">
        <v>151</v>
      </c>
      <c r="T208" s="4" t="s">
        <v>228</v>
      </c>
      <c r="U208" s="6" t="s">
        <v>1037</v>
      </c>
      <c r="V208" s="4" t="s">
        <v>69</v>
      </c>
    </row>
    <row r="209" spans="1:22">
      <c r="A209" s="7" t="s">
        <v>1038</v>
      </c>
      <c r="B209" s="8" t="s">
        <v>327</v>
      </c>
      <c r="C209" s="8" t="s">
        <v>54</v>
      </c>
      <c r="D209" s="8" t="s">
        <v>1039</v>
      </c>
      <c r="E209" s="8" t="s">
        <v>1040</v>
      </c>
      <c r="F209" s="8" t="s">
        <v>394</v>
      </c>
      <c r="G209" s="8" t="s">
        <v>76</v>
      </c>
      <c r="H209" s="8" t="s">
        <v>1041</v>
      </c>
      <c r="I209" s="8" t="s">
        <v>114</v>
      </c>
      <c r="J209" s="8" t="s">
        <v>106</v>
      </c>
      <c r="K209" s="8" t="s">
        <v>46</v>
      </c>
      <c r="L209" s="8" t="s">
        <v>60</v>
      </c>
      <c r="M209" s="8">
        <v>12</v>
      </c>
      <c r="N209" s="8">
        <v>55000</v>
      </c>
      <c r="O209" s="8">
        <v>0</v>
      </c>
      <c r="P209" s="8">
        <v>660000</v>
      </c>
      <c r="Q209" s="8">
        <v>2</v>
      </c>
      <c r="R209" s="8" t="s">
        <v>88</v>
      </c>
      <c r="S209" s="8" t="s">
        <v>49</v>
      </c>
      <c r="T209" s="8" t="s">
        <v>332</v>
      </c>
      <c r="U209" s="9" t="s">
        <v>1042</v>
      </c>
      <c r="V209" s="8" t="s">
        <v>69</v>
      </c>
    </row>
    <row r="210" spans="1:22">
      <c r="A210" s="3" t="s">
        <v>1043</v>
      </c>
      <c r="B210" s="4" t="s">
        <v>23</v>
      </c>
      <c r="C210" s="4" t="s">
        <v>40</v>
      </c>
      <c r="D210" s="4" t="s">
        <v>502</v>
      </c>
      <c r="E210" s="4" t="s">
        <v>1044</v>
      </c>
      <c r="F210" s="4" t="s">
        <v>27</v>
      </c>
      <c r="G210" s="4" t="s">
        <v>28</v>
      </c>
      <c r="H210" s="4" t="s">
        <v>1045</v>
      </c>
      <c r="I210" s="4" t="s">
        <v>105</v>
      </c>
      <c r="J210" s="4" t="s">
        <v>106</v>
      </c>
      <c r="K210" s="4" t="s">
        <v>46</v>
      </c>
      <c r="L210" s="4" t="s">
        <v>47</v>
      </c>
      <c r="M210" s="4">
        <v>7</v>
      </c>
      <c r="N210" s="4">
        <v>12000</v>
      </c>
      <c r="O210" s="4">
        <v>5</v>
      </c>
      <c r="P210" s="4">
        <v>79800</v>
      </c>
      <c r="Q210" s="4">
        <v>3</v>
      </c>
      <c r="R210" s="4" t="s">
        <v>79</v>
      </c>
      <c r="S210" s="4" t="s">
        <v>151</v>
      </c>
      <c r="T210" s="4" t="s">
        <v>50</v>
      </c>
      <c r="U210" s="6" t="s">
        <v>1046</v>
      </c>
      <c r="V210" s="4" t="s">
        <v>64</v>
      </c>
    </row>
    <row r="211" spans="1:22">
      <c r="A211" s="7" t="s">
        <v>1047</v>
      </c>
      <c r="B211" s="8" t="s">
        <v>251</v>
      </c>
      <c r="C211" s="8" t="s">
        <v>40</v>
      </c>
      <c r="D211" s="8" t="s">
        <v>1048</v>
      </c>
      <c r="E211" s="8" t="s">
        <v>129</v>
      </c>
      <c r="F211" s="8" t="s">
        <v>254</v>
      </c>
      <c r="G211" s="8" t="s">
        <v>28</v>
      </c>
      <c r="H211" s="8" t="s">
        <v>1049</v>
      </c>
      <c r="I211" s="8" t="s">
        <v>105</v>
      </c>
      <c r="J211" s="8" t="s">
        <v>106</v>
      </c>
      <c r="K211" s="8" t="s">
        <v>46</v>
      </c>
      <c r="L211" s="8" t="s">
        <v>47</v>
      </c>
      <c r="M211" s="8">
        <v>8</v>
      </c>
      <c r="N211" s="8">
        <v>12000</v>
      </c>
      <c r="O211" s="8">
        <v>15</v>
      </c>
      <c r="P211" s="8">
        <v>81600</v>
      </c>
      <c r="Q211" s="8">
        <v>4</v>
      </c>
      <c r="R211" s="8" t="s">
        <v>79</v>
      </c>
      <c r="S211" s="8" t="s">
        <v>49</v>
      </c>
      <c r="T211" s="8" t="s">
        <v>256</v>
      </c>
      <c r="U211" s="9" t="s">
        <v>1050</v>
      </c>
      <c r="V211" s="8" t="s">
        <v>38</v>
      </c>
    </row>
    <row r="212" spans="1:22">
      <c r="A212" s="3" t="s">
        <v>1051</v>
      </c>
      <c r="B212" s="4" t="s">
        <v>327</v>
      </c>
      <c r="C212" s="4" t="s">
        <v>92</v>
      </c>
      <c r="D212" s="4" t="s">
        <v>788</v>
      </c>
      <c r="E212" s="4" t="s">
        <v>1052</v>
      </c>
      <c r="F212" s="4" t="s">
        <v>394</v>
      </c>
      <c r="G212" s="4" t="s">
        <v>76</v>
      </c>
      <c r="H212" s="4" t="s">
        <v>1053</v>
      </c>
      <c r="I212" s="4" t="s">
        <v>105</v>
      </c>
      <c r="J212" s="4" t="s">
        <v>106</v>
      </c>
      <c r="K212" s="4" t="s">
        <v>32</v>
      </c>
      <c r="L212" s="4" t="s">
        <v>97</v>
      </c>
      <c r="M212" s="4">
        <v>19</v>
      </c>
      <c r="N212" s="4">
        <v>3500</v>
      </c>
      <c r="O212" s="4">
        <v>5</v>
      </c>
      <c r="P212" s="4">
        <v>63175</v>
      </c>
      <c r="Q212" s="4">
        <v>3</v>
      </c>
      <c r="R212" s="4" t="s">
        <v>79</v>
      </c>
      <c r="S212" s="4" t="s">
        <v>61</v>
      </c>
      <c r="T212" s="4" t="s">
        <v>332</v>
      </c>
      <c r="U212" s="6" t="s">
        <v>1054</v>
      </c>
      <c r="V212" s="4" t="s">
        <v>64</v>
      </c>
    </row>
    <row r="213" spans="1:22">
      <c r="A213" s="7" t="s">
        <v>1055</v>
      </c>
      <c r="B213" s="8" t="s">
        <v>251</v>
      </c>
      <c r="C213" s="8" t="s">
        <v>259</v>
      </c>
      <c r="D213" s="8" t="s">
        <v>900</v>
      </c>
      <c r="E213" s="8" t="s">
        <v>987</v>
      </c>
      <c r="F213" s="8" t="s">
        <v>254</v>
      </c>
      <c r="G213" s="8" t="s">
        <v>28</v>
      </c>
      <c r="H213" s="8" t="s">
        <v>1056</v>
      </c>
      <c r="I213" s="8" t="s">
        <v>138</v>
      </c>
      <c r="J213" s="8" t="s">
        <v>106</v>
      </c>
      <c r="K213" s="8" t="s">
        <v>122</v>
      </c>
      <c r="L213" s="8" t="s">
        <v>263</v>
      </c>
      <c r="M213" s="8">
        <v>7</v>
      </c>
      <c r="N213" s="8">
        <v>45</v>
      </c>
      <c r="O213" s="8">
        <v>5</v>
      </c>
      <c r="P213" s="8">
        <v>299.25</v>
      </c>
      <c r="Q213" s="8">
        <v>3</v>
      </c>
      <c r="R213" s="8" t="s">
        <v>79</v>
      </c>
      <c r="S213" s="8" t="s">
        <v>35</v>
      </c>
      <c r="T213" s="8" t="s">
        <v>256</v>
      </c>
      <c r="U213" s="9" t="s">
        <v>1057</v>
      </c>
      <c r="V213" s="8" t="s">
        <v>69</v>
      </c>
    </row>
    <row r="214" spans="1:22">
      <c r="A214" s="3" t="s">
        <v>1058</v>
      </c>
      <c r="B214" s="4" t="s">
        <v>23</v>
      </c>
      <c r="C214" s="4" t="s">
        <v>118</v>
      </c>
      <c r="D214" s="4" t="s">
        <v>684</v>
      </c>
      <c r="E214" s="4" t="s">
        <v>750</v>
      </c>
      <c r="F214" s="4" t="s">
        <v>27</v>
      </c>
      <c r="G214" s="4" t="s">
        <v>28</v>
      </c>
      <c r="H214" s="4" t="s">
        <v>331</v>
      </c>
      <c r="I214" s="4" t="s">
        <v>30</v>
      </c>
      <c r="J214" s="4" t="s">
        <v>31</v>
      </c>
      <c r="K214" s="4" t="s">
        <v>122</v>
      </c>
      <c r="L214" s="4" t="s">
        <v>123</v>
      </c>
      <c r="M214" s="4">
        <v>3</v>
      </c>
      <c r="N214" s="4">
        <v>60</v>
      </c>
      <c r="O214" s="4">
        <v>15</v>
      </c>
      <c r="P214" s="4">
        <v>153</v>
      </c>
      <c r="Q214" s="4">
        <v>3</v>
      </c>
      <c r="R214" s="4" t="s">
        <v>48</v>
      </c>
      <c r="S214" s="4" t="s">
        <v>49</v>
      </c>
      <c r="T214" s="4" t="s">
        <v>50</v>
      </c>
      <c r="U214" s="6" t="s">
        <v>1059</v>
      </c>
      <c r="V214" s="4" t="s">
        <v>69</v>
      </c>
    </row>
    <row r="215" spans="1:22">
      <c r="A215" s="7" t="s">
        <v>1060</v>
      </c>
      <c r="B215" s="8" t="s">
        <v>53</v>
      </c>
      <c r="C215" s="8" t="s">
        <v>259</v>
      </c>
      <c r="D215" s="8" t="s">
        <v>1061</v>
      </c>
      <c r="E215" s="8" t="s">
        <v>582</v>
      </c>
      <c r="F215" s="8" t="s">
        <v>163</v>
      </c>
      <c r="G215" s="8" t="s">
        <v>28</v>
      </c>
      <c r="H215" s="8" t="s">
        <v>1062</v>
      </c>
      <c r="I215" s="8" t="s">
        <v>114</v>
      </c>
      <c r="J215" s="8" t="s">
        <v>106</v>
      </c>
      <c r="K215" s="8" t="s">
        <v>122</v>
      </c>
      <c r="L215" s="8" t="s">
        <v>263</v>
      </c>
      <c r="M215" s="8">
        <v>19</v>
      </c>
      <c r="N215" s="8">
        <v>45</v>
      </c>
      <c r="O215" s="8">
        <v>0</v>
      </c>
      <c r="P215" s="8">
        <v>855</v>
      </c>
      <c r="Q215" s="8">
        <v>2</v>
      </c>
      <c r="R215" s="8" t="s">
        <v>34</v>
      </c>
      <c r="S215" s="8" t="s">
        <v>61</v>
      </c>
      <c r="T215" s="8" t="s">
        <v>62</v>
      </c>
      <c r="U215" s="9" t="s">
        <v>1063</v>
      </c>
      <c r="V215" s="8" t="s">
        <v>38</v>
      </c>
    </row>
    <row r="216" spans="1:22">
      <c r="A216" s="3" t="s">
        <v>1064</v>
      </c>
      <c r="B216" s="4" t="s">
        <v>100</v>
      </c>
      <c r="C216" s="4" t="s">
        <v>40</v>
      </c>
      <c r="D216" s="4" t="s">
        <v>1065</v>
      </c>
      <c r="E216" s="4" t="s">
        <v>543</v>
      </c>
      <c r="F216" s="4" t="s">
        <v>103</v>
      </c>
      <c r="G216" s="4" t="s">
        <v>28</v>
      </c>
      <c r="H216" s="4" t="s">
        <v>1066</v>
      </c>
      <c r="I216" s="4" t="s">
        <v>59</v>
      </c>
      <c r="J216" s="4" t="s">
        <v>31</v>
      </c>
      <c r="K216" s="4" t="s">
        <v>46</v>
      </c>
      <c r="L216" s="4" t="s">
        <v>47</v>
      </c>
      <c r="M216" s="4">
        <v>10</v>
      </c>
      <c r="N216" s="4">
        <v>12000</v>
      </c>
      <c r="O216" s="4">
        <v>5</v>
      </c>
      <c r="P216" s="4">
        <v>114000</v>
      </c>
      <c r="Q216" s="4">
        <v>1</v>
      </c>
      <c r="R216" s="4" t="s">
        <v>79</v>
      </c>
      <c r="S216" s="4" t="s">
        <v>115</v>
      </c>
      <c r="T216" s="4" t="s">
        <v>144</v>
      </c>
      <c r="U216" s="6" t="s">
        <v>1067</v>
      </c>
      <c r="V216" s="4" t="s">
        <v>69</v>
      </c>
    </row>
    <row r="217" spans="1:22">
      <c r="A217" s="7" t="s">
        <v>1068</v>
      </c>
      <c r="B217" s="8" t="s">
        <v>23</v>
      </c>
      <c r="C217" s="8" t="s">
        <v>72</v>
      </c>
      <c r="D217" s="8" t="s">
        <v>1069</v>
      </c>
      <c r="E217" s="8" t="s">
        <v>1031</v>
      </c>
      <c r="F217" s="8" t="s">
        <v>27</v>
      </c>
      <c r="G217" s="8" t="s">
        <v>28</v>
      </c>
      <c r="H217" s="8" t="s">
        <v>1070</v>
      </c>
      <c r="I217" s="8" t="s">
        <v>294</v>
      </c>
      <c r="J217" s="8" t="s">
        <v>295</v>
      </c>
      <c r="K217" s="8" t="s">
        <v>46</v>
      </c>
      <c r="L217" s="8" t="s">
        <v>78</v>
      </c>
      <c r="M217" s="8">
        <v>4</v>
      </c>
      <c r="N217" s="8">
        <v>1200</v>
      </c>
      <c r="O217" s="8">
        <v>0</v>
      </c>
      <c r="P217" s="8">
        <v>4800</v>
      </c>
      <c r="Q217" s="8">
        <v>4</v>
      </c>
      <c r="R217" s="8" t="s">
        <v>34</v>
      </c>
      <c r="S217" s="8" t="s">
        <v>61</v>
      </c>
      <c r="T217" s="8" t="s">
        <v>50</v>
      </c>
      <c r="U217" s="9" t="s">
        <v>1071</v>
      </c>
      <c r="V217" s="8" t="s">
        <v>38</v>
      </c>
    </row>
    <row r="218" spans="1:22">
      <c r="A218" s="3" t="s">
        <v>1072</v>
      </c>
      <c r="B218" s="4" t="s">
        <v>221</v>
      </c>
      <c r="C218" s="4" t="s">
        <v>169</v>
      </c>
      <c r="D218" s="4" t="s">
        <v>531</v>
      </c>
      <c r="E218" s="4" t="s">
        <v>1073</v>
      </c>
      <c r="F218" s="4" t="s">
        <v>225</v>
      </c>
      <c r="G218" s="4" t="s">
        <v>76</v>
      </c>
      <c r="H218" s="4" t="s">
        <v>1074</v>
      </c>
      <c r="I218" s="4" t="s">
        <v>59</v>
      </c>
      <c r="J218" s="4" t="s">
        <v>31</v>
      </c>
      <c r="K218" s="4" t="s">
        <v>32</v>
      </c>
      <c r="L218" s="4" t="s">
        <v>174</v>
      </c>
      <c r="M218" s="4">
        <v>2</v>
      </c>
      <c r="N218" s="4">
        <v>8500</v>
      </c>
      <c r="O218" s="4">
        <v>20</v>
      </c>
      <c r="P218" s="4">
        <v>13600</v>
      </c>
      <c r="Q218" s="4">
        <v>3</v>
      </c>
      <c r="R218" s="4" t="s">
        <v>79</v>
      </c>
      <c r="S218" s="4" t="s">
        <v>151</v>
      </c>
      <c r="T218" s="4" t="s">
        <v>228</v>
      </c>
      <c r="U218" s="6" t="s">
        <v>1075</v>
      </c>
      <c r="V218" s="4" t="s">
        <v>38</v>
      </c>
    </row>
    <row r="219" spans="1:22">
      <c r="A219" s="7" t="s">
        <v>1076</v>
      </c>
      <c r="B219" s="8" t="s">
        <v>83</v>
      </c>
      <c r="C219" s="8" t="s">
        <v>184</v>
      </c>
      <c r="D219" s="8" t="s">
        <v>1077</v>
      </c>
      <c r="E219" s="8" t="s">
        <v>322</v>
      </c>
      <c r="F219" s="8" t="s">
        <v>180</v>
      </c>
      <c r="G219" s="8" t="s">
        <v>76</v>
      </c>
      <c r="H219" s="8" t="s">
        <v>1078</v>
      </c>
      <c r="I219" s="8" t="s">
        <v>294</v>
      </c>
      <c r="J219" s="8" t="s">
        <v>295</v>
      </c>
      <c r="K219" s="8" t="s">
        <v>46</v>
      </c>
      <c r="L219" s="8" t="s">
        <v>189</v>
      </c>
      <c r="M219" s="8">
        <v>7</v>
      </c>
      <c r="N219" s="8">
        <v>700</v>
      </c>
      <c r="O219" s="8">
        <v>20</v>
      </c>
      <c r="P219" s="8">
        <v>3920</v>
      </c>
      <c r="Q219" s="8">
        <v>2</v>
      </c>
      <c r="R219" s="8" t="s">
        <v>79</v>
      </c>
      <c r="S219" s="8" t="s">
        <v>151</v>
      </c>
      <c r="T219" s="8" t="s">
        <v>89</v>
      </c>
      <c r="U219" s="9" t="s">
        <v>1079</v>
      </c>
      <c r="V219" s="8" t="s">
        <v>64</v>
      </c>
    </row>
    <row r="220" spans="1:22">
      <c r="A220" s="3" t="s">
        <v>1080</v>
      </c>
      <c r="B220" s="4" t="s">
        <v>53</v>
      </c>
      <c r="C220" s="4" t="s">
        <v>222</v>
      </c>
      <c r="D220" s="4" t="s">
        <v>1081</v>
      </c>
      <c r="E220" s="4" t="s">
        <v>518</v>
      </c>
      <c r="F220" s="4" t="s">
        <v>163</v>
      </c>
      <c r="G220" s="4" t="s">
        <v>28</v>
      </c>
      <c r="H220" s="4" t="s">
        <v>1082</v>
      </c>
      <c r="I220" s="4" t="s">
        <v>114</v>
      </c>
      <c r="J220" s="4" t="s">
        <v>106</v>
      </c>
      <c r="K220" s="4" t="s">
        <v>122</v>
      </c>
      <c r="L220" s="4" t="s">
        <v>227</v>
      </c>
      <c r="M220" s="4">
        <v>9</v>
      </c>
      <c r="N220" s="4">
        <v>20</v>
      </c>
      <c r="O220" s="4">
        <v>15</v>
      </c>
      <c r="P220" s="4">
        <v>153</v>
      </c>
      <c r="Q220" s="4">
        <v>3</v>
      </c>
      <c r="R220" s="4" t="s">
        <v>48</v>
      </c>
      <c r="S220" s="4" t="s">
        <v>115</v>
      </c>
      <c r="T220" s="4" t="s">
        <v>62</v>
      </c>
      <c r="U220" s="6" t="s">
        <v>1083</v>
      </c>
      <c r="V220" s="4" t="s">
        <v>38</v>
      </c>
    </row>
    <row r="221" spans="1:22">
      <c r="A221" s="7" t="s">
        <v>1084</v>
      </c>
      <c r="B221" s="8" t="s">
        <v>100</v>
      </c>
      <c r="C221" s="8" t="s">
        <v>169</v>
      </c>
      <c r="D221" s="8" t="s">
        <v>1085</v>
      </c>
      <c r="E221" s="8" t="s">
        <v>1086</v>
      </c>
      <c r="F221" s="8" t="s">
        <v>103</v>
      </c>
      <c r="G221" s="8" t="s">
        <v>28</v>
      </c>
      <c r="H221" s="8" t="s">
        <v>1087</v>
      </c>
      <c r="I221" s="8" t="s">
        <v>294</v>
      </c>
      <c r="J221" s="8" t="s">
        <v>295</v>
      </c>
      <c r="K221" s="8" t="s">
        <v>32</v>
      </c>
      <c r="L221" s="8" t="s">
        <v>174</v>
      </c>
      <c r="M221" s="8">
        <v>16</v>
      </c>
      <c r="N221" s="8">
        <v>8500</v>
      </c>
      <c r="O221" s="8">
        <v>0</v>
      </c>
      <c r="P221" s="8">
        <v>136000</v>
      </c>
      <c r="Q221" s="8">
        <v>4</v>
      </c>
      <c r="R221" s="8" t="s">
        <v>48</v>
      </c>
      <c r="S221" s="8" t="s">
        <v>35</v>
      </c>
      <c r="T221" s="8" t="s">
        <v>144</v>
      </c>
      <c r="U221" s="9" t="s">
        <v>1088</v>
      </c>
      <c r="V221" s="8" t="s">
        <v>38</v>
      </c>
    </row>
    <row r="222" spans="1:22">
      <c r="A222" s="3" t="s">
        <v>1089</v>
      </c>
      <c r="B222" s="4" t="s">
        <v>251</v>
      </c>
      <c r="C222" s="4" t="s">
        <v>92</v>
      </c>
      <c r="D222" s="4" t="s">
        <v>544</v>
      </c>
      <c r="E222" s="4" t="s">
        <v>1090</v>
      </c>
      <c r="F222" s="4" t="s">
        <v>254</v>
      </c>
      <c r="G222" s="4" t="s">
        <v>28</v>
      </c>
      <c r="H222" s="4" t="s">
        <v>1091</v>
      </c>
      <c r="I222" s="4" t="s">
        <v>44</v>
      </c>
      <c r="J222" s="4" t="s">
        <v>45</v>
      </c>
      <c r="K222" s="4" t="s">
        <v>32</v>
      </c>
      <c r="L222" s="4" t="s">
        <v>97</v>
      </c>
      <c r="M222" s="4">
        <v>10</v>
      </c>
      <c r="N222" s="4">
        <v>3500</v>
      </c>
      <c r="O222" s="4">
        <v>5</v>
      </c>
      <c r="P222" s="4">
        <v>33250</v>
      </c>
      <c r="Q222" s="4">
        <v>3</v>
      </c>
      <c r="R222" s="4" t="s">
        <v>48</v>
      </c>
      <c r="S222" s="4" t="s">
        <v>115</v>
      </c>
      <c r="T222" s="4" t="s">
        <v>256</v>
      </c>
      <c r="U222" s="6" t="s">
        <v>1092</v>
      </c>
      <c r="V222" s="4" t="s">
        <v>38</v>
      </c>
    </row>
    <row r="223" spans="1:22">
      <c r="A223" s="7" t="s">
        <v>1093</v>
      </c>
      <c r="B223" s="8" t="s">
        <v>53</v>
      </c>
      <c r="C223" s="8" t="s">
        <v>40</v>
      </c>
      <c r="D223" s="8" t="s">
        <v>1094</v>
      </c>
      <c r="E223" s="8" t="s">
        <v>588</v>
      </c>
      <c r="F223" s="8" t="s">
        <v>163</v>
      </c>
      <c r="G223" s="8" t="s">
        <v>28</v>
      </c>
      <c r="H223" s="8" t="s">
        <v>1095</v>
      </c>
      <c r="I223" s="8" t="s">
        <v>294</v>
      </c>
      <c r="J223" s="8" t="s">
        <v>295</v>
      </c>
      <c r="K223" s="8" t="s">
        <v>46</v>
      </c>
      <c r="L223" s="8" t="s">
        <v>47</v>
      </c>
      <c r="M223" s="8">
        <v>1</v>
      </c>
      <c r="N223" s="8">
        <v>12000</v>
      </c>
      <c r="O223" s="8">
        <v>0</v>
      </c>
      <c r="P223" s="8">
        <v>12000</v>
      </c>
      <c r="Q223" s="8">
        <v>5</v>
      </c>
      <c r="R223" s="8" t="s">
        <v>88</v>
      </c>
      <c r="S223" s="8" t="s">
        <v>115</v>
      </c>
      <c r="T223" s="8" t="s">
        <v>62</v>
      </c>
      <c r="U223" s="9" t="s">
        <v>1096</v>
      </c>
      <c r="V223" s="8" t="s">
        <v>64</v>
      </c>
    </row>
    <row r="224" spans="1:22">
      <c r="A224" s="3" t="s">
        <v>1097</v>
      </c>
      <c r="B224" s="4" t="s">
        <v>327</v>
      </c>
      <c r="C224" s="4" t="s">
        <v>259</v>
      </c>
      <c r="D224" s="4" t="s">
        <v>1098</v>
      </c>
      <c r="E224" s="4" t="s">
        <v>601</v>
      </c>
      <c r="F224" s="4" t="s">
        <v>394</v>
      </c>
      <c r="G224" s="4" t="s">
        <v>76</v>
      </c>
      <c r="H224" s="4" t="s">
        <v>1099</v>
      </c>
      <c r="I224" s="4" t="s">
        <v>294</v>
      </c>
      <c r="J224" s="4" t="s">
        <v>295</v>
      </c>
      <c r="K224" s="4" t="s">
        <v>122</v>
      </c>
      <c r="L224" s="4" t="s">
        <v>263</v>
      </c>
      <c r="M224" s="4">
        <v>19</v>
      </c>
      <c r="N224" s="4">
        <v>45</v>
      </c>
      <c r="O224" s="4">
        <v>15</v>
      </c>
      <c r="P224" s="4">
        <v>726.75</v>
      </c>
      <c r="Q224" s="4">
        <v>2</v>
      </c>
      <c r="R224" s="4" t="s">
        <v>88</v>
      </c>
      <c r="S224" s="4" t="s">
        <v>151</v>
      </c>
      <c r="T224" s="4" t="s">
        <v>332</v>
      </c>
      <c r="U224" s="6" t="s">
        <v>1100</v>
      </c>
      <c r="V224" s="4" t="s">
        <v>64</v>
      </c>
    </row>
    <row r="225" spans="1:22">
      <c r="A225" s="7" t="s">
        <v>1101</v>
      </c>
      <c r="B225" s="8" t="s">
        <v>23</v>
      </c>
      <c r="C225" s="8" t="s">
        <v>54</v>
      </c>
      <c r="D225" s="8" t="s">
        <v>531</v>
      </c>
      <c r="E225" s="8" t="s">
        <v>1102</v>
      </c>
      <c r="F225" s="8" t="s">
        <v>27</v>
      </c>
      <c r="G225" s="8" t="s">
        <v>28</v>
      </c>
      <c r="H225" s="8" t="s">
        <v>1103</v>
      </c>
      <c r="I225" s="8" t="s">
        <v>44</v>
      </c>
      <c r="J225" s="8" t="s">
        <v>45</v>
      </c>
      <c r="K225" s="8" t="s">
        <v>46</v>
      </c>
      <c r="L225" s="8" t="s">
        <v>60</v>
      </c>
      <c r="M225" s="8">
        <v>13</v>
      </c>
      <c r="N225" s="8">
        <v>55000</v>
      </c>
      <c r="O225" s="8">
        <v>5</v>
      </c>
      <c r="P225" s="8">
        <v>679250</v>
      </c>
      <c r="Q225" s="8">
        <v>4</v>
      </c>
      <c r="R225" s="8" t="s">
        <v>79</v>
      </c>
      <c r="S225" s="8" t="s">
        <v>49</v>
      </c>
      <c r="T225" s="8" t="s">
        <v>50</v>
      </c>
      <c r="U225" s="9" t="s">
        <v>1104</v>
      </c>
      <c r="V225" s="8" t="s">
        <v>69</v>
      </c>
    </row>
    <row r="226" spans="1:22">
      <c r="A226" s="3" t="s">
        <v>1105</v>
      </c>
      <c r="B226" s="4" t="s">
        <v>83</v>
      </c>
      <c r="C226" s="4" t="s">
        <v>259</v>
      </c>
      <c r="D226" s="4" t="s">
        <v>1106</v>
      </c>
      <c r="E226" s="4" t="s">
        <v>155</v>
      </c>
      <c r="F226" s="4" t="s">
        <v>180</v>
      </c>
      <c r="G226" s="4" t="s">
        <v>76</v>
      </c>
      <c r="H226" s="4" t="s">
        <v>1107</v>
      </c>
      <c r="I226" s="4" t="s">
        <v>105</v>
      </c>
      <c r="J226" s="4" t="s">
        <v>106</v>
      </c>
      <c r="K226" s="4" t="s">
        <v>122</v>
      </c>
      <c r="L226" s="4" t="s">
        <v>263</v>
      </c>
      <c r="M226" s="4">
        <v>2</v>
      </c>
      <c r="N226" s="4">
        <v>45</v>
      </c>
      <c r="O226" s="4">
        <v>15</v>
      </c>
      <c r="P226" s="4">
        <v>76.5</v>
      </c>
      <c r="Q226" s="4">
        <v>1</v>
      </c>
      <c r="R226" s="4" t="s">
        <v>48</v>
      </c>
      <c r="S226" s="4" t="s">
        <v>115</v>
      </c>
      <c r="T226" s="4" t="s">
        <v>89</v>
      </c>
      <c r="U226" s="6" t="s">
        <v>1108</v>
      </c>
      <c r="V226" s="4" t="s">
        <v>38</v>
      </c>
    </row>
    <row r="227" spans="1:22">
      <c r="A227" s="7" t="s">
        <v>1109</v>
      </c>
      <c r="B227" s="8" t="s">
        <v>100</v>
      </c>
      <c r="C227" s="8" t="s">
        <v>222</v>
      </c>
      <c r="D227" s="8" t="s">
        <v>303</v>
      </c>
      <c r="E227" s="8" t="s">
        <v>1110</v>
      </c>
      <c r="F227" s="8" t="s">
        <v>103</v>
      </c>
      <c r="G227" s="8" t="s">
        <v>28</v>
      </c>
      <c r="H227" s="8" t="s">
        <v>1111</v>
      </c>
      <c r="I227" s="8" t="s">
        <v>30</v>
      </c>
      <c r="J227" s="8" t="s">
        <v>31</v>
      </c>
      <c r="K227" s="8" t="s">
        <v>122</v>
      </c>
      <c r="L227" s="8" t="s">
        <v>227</v>
      </c>
      <c r="M227" s="8">
        <v>8</v>
      </c>
      <c r="N227" s="8">
        <v>20</v>
      </c>
      <c r="O227" s="8">
        <v>15</v>
      </c>
      <c r="P227" s="8">
        <v>136</v>
      </c>
      <c r="Q227" s="8">
        <v>1</v>
      </c>
      <c r="R227" s="8" t="s">
        <v>79</v>
      </c>
      <c r="S227" s="8" t="s">
        <v>35</v>
      </c>
      <c r="T227" s="8" t="s">
        <v>144</v>
      </c>
      <c r="U227" s="9" t="s">
        <v>1112</v>
      </c>
      <c r="V227" s="8" t="s">
        <v>64</v>
      </c>
    </row>
    <row r="228" spans="1:22">
      <c r="A228" s="3" t="s">
        <v>1113</v>
      </c>
      <c r="B228" s="4" t="s">
        <v>168</v>
      </c>
      <c r="C228" s="4" t="s">
        <v>40</v>
      </c>
      <c r="D228" s="4" t="s">
        <v>1114</v>
      </c>
      <c r="E228" s="4" t="s">
        <v>1115</v>
      </c>
      <c r="F228" s="4" t="s">
        <v>361</v>
      </c>
      <c r="G228" s="4" t="s">
        <v>28</v>
      </c>
      <c r="H228" s="4" t="s">
        <v>1116</v>
      </c>
      <c r="I228" s="4" t="s">
        <v>30</v>
      </c>
      <c r="J228" s="4" t="s">
        <v>31</v>
      </c>
      <c r="K228" s="4" t="s">
        <v>46</v>
      </c>
      <c r="L228" s="4" t="s">
        <v>47</v>
      </c>
      <c r="M228" s="4">
        <v>9</v>
      </c>
      <c r="N228" s="4">
        <v>12000</v>
      </c>
      <c r="O228" s="4">
        <v>5</v>
      </c>
      <c r="P228" s="4">
        <v>102600</v>
      </c>
      <c r="Q228" s="4">
        <v>2</v>
      </c>
      <c r="R228" s="4" t="s">
        <v>79</v>
      </c>
      <c r="S228" s="4" t="s">
        <v>35</v>
      </c>
      <c r="T228" s="4" t="s">
        <v>175</v>
      </c>
      <c r="U228" s="6" t="s">
        <v>1117</v>
      </c>
      <c r="V228" s="4" t="s">
        <v>69</v>
      </c>
    </row>
    <row r="229" spans="1:22">
      <c r="A229" s="7" t="s">
        <v>1118</v>
      </c>
      <c r="B229" s="8" t="s">
        <v>71</v>
      </c>
      <c r="C229" s="8" t="s">
        <v>92</v>
      </c>
      <c r="D229" s="8" t="s">
        <v>1119</v>
      </c>
      <c r="E229" s="8" t="s">
        <v>1120</v>
      </c>
      <c r="F229" s="8" t="s">
        <v>217</v>
      </c>
      <c r="G229" s="8" t="s">
        <v>76</v>
      </c>
      <c r="H229" s="8" t="s">
        <v>1121</v>
      </c>
      <c r="I229" s="8" t="s">
        <v>294</v>
      </c>
      <c r="J229" s="8" t="s">
        <v>295</v>
      </c>
      <c r="K229" s="8" t="s">
        <v>32</v>
      </c>
      <c r="L229" s="8" t="s">
        <v>97</v>
      </c>
      <c r="M229" s="8">
        <v>3</v>
      </c>
      <c r="N229" s="8">
        <v>3500</v>
      </c>
      <c r="O229" s="8">
        <v>15</v>
      </c>
      <c r="P229" s="8">
        <v>8925</v>
      </c>
      <c r="Q229" s="8">
        <v>1</v>
      </c>
      <c r="R229" s="8" t="s">
        <v>34</v>
      </c>
      <c r="S229" s="8" t="s">
        <v>49</v>
      </c>
      <c r="T229" s="8" t="s">
        <v>80</v>
      </c>
      <c r="U229" s="9" t="s">
        <v>1122</v>
      </c>
      <c r="V229" s="8" t="s">
        <v>69</v>
      </c>
    </row>
    <row r="230" spans="1:22">
      <c r="A230" s="3" t="s">
        <v>1123</v>
      </c>
      <c r="B230" s="4" t="s">
        <v>100</v>
      </c>
      <c r="C230" s="4" t="s">
        <v>184</v>
      </c>
      <c r="D230" s="4" t="s">
        <v>1086</v>
      </c>
      <c r="E230" s="4" t="s">
        <v>1124</v>
      </c>
      <c r="F230" s="4" t="s">
        <v>103</v>
      </c>
      <c r="G230" s="4" t="s">
        <v>28</v>
      </c>
      <c r="H230" s="4" t="s">
        <v>1125</v>
      </c>
      <c r="I230" s="4" t="s">
        <v>30</v>
      </c>
      <c r="J230" s="4" t="s">
        <v>31</v>
      </c>
      <c r="K230" s="4" t="s">
        <v>46</v>
      </c>
      <c r="L230" s="4" t="s">
        <v>189</v>
      </c>
      <c r="M230" s="4">
        <v>18</v>
      </c>
      <c r="N230" s="4">
        <v>700</v>
      </c>
      <c r="O230" s="4">
        <v>20</v>
      </c>
      <c r="P230" s="4">
        <v>10080</v>
      </c>
      <c r="Q230" s="4">
        <v>1</v>
      </c>
      <c r="R230" s="4" t="s">
        <v>79</v>
      </c>
      <c r="S230" s="4" t="s">
        <v>151</v>
      </c>
      <c r="T230" s="4" t="s">
        <v>144</v>
      </c>
      <c r="U230" s="6" t="s">
        <v>1126</v>
      </c>
      <c r="V230" s="4" t="s">
        <v>38</v>
      </c>
    </row>
    <row r="231" spans="1:22">
      <c r="A231" s="7" t="s">
        <v>1127</v>
      </c>
      <c r="B231" s="8" t="s">
        <v>71</v>
      </c>
      <c r="C231" s="8" t="s">
        <v>92</v>
      </c>
      <c r="D231" s="8" t="s">
        <v>1128</v>
      </c>
      <c r="E231" s="8" t="s">
        <v>110</v>
      </c>
      <c r="F231" s="8" t="s">
        <v>217</v>
      </c>
      <c r="G231" s="8" t="s">
        <v>76</v>
      </c>
      <c r="H231" s="8" t="s">
        <v>1129</v>
      </c>
      <c r="I231" s="8" t="s">
        <v>114</v>
      </c>
      <c r="J231" s="8" t="s">
        <v>106</v>
      </c>
      <c r="K231" s="8" t="s">
        <v>32</v>
      </c>
      <c r="L231" s="8" t="s">
        <v>97</v>
      </c>
      <c r="M231" s="8">
        <v>14</v>
      </c>
      <c r="N231" s="8">
        <v>3500</v>
      </c>
      <c r="O231" s="8">
        <v>5</v>
      </c>
      <c r="P231" s="8">
        <v>46550</v>
      </c>
      <c r="Q231" s="8">
        <v>1</v>
      </c>
      <c r="R231" s="8" t="s">
        <v>34</v>
      </c>
      <c r="S231" s="8" t="s">
        <v>61</v>
      </c>
      <c r="T231" s="8" t="s">
        <v>80</v>
      </c>
      <c r="U231" s="9" t="s">
        <v>1130</v>
      </c>
      <c r="V231" s="8" t="s">
        <v>38</v>
      </c>
    </row>
    <row r="232" spans="1:22">
      <c r="A232" s="3" t="s">
        <v>1131</v>
      </c>
      <c r="B232" s="4" t="s">
        <v>100</v>
      </c>
      <c r="C232" s="4" t="s">
        <v>184</v>
      </c>
      <c r="D232" s="4" t="s">
        <v>684</v>
      </c>
      <c r="E232" s="4" t="s">
        <v>318</v>
      </c>
      <c r="F232" s="4" t="s">
        <v>103</v>
      </c>
      <c r="G232" s="4" t="s">
        <v>28</v>
      </c>
      <c r="H232" s="4" t="s">
        <v>1132</v>
      </c>
      <c r="I232" s="4" t="s">
        <v>294</v>
      </c>
      <c r="J232" s="4" t="s">
        <v>295</v>
      </c>
      <c r="K232" s="4" t="s">
        <v>46</v>
      </c>
      <c r="L232" s="4" t="s">
        <v>189</v>
      </c>
      <c r="M232" s="4">
        <v>6</v>
      </c>
      <c r="N232" s="4">
        <v>700</v>
      </c>
      <c r="O232" s="4">
        <v>5</v>
      </c>
      <c r="P232" s="4">
        <v>3990</v>
      </c>
      <c r="Q232" s="4">
        <v>5</v>
      </c>
      <c r="R232" s="4" t="s">
        <v>34</v>
      </c>
      <c r="S232" s="4" t="s">
        <v>35</v>
      </c>
      <c r="T232" s="4" t="s">
        <v>144</v>
      </c>
      <c r="U232" s="6" t="s">
        <v>1133</v>
      </c>
      <c r="V232" s="4" t="s">
        <v>38</v>
      </c>
    </row>
    <row r="233" spans="1:22">
      <c r="A233" s="7" t="s">
        <v>1134</v>
      </c>
      <c r="B233" s="8" t="s">
        <v>100</v>
      </c>
      <c r="C233" s="8" t="s">
        <v>92</v>
      </c>
      <c r="D233" s="8" t="s">
        <v>679</v>
      </c>
      <c r="E233" s="8" t="s">
        <v>872</v>
      </c>
      <c r="F233" s="8" t="s">
        <v>103</v>
      </c>
      <c r="G233" s="8" t="s">
        <v>28</v>
      </c>
      <c r="H233" s="8" t="s">
        <v>1135</v>
      </c>
      <c r="I233" s="8" t="s">
        <v>105</v>
      </c>
      <c r="J233" s="8" t="s">
        <v>106</v>
      </c>
      <c r="K233" s="8" t="s">
        <v>32</v>
      </c>
      <c r="L233" s="8" t="s">
        <v>97</v>
      </c>
      <c r="M233" s="8">
        <v>17</v>
      </c>
      <c r="N233" s="8">
        <v>3500</v>
      </c>
      <c r="O233" s="8">
        <v>15</v>
      </c>
      <c r="P233" s="8">
        <v>50575</v>
      </c>
      <c r="Q233" s="8">
        <v>3</v>
      </c>
      <c r="R233" s="8" t="s">
        <v>48</v>
      </c>
      <c r="S233" s="8" t="s">
        <v>49</v>
      </c>
      <c r="T233" s="8" t="s">
        <v>144</v>
      </c>
      <c r="U233" s="9" t="s">
        <v>1136</v>
      </c>
      <c r="V233" s="8" t="s">
        <v>64</v>
      </c>
    </row>
    <row r="234" spans="1:22">
      <c r="A234" s="3" t="s">
        <v>1137</v>
      </c>
      <c r="B234" s="4" t="s">
        <v>251</v>
      </c>
      <c r="C234" s="4" t="s">
        <v>222</v>
      </c>
      <c r="D234" s="4" t="s">
        <v>253</v>
      </c>
      <c r="E234" s="4" t="s">
        <v>1128</v>
      </c>
      <c r="F234" s="4" t="s">
        <v>254</v>
      </c>
      <c r="G234" s="4" t="s">
        <v>28</v>
      </c>
      <c r="H234" s="4" t="s">
        <v>1138</v>
      </c>
      <c r="I234" s="4" t="s">
        <v>294</v>
      </c>
      <c r="J234" s="4" t="s">
        <v>295</v>
      </c>
      <c r="K234" s="4" t="s">
        <v>122</v>
      </c>
      <c r="L234" s="4" t="s">
        <v>227</v>
      </c>
      <c r="M234" s="4">
        <v>7</v>
      </c>
      <c r="N234" s="4">
        <v>20</v>
      </c>
      <c r="O234" s="4">
        <v>5</v>
      </c>
      <c r="P234" s="4">
        <v>133</v>
      </c>
      <c r="Q234" s="4">
        <v>2</v>
      </c>
      <c r="R234" s="4" t="s">
        <v>88</v>
      </c>
      <c r="S234" s="4" t="s">
        <v>151</v>
      </c>
      <c r="T234" s="4" t="s">
        <v>256</v>
      </c>
      <c r="U234" s="6" t="s">
        <v>1139</v>
      </c>
      <c r="V234" s="4" t="s">
        <v>38</v>
      </c>
    </row>
    <row r="235" spans="1:22">
      <c r="A235" s="7" t="s">
        <v>1140</v>
      </c>
      <c r="B235" s="8" t="s">
        <v>23</v>
      </c>
      <c r="C235" s="8" t="s">
        <v>24</v>
      </c>
      <c r="D235" s="8" t="s">
        <v>1141</v>
      </c>
      <c r="E235" s="8" t="s">
        <v>1142</v>
      </c>
      <c r="F235" s="8" t="s">
        <v>27</v>
      </c>
      <c r="G235" s="8" t="s">
        <v>28</v>
      </c>
      <c r="H235" s="8" t="s">
        <v>1143</v>
      </c>
      <c r="I235" s="8" t="s">
        <v>59</v>
      </c>
      <c r="J235" s="8" t="s">
        <v>31</v>
      </c>
      <c r="K235" s="8" t="s">
        <v>32</v>
      </c>
      <c r="L235" s="8" t="s">
        <v>33</v>
      </c>
      <c r="M235" s="8">
        <v>15</v>
      </c>
      <c r="N235" s="8">
        <v>2200</v>
      </c>
      <c r="O235" s="8">
        <v>20</v>
      </c>
      <c r="P235" s="8">
        <v>26400</v>
      </c>
      <c r="Q235" s="8">
        <v>2</v>
      </c>
      <c r="R235" s="8" t="s">
        <v>34</v>
      </c>
      <c r="S235" s="8" t="s">
        <v>61</v>
      </c>
      <c r="T235" s="8" t="s">
        <v>50</v>
      </c>
      <c r="U235" s="9" t="s">
        <v>1144</v>
      </c>
      <c r="V235" s="8" t="s">
        <v>38</v>
      </c>
    </row>
    <row r="236" spans="1:22">
      <c r="A236" s="3" t="s">
        <v>1145</v>
      </c>
      <c r="B236" s="4" t="s">
        <v>71</v>
      </c>
      <c r="C236" s="4" t="s">
        <v>222</v>
      </c>
      <c r="D236" s="4" t="s">
        <v>736</v>
      </c>
      <c r="E236" s="4" t="s">
        <v>94</v>
      </c>
      <c r="F236" s="4" t="s">
        <v>217</v>
      </c>
      <c r="G236" s="4" t="s">
        <v>76</v>
      </c>
      <c r="H236" s="4" t="s">
        <v>1146</v>
      </c>
      <c r="I236" s="4" t="s">
        <v>105</v>
      </c>
      <c r="J236" s="4" t="s">
        <v>106</v>
      </c>
      <c r="K236" s="4" t="s">
        <v>122</v>
      </c>
      <c r="L236" s="4" t="s">
        <v>227</v>
      </c>
      <c r="M236" s="4">
        <v>5</v>
      </c>
      <c r="N236" s="4">
        <v>20</v>
      </c>
      <c r="O236" s="4">
        <v>0</v>
      </c>
      <c r="P236" s="4">
        <v>100</v>
      </c>
      <c r="Q236" s="4">
        <v>3</v>
      </c>
      <c r="R236" s="4" t="s">
        <v>34</v>
      </c>
      <c r="S236" s="4" t="s">
        <v>151</v>
      </c>
      <c r="T236" s="4" t="s">
        <v>80</v>
      </c>
      <c r="U236" s="6" t="s">
        <v>1147</v>
      </c>
      <c r="V236" s="4" t="s">
        <v>38</v>
      </c>
    </row>
    <row r="237" spans="1:22">
      <c r="A237" s="7" t="s">
        <v>1148</v>
      </c>
      <c r="B237" s="8" t="s">
        <v>127</v>
      </c>
      <c r="C237" s="8" t="s">
        <v>40</v>
      </c>
      <c r="D237" s="8" t="s">
        <v>1149</v>
      </c>
      <c r="E237" s="8" t="s">
        <v>779</v>
      </c>
      <c r="F237" s="8" t="s">
        <v>200</v>
      </c>
      <c r="G237" s="8" t="s">
        <v>76</v>
      </c>
      <c r="H237" s="8" t="s">
        <v>1150</v>
      </c>
      <c r="I237" s="8" t="s">
        <v>44</v>
      </c>
      <c r="J237" s="8" t="s">
        <v>45</v>
      </c>
      <c r="K237" s="8" t="s">
        <v>46</v>
      </c>
      <c r="L237" s="8" t="s">
        <v>47</v>
      </c>
      <c r="M237" s="8">
        <v>8</v>
      </c>
      <c r="N237" s="8">
        <v>12000</v>
      </c>
      <c r="O237" s="8">
        <v>20</v>
      </c>
      <c r="P237" s="8">
        <v>76800</v>
      </c>
      <c r="Q237" s="8">
        <v>3</v>
      </c>
      <c r="R237" s="8" t="s">
        <v>79</v>
      </c>
      <c r="S237" s="8" t="s">
        <v>61</v>
      </c>
      <c r="T237" s="8" t="s">
        <v>132</v>
      </c>
      <c r="U237" s="9" t="s">
        <v>1151</v>
      </c>
      <c r="V237" s="8" t="s">
        <v>64</v>
      </c>
    </row>
    <row r="238" spans="1:22">
      <c r="A238" s="3" t="s">
        <v>1152</v>
      </c>
      <c r="B238" s="4" t="s">
        <v>127</v>
      </c>
      <c r="C238" s="4" t="s">
        <v>92</v>
      </c>
      <c r="D238" s="4" t="s">
        <v>1153</v>
      </c>
      <c r="E238" s="4" t="s">
        <v>987</v>
      </c>
      <c r="F238" s="4" t="s">
        <v>200</v>
      </c>
      <c r="G238" s="4" t="s">
        <v>76</v>
      </c>
      <c r="H238" s="4" t="s">
        <v>1154</v>
      </c>
      <c r="I238" s="4" t="s">
        <v>105</v>
      </c>
      <c r="J238" s="4" t="s">
        <v>106</v>
      </c>
      <c r="K238" s="4" t="s">
        <v>32</v>
      </c>
      <c r="L238" s="4" t="s">
        <v>97</v>
      </c>
      <c r="M238" s="4">
        <v>4</v>
      </c>
      <c r="N238" s="4">
        <v>3500</v>
      </c>
      <c r="O238" s="4">
        <v>20</v>
      </c>
      <c r="P238" s="4">
        <v>11200</v>
      </c>
      <c r="Q238" s="4">
        <v>1</v>
      </c>
      <c r="R238" s="4" t="s">
        <v>79</v>
      </c>
      <c r="S238" s="4" t="s">
        <v>115</v>
      </c>
      <c r="T238" s="4" t="s">
        <v>132</v>
      </c>
      <c r="U238" s="6" t="s">
        <v>1155</v>
      </c>
      <c r="V238" s="4" t="s">
        <v>38</v>
      </c>
    </row>
    <row r="239" spans="1:22">
      <c r="A239" s="7" t="s">
        <v>1156</v>
      </c>
      <c r="B239" s="8" t="s">
        <v>221</v>
      </c>
      <c r="C239" s="8" t="s">
        <v>259</v>
      </c>
      <c r="D239" s="8" t="s">
        <v>628</v>
      </c>
      <c r="E239" s="8" t="s">
        <v>1157</v>
      </c>
      <c r="F239" s="8" t="s">
        <v>225</v>
      </c>
      <c r="G239" s="8" t="s">
        <v>76</v>
      </c>
      <c r="H239" s="8" t="s">
        <v>1158</v>
      </c>
      <c r="I239" s="8" t="s">
        <v>30</v>
      </c>
      <c r="J239" s="8" t="s">
        <v>31</v>
      </c>
      <c r="K239" s="8" t="s">
        <v>122</v>
      </c>
      <c r="L239" s="8" t="s">
        <v>263</v>
      </c>
      <c r="M239" s="8">
        <v>19</v>
      </c>
      <c r="N239" s="8">
        <v>45</v>
      </c>
      <c r="O239" s="8">
        <v>10</v>
      </c>
      <c r="P239" s="8">
        <v>769.5</v>
      </c>
      <c r="Q239" s="8">
        <v>1</v>
      </c>
      <c r="R239" s="8" t="s">
        <v>34</v>
      </c>
      <c r="S239" s="8" t="s">
        <v>115</v>
      </c>
      <c r="T239" s="8" t="s">
        <v>228</v>
      </c>
      <c r="U239" s="9" t="s">
        <v>1159</v>
      </c>
      <c r="V239" s="8" t="s">
        <v>38</v>
      </c>
    </row>
    <row r="240" spans="1:22">
      <c r="A240" s="3" t="s">
        <v>1160</v>
      </c>
      <c r="B240" s="4" t="s">
        <v>53</v>
      </c>
      <c r="C240" s="4" t="s">
        <v>259</v>
      </c>
      <c r="D240" s="4" t="s">
        <v>588</v>
      </c>
      <c r="E240" s="4" t="s">
        <v>1161</v>
      </c>
      <c r="F240" s="4" t="s">
        <v>163</v>
      </c>
      <c r="G240" s="4" t="s">
        <v>28</v>
      </c>
      <c r="H240" s="4" t="s">
        <v>1162</v>
      </c>
      <c r="I240" s="4" t="s">
        <v>114</v>
      </c>
      <c r="J240" s="4" t="s">
        <v>106</v>
      </c>
      <c r="K240" s="4" t="s">
        <v>122</v>
      </c>
      <c r="L240" s="4" t="s">
        <v>263</v>
      </c>
      <c r="M240" s="4">
        <v>10</v>
      </c>
      <c r="N240" s="4">
        <v>45</v>
      </c>
      <c r="O240" s="4">
        <v>0</v>
      </c>
      <c r="P240" s="4">
        <v>450</v>
      </c>
      <c r="Q240" s="4">
        <v>4</v>
      </c>
      <c r="R240" s="4" t="s">
        <v>88</v>
      </c>
      <c r="S240" s="4" t="s">
        <v>61</v>
      </c>
      <c r="T240" s="4" t="s">
        <v>62</v>
      </c>
      <c r="U240" s="6" t="s">
        <v>1163</v>
      </c>
      <c r="V240" s="4" t="s">
        <v>38</v>
      </c>
    </row>
    <row r="241" spans="1:22">
      <c r="A241" s="7" t="s">
        <v>1164</v>
      </c>
      <c r="B241" s="8" t="s">
        <v>53</v>
      </c>
      <c r="C241" s="8" t="s">
        <v>259</v>
      </c>
      <c r="D241" s="8" t="s">
        <v>1165</v>
      </c>
      <c r="E241" s="8" t="s">
        <v>1039</v>
      </c>
      <c r="F241" s="8" t="s">
        <v>163</v>
      </c>
      <c r="G241" s="8" t="s">
        <v>28</v>
      </c>
      <c r="H241" s="8" t="s">
        <v>1166</v>
      </c>
      <c r="I241" s="8" t="s">
        <v>30</v>
      </c>
      <c r="J241" s="8" t="s">
        <v>31</v>
      </c>
      <c r="K241" s="8" t="s">
        <v>122</v>
      </c>
      <c r="L241" s="8" t="s">
        <v>263</v>
      </c>
      <c r="M241" s="8">
        <v>16</v>
      </c>
      <c r="N241" s="8">
        <v>45</v>
      </c>
      <c r="O241" s="8">
        <v>15</v>
      </c>
      <c r="P241" s="8">
        <v>612</v>
      </c>
      <c r="Q241" s="8">
        <v>3</v>
      </c>
      <c r="R241" s="8" t="s">
        <v>34</v>
      </c>
      <c r="S241" s="8" t="s">
        <v>115</v>
      </c>
      <c r="T241" s="8" t="s">
        <v>62</v>
      </c>
      <c r="U241" s="9" t="s">
        <v>1167</v>
      </c>
      <c r="V241" s="8" t="s">
        <v>69</v>
      </c>
    </row>
    <row r="242" spans="1:22">
      <c r="A242" s="3" t="s">
        <v>1168</v>
      </c>
      <c r="B242" s="4" t="s">
        <v>168</v>
      </c>
      <c r="C242" s="4" t="s">
        <v>169</v>
      </c>
      <c r="D242" s="4" t="s">
        <v>119</v>
      </c>
      <c r="E242" s="4" t="s">
        <v>120</v>
      </c>
      <c r="F242" s="4" t="s">
        <v>361</v>
      </c>
      <c r="G242" s="4" t="s">
        <v>28</v>
      </c>
      <c r="H242" s="4" t="s">
        <v>1169</v>
      </c>
      <c r="I242" s="4" t="s">
        <v>114</v>
      </c>
      <c r="J242" s="4" t="s">
        <v>106</v>
      </c>
      <c r="K242" s="4" t="s">
        <v>32</v>
      </c>
      <c r="L242" s="4" t="s">
        <v>174</v>
      </c>
      <c r="M242" s="4">
        <v>16</v>
      </c>
      <c r="N242" s="4">
        <v>8500</v>
      </c>
      <c r="O242" s="4">
        <v>15</v>
      </c>
      <c r="P242" s="4">
        <v>115600</v>
      </c>
      <c r="Q242" s="4">
        <v>4</v>
      </c>
      <c r="R242" s="4" t="s">
        <v>48</v>
      </c>
      <c r="S242" s="4" t="s">
        <v>35</v>
      </c>
      <c r="T242" s="4" t="s">
        <v>175</v>
      </c>
      <c r="U242" s="6" t="s">
        <v>1170</v>
      </c>
      <c r="V242" s="4" t="s">
        <v>69</v>
      </c>
    </row>
    <row r="243" spans="1:22">
      <c r="A243" s="7" t="s">
        <v>1171</v>
      </c>
      <c r="B243" s="8" t="s">
        <v>168</v>
      </c>
      <c r="C243" s="8" t="s">
        <v>222</v>
      </c>
      <c r="D243" s="8" t="s">
        <v>445</v>
      </c>
      <c r="E243" s="8" t="s">
        <v>1172</v>
      </c>
      <c r="F243" s="8" t="s">
        <v>361</v>
      </c>
      <c r="G243" s="8" t="s">
        <v>28</v>
      </c>
      <c r="H243" s="8" t="s">
        <v>1173</v>
      </c>
      <c r="I243" s="8" t="s">
        <v>294</v>
      </c>
      <c r="J243" s="8" t="s">
        <v>295</v>
      </c>
      <c r="K243" s="8" t="s">
        <v>122</v>
      </c>
      <c r="L243" s="8" t="s">
        <v>227</v>
      </c>
      <c r="M243" s="8">
        <v>15</v>
      </c>
      <c r="N243" s="8">
        <v>20</v>
      </c>
      <c r="O243" s="8">
        <v>20</v>
      </c>
      <c r="P243" s="8">
        <v>240</v>
      </c>
      <c r="Q243" s="8">
        <v>3</v>
      </c>
      <c r="R243" s="8" t="s">
        <v>48</v>
      </c>
      <c r="S243" s="8" t="s">
        <v>49</v>
      </c>
      <c r="T243" s="8" t="s">
        <v>175</v>
      </c>
      <c r="U243" s="9" t="s">
        <v>1174</v>
      </c>
      <c r="V243" s="8" t="s">
        <v>69</v>
      </c>
    </row>
    <row r="244" spans="1:22">
      <c r="A244" s="3" t="s">
        <v>1175</v>
      </c>
      <c r="B244" s="4" t="s">
        <v>83</v>
      </c>
      <c r="C244" s="4" t="s">
        <v>118</v>
      </c>
      <c r="D244" s="4" t="s">
        <v>440</v>
      </c>
      <c r="E244" s="4" t="s">
        <v>1176</v>
      </c>
      <c r="F244" s="4" t="s">
        <v>180</v>
      </c>
      <c r="G244" s="4" t="s">
        <v>76</v>
      </c>
      <c r="H244" s="4" t="s">
        <v>1177</v>
      </c>
      <c r="I244" s="4" t="s">
        <v>59</v>
      </c>
      <c r="J244" s="4" t="s">
        <v>31</v>
      </c>
      <c r="K244" s="4" t="s">
        <v>122</v>
      </c>
      <c r="L244" s="4" t="s">
        <v>123</v>
      </c>
      <c r="M244" s="4">
        <v>14</v>
      </c>
      <c r="N244" s="4">
        <v>60</v>
      </c>
      <c r="O244" s="4">
        <v>5</v>
      </c>
      <c r="P244" s="4">
        <v>798</v>
      </c>
      <c r="Q244" s="4">
        <v>4</v>
      </c>
      <c r="R244" s="4" t="s">
        <v>34</v>
      </c>
      <c r="S244" s="4" t="s">
        <v>49</v>
      </c>
      <c r="T244" s="4" t="s">
        <v>89</v>
      </c>
      <c r="U244" s="6" t="s">
        <v>1178</v>
      </c>
      <c r="V244" s="4" t="s">
        <v>38</v>
      </c>
    </row>
    <row r="245" spans="1:22">
      <c r="A245" s="7" t="s">
        <v>1179</v>
      </c>
      <c r="B245" s="8" t="s">
        <v>53</v>
      </c>
      <c r="C245" s="8" t="s">
        <v>72</v>
      </c>
      <c r="D245" s="8" t="s">
        <v>1180</v>
      </c>
      <c r="E245" s="8" t="s">
        <v>1181</v>
      </c>
      <c r="F245" s="8" t="s">
        <v>163</v>
      </c>
      <c r="G245" s="8" t="s">
        <v>28</v>
      </c>
      <c r="H245" s="8" t="s">
        <v>1182</v>
      </c>
      <c r="I245" s="8" t="s">
        <v>105</v>
      </c>
      <c r="J245" s="8" t="s">
        <v>106</v>
      </c>
      <c r="K245" s="8" t="s">
        <v>46</v>
      </c>
      <c r="L245" s="8" t="s">
        <v>78</v>
      </c>
      <c r="M245" s="8">
        <v>19</v>
      </c>
      <c r="N245" s="8">
        <v>1200</v>
      </c>
      <c r="O245" s="8">
        <v>20</v>
      </c>
      <c r="P245" s="8">
        <v>18240</v>
      </c>
      <c r="Q245" s="8">
        <v>2</v>
      </c>
      <c r="R245" s="8" t="s">
        <v>34</v>
      </c>
      <c r="S245" s="8" t="s">
        <v>115</v>
      </c>
      <c r="T245" s="8" t="s">
        <v>62</v>
      </c>
      <c r="U245" s="9" t="s">
        <v>1183</v>
      </c>
      <c r="V245" s="8" t="s">
        <v>69</v>
      </c>
    </row>
    <row r="246" spans="1:22">
      <c r="A246" s="3" t="s">
        <v>1184</v>
      </c>
      <c r="B246" s="4" t="s">
        <v>23</v>
      </c>
      <c r="C246" s="4" t="s">
        <v>259</v>
      </c>
      <c r="D246" s="4" t="s">
        <v>340</v>
      </c>
      <c r="E246" s="4" t="s">
        <v>346</v>
      </c>
      <c r="F246" s="4" t="s">
        <v>27</v>
      </c>
      <c r="G246" s="4" t="s">
        <v>28</v>
      </c>
      <c r="H246" s="4" t="s">
        <v>1185</v>
      </c>
      <c r="I246" s="4" t="s">
        <v>59</v>
      </c>
      <c r="J246" s="4" t="s">
        <v>31</v>
      </c>
      <c r="K246" s="4" t="s">
        <v>122</v>
      </c>
      <c r="L246" s="4" t="s">
        <v>263</v>
      </c>
      <c r="M246" s="4">
        <v>5</v>
      </c>
      <c r="N246" s="4">
        <v>45</v>
      </c>
      <c r="O246" s="4">
        <v>15</v>
      </c>
      <c r="P246" s="4">
        <v>191.25</v>
      </c>
      <c r="Q246" s="4">
        <v>2</v>
      </c>
      <c r="R246" s="4" t="s">
        <v>34</v>
      </c>
      <c r="S246" s="4" t="s">
        <v>61</v>
      </c>
      <c r="T246" s="4" t="s">
        <v>50</v>
      </c>
      <c r="U246" s="6" t="s">
        <v>1186</v>
      </c>
      <c r="V246" s="4" t="s">
        <v>69</v>
      </c>
    </row>
    <row r="247" spans="1:22">
      <c r="A247" s="7" t="s">
        <v>1187</v>
      </c>
      <c r="B247" s="8" t="s">
        <v>327</v>
      </c>
      <c r="C247" s="8" t="s">
        <v>184</v>
      </c>
      <c r="D247" s="8" t="s">
        <v>237</v>
      </c>
      <c r="E247" s="8" t="s">
        <v>1188</v>
      </c>
      <c r="F247" s="8" t="s">
        <v>394</v>
      </c>
      <c r="G247" s="8" t="s">
        <v>76</v>
      </c>
      <c r="H247" s="8" t="s">
        <v>1189</v>
      </c>
      <c r="I247" s="8" t="s">
        <v>30</v>
      </c>
      <c r="J247" s="8" t="s">
        <v>31</v>
      </c>
      <c r="K247" s="8" t="s">
        <v>46</v>
      </c>
      <c r="L247" s="8" t="s">
        <v>189</v>
      </c>
      <c r="M247" s="8">
        <v>19</v>
      </c>
      <c r="N247" s="8">
        <v>700</v>
      </c>
      <c r="O247" s="8">
        <v>5</v>
      </c>
      <c r="P247" s="8">
        <v>12635</v>
      </c>
      <c r="Q247" s="8">
        <v>5</v>
      </c>
      <c r="R247" s="8" t="s">
        <v>88</v>
      </c>
      <c r="S247" s="8" t="s">
        <v>151</v>
      </c>
      <c r="T247" s="8" t="s">
        <v>332</v>
      </c>
      <c r="U247" s="9" t="s">
        <v>1190</v>
      </c>
      <c r="V247" s="8" t="s">
        <v>38</v>
      </c>
    </row>
    <row r="248" spans="1:22">
      <c r="A248" s="3" t="s">
        <v>1191</v>
      </c>
      <c r="B248" s="4" t="s">
        <v>127</v>
      </c>
      <c r="C248" s="4" t="s">
        <v>118</v>
      </c>
      <c r="D248" s="4" t="s">
        <v>464</v>
      </c>
      <c r="E248" s="4" t="s">
        <v>84</v>
      </c>
      <c r="F248" s="4" t="s">
        <v>200</v>
      </c>
      <c r="G248" s="4" t="s">
        <v>76</v>
      </c>
      <c r="H248" s="4" t="s">
        <v>1192</v>
      </c>
      <c r="I248" s="4" t="s">
        <v>294</v>
      </c>
      <c r="J248" s="4" t="s">
        <v>295</v>
      </c>
      <c r="K248" s="4" t="s">
        <v>122</v>
      </c>
      <c r="L248" s="4" t="s">
        <v>123</v>
      </c>
      <c r="M248" s="4">
        <v>7</v>
      </c>
      <c r="N248" s="4">
        <v>60</v>
      </c>
      <c r="O248" s="4">
        <v>0</v>
      </c>
      <c r="P248" s="4">
        <v>420</v>
      </c>
      <c r="Q248" s="4">
        <v>4</v>
      </c>
      <c r="R248" s="4" t="s">
        <v>34</v>
      </c>
      <c r="S248" s="4" t="s">
        <v>115</v>
      </c>
      <c r="T248" s="4" t="s">
        <v>132</v>
      </c>
      <c r="U248" s="6" t="s">
        <v>1193</v>
      </c>
      <c r="V248" s="4" t="s">
        <v>64</v>
      </c>
    </row>
    <row r="249" spans="1:22">
      <c r="A249" s="7" t="s">
        <v>1194</v>
      </c>
      <c r="B249" s="8" t="s">
        <v>71</v>
      </c>
      <c r="C249" s="8" t="s">
        <v>24</v>
      </c>
      <c r="D249" s="8" t="s">
        <v>215</v>
      </c>
      <c r="E249" s="8" t="s">
        <v>711</v>
      </c>
      <c r="F249" s="8" t="s">
        <v>217</v>
      </c>
      <c r="G249" s="8" t="s">
        <v>76</v>
      </c>
      <c r="H249" s="8" t="s">
        <v>1195</v>
      </c>
      <c r="I249" s="8" t="s">
        <v>105</v>
      </c>
      <c r="J249" s="8" t="s">
        <v>106</v>
      </c>
      <c r="K249" s="8" t="s">
        <v>32</v>
      </c>
      <c r="L249" s="8" t="s">
        <v>33</v>
      </c>
      <c r="M249" s="8">
        <v>13</v>
      </c>
      <c r="N249" s="8">
        <v>2200</v>
      </c>
      <c r="O249" s="8">
        <v>10</v>
      </c>
      <c r="P249" s="8">
        <v>25740</v>
      </c>
      <c r="Q249" s="8">
        <v>1</v>
      </c>
      <c r="R249" s="8" t="s">
        <v>79</v>
      </c>
      <c r="S249" s="8" t="s">
        <v>151</v>
      </c>
      <c r="T249" s="8" t="s">
        <v>80</v>
      </c>
      <c r="U249" s="9" t="s">
        <v>1196</v>
      </c>
      <c r="V249" s="8" t="s">
        <v>38</v>
      </c>
    </row>
    <row r="250" spans="1:22">
      <c r="A250" s="3" t="s">
        <v>1197</v>
      </c>
      <c r="B250" s="4" t="s">
        <v>71</v>
      </c>
      <c r="C250" s="4" t="s">
        <v>24</v>
      </c>
      <c r="D250" s="4" t="s">
        <v>1198</v>
      </c>
      <c r="E250" s="4" t="s">
        <v>1199</v>
      </c>
      <c r="F250" s="4" t="s">
        <v>217</v>
      </c>
      <c r="G250" s="4" t="s">
        <v>76</v>
      </c>
      <c r="H250" s="4" t="s">
        <v>1200</v>
      </c>
      <c r="I250" s="4" t="s">
        <v>59</v>
      </c>
      <c r="J250" s="4" t="s">
        <v>31</v>
      </c>
      <c r="K250" s="4" t="s">
        <v>32</v>
      </c>
      <c r="L250" s="4" t="s">
        <v>33</v>
      </c>
      <c r="M250" s="4">
        <v>9</v>
      </c>
      <c r="N250" s="4">
        <v>2200</v>
      </c>
      <c r="O250" s="4">
        <v>10</v>
      </c>
      <c r="P250" s="4">
        <v>17820</v>
      </c>
      <c r="Q250" s="4">
        <v>2</v>
      </c>
      <c r="R250" s="4" t="s">
        <v>1201</v>
      </c>
      <c r="S250" s="4" t="s">
        <v>61</v>
      </c>
      <c r="T250" s="4" t="s">
        <v>80</v>
      </c>
      <c r="U250" s="6" t="s">
        <v>1202</v>
      </c>
      <c r="V250" s="4" t="s">
        <v>69</v>
      </c>
    </row>
    <row r="251" spans="1:22">
      <c r="A251" s="7" t="s">
        <v>1203</v>
      </c>
      <c r="B251" s="8" t="s">
        <v>327</v>
      </c>
      <c r="C251" s="8" t="s">
        <v>169</v>
      </c>
      <c r="D251" s="8" t="s">
        <v>944</v>
      </c>
      <c r="E251" s="8" t="s">
        <v>1204</v>
      </c>
      <c r="F251" s="8" t="s">
        <v>394</v>
      </c>
      <c r="G251" s="8" t="s">
        <v>76</v>
      </c>
      <c r="H251" s="8" t="s">
        <v>1205</v>
      </c>
      <c r="I251" s="8" t="s">
        <v>59</v>
      </c>
      <c r="J251" s="8" t="s">
        <v>31</v>
      </c>
      <c r="K251" s="8" t="s">
        <v>32</v>
      </c>
      <c r="L251" s="8" t="s">
        <v>174</v>
      </c>
      <c r="M251" s="8">
        <v>6</v>
      </c>
      <c r="N251" s="8">
        <v>8500</v>
      </c>
      <c r="O251" s="8">
        <v>15</v>
      </c>
      <c r="P251" s="8">
        <v>43350</v>
      </c>
      <c r="Q251" s="8">
        <v>2</v>
      </c>
      <c r="R251" s="8" t="s">
        <v>34</v>
      </c>
      <c r="S251" s="8" t="s">
        <v>151</v>
      </c>
      <c r="T251" s="8" t="s">
        <v>332</v>
      </c>
      <c r="U251" s="9" t="s">
        <v>1206</v>
      </c>
      <c r="V251" s="8" t="s">
        <v>69</v>
      </c>
    </row>
    <row r="252" spans="1:22">
      <c r="A252" s="3" t="s">
        <v>1207</v>
      </c>
      <c r="B252" s="4" t="s">
        <v>221</v>
      </c>
      <c r="C252" s="4" t="s">
        <v>24</v>
      </c>
      <c r="D252" s="4" t="s">
        <v>736</v>
      </c>
      <c r="E252" s="4" t="s">
        <v>94</v>
      </c>
      <c r="F252" s="4" t="s">
        <v>225</v>
      </c>
      <c r="G252" s="4" t="s">
        <v>76</v>
      </c>
      <c r="H252" s="4" t="s">
        <v>1208</v>
      </c>
      <c r="I252" s="4" t="s">
        <v>44</v>
      </c>
      <c r="J252" s="4" t="s">
        <v>45</v>
      </c>
      <c r="K252" s="4" t="s">
        <v>32</v>
      </c>
      <c r="L252" s="4" t="s">
        <v>33</v>
      </c>
      <c r="M252" s="4">
        <v>9</v>
      </c>
      <c r="N252" s="4">
        <v>2200</v>
      </c>
      <c r="O252" s="4">
        <v>10</v>
      </c>
      <c r="P252" s="4">
        <v>17820</v>
      </c>
      <c r="Q252" s="4">
        <v>3</v>
      </c>
      <c r="R252" s="4" t="s">
        <v>79</v>
      </c>
      <c r="S252" s="4" t="s">
        <v>35</v>
      </c>
      <c r="T252" s="4" t="s">
        <v>228</v>
      </c>
      <c r="U252" s="6" t="s">
        <v>1209</v>
      </c>
      <c r="V252" s="4" t="s">
        <v>64</v>
      </c>
    </row>
    <row r="253" spans="1:22">
      <c r="A253" s="7" t="s">
        <v>1210</v>
      </c>
      <c r="B253" s="8" t="s">
        <v>23</v>
      </c>
      <c r="C253" s="8" t="s">
        <v>169</v>
      </c>
      <c r="D253" s="8" t="s">
        <v>825</v>
      </c>
      <c r="E253" s="8" t="s">
        <v>876</v>
      </c>
      <c r="F253" s="8" t="s">
        <v>27</v>
      </c>
      <c r="G253" s="8" t="s">
        <v>28</v>
      </c>
      <c r="H253" s="8" t="s">
        <v>1211</v>
      </c>
      <c r="I253" s="8" t="s">
        <v>294</v>
      </c>
      <c r="J253" s="8" t="s">
        <v>295</v>
      </c>
      <c r="K253" s="8" t="s">
        <v>32</v>
      </c>
      <c r="L253" s="8" t="s">
        <v>174</v>
      </c>
      <c r="M253" s="8">
        <v>16</v>
      </c>
      <c r="N253" s="8">
        <v>8500</v>
      </c>
      <c r="O253" s="8">
        <v>0</v>
      </c>
      <c r="P253" s="8">
        <v>136000</v>
      </c>
      <c r="Q253" s="8">
        <v>5</v>
      </c>
      <c r="R253" s="8" t="s">
        <v>88</v>
      </c>
      <c r="S253" s="8" t="s">
        <v>115</v>
      </c>
      <c r="T253" s="8" t="s">
        <v>50</v>
      </c>
      <c r="U253" s="9" t="s">
        <v>1212</v>
      </c>
      <c r="V253" s="8" t="s">
        <v>69</v>
      </c>
    </row>
    <row r="254" spans="1:22">
      <c r="A254" s="3" t="s">
        <v>1213</v>
      </c>
      <c r="B254" s="4" t="s">
        <v>327</v>
      </c>
      <c r="C254" s="4" t="s">
        <v>72</v>
      </c>
      <c r="D254" s="4" t="s">
        <v>1214</v>
      </c>
      <c r="E254" s="4" t="s">
        <v>692</v>
      </c>
      <c r="F254" s="4" t="s">
        <v>394</v>
      </c>
      <c r="G254" s="4" t="s">
        <v>76</v>
      </c>
      <c r="H254" s="4" t="s">
        <v>1215</v>
      </c>
      <c r="I254" s="4" t="s">
        <v>44</v>
      </c>
      <c r="J254" s="4" t="s">
        <v>45</v>
      </c>
      <c r="K254" s="4" t="s">
        <v>46</v>
      </c>
      <c r="L254" s="4" t="s">
        <v>78</v>
      </c>
      <c r="M254" s="4">
        <v>10</v>
      </c>
      <c r="N254" s="4">
        <v>1200</v>
      </c>
      <c r="O254" s="4">
        <v>15</v>
      </c>
      <c r="P254" s="4">
        <v>10200</v>
      </c>
      <c r="Q254" s="4">
        <v>5</v>
      </c>
      <c r="R254" s="4" t="s">
        <v>34</v>
      </c>
      <c r="S254" s="4" t="s">
        <v>49</v>
      </c>
      <c r="T254" s="4" t="s">
        <v>332</v>
      </c>
      <c r="U254" s="6" t="s">
        <v>1216</v>
      </c>
      <c r="V254" s="4" t="s">
        <v>38</v>
      </c>
    </row>
    <row r="255" spans="1:22">
      <c r="A255" s="7" t="s">
        <v>1217</v>
      </c>
      <c r="B255" s="8" t="s">
        <v>127</v>
      </c>
      <c r="C255" s="8" t="s">
        <v>40</v>
      </c>
      <c r="D255" s="8" t="s">
        <v>413</v>
      </c>
      <c r="E255" s="8" t="s">
        <v>136</v>
      </c>
      <c r="F255" s="8" t="s">
        <v>200</v>
      </c>
      <c r="G255" s="8" t="s">
        <v>76</v>
      </c>
      <c r="H255" s="8" t="s">
        <v>1218</v>
      </c>
      <c r="I255" s="8" t="s">
        <v>294</v>
      </c>
      <c r="J255" s="8" t="s">
        <v>295</v>
      </c>
      <c r="K255" s="8" t="s">
        <v>46</v>
      </c>
      <c r="L255" s="8" t="s">
        <v>47</v>
      </c>
      <c r="M255" s="8">
        <v>7</v>
      </c>
      <c r="N255" s="8">
        <v>12000</v>
      </c>
      <c r="O255" s="8">
        <v>0</v>
      </c>
      <c r="P255" s="8">
        <v>84000</v>
      </c>
      <c r="Q255" s="8">
        <v>1</v>
      </c>
      <c r="R255" s="8" t="s">
        <v>88</v>
      </c>
      <c r="S255" s="8" t="s">
        <v>151</v>
      </c>
      <c r="T255" s="8" t="s">
        <v>132</v>
      </c>
      <c r="U255" s="9" t="s">
        <v>1219</v>
      </c>
      <c r="V255" s="8" t="s">
        <v>64</v>
      </c>
    </row>
    <row r="256" spans="1:22">
      <c r="A256" s="3" t="s">
        <v>1220</v>
      </c>
      <c r="B256" s="4" t="s">
        <v>221</v>
      </c>
      <c r="C256" s="4" t="s">
        <v>40</v>
      </c>
      <c r="D256" s="4" t="s">
        <v>128</v>
      </c>
      <c r="E256" s="4" t="s">
        <v>1221</v>
      </c>
      <c r="F256" s="4" t="s">
        <v>225</v>
      </c>
      <c r="G256" s="4" t="s">
        <v>76</v>
      </c>
      <c r="H256" s="4" t="s">
        <v>1222</v>
      </c>
      <c r="I256" s="4" t="s">
        <v>114</v>
      </c>
      <c r="J256" s="4" t="s">
        <v>106</v>
      </c>
      <c r="K256" s="4" t="s">
        <v>46</v>
      </c>
      <c r="L256" s="4" t="s">
        <v>47</v>
      </c>
      <c r="M256" s="4">
        <v>3</v>
      </c>
      <c r="N256" s="4">
        <v>12000</v>
      </c>
      <c r="O256" s="4">
        <v>10</v>
      </c>
      <c r="P256" s="4">
        <v>32400</v>
      </c>
      <c r="Q256" s="4">
        <v>4</v>
      </c>
      <c r="R256" s="4" t="s">
        <v>79</v>
      </c>
      <c r="S256" s="4" t="s">
        <v>151</v>
      </c>
      <c r="T256" s="4" t="s">
        <v>228</v>
      </c>
      <c r="U256" s="6" t="s">
        <v>1223</v>
      </c>
      <c r="V256" s="4" t="s">
        <v>38</v>
      </c>
    </row>
    <row r="257" spans="1:22">
      <c r="A257" s="7" t="s">
        <v>1224</v>
      </c>
      <c r="B257" s="8" t="s">
        <v>221</v>
      </c>
      <c r="C257" s="8" t="s">
        <v>40</v>
      </c>
      <c r="D257" s="8" t="s">
        <v>1225</v>
      </c>
      <c r="E257" s="8" t="s">
        <v>927</v>
      </c>
      <c r="F257" s="8" t="s">
        <v>225</v>
      </c>
      <c r="G257" s="8" t="s">
        <v>76</v>
      </c>
      <c r="H257" s="8" t="s">
        <v>1226</v>
      </c>
      <c r="I257" s="8" t="s">
        <v>30</v>
      </c>
      <c r="J257" s="8" t="s">
        <v>31</v>
      </c>
      <c r="K257" s="8" t="s">
        <v>46</v>
      </c>
      <c r="L257" s="8" t="s">
        <v>47</v>
      </c>
      <c r="M257" s="8">
        <v>4</v>
      </c>
      <c r="N257" s="8">
        <v>12000</v>
      </c>
      <c r="O257" s="8">
        <v>15</v>
      </c>
      <c r="P257" s="8">
        <v>40800</v>
      </c>
      <c r="Q257" s="8">
        <v>3</v>
      </c>
      <c r="R257" s="8" t="s">
        <v>79</v>
      </c>
      <c r="S257" s="8" t="s">
        <v>35</v>
      </c>
      <c r="T257" s="8" t="s">
        <v>228</v>
      </c>
      <c r="U257" s="9" t="s">
        <v>1227</v>
      </c>
      <c r="V257" s="8" t="s">
        <v>64</v>
      </c>
    </row>
    <row r="258" spans="1:22">
      <c r="A258" s="3" t="s">
        <v>1228</v>
      </c>
      <c r="B258" s="4" t="s">
        <v>127</v>
      </c>
      <c r="C258" s="4" t="s">
        <v>40</v>
      </c>
      <c r="D258" s="4" t="s">
        <v>260</v>
      </c>
      <c r="E258" s="4" t="s">
        <v>498</v>
      </c>
      <c r="F258" s="4" t="s">
        <v>200</v>
      </c>
      <c r="G258" s="4" t="s">
        <v>76</v>
      </c>
      <c r="H258" s="4" t="s">
        <v>1229</v>
      </c>
      <c r="I258" s="4" t="s">
        <v>30</v>
      </c>
      <c r="J258" s="4" t="s">
        <v>31</v>
      </c>
      <c r="K258" s="4" t="s">
        <v>46</v>
      </c>
      <c r="L258" s="4" t="s">
        <v>47</v>
      </c>
      <c r="M258" s="4">
        <v>13</v>
      </c>
      <c r="N258" s="4">
        <v>12000</v>
      </c>
      <c r="O258" s="4">
        <v>10</v>
      </c>
      <c r="P258" s="4">
        <v>140400</v>
      </c>
      <c r="Q258" s="4">
        <v>2</v>
      </c>
      <c r="R258" s="4" t="s">
        <v>34</v>
      </c>
      <c r="S258" s="4" t="s">
        <v>151</v>
      </c>
      <c r="T258" s="4" t="s">
        <v>132</v>
      </c>
      <c r="U258" s="6" t="s">
        <v>1230</v>
      </c>
      <c r="V258" s="4" t="s">
        <v>69</v>
      </c>
    </row>
    <row r="259" spans="1:22">
      <c r="A259" s="7" t="s">
        <v>1231</v>
      </c>
      <c r="B259" s="8" t="s">
        <v>23</v>
      </c>
      <c r="C259" s="8" t="s">
        <v>92</v>
      </c>
      <c r="D259" s="8" t="s">
        <v>318</v>
      </c>
      <c r="E259" s="8" t="s">
        <v>679</v>
      </c>
      <c r="F259" s="8" t="s">
        <v>27</v>
      </c>
      <c r="G259" s="8" t="s">
        <v>28</v>
      </c>
      <c r="H259" s="8" t="s">
        <v>1232</v>
      </c>
      <c r="I259" s="8" t="s">
        <v>59</v>
      </c>
      <c r="J259" s="8" t="s">
        <v>31</v>
      </c>
      <c r="K259" s="8" t="s">
        <v>32</v>
      </c>
      <c r="L259" s="8" t="s">
        <v>97</v>
      </c>
      <c r="M259" s="8">
        <v>19</v>
      </c>
      <c r="N259" s="8">
        <v>3500</v>
      </c>
      <c r="O259" s="8">
        <v>20</v>
      </c>
      <c r="P259" s="8">
        <v>53200</v>
      </c>
      <c r="Q259" s="8">
        <v>1</v>
      </c>
      <c r="R259" s="8" t="s">
        <v>34</v>
      </c>
      <c r="S259" s="8" t="s">
        <v>61</v>
      </c>
      <c r="T259" s="8" t="s">
        <v>50</v>
      </c>
      <c r="U259" s="9" t="s">
        <v>1233</v>
      </c>
      <c r="V259" s="8" t="s">
        <v>69</v>
      </c>
    </row>
    <row r="260" spans="1:22">
      <c r="A260" s="3" t="s">
        <v>1234</v>
      </c>
      <c r="B260" s="4" t="s">
        <v>23</v>
      </c>
      <c r="C260" s="4" t="s">
        <v>24</v>
      </c>
      <c r="D260" s="4" t="s">
        <v>932</v>
      </c>
      <c r="E260" s="4" t="s">
        <v>436</v>
      </c>
      <c r="F260" s="4" t="s">
        <v>27</v>
      </c>
      <c r="G260" s="4" t="s">
        <v>28</v>
      </c>
      <c r="H260" s="4" t="s">
        <v>1235</v>
      </c>
      <c r="I260" s="4" t="s">
        <v>105</v>
      </c>
      <c r="J260" s="4" t="s">
        <v>106</v>
      </c>
      <c r="K260" s="4" t="s">
        <v>32</v>
      </c>
      <c r="L260" s="4" t="s">
        <v>33</v>
      </c>
      <c r="M260" s="4">
        <v>7</v>
      </c>
      <c r="N260" s="4">
        <v>2200</v>
      </c>
      <c r="O260" s="4">
        <v>5</v>
      </c>
      <c r="P260" s="4">
        <v>14630</v>
      </c>
      <c r="Q260" s="4">
        <v>3</v>
      </c>
      <c r="R260" s="4" t="s">
        <v>88</v>
      </c>
      <c r="S260" s="4" t="s">
        <v>61</v>
      </c>
      <c r="T260" s="4" t="s">
        <v>50</v>
      </c>
      <c r="U260" s="6" t="s">
        <v>1236</v>
      </c>
      <c r="V260" s="4" t="s">
        <v>69</v>
      </c>
    </row>
    <row r="261" spans="1:22">
      <c r="A261" s="7" t="s">
        <v>1237</v>
      </c>
      <c r="B261" s="8" t="s">
        <v>83</v>
      </c>
      <c r="C261" s="8" t="s">
        <v>184</v>
      </c>
      <c r="D261" s="8" t="s">
        <v>1238</v>
      </c>
      <c r="E261" s="8" t="s">
        <v>426</v>
      </c>
      <c r="F261" s="8" t="s">
        <v>180</v>
      </c>
      <c r="G261" s="8" t="s">
        <v>76</v>
      </c>
      <c r="H261" s="8" t="s">
        <v>1239</v>
      </c>
      <c r="I261" s="8" t="s">
        <v>212</v>
      </c>
      <c r="J261" s="8" t="s">
        <v>45</v>
      </c>
      <c r="K261" s="8" t="s">
        <v>46</v>
      </c>
      <c r="L261" s="8" t="s">
        <v>189</v>
      </c>
      <c r="M261" s="8">
        <v>18</v>
      </c>
      <c r="N261" s="8">
        <v>700</v>
      </c>
      <c r="O261" s="8">
        <v>5</v>
      </c>
      <c r="P261" s="8">
        <v>11970</v>
      </c>
      <c r="Q261" s="8">
        <v>2</v>
      </c>
      <c r="R261" s="8" t="s">
        <v>88</v>
      </c>
      <c r="S261" s="8" t="s">
        <v>61</v>
      </c>
      <c r="T261" s="8" t="s">
        <v>89</v>
      </c>
      <c r="U261" s="9" t="s">
        <v>1240</v>
      </c>
      <c r="V261" s="8" t="s">
        <v>69</v>
      </c>
    </row>
    <row r="262" spans="1:22">
      <c r="A262" s="3" t="s">
        <v>1241</v>
      </c>
      <c r="B262" s="4" t="s">
        <v>23</v>
      </c>
      <c r="C262" s="4" t="s">
        <v>222</v>
      </c>
      <c r="D262" s="4" t="s">
        <v>1106</v>
      </c>
      <c r="E262" s="4" t="s">
        <v>1242</v>
      </c>
      <c r="F262" s="4" t="s">
        <v>27</v>
      </c>
      <c r="G262" s="4" t="s">
        <v>28</v>
      </c>
      <c r="H262" s="4" t="s">
        <v>1243</v>
      </c>
      <c r="I262" s="4" t="s">
        <v>294</v>
      </c>
      <c r="J262" s="4" t="s">
        <v>295</v>
      </c>
      <c r="K262" s="4" t="s">
        <v>122</v>
      </c>
      <c r="L262" s="4" t="s">
        <v>227</v>
      </c>
      <c r="M262" s="4">
        <v>11</v>
      </c>
      <c r="N262" s="4">
        <v>20</v>
      </c>
      <c r="O262" s="4">
        <v>0</v>
      </c>
      <c r="P262" s="4">
        <v>220</v>
      </c>
      <c r="Q262" s="4">
        <v>2</v>
      </c>
      <c r="R262" s="4" t="s">
        <v>48</v>
      </c>
      <c r="S262" s="4" t="s">
        <v>115</v>
      </c>
      <c r="T262" s="4" t="s">
        <v>50</v>
      </c>
      <c r="U262" s="6" t="s">
        <v>1244</v>
      </c>
      <c r="V262" s="4" t="s">
        <v>69</v>
      </c>
    </row>
    <row r="263" spans="1:22">
      <c r="A263" s="7" t="s">
        <v>1245</v>
      </c>
      <c r="B263" s="8" t="s">
        <v>327</v>
      </c>
      <c r="C263" s="8" t="s">
        <v>40</v>
      </c>
      <c r="D263" s="8" t="s">
        <v>1069</v>
      </c>
      <c r="E263" s="8" t="s">
        <v>272</v>
      </c>
      <c r="F263" s="8" t="s">
        <v>394</v>
      </c>
      <c r="G263" s="8" t="s">
        <v>76</v>
      </c>
      <c r="H263" s="8" t="s">
        <v>1246</v>
      </c>
      <c r="I263" s="8" t="s">
        <v>114</v>
      </c>
      <c r="J263" s="8" t="s">
        <v>106</v>
      </c>
      <c r="K263" s="8" t="s">
        <v>46</v>
      </c>
      <c r="L263" s="8" t="s">
        <v>47</v>
      </c>
      <c r="M263" s="8">
        <v>17</v>
      </c>
      <c r="N263" s="8">
        <v>12000</v>
      </c>
      <c r="O263" s="8">
        <v>20</v>
      </c>
      <c r="P263" s="8">
        <v>163200</v>
      </c>
      <c r="Q263" s="8">
        <v>4</v>
      </c>
      <c r="R263" s="8" t="s">
        <v>88</v>
      </c>
      <c r="S263" s="8" t="s">
        <v>151</v>
      </c>
      <c r="T263" s="8" t="s">
        <v>332</v>
      </c>
      <c r="U263" s="9" t="s">
        <v>1247</v>
      </c>
      <c r="V263" s="8" t="s">
        <v>38</v>
      </c>
    </row>
    <row r="264" spans="1:22">
      <c r="A264" s="3" t="s">
        <v>1248</v>
      </c>
      <c r="B264" s="4" t="s">
        <v>251</v>
      </c>
      <c r="C264" s="4" t="s">
        <v>24</v>
      </c>
      <c r="D264" s="4" t="s">
        <v>1249</v>
      </c>
      <c r="E264" s="4" t="s">
        <v>267</v>
      </c>
      <c r="F264" s="4" t="s">
        <v>254</v>
      </c>
      <c r="G264" s="4" t="s">
        <v>28</v>
      </c>
      <c r="H264" s="4" t="s">
        <v>1250</v>
      </c>
      <c r="I264" s="4" t="s">
        <v>294</v>
      </c>
      <c r="J264" s="4" t="s">
        <v>295</v>
      </c>
      <c r="K264" s="4" t="s">
        <v>32</v>
      </c>
      <c r="L264" s="4" t="s">
        <v>33</v>
      </c>
      <c r="M264" s="4">
        <v>4</v>
      </c>
      <c r="N264" s="4">
        <v>2200</v>
      </c>
      <c r="O264" s="4">
        <v>5</v>
      </c>
      <c r="P264" s="4">
        <v>8360</v>
      </c>
      <c r="Q264" s="4">
        <v>2</v>
      </c>
      <c r="R264" s="4" t="s">
        <v>34</v>
      </c>
      <c r="S264" s="4" t="s">
        <v>35</v>
      </c>
      <c r="T264" s="4" t="s">
        <v>256</v>
      </c>
      <c r="U264" s="6" t="s">
        <v>1251</v>
      </c>
      <c r="V264" s="4" t="s">
        <v>38</v>
      </c>
    </row>
    <row r="265" spans="1:22">
      <c r="A265" s="7" t="s">
        <v>1252</v>
      </c>
      <c r="B265" s="8" t="s">
        <v>23</v>
      </c>
      <c r="C265" s="8" t="s">
        <v>54</v>
      </c>
      <c r="D265" s="8" t="s">
        <v>1253</v>
      </c>
      <c r="E265" s="8" t="s">
        <v>455</v>
      </c>
      <c r="F265" s="8" t="s">
        <v>27</v>
      </c>
      <c r="G265" s="8" t="s">
        <v>28</v>
      </c>
      <c r="H265" s="8" t="s">
        <v>1254</v>
      </c>
      <c r="I265" s="8" t="s">
        <v>138</v>
      </c>
      <c r="J265" s="8" t="s">
        <v>106</v>
      </c>
      <c r="K265" s="8" t="s">
        <v>46</v>
      </c>
      <c r="L265" s="8" t="s">
        <v>60</v>
      </c>
      <c r="M265" s="8">
        <v>6</v>
      </c>
      <c r="N265" s="8">
        <v>55000</v>
      </c>
      <c r="O265" s="8">
        <v>20</v>
      </c>
      <c r="P265" s="8">
        <v>264000</v>
      </c>
      <c r="Q265" s="8">
        <v>2</v>
      </c>
      <c r="R265" s="8" t="s">
        <v>88</v>
      </c>
      <c r="S265" s="8" t="s">
        <v>151</v>
      </c>
      <c r="T265" s="8" t="s">
        <v>50</v>
      </c>
      <c r="U265" s="9" t="s">
        <v>1255</v>
      </c>
      <c r="V265" s="8" t="s">
        <v>69</v>
      </c>
    </row>
    <row r="266" spans="1:22">
      <c r="A266" s="3" t="s">
        <v>1256</v>
      </c>
      <c r="B266" s="4" t="s">
        <v>71</v>
      </c>
      <c r="C266" s="4" t="s">
        <v>169</v>
      </c>
      <c r="D266" s="4" t="s">
        <v>84</v>
      </c>
      <c r="E266" s="4" t="s">
        <v>998</v>
      </c>
      <c r="F266" s="4" t="s">
        <v>217</v>
      </c>
      <c r="G266" s="4" t="s">
        <v>76</v>
      </c>
      <c r="H266" s="4" t="s">
        <v>1257</v>
      </c>
      <c r="I266" s="4" t="s">
        <v>44</v>
      </c>
      <c r="J266" s="4" t="s">
        <v>45</v>
      </c>
      <c r="K266" s="4" t="s">
        <v>32</v>
      </c>
      <c r="L266" s="4" t="s">
        <v>174</v>
      </c>
      <c r="M266" s="4">
        <v>6</v>
      </c>
      <c r="N266" s="4">
        <v>8500</v>
      </c>
      <c r="O266" s="4">
        <v>10</v>
      </c>
      <c r="P266" s="4">
        <v>45900</v>
      </c>
      <c r="Q266" s="4">
        <v>5</v>
      </c>
      <c r="R266" s="4" t="s">
        <v>88</v>
      </c>
      <c r="S266" s="4" t="s">
        <v>61</v>
      </c>
      <c r="T266" s="4" t="s">
        <v>80</v>
      </c>
      <c r="U266" s="6" t="s">
        <v>1258</v>
      </c>
      <c r="V266" s="4" t="s">
        <v>38</v>
      </c>
    </row>
    <row r="267" spans="1:22">
      <c r="A267" s="7" t="s">
        <v>1259</v>
      </c>
      <c r="B267" s="8" t="s">
        <v>23</v>
      </c>
      <c r="C267" s="8" t="s">
        <v>222</v>
      </c>
      <c r="D267" s="8" t="s">
        <v>558</v>
      </c>
      <c r="E267" s="8" t="s">
        <v>371</v>
      </c>
      <c r="F267" s="8" t="s">
        <v>27</v>
      </c>
      <c r="G267" s="8" t="s">
        <v>28</v>
      </c>
      <c r="H267" s="8" t="s">
        <v>1260</v>
      </c>
      <c r="I267" s="8" t="s">
        <v>212</v>
      </c>
      <c r="J267" s="8" t="s">
        <v>45</v>
      </c>
      <c r="K267" s="8" t="s">
        <v>122</v>
      </c>
      <c r="L267" s="8" t="s">
        <v>227</v>
      </c>
      <c r="M267" s="8">
        <v>6</v>
      </c>
      <c r="N267" s="8">
        <v>20</v>
      </c>
      <c r="O267" s="8">
        <v>15</v>
      </c>
      <c r="P267" s="8">
        <v>102</v>
      </c>
      <c r="Q267" s="8">
        <v>2</v>
      </c>
      <c r="R267" s="8" t="s">
        <v>88</v>
      </c>
      <c r="S267" s="8" t="s">
        <v>49</v>
      </c>
      <c r="T267" s="8" t="s">
        <v>50</v>
      </c>
      <c r="U267" s="9" t="s">
        <v>1261</v>
      </c>
      <c r="V267" s="8" t="s">
        <v>69</v>
      </c>
    </row>
    <row r="268" spans="1:22">
      <c r="A268" s="3" t="s">
        <v>1262</v>
      </c>
      <c r="B268" s="4" t="s">
        <v>53</v>
      </c>
      <c r="C268" s="4" t="s">
        <v>118</v>
      </c>
      <c r="D268" s="4" t="s">
        <v>1263</v>
      </c>
      <c r="E268" s="4" t="s">
        <v>597</v>
      </c>
      <c r="F268" s="4" t="s">
        <v>163</v>
      </c>
      <c r="G268" s="4" t="s">
        <v>28</v>
      </c>
      <c r="H268" s="4" t="s">
        <v>1264</v>
      </c>
      <c r="I268" s="4" t="s">
        <v>105</v>
      </c>
      <c r="J268" s="4" t="s">
        <v>106</v>
      </c>
      <c r="K268" s="4" t="s">
        <v>122</v>
      </c>
      <c r="L268" s="4" t="s">
        <v>123</v>
      </c>
      <c r="M268" s="4">
        <v>6</v>
      </c>
      <c r="N268" s="4">
        <v>60</v>
      </c>
      <c r="O268" s="4">
        <v>5</v>
      </c>
      <c r="P268" s="4">
        <v>342</v>
      </c>
      <c r="Q268" s="4">
        <v>1</v>
      </c>
      <c r="R268" s="4" t="s">
        <v>48</v>
      </c>
      <c r="S268" s="4" t="s">
        <v>61</v>
      </c>
      <c r="T268" s="4" t="s">
        <v>62</v>
      </c>
      <c r="U268" s="6" t="s">
        <v>1265</v>
      </c>
      <c r="V268" s="4" t="s">
        <v>38</v>
      </c>
    </row>
    <row r="269" spans="1:22">
      <c r="A269" s="7" t="s">
        <v>1266</v>
      </c>
      <c r="B269" s="8" t="s">
        <v>127</v>
      </c>
      <c r="C269" s="8" t="s">
        <v>169</v>
      </c>
      <c r="D269" s="8" t="s">
        <v>1267</v>
      </c>
      <c r="E269" s="8" t="s">
        <v>1268</v>
      </c>
      <c r="F269" s="8" t="s">
        <v>200</v>
      </c>
      <c r="G269" s="8" t="s">
        <v>76</v>
      </c>
      <c r="H269" s="8" t="s">
        <v>1269</v>
      </c>
      <c r="I269" s="8" t="s">
        <v>30</v>
      </c>
      <c r="J269" s="8" t="s">
        <v>31</v>
      </c>
      <c r="K269" s="8" t="s">
        <v>32</v>
      </c>
      <c r="L269" s="8" t="s">
        <v>174</v>
      </c>
      <c r="M269" s="8">
        <v>19</v>
      </c>
      <c r="N269" s="8">
        <v>8500</v>
      </c>
      <c r="O269" s="8">
        <v>0</v>
      </c>
      <c r="P269" s="8">
        <v>161500</v>
      </c>
      <c r="Q269" s="8">
        <v>5</v>
      </c>
      <c r="R269" s="8" t="s">
        <v>88</v>
      </c>
      <c r="S269" s="8" t="s">
        <v>151</v>
      </c>
      <c r="T269" s="8" t="s">
        <v>132</v>
      </c>
      <c r="U269" s="9" t="s">
        <v>1270</v>
      </c>
      <c r="V269" s="8" t="s">
        <v>38</v>
      </c>
    </row>
    <row r="270" spans="1:22">
      <c r="A270" s="3" t="s">
        <v>1271</v>
      </c>
      <c r="B270" s="4" t="s">
        <v>251</v>
      </c>
      <c r="C270" s="4" t="s">
        <v>54</v>
      </c>
      <c r="D270" s="4" t="s">
        <v>445</v>
      </c>
      <c r="E270" s="4" t="s">
        <v>573</v>
      </c>
      <c r="F270" s="4" t="s">
        <v>254</v>
      </c>
      <c r="G270" s="4" t="s">
        <v>28</v>
      </c>
      <c r="H270" s="4" t="s">
        <v>1272</v>
      </c>
      <c r="I270" s="4" t="s">
        <v>212</v>
      </c>
      <c r="J270" s="4" t="s">
        <v>45</v>
      </c>
      <c r="K270" s="4" t="s">
        <v>46</v>
      </c>
      <c r="L270" s="4" t="s">
        <v>60</v>
      </c>
      <c r="M270" s="4">
        <v>8</v>
      </c>
      <c r="N270" s="4">
        <v>55000</v>
      </c>
      <c r="O270" s="4">
        <v>0</v>
      </c>
      <c r="P270" s="4">
        <v>440000</v>
      </c>
      <c r="Q270" s="4">
        <v>3</v>
      </c>
      <c r="R270" s="4" t="s">
        <v>79</v>
      </c>
      <c r="S270" s="4" t="s">
        <v>115</v>
      </c>
      <c r="T270" s="4" t="s">
        <v>256</v>
      </c>
      <c r="U270" s="6" t="s">
        <v>1273</v>
      </c>
      <c r="V270" s="4" t="s">
        <v>64</v>
      </c>
    </row>
    <row r="271" spans="1:22">
      <c r="A271" s="7" t="s">
        <v>1274</v>
      </c>
      <c r="B271" s="8" t="s">
        <v>71</v>
      </c>
      <c r="C271" s="8" t="s">
        <v>40</v>
      </c>
      <c r="D271" s="8" t="s">
        <v>1098</v>
      </c>
      <c r="E271" s="8" t="s">
        <v>583</v>
      </c>
      <c r="F271" s="8" t="s">
        <v>217</v>
      </c>
      <c r="G271" s="8" t="s">
        <v>76</v>
      </c>
      <c r="H271" s="8" t="s">
        <v>1275</v>
      </c>
      <c r="I271" s="8" t="s">
        <v>294</v>
      </c>
      <c r="J271" s="8" t="s">
        <v>295</v>
      </c>
      <c r="K271" s="8" t="s">
        <v>46</v>
      </c>
      <c r="L271" s="8" t="s">
        <v>47</v>
      </c>
      <c r="M271" s="8">
        <v>18</v>
      </c>
      <c r="N271" s="8">
        <v>12000</v>
      </c>
      <c r="O271" s="8">
        <v>20</v>
      </c>
      <c r="P271" s="8">
        <v>172800</v>
      </c>
      <c r="Q271" s="8">
        <v>5</v>
      </c>
      <c r="R271" s="8" t="s">
        <v>88</v>
      </c>
      <c r="S271" s="8" t="s">
        <v>61</v>
      </c>
      <c r="T271" s="8" t="s">
        <v>80</v>
      </c>
      <c r="U271" s="9" t="s">
        <v>1276</v>
      </c>
      <c r="V271" s="8" t="s">
        <v>69</v>
      </c>
    </row>
    <row r="272" spans="1:22">
      <c r="A272" s="3" t="s">
        <v>1277</v>
      </c>
      <c r="B272" s="4" t="s">
        <v>127</v>
      </c>
      <c r="C272" s="4" t="s">
        <v>169</v>
      </c>
      <c r="D272" s="4" t="s">
        <v>1278</v>
      </c>
      <c r="E272" s="4" t="s">
        <v>198</v>
      </c>
      <c r="F272" s="4" t="s">
        <v>200</v>
      </c>
      <c r="G272" s="4" t="s">
        <v>76</v>
      </c>
      <c r="H272" s="4" t="s">
        <v>1279</v>
      </c>
      <c r="I272" s="4" t="s">
        <v>138</v>
      </c>
      <c r="J272" s="4" t="s">
        <v>106</v>
      </c>
      <c r="K272" s="4" t="s">
        <v>32</v>
      </c>
      <c r="L272" s="4" t="s">
        <v>174</v>
      </c>
      <c r="M272" s="4">
        <v>8</v>
      </c>
      <c r="N272" s="4">
        <v>8500</v>
      </c>
      <c r="O272" s="4">
        <v>5</v>
      </c>
      <c r="P272" s="4">
        <v>64600</v>
      </c>
      <c r="Q272" s="4">
        <v>2</v>
      </c>
      <c r="R272" s="4" t="s">
        <v>79</v>
      </c>
      <c r="S272" s="4" t="s">
        <v>61</v>
      </c>
      <c r="T272" s="4" t="s">
        <v>132</v>
      </c>
      <c r="U272" s="6" t="s">
        <v>1280</v>
      </c>
      <c r="V272" s="4" t="s">
        <v>69</v>
      </c>
    </row>
    <row r="273" spans="1:22">
      <c r="A273" s="7" t="s">
        <v>1281</v>
      </c>
      <c r="B273" s="8" t="s">
        <v>23</v>
      </c>
      <c r="C273" s="8" t="s">
        <v>222</v>
      </c>
      <c r="D273" s="8" t="s">
        <v>1282</v>
      </c>
      <c r="E273" s="8" t="s">
        <v>724</v>
      </c>
      <c r="F273" s="8" t="s">
        <v>27</v>
      </c>
      <c r="G273" s="8" t="s">
        <v>28</v>
      </c>
      <c r="H273" s="8" t="s">
        <v>1283</v>
      </c>
      <c r="I273" s="8" t="s">
        <v>105</v>
      </c>
      <c r="J273" s="8" t="s">
        <v>106</v>
      </c>
      <c r="K273" s="8" t="s">
        <v>122</v>
      </c>
      <c r="L273" s="8" t="s">
        <v>227</v>
      </c>
      <c r="M273" s="8">
        <v>13</v>
      </c>
      <c r="N273" s="8">
        <v>20</v>
      </c>
      <c r="O273" s="8">
        <v>5</v>
      </c>
      <c r="P273" s="8">
        <v>247</v>
      </c>
      <c r="Q273" s="8">
        <v>3</v>
      </c>
      <c r="R273" s="8" t="s">
        <v>48</v>
      </c>
      <c r="S273" s="8" t="s">
        <v>115</v>
      </c>
      <c r="T273" s="8" t="s">
        <v>50</v>
      </c>
      <c r="U273" s="9" t="s">
        <v>1284</v>
      </c>
      <c r="V273" s="8" t="s">
        <v>64</v>
      </c>
    </row>
    <row r="274" spans="1:22">
      <c r="A274" s="3" t="s">
        <v>1285</v>
      </c>
      <c r="B274" s="4" t="s">
        <v>83</v>
      </c>
      <c r="C274" s="4" t="s">
        <v>118</v>
      </c>
      <c r="D274" s="4" t="s">
        <v>740</v>
      </c>
      <c r="E274" s="4" t="s">
        <v>1286</v>
      </c>
      <c r="F274" s="4" t="s">
        <v>180</v>
      </c>
      <c r="G274" s="4" t="s">
        <v>76</v>
      </c>
      <c r="H274" s="4" t="s">
        <v>1287</v>
      </c>
      <c r="I274" s="4" t="s">
        <v>212</v>
      </c>
      <c r="J274" s="4" t="s">
        <v>45</v>
      </c>
      <c r="K274" s="4" t="s">
        <v>122</v>
      </c>
      <c r="L274" s="4" t="s">
        <v>123</v>
      </c>
      <c r="M274" s="4">
        <v>1</v>
      </c>
      <c r="N274" s="4">
        <v>60</v>
      </c>
      <c r="O274" s="4">
        <v>15</v>
      </c>
      <c r="P274" s="4">
        <v>51</v>
      </c>
      <c r="Q274" s="4">
        <v>2</v>
      </c>
      <c r="R274" s="4" t="s">
        <v>79</v>
      </c>
      <c r="S274" s="4" t="s">
        <v>61</v>
      </c>
      <c r="T274" s="4" t="s">
        <v>89</v>
      </c>
      <c r="U274" s="6" t="s">
        <v>1288</v>
      </c>
      <c r="V274" s="4" t="s">
        <v>69</v>
      </c>
    </row>
    <row r="275" spans="1:22">
      <c r="A275" s="7" t="s">
        <v>1289</v>
      </c>
      <c r="B275" s="8" t="s">
        <v>53</v>
      </c>
      <c r="C275" s="8" t="s">
        <v>222</v>
      </c>
      <c r="D275" s="8" t="s">
        <v>1290</v>
      </c>
      <c r="E275" s="8" t="s">
        <v>965</v>
      </c>
      <c r="F275" s="8" t="s">
        <v>163</v>
      </c>
      <c r="G275" s="8" t="s">
        <v>28</v>
      </c>
      <c r="H275" s="8" t="s">
        <v>1291</v>
      </c>
      <c r="I275" s="8" t="s">
        <v>114</v>
      </c>
      <c r="J275" s="8" t="s">
        <v>106</v>
      </c>
      <c r="K275" s="8" t="s">
        <v>122</v>
      </c>
      <c r="L275" s="8" t="s">
        <v>227</v>
      </c>
      <c r="M275" s="8">
        <v>5</v>
      </c>
      <c r="N275" s="8">
        <v>20</v>
      </c>
      <c r="O275" s="8">
        <v>5</v>
      </c>
      <c r="P275" s="8">
        <v>95</v>
      </c>
      <c r="Q275" s="8">
        <v>2</v>
      </c>
      <c r="R275" s="8" t="s">
        <v>48</v>
      </c>
      <c r="S275" s="8" t="s">
        <v>49</v>
      </c>
      <c r="T275" s="8" t="s">
        <v>62</v>
      </c>
      <c r="U275" s="9" t="s">
        <v>1292</v>
      </c>
      <c r="V275" s="8" t="s">
        <v>64</v>
      </c>
    </row>
    <row r="276" spans="1:22">
      <c r="A276" s="3" t="s">
        <v>1293</v>
      </c>
      <c r="B276" s="4" t="s">
        <v>221</v>
      </c>
      <c r="C276" s="4" t="s">
        <v>222</v>
      </c>
      <c r="D276" s="4" t="s">
        <v>1294</v>
      </c>
      <c r="E276" s="4" t="s">
        <v>1017</v>
      </c>
      <c r="F276" s="4" t="s">
        <v>225</v>
      </c>
      <c r="G276" s="4" t="s">
        <v>76</v>
      </c>
      <c r="H276" s="4" t="s">
        <v>1295</v>
      </c>
      <c r="I276" s="4" t="s">
        <v>294</v>
      </c>
      <c r="J276" s="4" t="s">
        <v>295</v>
      </c>
      <c r="K276" s="4" t="s">
        <v>122</v>
      </c>
      <c r="L276" s="4" t="s">
        <v>227</v>
      </c>
      <c r="M276" s="4">
        <v>19</v>
      </c>
      <c r="N276" s="4">
        <v>20</v>
      </c>
      <c r="O276" s="4">
        <v>20</v>
      </c>
      <c r="P276" s="4">
        <v>304</v>
      </c>
      <c r="Q276" s="4">
        <v>3</v>
      </c>
      <c r="R276" s="4" t="s">
        <v>34</v>
      </c>
      <c r="S276" s="4" t="s">
        <v>35</v>
      </c>
      <c r="T276" s="4" t="s">
        <v>228</v>
      </c>
      <c r="U276" s="6" t="s">
        <v>1296</v>
      </c>
      <c r="V276" s="4" t="s">
        <v>69</v>
      </c>
    </row>
    <row r="277" spans="1:22">
      <c r="A277" s="7" t="s">
        <v>1297</v>
      </c>
      <c r="B277" s="8" t="s">
        <v>100</v>
      </c>
      <c r="C277" s="8" t="s">
        <v>259</v>
      </c>
      <c r="D277" s="8" t="s">
        <v>1298</v>
      </c>
      <c r="E277" s="8" t="s">
        <v>366</v>
      </c>
      <c r="F277" s="8" t="s">
        <v>103</v>
      </c>
      <c r="G277" s="8" t="s">
        <v>28</v>
      </c>
      <c r="H277" s="8" t="s">
        <v>1299</v>
      </c>
      <c r="I277" s="8" t="s">
        <v>138</v>
      </c>
      <c r="J277" s="8" t="s">
        <v>106</v>
      </c>
      <c r="K277" s="8" t="s">
        <v>122</v>
      </c>
      <c r="L277" s="8" t="s">
        <v>263</v>
      </c>
      <c r="M277" s="8">
        <v>17</v>
      </c>
      <c r="N277" s="8">
        <v>45</v>
      </c>
      <c r="O277" s="8">
        <v>5</v>
      </c>
      <c r="P277" s="8">
        <v>726.75</v>
      </c>
      <c r="Q277" s="8">
        <v>4</v>
      </c>
      <c r="R277" s="8" t="s">
        <v>34</v>
      </c>
      <c r="S277" s="8" t="s">
        <v>115</v>
      </c>
      <c r="T277" s="8" t="s">
        <v>144</v>
      </c>
      <c r="U277" s="9" t="s">
        <v>1300</v>
      </c>
      <c r="V277" s="8" t="s">
        <v>64</v>
      </c>
    </row>
    <row r="278" spans="1:22">
      <c r="A278" s="3" t="s">
        <v>1301</v>
      </c>
      <c r="B278" s="4" t="s">
        <v>83</v>
      </c>
      <c r="C278" s="4" t="s">
        <v>184</v>
      </c>
      <c r="D278" s="4" t="s">
        <v>1302</v>
      </c>
      <c r="E278" s="4" t="s">
        <v>170</v>
      </c>
      <c r="F278" s="4" t="s">
        <v>180</v>
      </c>
      <c r="G278" s="4" t="s">
        <v>76</v>
      </c>
      <c r="H278" s="4" t="s">
        <v>1303</v>
      </c>
      <c r="I278" s="4" t="s">
        <v>59</v>
      </c>
      <c r="J278" s="4" t="s">
        <v>31</v>
      </c>
      <c r="K278" s="4" t="s">
        <v>46</v>
      </c>
      <c r="L278" s="4" t="s">
        <v>189</v>
      </c>
      <c r="M278" s="4">
        <v>8</v>
      </c>
      <c r="N278" s="4">
        <v>700</v>
      </c>
      <c r="O278" s="4">
        <v>15</v>
      </c>
      <c r="P278" s="4">
        <v>4760</v>
      </c>
      <c r="Q278" s="4">
        <v>4</v>
      </c>
      <c r="R278" s="4" t="s">
        <v>48</v>
      </c>
      <c r="S278" s="4" t="s">
        <v>35</v>
      </c>
      <c r="T278" s="4" t="s">
        <v>89</v>
      </c>
      <c r="U278" s="6" t="s">
        <v>1304</v>
      </c>
      <c r="V278" s="4" t="s">
        <v>64</v>
      </c>
    </row>
    <row r="279" spans="1:22">
      <c r="A279" s="7" t="s">
        <v>1305</v>
      </c>
      <c r="B279" s="8" t="s">
        <v>168</v>
      </c>
      <c r="C279" s="8" t="s">
        <v>24</v>
      </c>
      <c r="D279" s="8" t="s">
        <v>1306</v>
      </c>
      <c r="E279" s="8" t="s">
        <v>1307</v>
      </c>
      <c r="F279" s="8" t="s">
        <v>361</v>
      </c>
      <c r="G279" s="8" t="s">
        <v>28</v>
      </c>
      <c r="H279" s="8" t="s">
        <v>1308</v>
      </c>
      <c r="I279" s="8" t="s">
        <v>105</v>
      </c>
      <c r="J279" s="8" t="s">
        <v>106</v>
      </c>
      <c r="K279" s="8" t="s">
        <v>32</v>
      </c>
      <c r="L279" s="8" t="s">
        <v>33</v>
      </c>
      <c r="M279" s="8">
        <v>15</v>
      </c>
      <c r="N279" s="8">
        <v>2200</v>
      </c>
      <c r="O279" s="8">
        <v>10</v>
      </c>
      <c r="P279" s="8">
        <v>29700</v>
      </c>
      <c r="Q279" s="8">
        <v>5</v>
      </c>
      <c r="R279" s="8" t="s">
        <v>88</v>
      </c>
      <c r="S279" s="8" t="s">
        <v>151</v>
      </c>
      <c r="T279" s="8" t="s">
        <v>175</v>
      </c>
      <c r="U279" s="9" t="s">
        <v>1309</v>
      </c>
      <c r="V279" s="8" t="s">
        <v>38</v>
      </c>
    </row>
    <row r="280" spans="1:22">
      <c r="A280" s="3" t="s">
        <v>1310</v>
      </c>
      <c r="B280" s="4" t="s">
        <v>100</v>
      </c>
      <c r="C280" s="4" t="s">
        <v>24</v>
      </c>
      <c r="D280" s="4" t="s">
        <v>860</v>
      </c>
      <c r="E280" s="4" t="s">
        <v>1311</v>
      </c>
      <c r="F280" s="4" t="s">
        <v>103</v>
      </c>
      <c r="G280" s="4" t="s">
        <v>28</v>
      </c>
      <c r="H280" s="4" t="s">
        <v>1312</v>
      </c>
      <c r="I280" s="4" t="s">
        <v>105</v>
      </c>
      <c r="J280" s="4" t="s">
        <v>106</v>
      </c>
      <c r="K280" s="4" t="s">
        <v>32</v>
      </c>
      <c r="L280" s="4" t="s">
        <v>33</v>
      </c>
      <c r="M280" s="4">
        <v>1</v>
      </c>
      <c r="N280" s="4">
        <v>2200</v>
      </c>
      <c r="O280" s="4">
        <v>0</v>
      </c>
      <c r="P280" s="4">
        <v>2200</v>
      </c>
      <c r="Q280" s="4">
        <v>4</v>
      </c>
      <c r="R280" s="4" t="s">
        <v>34</v>
      </c>
      <c r="S280" s="4" t="s">
        <v>49</v>
      </c>
      <c r="T280" s="4" t="s">
        <v>144</v>
      </c>
      <c r="U280" s="6" t="s">
        <v>1313</v>
      </c>
      <c r="V280" s="4" t="s">
        <v>69</v>
      </c>
    </row>
    <row r="281" spans="1:22">
      <c r="A281" s="7" t="s">
        <v>1314</v>
      </c>
      <c r="B281" s="8" t="s">
        <v>251</v>
      </c>
      <c r="C281" s="8" t="s">
        <v>92</v>
      </c>
      <c r="D281" s="8" t="s">
        <v>872</v>
      </c>
      <c r="E281" s="8" t="s">
        <v>1315</v>
      </c>
      <c r="F281" s="8" t="s">
        <v>254</v>
      </c>
      <c r="G281" s="8" t="s">
        <v>28</v>
      </c>
      <c r="H281" s="8" t="s">
        <v>1316</v>
      </c>
      <c r="I281" s="8" t="s">
        <v>138</v>
      </c>
      <c r="J281" s="8" t="s">
        <v>106</v>
      </c>
      <c r="K281" s="8" t="s">
        <v>32</v>
      </c>
      <c r="L281" s="8" t="s">
        <v>97</v>
      </c>
      <c r="M281" s="8">
        <v>10</v>
      </c>
      <c r="N281" s="8">
        <v>3500</v>
      </c>
      <c r="O281" s="8">
        <v>10</v>
      </c>
      <c r="P281" s="8">
        <v>31500</v>
      </c>
      <c r="Q281" s="8">
        <v>4</v>
      </c>
      <c r="R281" s="8" t="s">
        <v>48</v>
      </c>
      <c r="S281" s="8" t="s">
        <v>35</v>
      </c>
      <c r="T281" s="8" t="s">
        <v>256</v>
      </c>
      <c r="U281" s="9" t="s">
        <v>1317</v>
      </c>
      <c r="V281" s="8" t="s">
        <v>69</v>
      </c>
    </row>
    <row r="282" spans="1:22">
      <c r="A282" s="3" t="s">
        <v>1318</v>
      </c>
      <c r="B282" s="4" t="s">
        <v>71</v>
      </c>
      <c r="C282" s="4" t="s">
        <v>92</v>
      </c>
      <c r="D282" s="4" t="s">
        <v>1319</v>
      </c>
      <c r="E282" s="4" t="s">
        <v>1320</v>
      </c>
      <c r="F282" s="4" t="s">
        <v>217</v>
      </c>
      <c r="G282" s="4" t="s">
        <v>76</v>
      </c>
      <c r="H282" s="4" t="s">
        <v>1321</v>
      </c>
      <c r="I282" s="4" t="s">
        <v>212</v>
      </c>
      <c r="J282" s="4" t="s">
        <v>45</v>
      </c>
      <c r="K282" s="4" t="s">
        <v>32</v>
      </c>
      <c r="L282" s="4" t="s">
        <v>97</v>
      </c>
      <c r="M282" s="4">
        <v>16</v>
      </c>
      <c r="N282" s="4">
        <v>3500</v>
      </c>
      <c r="O282" s="4">
        <v>15</v>
      </c>
      <c r="P282" s="4">
        <v>47600</v>
      </c>
      <c r="Q282" s="4">
        <v>1</v>
      </c>
      <c r="R282" s="4" t="s">
        <v>79</v>
      </c>
      <c r="S282" s="4" t="s">
        <v>115</v>
      </c>
      <c r="T282" s="4" t="s">
        <v>80</v>
      </c>
      <c r="U282" s="6" t="s">
        <v>1322</v>
      </c>
      <c r="V282" s="4" t="s">
        <v>64</v>
      </c>
    </row>
    <row r="283" spans="1:22">
      <c r="A283" s="7" t="s">
        <v>1323</v>
      </c>
      <c r="B283" s="8" t="s">
        <v>251</v>
      </c>
      <c r="C283" s="8" t="s">
        <v>40</v>
      </c>
      <c r="D283" s="8" t="s">
        <v>1324</v>
      </c>
      <c r="E283" s="8" t="s">
        <v>25</v>
      </c>
      <c r="F283" s="8" t="s">
        <v>254</v>
      </c>
      <c r="G283" s="8" t="s">
        <v>28</v>
      </c>
      <c r="H283" s="8" t="s">
        <v>1325</v>
      </c>
      <c r="I283" s="8" t="s">
        <v>212</v>
      </c>
      <c r="J283" s="8" t="s">
        <v>45</v>
      </c>
      <c r="K283" s="8" t="s">
        <v>46</v>
      </c>
      <c r="L283" s="8" t="s">
        <v>47</v>
      </c>
      <c r="M283" s="8">
        <v>1</v>
      </c>
      <c r="N283" s="8">
        <v>12000</v>
      </c>
      <c r="O283" s="8">
        <v>0</v>
      </c>
      <c r="P283" s="8">
        <v>12000</v>
      </c>
      <c r="Q283" s="8">
        <v>4</v>
      </c>
      <c r="R283" s="8" t="s">
        <v>48</v>
      </c>
      <c r="S283" s="8" t="s">
        <v>115</v>
      </c>
      <c r="T283" s="8" t="s">
        <v>256</v>
      </c>
      <c r="U283" s="9" t="s">
        <v>1326</v>
      </c>
      <c r="V283" s="8" t="s">
        <v>69</v>
      </c>
    </row>
    <row r="284" spans="1:22">
      <c r="A284" s="3" t="s">
        <v>1327</v>
      </c>
      <c r="B284" s="4" t="s">
        <v>83</v>
      </c>
      <c r="C284" s="4" t="s">
        <v>184</v>
      </c>
      <c r="D284" s="4" t="s">
        <v>1328</v>
      </c>
      <c r="E284" s="4" t="s">
        <v>606</v>
      </c>
      <c r="F284" s="4" t="s">
        <v>180</v>
      </c>
      <c r="G284" s="4" t="s">
        <v>76</v>
      </c>
      <c r="H284" s="4" t="s">
        <v>1329</v>
      </c>
      <c r="I284" s="4" t="s">
        <v>105</v>
      </c>
      <c r="J284" s="4" t="s">
        <v>106</v>
      </c>
      <c r="K284" s="4" t="s">
        <v>46</v>
      </c>
      <c r="L284" s="4" t="s">
        <v>189</v>
      </c>
      <c r="M284" s="4">
        <v>6</v>
      </c>
      <c r="N284" s="4">
        <v>700</v>
      </c>
      <c r="O284" s="4">
        <v>20</v>
      </c>
      <c r="P284" s="4">
        <v>3360</v>
      </c>
      <c r="Q284" s="4">
        <v>2</v>
      </c>
      <c r="R284" s="4" t="s">
        <v>48</v>
      </c>
      <c r="S284" s="4" t="s">
        <v>115</v>
      </c>
      <c r="T284" s="4" t="s">
        <v>89</v>
      </c>
      <c r="U284" s="6" t="s">
        <v>1330</v>
      </c>
      <c r="V284" s="4" t="s">
        <v>64</v>
      </c>
    </row>
    <row r="285" spans="1:22">
      <c r="A285" s="7" t="s">
        <v>1331</v>
      </c>
      <c r="B285" s="8" t="s">
        <v>71</v>
      </c>
      <c r="C285" s="8" t="s">
        <v>24</v>
      </c>
      <c r="D285" s="8" t="s">
        <v>923</v>
      </c>
      <c r="E285" s="8" t="s">
        <v>1332</v>
      </c>
      <c r="F285" s="8" t="s">
        <v>217</v>
      </c>
      <c r="G285" s="8" t="s">
        <v>76</v>
      </c>
      <c r="H285" s="8" t="s">
        <v>1333</v>
      </c>
      <c r="I285" s="8" t="s">
        <v>138</v>
      </c>
      <c r="J285" s="8" t="s">
        <v>106</v>
      </c>
      <c r="K285" s="8" t="s">
        <v>32</v>
      </c>
      <c r="L285" s="8" t="s">
        <v>33</v>
      </c>
      <c r="M285" s="8">
        <v>3</v>
      </c>
      <c r="N285" s="8">
        <v>2200</v>
      </c>
      <c r="O285" s="8">
        <v>0</v>
      </c>
      <c r="P285" s="8">
        <v>6600</v>
      </c>
      <c r="Q285" s="8">
        <v>4</v>
      </c>
      <c r="R285" s="8" t="s">
        <v>79</v>
      </c>
      <c r="S285" s="8" t="s">
        <v>35</v>
      </c>
      <c r="T285" s="8" t="s">
        <v>80</v>
      </c>
      <c r="U285" s="9" t="s">
        <v>1334</v>
      </c>
      <c r="V285" s="8" t="s">
        <v>38</v>
      </c>
    </row>
    <row r="286" spans="1:22">
      <c r="A286" s="3" t="s">
        <v>1335</v>
      </c>
      <c r="B286" s="4" t="s">
        <v>251</v>
      </c>
      <c r="C286" s="4" t="s">
        <v>259</v>
      </c>
      <c r="D286" s="4" t="s">
        <v>1198</v>
      </c>
      <c r="E286" s="4" t="s">
        <v>216</v>
      </c>
      <c r="F286" s="4" t="s">
        <v>254</v>
      </c>
      <c r="G286" s="4" t="s">
        <v>28</v>
      </c>
      <c r="H286" s="4" t="s">
        <v>1336</v>
      </c>
      <c r="I286" s="4" t="s">
        <v>30</v>
      </c>
      <c r="J286" s="4" t="s">
        <v>31</v>
      </c>
      <c r="K286" s="4" t="s">
        <v>122</v>
      </c>
      <c r="L286" s="4" t="s">
        <v>263</v>
      </c>
      <c r="M286" s="4">
        <v>6</v>
      </c>
      <c r="N286" s="4">
        <v>45</v>
      </c>
      <c r="O286" s="4">
        <v>15</v>
      </c>
      <c r="P286" s="4">
        <v>229.5</v>
      </c>
      <c r="Q286" s="4">
        <v>1</v>
      </c>
      <c r="R286" s="4" t="s">
        <v>88</v>
      </c>
      <c r="S286" s="4" t="s">
        <v>49</v>
      </c>
      <c r="T286" s="4" t="s">
        <v>256</v>
      </c>
      <c r="U286" s="6" t="s">
        <v>1337</v>
      </c>
      <c r="V286" s="4" t="s">
        <v>38</v>
      </c>
    </row>
    <row r="287" spans="1:22">
      <c r="A287" s="7" t="s">
        <v>1338</v>
      </c>
      <c r="B287" s="8" t="s">
        <v>251</v>
      </c>
      <c r="C287" s="8" t="s">
        <v>72</v>
      </c>
      <c r="D287" s="8" t="s">
        <v>26</v>
      </c>
      <c r="E287" s="8" t="s">
        <v>1339</v>
      </c>
      <c r="F287" s="8" t="s">
        <v>254</v>
      </c>
      <c r="G287" s="8" t="s">
        <v>28</v>
      </c>
      <c r="H287" s="8" t="s">
        <v>1340</v>
      </c>
      <c r="I287" s="8" t="s">
        <v>59</v>
      </c>
      <c r="J287" s="8" t="s">
        <v>31</v>
      </c>
      <c r="K287" s="8" t="s">
        <v>46</v>
      </c>
      <c r="L287" s="8" t="s">
        <v>78</v>
      </c>
      <c r="M287" s="8">
        <v>2</v>
      </c>
      <c r="N287" s="8">
        <v>1200</v>
      </c>
      <c r="O287" s="8">
        <v>0</v>
      </c>
      <c r="P287" s="8">
        <v>2400</v>
      </c>
      <c r="Q287" s="8">
        <v>1</v>
      </c>
      <c r="R287" s="8" t="s">
        <v>34</v>
      </c>
      <c r="S287" s="8" t="s">
        <v>151</v>
      </c>
      <c r="T287" s="8" t="s">
        <v>256</v>
      </c>
      <c r="U287" s="9" t="s">
        <v>1341</v>
      </c>
      <c r="V287" s="8" t="s">
        <v>69</v>
      </c>
    </row>
    <row r="288" spans="1:22">
      <c r="A288" s="3" t="s">
        <v>1342</v>
      </c>
      <c r="B288" s="4" t="s">
        <v>168</v>
      </c>
      <c r="C288" s="4" t="s">
        <v>184</v>
      </c>
      <c r="D288" s="4" t="s">
        <v>1343</v>
      </c>
      <c r="E288" s="4" t="s">
        <v>1344</v>
      </c>
      <c r="F288" s="4" t="s">
        <v>361</v>
      </c>
      <c r="G288" s="4" t="s">
        <v>28</v>
      </c>
      <c r="H288" s="4" t="s">
        <v>1345</v>
      </c>
      <c r="I288" s="4" t="s">
        <v>30</v>
      </c>
      <c r="J288" s="4" t="s">
        <v>31</v>
      </c>
      <c r="K288" s="4" t="s">
        <v>46</v>
      </c>
      <c r="L288" s="4" t="s">
        <v>189</v>
      </c>
      <c r="M288" s="4">
        <v>14</v>
      </c>
      <c r="N288" s="4">
        <v>700</v>
      </c>
      <c r="O288" s="4">
        <v>15</v>
      </c>
      <c r="P288" s="4">
        <v>8330</v>
      </c>
      <c r="Q288" s="4">
        <v>5</v>
      </c>
      <c r="R288" s="4" t="s">
        <v>34</v>
      </c>
      <c r="S288" s="4" t="s">
        <v>115</v>
      </c>
      <c r="T288" s="4" t="s">
        <v>175</v>
      </c>
      <c r="U288" s="6" t="s">
        <v>1346</v>
      </c>
      <c r="V288" s="4" t="s">
        <v>64</v>
      </c>
    </row>
    <row r="289" spans="1:22">
      <c r="A289" s="7" t="s">
        <v>1347</v>
      </c>
      <c r="B289" s="8" t="s">
        <v>100</v>
      </c>
      <c r="C289" s="8" t="s">
        <v>222</v>
      </c>
      <c r="D289" s="8" t="s">
        <v>291</v>
      </c>
      <c r="E289" s="8" t="s">
        <v>507</v>
      </c>
      <c r="F289" s="8" t="s">
        <v>103</v>
      </c>
      <c r="G289" s="8" t="s">
        <v>28</v>
      </c>
      <c r="H289" s="8" t="s">
        <v>1348</v>
      </c>
      <c r="I289" s="8" t="s">
        <v>105</v>
      </c>
      <c r="J289" s="8" t="s">
        <v>106</v>
      </c>
      <c r="K289" s="8" t="s">
        <v>122</v>
      </c>
      <c r="L289" s="8" t="s">
        <v>227</v>
      </c>
      <c r="M289" s="8">
        <v>13</v>
      </c>
      <c r="N289" s="8">
        <v>20</v>
      </c>
      <c r="O289" s="8">
        <v>5</v>
      </c>
      <c r="P289" s="8">
        <v>247</v>
      </c>
      <c r="Q289" s="8">
        <v>1</v>
      </c>
      <c r="R289" s="8" t="s">
        <v>79</v>
      </c>
      <c r="S289" s="8" t="s">
        <v>35</v>
      </c>
      <c r="T289" s="8" t="s">
        <v>1349</v>
      </c>
      <c r="U289" s="9" t="s">
        <v>1350</v>
      </c>
      <c r="V289" s="8" t="s">
        <v>64</v>
      </c>
    </row>
    <row r="290" spans="1:22">
      <c r="A290" s="3" t="s">
        <v>1351</v>
      </c>
      <c r="B290" s="4" t="s">
        <v>71</v>
      </c>
      <c r="C290" s="4" t="s">
        <v>24</v>
      </c>
      <c r="D290" s="4" t="s">
        <v>135</v>
      </c>
      <c r="E290" s="4" t="s">
        <v>136</v>
      </c>
      <c r="F290" s="4" t="s">
        <v>217</v>
      </c>
      <c r="G290" s="4" t="s">
        <v>76</v>
      </c>
      <c r="H290" s="4" t="s">
        <v>1352</v>
      </c>
      <c r="I290" s="4" t="s">
        <v>114</v>
      </c>
      <c r="J290" s="4" t="s">
        <v>106</v>
      </c>
      <c r="K290" s="4" t="s">
        <v>32</v>
      </c>
      <c r="L290" s="4" t="s">
        <v>33</v>
      </c>
      <c r="M290" s="4">
        <v>3</v>
      </c>
      <c r="N290" s="4">
        <v>2200</v>
      </c>
      <c r="O290" s="4">
        <v>0</v>
      </c>
      <c r="P290" s="4">
        <v>6600</v>
      </c>
      <c r="Q290" s="4">
        <v>4</v>
      </c>
      <c r="R290" s="4" t="s">
        <v>48</v>
      </c>
      <c r="S290" s="4" t="s">
        <v>61</v>
      </c>
      <c r="T290" s="4" t="s">
        <v>80</v>
      </c>
      <c r="U290" s="6" t="s">
        <v>1353</v>
      </c>
      <c r="V290" s="4" t="s">
        <v>69</v>
      </c>
    </row>
    <row r="291" spans="1:22">
      <c r="A291" s="7" t="s">
        <v>1354</v>
      </c>
      <c r="B291" s="8" t="s">
        <v>71</v>
      </c>
      <c r="C291" s="8" t="s">
        <v>118</v>
      </c>
      <c r="D291" s="8" t="s">
        <v>450</v>
      </c>
      <c r="E291" s="8" t="s">
        <v>923</v>
      </c>
      <c r="F291" s="8" t="s">
        <v>217</v>
      </c>
      <c r="G291" s="8" t="s">
        <v>76</v>
      </c>
      <c r="H291" s="8" t="s">
        <v>1355</v>
      </c>
      <c r="I291" s="8" t="s">
        <v>114</v>
      </c>
      <c r="J291" s="8" t="s">
        <v>106</v>
      </c>
      <c r="K291" s="8" t="s">
        <v>122</v>
      </c>
      <c r="L291" s="8" t="s">
        <v>123</v>
      </c>
      <c r="M291" s="8">
        <v>3</v>
      </c>
      <c r="N291" s="8">
        <v>60</v>
      </c>
      <c r="O291" s="8">
        <v>15</v>
      </c>
      <c r="P291" s="8">
        <v>153</v>
      </c>
      <c r="Q291" s="8">
        <v>4</v>
      </c>
      <c r="R291" s="8" t="s">
        <v>88</v>
      </c>
      <c r="S291" s="8" t="s">
        <v>115</v>
      </c>
      <c r="T291" s="8" t="s">
        <v>80</v>
      </c>
      <c r="U291" s="9" t="s">
        <v>1356</v>
      </c>
      <c r="V291" s="8" t="s">
        <v>38</v>
      </c>
    </row>
    <row r="292" spans="1:22">
      <c r="A292" s="3" t="s">
        <v>1357</v>
      </c>
      <c r="B292" s="4" t="s">
        <v>127</v>
      </c>
      <c r="C292" s="4" t="s">
        <v>92</v>
      </c>
      <c r="D292" s="4" t="s">
        <v>624</v>
      </c>
      <c r="E292" s="4" t="s">
        <v>825</v>
      </c>
      <c r="F292" s="4" t="s">
        <v>200</v>
      </c>
      <c r="G292" s="4" t="s">
        <v>76</v>
      </c>
      <c r="H292" s="4" t="s">
        <v>584</v>
      </c>
      <c r="I292" s="4" t="s">
        <v>105</v>
      </c>
      <c r="J292" s="4" t="s">
        <v>106</v>
      </c>
      <c r="K292" s="4" t="s">
        <v>32</v>
      </c>
      <c r="L292" s="4" t="s">
        <v>97</v>
      </c>
      <c r="M292" s="4">
        <v>9</v>
      </c>
      <c r="N292" s="4">
        <v>3500</v>
      </c>
      <c r="O292" s="4">
        <v>5</v>
      </c>
      <c r="P292" s="4">
        <v>29925</v>
      </c>
      <c r="Q292" s="4">
        <v>1</v>
      </c>
      <c r="R292" s="4" t="s">
        <v>34</v>
      </c>
      <c r="S292" s="4" t="s">
        <v>61</v>
      </c>
      <c r="T292" s="4" t="s">
        <v>132</v>
      </c>
      <c r="U292" s="6" t="s">
        <v>1358</v>
      </c>
      <c r="V292" s="4" t="s">
        <v>64</v>
      </c>
    </row>
    <row r="293" spans="1:22">
      <c r="A293" s="7" t="s">
        <v>1359</v>
      </c>
      <c r="B293" s="8" t="s">
        <v>327</v>
      </c>
      <c r="C293" s="8" t="s">
        <v>72</v>
      </c>
      <c r="D293" s="8" t="s">
        <v>120</v>
      </c>
      <c r="E293" s="8" t="s">
        <v>1360</v>
      </c>
      <c r="F293" s="8" t="s">
        <v>394</v>
      </c>
      <c r="G293" s="8" t="s">
        <v>76</v>
      </c>
      <c r="H293" s="8" t="s">
        <v>1361</v>
      </c>
      <c r="I293" s="8" t="s">
        <v>212</v>
      </c>
      <c r="J293" s="8" t="s">
        <v>45</v>
      </c>
      <c r="K293" s="8" t="s">
        <v>46</v>
      </c>
      <c r="L293" s="8" t="s">
        <v>78</v>
      </c>
      <c r="M293" s="8">
        <v>5</v>
      </c>
      <c r="N293" s="8">
        <v>1200</v>
      </c>
      <c r="O293" s="8">
        <v>20</v>
      </c>
      <c r="P293" s="8">
        <v>4800</v>
      </c>
      <c r="Q293" s="8">
        <v>2</v>
      </c>
      <c r="R293" s="8" t="s">
        <v>88</v>
      </c>
      <c r="S293" s="8" t="s">
        <v>115</v>
      </c>
      <c r="T293" s="8" t="s">
        <v>332</v>
      </c>
      <c r="U293" s="9" t="s">
        <v>1362</v>
      </c>
      <c r="V293" s="8" t="s">
        <v>64</v>
      </c>
    </row>
    <row r="294" spans="1:22">
      <c r="A294" s="3" t="s">
        <v>1363</v>
      </c>
      <c r="B294" s="4" t="s">
        <v>53</v>
      </c>
      <c r="C294" s="4" t="s">
        <v>72</v>
      </c>
      <c r="D294" s="4" t="s">
        <v>1031</v>
      </c>
      <c r="E294" s="4" t="s">
        <v>910</v>
      </c>
      <c r="F294" s="4" t="s">
        <v>163</v>
      </c>
      <c r="G294" s="4" t="s">
        <v>28</v>
      </c>
      <c r="H294" s="4" t="s">
        <v>1364</v>
      </c>
      <c r="I294" s="4" t="s">
        <v>212</v>
      </c>
      <c r="J294" s="4" t="s">
        <v>45</v>
      </c>
      <c r="K294" s="4" t="s">
        <v>46</v>
      </c>
      <c r="L294" s="4" t="s">
        <v>78</v>
      </c>
      <c r="M294" s="4">
        <v>10</v>
      </c>
      <c r="N294" s="4">
        <v>1200</v>
      </c>
      <c r="O294" s="4">
        <v>20</v>
      </c>
      <c r="P294" s="4">
        <v>9600</v>
      </c>
      <c r="Q294" s="4">
        <v>4</v>
      </c>
      <c r="R294" s="4" t="s">
        <v>34</v>
      </c>
      <c r="S294" s="4" t="s">
        <v>49</v>
      </c>
      <c r="T294" s="5" t="s">
        <v>1365</v>
      </c>
      <c r="U294" s="6" t="s">
        <v>1366</v>
      </c>
      <c r="V294" s="4" t="s">
        <v>38</v>
      </c>
    </row>
    <row r="295" spans="1:22">
      <c r="A295" s="7" t="s">
        <v>1367</v>
      </c>
      <c r="B295" s="8" t="s">
        <v>23</v>
      </c>
      <c r="C295" s="8" t="s">
        <v>72</v>
      </c>
      <c r="D295" s="8" t="s">
        <v>1368</v>
      </c>
      <c r="E295" s="8" t="s">
        <v>1369</v>
      </c>
      <c r="F295" s="8" t="s">
        <v>27</v>
      </c>
      <c r="G295" s="8" t="s">
        <v>28</v>
      </c>
      <c r="H295" s="8" t="s">
        <v>1370</v>
      </c>
      <c r="I295" s="8" t="s">
        <v>138</v>
      </c>
      <c r="J295" s="8" t="s">
        <v>106</v>
      </c>
      <c r="K295" s="8" t="s">
        <v>46</v>
      </c>
      <c r="L295" s="8" t="s">
        <v>78</v>
      </c>
      <c r="M295" s="8">
        <v>5</v>
      </c>
      <c r="N295" s="8">
        <v>1200</v>
      </c>
      <c r="O295" s="8">
        <v>20</v>
      </c>
      <c r="P295" s="8">
        <v>4800</v>
      </c>
      <c r="Q295" s="8">
        <v>3</v>
      </c>
      <c r="R295" s="8" t="s">
        <v>48</v>
      </c>
      <c r="S295" s="8" t="s">
        <v>151</v>
      </c>
      <c r="T295" s="8" t="s">
        <v>50</v>
      </c>
      <c r="U295" s="9" t="s">
        <v>1371</v>
      </c>
      <c r="V295" s="8" t="s">
        <v>38</v>
      </c>
    </row>
    <row r="296" spans="1:22">
      <c r="A296" s="3" t="s">
        <v>1372</v>
      </c>
      <c r="B296" s="4" t="s">
        <v>168</v>
      </c>
      <c r="C296" s="4" t="s">
        <v>222</v>
      </c>
      <c r="D296" s="4" t="s">
        <v>1373</v>
      </c>
      <c r="E296" s="4" t="s">
        <v>1374</v>
      </c>
      <c r="F296" s="4" t="s">
        <v>361</v>
      </c>
      <c r="G296" s="4" t="s">
        <v>28</v>
      </c>
      <c r="H296" s="4" t="s">
        <v>1375</v>
      </c>
      <c r="I296" s="4" t="s">
        <v>105</v>
      </c>
      <c r="J296" s="4" t="s">
        <v>106</v>
      </c>
      <c r="K296" s="4" t="s">
        <v>122</v>
      </c>
      <c r="L296" s="4" t="s">
        <v>227</v>
      </c>
      <c r="M296" s="4">
        <v>10</v>
      </c>
      <c r="N296" s="4">
        <v>20</v>
      </c>
      <c r="O296" s="4">
        <v>5</v>
      </c>
      <c r="P296" s="4">
        <v>190</v>
      </c>
      <c r="Q296" s="4">
        <v>4</v>
      </c>
      <c r="R296" s="4" t="s">
        <v>34</v>
      </c>
      <c r="S296" s="4" t="s">
        <v>151</v>
      </c>
      <c r="T296" s="4" t="s">
        <v>175</v>
      </c>
      <c r="U296" s="6" t="s">
        <v>1376</v>
      </c>
      <c r="V296" s="4" t="s">
        <v>64</v>
      </c>
    </row>
    <row r="297" spans="1:22">
      <c r="A297" s="7" t="s">
        <v>1377</v>
      </c>
      <c r="B297" s="8" t="s">
        <v>100</v>
      </c>
      <c r="C297" s="8" t="s">
        <v>118</v>
      </c>
      <c r="D297" s="8" t="s">
        <v>1378</v>
      </c>
      <c r="E297" s="8" t="s">
        <v>1379</v>
      </c>
      <c r="F297" s="8" t="s">
        <v>103</v>
      </c>
      <c r="G297" s="8" t="s">
        <v>28</v>
      </c>
      <c r="H297" s="8" t="s">
        <v>1380</v>
      </c>
      <c r="I297" s="8" t="s">
        <v>44</v>
      </c>
      <c r="J297" s="8" t="s">
        <v>45</v>
      </c>
      <c r="K297" s="8" t="s">
        <v>122</v>
      </c>
      <c r="L297" s="8" t="s">
        <v>123</v>
      </c>
      <c r="M297" s="8">
        <v>20</v>
      </c>
      <c r="N297" s="8">
        <v>60</v>
      </c>
      <c r="O297" s="8">
        <v>15</v>
      </c>
      <c r="P297" s="8">
        <v>1020</v>
      </c>
      <c r="Q297" s="8">
        <v>5</v>
      </c>
      <c r="R297" s="8" t="s">
        <v>79</v>
      </c>
      <c r="S297" s="8" t="s">
        <v>35</v>
      </c>
      <c r="T297" s="8" t="s">
        <v>144</v>
      </c>
      <c r="U297" s="9" t="s">
        <v>1381</v>
      </c>
      <c r="V297" s="8" t="s">
        <v>64</v>
      </c>
    </row>
    <row r="298" spans="1:22">
      <c r="A298" s="3" t="s">
        <v>1382</v>
      </c>
      <c r="B298" s="4" t="s">
        <v>327</v>
      </c>
      <c r="C298" s="4" t="s">
        <v>24</v>
      </c>
      <c r="D298" s="4" t="s">
        <v>1360</v>
      </c>
      <c r="E298" s="4" t="s">
        <v>577</v>
      </c>
      <c r="F298" s="4" t="s">
        <v>394</v>
      </c>
      <c r="G298" s="4" t="s">
        <v>76</v>
      </c>
      <c r="H298" s="4" t="s">
        <v>1383</v>
      </c>
      <c r="I298" s="4" t="s">
        <v>138</v>
      </c>
      <c r="J298" s="4" t="s">
        <v>106</v>
      </c>
      <c r="K298" s="4" t="s">
        <v>32</v>
      </c>
      <c r="L298" s="4" t="s">
        <v>33</v>
      </c>
      <c r="M298" s="4">
        <v>7</v>
      </c>
      <c r="N298" s="4">
        <v>2200</v>
      </c>
      <c r="O298" s="4">
        <v>15</v>
      </c>
      <c r="P298" s="4">
        <v>13090</v>
      </c>
      <c r="Q298" s="4">
        <v>4</v>
      </c>
      <c r="R298" s="4" t="s">
        <v>34</v>
      </c>
      <c r="S298" s="4" t="s">
        <v>61</v>
      </c>
      <c r="T298" s="4" t="s">
        <v>332</v>
      </c>
      <c r="U298" s="6" t="s">
        <v>1384</v>
      </c>
      <c r="V298" s="4" t="s">
        <v>69</v>
      </c>
    </row>
    <row r="299" spans="1:22">
      <c r="A299" s="7" t="s">
        <v>1385</v>
      </c>
      <c r="B299" s="8" t="s">
        <v>127</v>
      </c>
      <c r="C299" s="8" t="s">
        <v>54</v>
      </c>
      <c r="D299" s="8" t="s">
        <v>619</v>
      </c>
      <c r="E299" s="8" t="s">
        <v>760</v>
      </c>
      <c r="F299" s="8" t="s">
        <v>200</v>
      </c>
      <c r="G299" s="8" t="s">
        <v>76</v>
      </c>
      <c r="H299" s="8" t="s">
        <v>1386</v>
      </c>
      <c r="I299" s="8" t="s">
        <v>30</v>
      </c>
      <c r="J299" s="8" t="s">
        <v>31</v>
      </c>
      <c r="K299" s="8" t="s">
        <v>46</v>
      </c>
      <c r="L299" s="8" t="s">
        <v>60</v>
      </c>
      <c r="M299" s="8">
        <v>11</v>
      </c>
      <c r="N299" s="8">
        <v>55000</v>
      </c>
      <c r="O299" s="8">
        <v>5</v>
      </c>
      <c r="P299" s="8">
        <v>574750</v>
      </c>
      <c r="Q299" s="8">
        <v>1</v>
      </c>
      <c r="R299" s="8" t="s">
        <v>88</v>
      </c>
      <c r="S299" s="8" t="s">
        <v>35</v>
      </c>
      <c r="T299" s="8" t="s">
        <v>132</v>
      </c>
      <c r="U299" s="9" t="s">
        <v>1387</v>
      </c>
      <c r="V299" s="8" t="s">
        <v>69</v>
      </c>
    </row>
    <row r="300" spans="1:22">
      <c r="A300" s="3" t="s">
        <v>1388</v>
      </c>
      <c r="B300" s="4" t="s">
        <v>83</v>
      </c>
      <c r="C300" s="4" t="s">
        <v>92</v>
      </c>
      <c r="D300" s="4" t="s">
        <v>308</v>
      </c>
      <c r="E300" s="4" t="s">
        <v>1389</v>
      </c>
      <c r="F300" s="4" t="s">
        <v>180</v>
      </c>
      <c r="G300" s="4" t="s">
        <v>76</v>
      </c>
      <c r="H300" s="4" t="s">
        <v>1390</v>
      </c>
      <c r="I300" s="4" t="s">
        <v>212</v>
      </c>
      <c r="J300" s="4" t="s">
        <v>45</v>
      </c>
      <c r="K300" s="4" t="s">
        <v>32</v>
      </c>
      <c r="L300" s="4" t="s">
        <v>97</v>
      </c>
      <c r="M300" s="4">
        <v>12</v>
      </c>
      <c r="N300" s="4">
        <v>3500</v>
      </c>
      <c r="O300" s="4">
        <v>0</v>
      </c>
      <c r="P300" s="4">
        <v>42000</v>
      </c>
      <c r="Q300" s="4">
        <v>2</v>
      </c>
      <c r="R300" s="4" t="s">
        <v>48</v>
      </c>
      <c r="S300" s="4"/>
      <c r="T300" s="4" t="s">
        <v>89</v>
      </c>
      <c r="U300" s="6" t="s">
        <v>1391</v>
      </c>
      <c r="V300" s="4" t="s">
        <v>64</v>
      </c>
    </row>
    <row r="301" spans="1:22">
      <c r="A301" s="7" t="s">
        <v>1392</v>
      </c>
      <c r="B301" s="8" t="s">
        <v>71</v>
      </c>
      <c r="C301" s="8" t="s">
        <v>259</v>
      </c>
      <c r="D301" s="8" t="s">
        <v>94</v>
      </c>
      <c r="E301" s="8" t="s">
        <v>298</v>
      </c>
      <c r="F301" s="8" t="s">
        <v>217</v>
      </c>
      <c r="G301" s="8" t="s">
        <v>76</v>
      </c>
      <c r="H301" s="8" t="s">
        <v>1393</v>
      </c>
      <c r="I301" s="8" t="s">
        <v>30</v>
      </c>
      <c r="J301" s="8" t="s">
        <v>31</v>
      </c>
      <c r="K301" s="8" t="s">
        <v>122</v>
      </c>
      <c r="L301" s="8" t="s">
        <v>263</v>
      </c>
      <c r="M301" s="8">
        <v>15</v>
      </c>
      <c r="N301" s="8">
        <v>45</v>
      </c>
      <c r="O301" s="8">
        <v>10</v>
      </c>
      <c r="P301" s="8">
        <v>607.5</v>
      </c>
      <c r="Q301" s="8">
        <v>2</v>
      </c>
      <c r="R301" s="8" t="s">
        <v>34</v>
      </c>
      <c r="S301" s="8" t="s">
        <v>151</v>
      </c>
      <c r="T301" s="8" t="s">
        <v>80</v>
      </c>
      <c r="U301" s="9" t="s">
        <v>1394</v>
      </c>
      <c r="V301" s="8" t="s">
        <v>64</v>
      </c>
    </row>
    <row r="302" spans="1:22">
      <c r="A302" s="3" t="s">
        <v>1395</v>
      </c>
      <c r="B302" s="4" t="s">
        <v>327</v>
      </c>
      <c r="C302" s="4" t="s">
        <v>259</v>
      </c>
      <c r="D302" s="4" t="s">
        <v>1320</v>
      </c>
      <c r="E302" s="4" t="s">
        <v>936</v>
      </c>
      <c r="F302" s="4" t="s">
        <v>394</v>
      </c>
      <c r="G302" s="4" t="s">
        <v>76</v>
      </c>
      <c r="H302" s="4" t="s">
        <v>1396</v>
      </c>
      <c r="I302" s="4" t="s">
        <v>59</v>
      </c>
      <c r="J302" s="4" t="s">
        <v>31</v>
      </c>
      <c r="K302" s="4" t="s">
        <v>122</v>
      </c>
      <c r="L302" s="4" t="s">
        <v>263</v>
      </c>
      <c r="M302" s="4">
        <v>13</v>
      </c>
      <c r="N302" s="4">
        <v>45</v>
      </c>
      <c r="O302" s="4">
        <v>0</v>
      </c>
      <c r="P302" s="4">
        <v>585</v>
      </c>
      <c r="Q302" s="4">
        <v>5</v>
      </c>
      <c r="R302" s="4" t="s">
        <v>48</v>
      </c>
      <c r="S302" s="4" t="s">
        <v>49</v>
      </c>
      <c r="T302" s="4" t="s">
        <v>332</v>
      </c>
      <c r="U302" s="6" t="s">
        <v>1397</v>
      </c>
      <c r="V302" s="4" t="s">
        <v>64</v>
      </c>
    </row>
    <row r="303" spans="1:22">
      <c r="A303" s="7" t="s">
        <v>1398</v>
      </c>
      <c r="B303" s="8" t="s">
        <v>127</v>
      </c>
      <c r="C303" s="8" t="s">
        <v>54</v>
      </c>
      <c r="D303" s="8" t="s">
        <v>711</v>
      </c>
      <c r="E303" s="8" t="s">
        <v>1199</v>
      </c>
      <c r="F303" s="8" t="s">
        <v>200</v>
      </c>
      <c r="G303" s="8" t="s">
        <v>76</v>
      </c>
      <c r="H303" s="8" t="s">
        <v>1399</v>
      </c>
      <c r="I303" s="8" t="s">
        <v>59</v>
      </c>
      <c r="J303" s="8" t="s">
        <v>31</v>
      </c>
      <c r="K303" s="8" t="s">
        <v>46</v>
      </c>
      <c r="L303" s="8" t="s">
        <v>60</v>
      </c>
      <c r="M303" s="8">
        <v>8</v>
      </c>
      <c r="N303" s="8">
        <v>55000</v>
      </c>
      <c r="O303" s="8">
        <v>0</v>
      </c>
      <c r="P303" s="8">
        <v>440000</v>
      </c>
      <c r="Q303" s="8">
        <v>2</v>
      </c>
      <c r="R303" s="8" t="s">
        <v>88</v>
      </c>
      <c r="S303" s="8" t="s">
        <v>151</v>
      </c>
      <c r="T303" s="8" t="s">
        <v>132</v>
      </c>
      <c r="U303" s="9" t="s">
        <v>1400</v>
      </c>
      <c r="V303" s="8" t="s">
        <v>69</v>
      </c>
    </row>
    <row r="304" spans="1:22">
      <c r="A304" s="3" t="s">
        <v>1401</v>
      </c>
      <c r="B304" s="4" t="s">
        <v>251</v>
      </c>
      <c r="C304" s="4" t="s">
        <v>54</v>
      </c>
      <c r="D304" s="4" t="s">
        <v>830</v>
      </c>
      <c r="E304" s="4" t="s">
        <v>381</v>
      </c>
      <c r="F304" s="4" t="s">
        <v>254</v>
      </c>
      <c r="G304" s="4" t="s">
        <v>28</v>
      </c>
      <c r="H304" s="4" t="s">
        <v>1402</v>
      </c>
      <c r="I304" s="4" t="s">
        <v>44</v>
      </c>
      <c r="J304" s="4" t="s">
        <v>45</v>
      </c>
      <c r="K304" s="4" t="s">
        <v>46</v>
      </c>
      <c r="L304" s="4" t="s">
        <v>60</v>
      </c>
      <c r="M304" s="4">
        <v>4</v>
      </c>
      <c r="N304" s="4">
        <v>55000</v>
      </c>
      <c r="O304" s="4">
        <v>20</v>
      </c>
      <c r="P304" s="4">
        <v>176000</v>
      </c>
      <c r="Q304" s="4">
        <v>5</v>
      </c>
      <c r="R304" s="4" t="s">
        <v>34</v>
      </c>
      <c r="S304" s="4" t="s">
        <v>49</v>
      </c>
      <c r="T304" s="4" t="s">
        <v>256</v>
      </c>
      <c r="U304" s="6" t="s">
        <v>1403</v>
      </c>
      <c r="V304" s="4" t="s">
        <v>64</v>
      </c>
    </row>
    <row r="305" spans="1:22">
      <c r="A305" s="7" t="s">
        <v>1404</v>
      </c>
      <c r="B305" s="8" t="s">
        <v>23</v>
      </c>
      <c r="C305" s="8" t="s">
        <v>92</v>
      </c>
      <c r="D305" s="8" t="s">
        <v>1405</v>
      </c>
      <c r="E305" s="8" t="s">
        <v>716</v>
      </c>
      <c r="F305" s="8" t="s">
        <v>27</v>
      </c>
      <c r="G305" s="8" t="s">
        <v>28</v>
      </c>
      <c r="H305" s="8" t="s">
        <v>1406</v>
      </c>
      <c r="I305" s="8" t="s">
        <v>138</v>
      </c>
      <c r="J305" s="8" t="s">
        <v>106</v>
      </c>
      <c r="K305" s="8" t="s">
        <v>32</v>
      </c>
      <c r="L305" s="8" t="s">
        <v>97</v>
      </c>
      <c r="M305" s="8">
        <v>19</v>
      </c>
      <c r="N305" s="8">
        <v>3500</v>
      </c>
      <c r="O305" s="8">
        <v>5</v>
      </c>
      <c r="P305" s="8">
        <v>63175</v>
      </c>
      <c r="Q305" s="8">
        <v>1</v>
      </c>
      <c r="R305" s="8" t="s">
        <v>79</v>
      </c>
      <c r="S305" s="8" t="s">
        <v>115</v>
      </c>
      <c r="T305" s="8" t="s">
        <v>50</v>
      </c>
      <c r="U305" s="9" t="s">
        <v>1407</v>
      </c>
      <c r="V305" s="8" t="s">
        <v>38</v>
      </c>
    </row>
    <row r="306" spans="1:22">
      <c r="A306" s="3" t="s">
        <v>1408</v>
      </c>
      <c r="B306" s="4" t="s">
        <v>221</v>
      </c>
      <c r="C306" s="4" t="s">
        <v>72</v>
      </c>
      <c r="D306" s="4" t="s">
        <v>1409</v>
      </c>
      <c r="E306" s="4" t="s">
        <v>414</v>
      </c>
      <c r="F306" s="4" t="s">
        <v>225</v>
      </c>
      <c r="G306" s="4" t="s">
        <v>76</v>
      </c>
      <c r="H306" s="4" t="s">
        <v>1410</v>
      </c>
      <c r="I306" s="4" t="s">
        <v>212</v>
      </c>
      <c r="J306" s="4" t="s">
        <v>45</v>
      </c>
      <c r="K306" s="4" t="s">
        <v>46</v>
      </c>
      <c r="L306" s="4" t="s">
        <v>78</v>
      </c>
      <c r="M306" s="4">
        <v>17</v>
      </c>
      <c r="N306" s="4">
        <v>1200</v>
      </c>
      <c r="O306" s="4">
        <v>15</v>
      </c>
      <c r="P306" s="4">
        <v>17340</v>
      </c>
      <c r="Q306" s="4">
        <v>2</v>
      </c>
      <c r="R306" s="4" t="s">
        <v>48</v>
      </c>
      <c r="S306" s="4" t="s">
        <v>49</v>
      </c>
      <c r="T306" s="4" t="s">
        <v>228</v>
      </c>
      <c r="U306" s="6" t="s">
        <v>1411</v>
      </c>
      <c r="V306" s="4" t="s">
        <v>38</v>
      </c>
    </row>
    <row r="307" spans="1:22">
      <c r="A307" s="7" t="s">
        <v>1412</v>
      </c>
      <c r="B307" s="8" t="s">
        <v>23</v>
      </c>
      <c r="C307" s="8" t="s">
        <v>24</v>
      </c>
      <c r="D307" s="8" t="s">
        <v>450</v>
      </c>
      <c r="E307" s="8" t="s">
        <v>736</v>
      </c>
      <c r="F307" s="8" t="s">
        <v>27</v>
      </c>
      <c r="G307" s="8" t="s">
        <v>28</v>
      </c>
      <c r="H307" s="8" t="s">
        <v>1413</v>
      </c>
      <c r="I307" s="8" t="s">
        <v>30</v>
      </c>
      <c r="J307" s="8" t="s">
        <v>31</v>
      </c>
      <c r="K307" s="8" t="s">
        <v>32</v>
      </c>
      <c r="L307" s="8" t="s">
        <v>33</v>
      </c>
      <c r="M307" s="8">
        <v>8</v>
      </c>
      <c r="N307" s="8">
        <v>2200</v>
      </c>
      <c r="O307" s="8">
        <v>5</v>
      </c>
      <c r="P307" s="8">
        <v>16720</v>
      </c>
      <c r="Q307" s="8">
        <v>3</v>
      </c>
      <c r="R307" s="8" t="s">
        <v>79</v>
      </c>
      <c r="S307" s="8" t="s">
        <v>115</v>
      </c>
      <c r="T307" s="8" t="s">
        <v>50</v>
      </c>
      <c r="U307" s="9" t="s">
        <v>1414</v>
      </c>
      <c r="V307" s="8" t="s">
        <v>64</v>
      </c>
    </row>
    <row r="308" spans="1:22">
      <c r="A308" s="3" t="s">
        <v>1415</v>
      </c>
      <c r="B308" s="4" t="s">
        <v>251</v>
      </c>
      <c r="C308" s="4" t="s">
        <v>184</v>
      </c>
      <c r="D308" s="4" t="s">
        <v>987</v>
      </c>
      <c r="E308" s="4" t="s">
        <v>387</v>
      </c>
      <c r="F308" s="4" t="s">
        <v>254</v>
      </c>
      <c r="G308" s="4" t="s">
        <v>28</v>
      </c>
      <c r="H308" s="4" t="s">
        <v>813</v>
      </c>
      <c r="I308" s="4" t="s">
        <v>105</v>
      </c>
      <c r="J308" s="4" t="s">
        <v>106</v>
      </c>
      <c r="K308" s="4" t="s">
        <v>46</v>
      </c>
      <c r="L308" s="4" t="s">
        <v>189</v>
      </c>
      <c r="M308" s="4">
        <v>17</v>
      </c>
      <c r="N308" s="4">
        <v>700</v>
      </c>
      <c r="O308" s="4">
        <v>20</v>
      </c>
      <c r="P308" s="4">
        <v>9520</v>
      </c>
      <c r="Q308" s="4">
        <v>4</v>
      </c>
      <c r="R308" s="4" t="s">
        <v>48</v>
      </c>
      <c r="S308" s="4" t="s">
        <v>115</v>
      </c>
      <c r="T308" s="4" t="s">
        <v>256</v>
      </c>
      <c r="U308" s="6" t="s">
        <v>1416</v>
      </c>
      <c r="V308" s="4" t="s">
        <v>38</v>
      </c>
    </row>
    <row r="309" spans="1:22">
      <c r="A309" s="7" t="s">
        <v>1417</v>
      </c>
      <c r="B309" s="8" t="s">
        <v>251</v>
      </c>
      <c r="C309" s="8" t="s">
        <v>169</v>
      </c>
      <c r="D309" s="8" t="s">
        <v>372</v>
      </c>
      <c r="E309" s="8" t="s">
        <v>246</v>
      </c>
      <c r="F309" s="8" t="s">
        <v>254</v>
      </c>
      <c r="G309" s="8" t="s">
        <v>28</v>
      </c>
      <c r="H309" s="8" t="s">
        <v>1215</v>
      </c>
      <c r="I309" s="8" t="s">
        <v>114</v>
      </c>
      <c r="J309" s="8" t="s">
        <v>106</v>
      </c>
      <c r="K309" s="8" t="s">
        <v>32</v>
      </c>
      <c r="L309" s="8" t="s">
        <v>174</v>
      </c>
      <c r="M309" s="8">
        <v>6</v>
      </c>
      <c r="N309" s="8">
        <v>8500</v>
      </c>
      <c r="O309" s="8">
        <v>15</v>
      </c>
      <c r="P309" s="8">
        <v>43350</v>
      </c>
      <c r="Q309" s="8">
        <v>1</v>
      </c>
      <c r="R309" s="8" t="s">
        <v>34</v>
      </c>
      <c r="S309" s="8" t="s">
        <v>61</v>
      </c>
      <c r="T309" s="8" t="s">
        <v>256</v>
      </c>
      <c r="U309" s="9" t="s">
        <v>1418</v>
      </c>
      <c r="V309" s="8" t="s">
        <v>38</v>
      </c>
    </row>
    <row r="310" spans="1:22">
      <c r="A310" s="3" t="s">
        <v>1419</v>
      </c>
      <c r="B310" s="4" t="s">
        <v>53</v>
      </c>
      <c r="C310" s="4" t="s">
        <v>92</v>
      </c>
      <c r="D310" s="4" t="s">
        <v>941</v>
      </c>
      <c r="E310" s="4" t="s">
        <v>345</v>
      </c>
      <c r="F310" s="4" t="s">
        <v>163</v>
      </c>
      <c r="G310" s="4" t="s">
        <v>28</v>
      </c>
      <c r="H310" s="4" t="s">
        <v>1420</v>
      </c>
      <c r="I310" s="4" t="s">
        <v>30</v>
      </c>
      <c r="J310" s="4" t="s">
        <v>31</v>
      </c>
      <c r="K310" s="4" t="s">
        <v>32</v>
      </c>
      <c r="L310" s="4" t="s">
        <v>97</v>
      </c>
      <c r="M310" s="4">
        <v>3</v>
      </c>
      <c r="N310" s="4">
        <v>3500</v>
      </c>
      <c r="O310" s="4">
        <v>10</v>
      </c>
      <c r="P310" s="4">
        <v>9450</v>
      </c>
      <c r="Q310" s="4">
        <v>1</v>
      </c>
      <c r="R310" s="4" t="s">
        <v>48</v>
      </c>
      <c r="S310" s="4" t="s">
        <v>49</v>
      </c>
      <c r="T310" s="4" t="s">
        <v>62</v>
      </c>
      <c r="U310" s="6" t="s">
        <v>1421</v>
      </c>
      <c r="V310" s="4" t="s">
        <v>38</v>
      </c>
    </row>
    <row r="311" spans="1:22">
      <c r="A311" s="7" t="s">
        <v>1422</v>
      </c>
      <c r="B311" s="8" t="s">
        <v>71</v>
      </c>
      <c r="C311" s="8" t="s">
        <v>40</v>
      </c>
      <c r="D311" s="8" t="s">
        <v>1378</v>
      </c>
      <c r="E311" s="8" t="s">
        <v>783</v>
      </c>
      <c r="F311" s="8" t="s">
        <v>217</v>
      </c>
      <c r="G311" s="8" t="s">
        <v>76</v>
      </c>
      <c r="H311" s="8" t="s">
        <v>1423</v>
      </c>
      <c r="I311" s="8" t="s">
        <v>138</v>
      </c>
      <c r="J311" s="8" t="s">
        <v>106</v>
      </c>
      <c r="K311" s="8" t="s">
        <v>46</v>
      </c>
      <c r="L311" s="8" t="s">
        <v>47</v>
      </c>
      <c r="M311" s="8">
        <v>2</v>
      </c>
      <c r="N311" s="8">
        <v>12000</v>
      </c>
      <c r="O311" s="8">
        <v>20</v>
      </c>
      <c r="P311" s="8">
        <v>19200</v>
      </c>
      <c r="Q311" s="8">
        <v>1</v>
      </c>
      <c r="R311" s="8" t="s">
        <v>79</v>
      </c>
      <c r="S311" s="8" t="s">
        <v>61</v>
      </c>
      <c r="T311" s="8" t="s">
        <v>80</v>
      </c>
      <c r="U311" s="9" t="s">
        <v>1424</v>
      </c>
      <c r="V311" s="8" t="s">
        <v>38</v>
      </c>
    </row>
    <row r="312" spans="1:22">
      <c r="A312" s="3" t="s">
        <v>1425</v>
      </c>
      <c r="B312" s="4" t="s">
        <v>221</v>
      </c>
      <c r="C312" s="4" t="s">
        <v>222</v>
      </c>
      <c r="D312" s="4" t="s">
        <v>340</v>
      </c>
      <c r="E312" s="4" t="s">
        <v>1426</v>
      </c>
      <c r="F312" s="4" t="s">
        <v>225</v>
      </c>
      <c r="G312" s="4" t="s">
        <v>76</v>
      </c>
      <c r="H312" s="4" t="s">
        <v>1427</v>
      </c>
      <c r="I312" s="4" t="s">
        <v>44</v>
      </c>
      <c r="J312" s="4" t="s">
        <v>45</v>
      </c>
      <c r="K312" s="4" t="s">
        <v>122</v>
      </c>
      <c r="L312" s="4" t="s">
        <v>227</v>
      </c>
      <c r="M312" s="4">
        <v>12</v>
      </c>
      <c r="N312" s="4">
        <v>20</v>
      </c>
      <c r="O312" s="4">
        <v>20</v>
      </c>
      <c r="P312" s="4">
        <v>192</v>
      </c>
      <c r="Q312" s="4">
        <v>2</v>
      </c>
      <c r="R312" s="4" t="s">
        <v>79</v>
      </c>
      <c r="S312" s="4" t="s">
        <v>49</v>
      </c>
      <c r="T312" s="4" t="s">
        <v>228</v>
      </c>
      <c r="U312" s="6" t="s">
        <v>1428</v>
      </c>
      <c r="V312" s="4" t="s">
        <v>38</v>
      </c>
    </row>
    <row r="313" spans="1:22">
      <c r="A313" s="7" t="s">
        <v>1429</v>
      </c>
      <c r="B313" s="8" t="s">
        <v>100</v>
      </c>
      <c r="C313" s="8" t="s">
        <v>40</v>
      </c>
      <c r="D313" s="8" t="s">
        <v>716</v>
      </c>
      <c r="E313" s="8" t="s">
        <v>1430</v>
      </c>
      <c r="F313" s="8" t="s">
        <v>103</v>
      </c>
      <c r="G313" s="8" t="s">
        <v>28</v>
      </c>
      <c r="H313" s="8" t="s">
        <v>1431</v>
      </c>
      <c r="I313" s="8" t="s">
        <v>294</v>
      </c>
      <c r="J313" s="8" t="s">
        <v>295</v>
      </c>
      <c r="K313" s="8" t="s">
        <v>46</v>
      </c>
      <c r="L313" s="8" t="s">
        <v>47</v>
      </c>
      <c r="M313" s="8">
        <v>20</v>
      </c>
      <c r="N313" s="8">
        <v>12000</v>
      </c>
      <c r="O313" s="8">
        <v>15</v>
      </c>
      <c r="P313" s="8">
        <v>204000</v>
      </c>
      <c r="Q313" s="8">
        <v>3</v>
      </c>
      <c r="R313" s="8" t="s">
        <v>34</v>
      </c>
      <c r="S313" s="8" t="s">
        <v>35</v>
      </c>
      <c r="T313" s="8" t="s">
        <v>144</v>
      </c>
      <c r="U313" s="9" t="s">
        <v>1432</v>
      </c>
      <c r="V313" s="8" t="s">
        <v>64</v>
      </c>
    </row>
    <row r="314" spans="1:22">
      <c r="A314" s="3" t="s">
        <v>1433</v>
      </c>
      <c r="B314" s="4" t="s">
        <v>53</v>
      </c>
      <c r="C314" s="4" t="s">
        <v>118</v>
      </c>
      <c r="D314" s="4" t="s">
        <v>398</v>
      </c>
      <c r="E314" s="4" t="s">
        <v>740</v>
      </c>
      <c r="F314" s="4" t="s">
        <v>163</v>
      </c>
      <c r="G314" s="4" t="s">
        <v>28</v>
      </c>
      <c r="H314" s="4" t="s">
        <v>1434</v>
      </c>
      <c r="I314" s="4" t="s">
        <v>212</v>
      </c>
      <c r="J314" s="4" t="s">
        <v>45</v>
      </c>
      <c r="K314" s="4" t="s">
        <v>122</v>
      </c>
      <c r="L314" s="4" t="s">
        <v>123</v>
      </c>
      <c r="M314" s="4">
        <v>13</v>
      </c>
      <c r="N314" s="4">
        <v>60</v>
      </c>
      <c r="O314" s="4">
        <v>10</v>
      </c>
      <c r="P314" s="4">
        <v>702</v>
      </c>
      <c r="Q314" s="4">
        <v>5</v>
      </c>
      <c r="R314" s="4" t="s">
        <v>34</v>
      </c>
      <c r="S314" s="4" t="s">
        <v>35</v>
      </c>
      <c r="T314" s="4" t="s">
        <v>62</v>
      </c>
      <c r="U314" s="6" t="s">
        <v>1435</v>
      </c>
      <c r="V314" s="4" t="s">
        <v>64</v>
      </c>
    </row>
    <row r="315" spans="1:22">
      <c r="A315" s="7" t="s">
        <v>1436</v>
      </c>
      <c r="B315" s="8" t="s">
        <v>71</v>
      </c>
      <c r="C315" s="8" t="s">
        <v>54</v>
      </c>
      <c r="D315" s="8" t="s">
        <v>1437</v>
      </c>
      <c r="E315" s="8" t="s">
        <v>1294</v>
      </c>
      <c r="F315" s="8" t="s">
        <v>217</v>
      </c>
      <c r="G315" s="8" t="s">
        <v>76</v>
      </c>
      <c r="H315" s="8" t="s">
        <v>1438</v>
      </c>
      <c r="I315" s="8" t="s">
        <v>114</v>
      </c>
      <c r="J315" s="8" t="s">
        <v>106</v>
      </c>
      <c r="K315" s="8" t="s">
        <v>46</v>
      </c>
      <c r="L315" s="8" t="s">
        <v>60</v>
      </c>
      <c r="M315" s="8">
        <v>13</v>
      </c>
      <c r="N315" s="8">
        <v>55000</v>
      </c>
      <c r="O315" s="8">
        <v>5</v>
      </c>
      <c r="P315" s="8">
        <v>679250</v>
      </c>
      <c r="Q315" s="8">
        <v>1</v>
      </c>
      <c r="R315" s="8" t="s">
        <v>88</v>
      </c>
      <c r="S315" s="8" t="s">
        <v>151</v>
      </c>
      <c r="T315" s="8" t="s">
        <v>80</v>
      </c>
      <c r="U315" s="9" t="s">
        <v>1439</v>
      </c>
      <c r="V315" s="8" t="s">
        <v>64</v>
      </c>
    </row>
    <row r="316" spans="1:22">
      <c r="A316" s="3" t="s">
        <v>1440</v>
      </c>
      <c r="B316" s="4" t="s">
        <v>100</v>
      </c>
      <c r="C316" s="4" t="s">
        <v>72</v>
      </c>
      <c r="D316" s="4" t="s">
        <v>797</v>
      </c>
      <c r="E316" s="4" t="s">
        <v>798</v>
      </c>
      <c r="F316" s="4" t="s">
        <v>103</v>
      </c>
      <c r="G316" s="4" t="s">
        <v>28</v>
      </c>
      <c r="H316" s="4" t="s">
        <v>1441</v>
      </c>
      <c r="I316" s="4" t="s">
        <v>59</v>
      </c>
      <c r="J316" s="4" t="s">
        <v>31</v>
      </c>
      <c r="K316" s="4" t="s">
        <v>46</v>
      </c>
      <c r="L316" s="4" t="s">
        <v>78</v>
      </c>
      <c r="M316" s="4">
        <v>7</v>
      </c>
      <c r="N316" s="4">
        <v>1200</v>
      </c>
      <c r="O316" s="4">
        <v>15</v>
      </c>
      <c r="P316" s="4">
        <v>7140</v>
      </c>
      <c r="Q316" s="4">
        <v>5</v>
      </c>
      <c r="R316" s="4" t="s">
        <v>88</v>
      </c>
      <c r="S316" s="4" t="s">
        <v>49</v>
      </c>
      <c r="T316" s="4" t="s">
        <v>144</v>
      </c>
      <c r="U316" s="6" t="s">
        <v>1442</v>
      </c>
      <c r="V316" s="4" t="s">
        <v>64</v>
      </c>
    </row>
    <row r="317" spans="1:22">
      <c r="A317" s="7" t="s">
        <v>1443</v>
      </c>
      <c r="B317" s="8" t="s">
        <v>83</v>
      </c>
      <c r="C317" s="8" t="s">
        <v>40</v>
      </c>
      <c r="D317" s="8" t="s">
        <v>961</v>
      </c>
      <c r="E317" s="8" t="s">
        <v>1444</v>
      </c>
      <c r="F317" s="8" t="s">
        <v>180</v>
      </c>
      <c r="G317" s="8" t="s">
        <v>76</v>
      </c>
      <c r="H317" s="8" t="s">
        <v>1445</v>
      </c>
      <c r="I317" s="8" t="s">
        <v>212</v>
      </c>
      <c r="J317" s="8" t="s">
        <v>45</v>
      </c>
      <c r="K317" s="8" t="s">
        <v>46</v>
      </c>
      <c r="L317" s="8" t="s">
        <v>47</v>
      </c>
      <c r="M317" s="8">
        <v>17</v>
      </c>
      <c r="N317" s="8">
        <v>12000</v>
      </c>
      <c r="O317" s="8">
        <v>5</v>
      </c>
      <c r="P317" s="8">
        <v>193800</v>
      </c>
      <c r="Q317" s="8">
        <v>1</v>
      </c>
      <c r="R317" s="8" t="s">
        <v>34</v>
      </c>
      <c r="S317" s="8" t="s">
        <v>61</v>
      </c>
      <c r="T317" s="8" t="s">
        <v>89</v>
      </c>
      <c r="U317" s="9" t="s">
        <v>1446</v>
      </c>
      <c r="V317" s="8" t="s">
        <v>69</v>
      </c>
    </row>
    <row r="318" spans="1:22">
      <c r="A318" s="3" t="s">
        <v>1447</v>
      </c>
      <c r="B318" s="4" t="s">
        <v>83</v>
      </c>
      <c r="C318" s="4" t="s">
        <v>222</v>
      </c>
      <c r="D318" s="4" t="s">
        <v>356</v>
      </c>
      <c r="E318" s="4" t="s">
        <v>517</v>
      </c>
      <c r="F318" s="4" t="s">
        <v>180</v>
      </c>
      <c r="G318" s="4" t="s">
        <v>76</v>
      </c>
      <c r="H318" s="4" t="s">
        <v>1448</v>
      </c>
      <c r="I318" s="4" t="s">
        <v>59</v>
      </c>
      <c r="J318" s="4" t="s">
        <v>31</v>
      </c>
      <c r="K318" s="4" t="s">
        <v>122</v>
      </c>
      <c r="L318" s="4" t="s">
        <v>227</v>
      </c>
      <c r="M318" s="4">
        <v>10</v>
      </c>
      <c r="N318" s="4">
        <v>20</v>
      </c>
      <c r="O318" s="4">
        <v>5</v>
      </c>
      <c r="P318" s="4">
        <v>190</v>
      </c>
      <c r="Q318" s="4">
        <v>2</v>
      </c>
      <c r="R318" s="4" t="s">
        <v>34</v>
      </c>
      <c r="S318" s="4" t="s">
        <v>61</v>
      </c>
      <c r="T318" s="4" t="s">
        <v>89</v>
      </c>
      <c r="U318" s="6" t="s">
        <v>1449</v>
      </c>
      <c r="V318" s="4" t="s">
        <v>69</v>
      </c>
    </row>
    <row r="319" spans="1:22">
      <c r="A319" s="7" t="s">
        <v>1450</v>
      </c>
      <c r="B319" s="8" t="s">
        <v>168</v>
      </c>
      <c r="C319" s="8" t="s">
        <v>24</v>
      </c>
      <c r="D319" s="8" t="s">
        <v>291</v>
      </c>
      <c r="E319" s="8" t="s">
        <v>1451</v>
      </c>
      <c r="F319" s="8" t="s">
        <v>361</v>
      </c>
      <c r="G319" s="8" t="s">
        <v>28</v>
      </c>
      <c r="H319" s="8" t="s">
        <v>1452</v>
      </c>
      <c r="I319" s="8" t="s">
        <v>44</v>
      </c>
      <c r="J319" s="8" t="s">
        <v>45</v>
      </c>
      <c r="K319" s="8" t="s">
        <v>32</v>
      </c>
      <c r="L319" s="8" t="s">
        <v>33</v>
      </c>
      <c r="M319" s="8">
        <v>11</v>
      </c>
      <c r="N319" s="8">
        <v>2200</v>
      </c>
      <c r="O319" s="8">
        <v>5</v>
      </c>
      <c r="P319" s="8">
        <v>22990</v>
      </c>
      <c r="Q319" s="8">
        <v>5</v>
      </c>
      <c r="R319" s="8" t="s">
        <v>79</v>
      </c>
      <c r="S319" s="8" t="s">
        <v>49</v>
      </c>
      <c r="T319" s="8" t="s">
        <v>175</v>
      </c>
      <c r="U319" s="9" t="s">
        <v>1453</v>
      </c>
      <c r="V319" s="8" t="s">
        <v>64</v>
      </c>
    </row>
    <row r="320" spans="1:22">
      <c r="A320" s="3" t="s">
        <v>1454</v>
      </c>
      <c r="B320" s="4" t="s">
        <v>100</v>
      </c>
      <c r="C320" s="4" t="s">
        <v>118</v>
      </c>
      <c r="D320" s="4" t="s">
        <v>1369</v>
      </c>
      <c r="E320" s="4" t="s">
        <v>178</v>
      </c>
      <c r="F320" s="4" t="s">
        <v>103</v>
      </c>
      <c r="G320" s="4" t="s">
        <v>28</v>
      </c>
      <c r="H320" s="4" t="s">
        <v>1455</v>
      </c>
      <c r="I320" s="4" t="s">
        <v>212</v>
      </c>
      <c r="J320" s="4" t="s">
        <v>45</v>
      </c>
      <c r="K320" s="4" t="s">
        <v>122</v>
      </c>
      <c r="L320" s="4" t="s">
        <v>123</v>
      </c>
      <c r="M320" s="4">
        <v>8</v>
      </c>
      <c r="N320" s="4">
        <v>60</v>
      </c>
      <c r="O320" s="4">
        <v>15</v>
      </c>
      <c r="P320" s="4">
        <v>408</v>
      </c>
      <c r="Q320" s="4">
        <v>4</v>
      </c>
      <c r="R320" s="4" t="s">
        <v>34</v>
      </c>
      <c r="S320" s="4" t="s">
        <v>49</v>
      </c>
      <c r="T320" s="4" t="s">
        <v>144</v>
      </c>
      <c r="U320" s="6" t="s">
        <v>1456</v>
      </c>
      <c r="V320" s="4" t="s">
        <v>64</v>
      </c>
    </row>
    <row r="321" spans="1:22">
      <c r="A321" s="7" t="s">
        <v>1457</v>
      </c>
      <c r="B321" s="8" t="s">
        <v>221</v>
      </c>
      <c r="C321" s="8" t="s">
        <v>259</v>
      </c>
      <c r="D321" s="8" t="s">
        <v>825</v>
      </c>
      <c r="E321" s="8" t="s">
        <v>119</v>
      </c>
      <c r="F321" s="8" t="s">
        <v>225</v>
      </c>
      <c r="G321" s="8" t="s">
        <v>76</v>
      </c>
      <c r="H321" s="8" t="s">
        <v>1458</v>
      </c>
      <c r="I321" s="8" t="s">
        <v>44</v>
      </c>
      <c r="J321" s="8" t="s">
        <v>45</v>
      </c>
      <c r="K321" s="8" t="s">
        <v>122</v>
      </c>
      <c r="L321" s="8" t="s">
        <v>263</v>
      </c>
      <c r="M321" s="8">
        <v>17</v>
      </c>
      <c r="N321" s="8">
        <v>45</v>
      </c>
      <c r="O321" s="8">
        <v>15</v>
      </c>
      <c r="P321" s="8">
        <v>650.25</v>
      </c>
      <c r="Q321" s="8">
        <v>2</v>
      </c>
      <c r="R321" s="8" t="s">
        <v>88</v>
      </c>
      <c r="S321" s="8" t="s">
        <v>151</v>
      </c>
      <c r="T321" s="8" t="s">
        <v>228</v>
      </c>
      <c r="U321" s="9" t="s">
        <v>1459</v>
      </c>
      <c r="V321" s="8" t="s">
        <v>38</v>
      </c>
    </row>
    <row r="322" spans="1:22">
      <c r="A322" s="3" t="s">
        <v>1460</v>
      </c>
      <c r="B322" s="4" t="s">
        <v>327</v>
      </c>
      <c r="C322" s="4" t="s">
        <v>184</v>
      </c>
      <c r="D322" s="4" t="s">
        <v>632</v>
      </c>
      <c r="E322" s="4" t="s">
        <v>1461</v>
      </c>
      <c r="F322" s="4" t="s">
        <v>394</v>
      </c>
      <c r="G322" s="4" t="s">
        <v>76</v>
      </c>
      <c r="H322" s="4" t="s">
        <v>1462</v>
      </c>
      <c r="I322" s="4" t="s">
        <v>212</v>
      </c>
      <c r="J322" s="4" t="s">
        <v>45</v>
      </c>
      <c r="K322" s="4" t="s">
        <v>46</v>
      </c>
      <c r="L322" s="4" t="s">
        <v>189</v>
      </c>
      <c r="M322" s="4">
        <v>14</v>
      </c>
      <c r="N322" s="4">
        <v>700</v>
      </c>
      <c r="O322" s="4">
        <v>15</v>
      </c>
      <c r="P322" s="4">
        <v>8330</v>
      </c>
      <c r="Q322" s="4">
        <v>1</v>
      </c>
      <c r="R322" s="4" t="s">
        <v>79</v>
      </c>
      <c r="S322" s="4" t="s">
        <v>115</v>
      </c>
      <c r="T322" s="4" t="s">
        <v>332</v>
      </c>
      <c r="U322" s="6" t="s">
        <v>1463</v>
      </c>
      <c r="V322" s="4" t="s">
        <v>38</v>
      </c>
    </row>
    <row r="323" spans="1:22">
      <c r="A323" s="7" t="s">
        <v>1464</v>
      </c>
      <c r="B323" s="8" t="s">
        <v>83</v>
      </c>
      <c r="C323" s="8" t="s">
        <v>72</v>
      </c>
      <c r="D323" s="8" t="s">
        <v>1465</v>
      </c>
      <c r="E323" s="8" t="s">
        <v>948</v>
      </c>
      <c r="F323" s="8" t="s">
        <v>180</v>
      </c>
      <c r="G323" s="8" t="s">
        <v>76</v>
      </c>
      <c r="H323" s="8" t="s">
        <v>1466</v>
      </c>
      <c r="I323" s="8" t="s">
        <v>114</v>
      </c>
      <c r="J323" s="8" t="s">
        <v>106</v>
      </c>
      <c r="K323" s="8" t="s">
        <v>46</v>
      </c>
      <c r="L323" s="8" t="s">
        <v>78</v>
      </c>
      <c r="M323" s="8">
        <v>3</v>
      </c>
      <c r="N323" s="8">
        <v>1200</v>
      </c>
      <c r="O323" s="8">
        <v>5</v>
      </c>
      <c r="P323" s="8">
        <v>3420</v>
      </c>
      <c r="Q323" s="8">
        <v>3</v>
      </c>
      <c r="R323" s="8" t="s">
        <v>48</v>
      </c>
      <c r="S323" s="8" t="s">
        <v>151</v>
      </c>
      <c r="T323" s="8" t="s">
        <v>89</v>
      </c>
      <c r="U323" s="9" t="s">
        <v>1467</v>
      </c>
      <c r="V323" s="8" t="s">
        <v>38</v>
      </c>
    </row>
    <row r="324" spans="1:22">
      <c r="A324" s="3" t="s">
        <v>1468</v>
      </c>
      <c r="B324" s="4" t="s">
        <v>23</v>
      </c>
      <c r="C324" s="4" t="s">
        <v>72</v>
      </c>
      <c r="D324" s="4" t="s">
        <v>489</v>
      </c>
      <c r="E324" s="4" t="s">
        <v>914</v>
      </c>
      <c r="F324" s="4" t="s">
        <v>27</v>
      </c>
      <c r="G324" s="4" t="s">
        <v>28</v>
      </c>
      <c r="H324" s="4" t="s">
        <v>1469</v>
      </c>
      <c r="I324" s="4" t="s">
        <v>138</v>
      </c>
      <c r="J324" s="4" t="s">
        <v>106</v>
      </c>
      <c r="K324" s="4" t="s">
        <v>46</v>
      </c>
      <c r="L324" s="4" t="s">
        <v>78</v>
      </c>
      <c r="M324" s="4">
        <v>9</v>
      </c>
      <c r="N324" s="4">
        <v>1200</v>
      </c>
      <c r="O324" s="4">
        <v>15</v>
      </c>
      <c r="P324" s="4">
        <v>9180</v>
      </c>
      <c r="Q324" s="4">
        <v>3</v>
      </c>
      <c r="R324" s="4" t="s">
        <v>34</v>
      </c>
      <c r="S324" s="4" t="s">
        <v>49</v>
      </c>
      <c r="T324" s="4" t="s">
        <v>50</v>
      </c>
      <c r="U324" s="6" t="s">
        <v>1470</v>
      </c>
      <c r="V324" s="4" t="s">
        <v>38</v>
      </c>
    </row>
    <row r="325" spans="1:22">
      <c r="A325" s="7" t="s">
        <v>1471</v>
      </c>
      <c r="B325" s="8" t="s">
        <v>251</v>
      </c>
      <c r="C325" s="8" t="s">
        <v>222</v>
      </c>
      <c r="D325" s="8" t="s">
        <v>224</v>
      </c>
      <c r="E325" s="8" t="s">
        <v>360</v>
      </c>
      <c r="F325" s="8" t="s">
        <v>254</v>
      </c>
      <c r="G325" s="8" t="s">
        <v>28</v>
      </c>
      <c r="H325" s="8" t="s">
        <v>1472</v>
      </c>
      <c r="I325" s="8" t="s">
        <v>105</v>
      </c>
      <c r="J325" s="8" t="s">
        <v>106</v>
      </c>
      <c r="K325" s="8" t="s">
        <v>122</v>
      </c>
      <c r="L325" s="8" t="s">
        <v>227</v>
      </c>
      <c r="M325" s="8">
        <v>5</v>
      </c>
      <c r="N325" s="8">
        <v>20</v>
      </c>
      <c r="O325" s="8">
        <v>5</v>
      </c>
      <c r="P325" s="8">
        <v>95</v>
      </c>
      <c r="Q325" s="8">
        <v>4</v>
      </c>
      <c r="R325" s="8" t="s">
        <v>34</v>
      </c>
      <c r="S325" s="8" t="s">
        <v>151</v>
      </c>
      <c r="T325" s="8" t="s">
        <v>256</v>
      </c>
      <c r="U325" s="9" t="s">
        <v>1473</v>
      </c>
      <c r="V325" s="8" t="s">
        <v>38</v>
      </c>
    </row>
    <row r="326" spans="1:22">
      <c r="A326" s="3" t="s">
        <v>1474</v>
      </c>
      <c r="B326" s="4" t="s">
        <v>251</v>
      </c>
      <c r="C326" s="4" t="s">
        <v>24</v>
      </c>
      <c r="D326" s="4" t="s">
        <v>1475</v>
      </c>
      <c r="E326" s="4" t="s">
        <v>1476</v>
      </c>
      <c r="F326" s="4" t="s">
        <v>254</v>
      </c>
      <c r="G326" s="4" t="s">
        <v>28</v>
      </c>
      <c r="H326" s="4" t="s">
        <v>1477</v>
      </c>
      <c r="I326" s="4" t="s">
        <v>138</v>
      </c>
      <c r="J326" s="4" t="s">
        <v>106</v>
      </c>
      <c r="K326" s="4" t="s">
        <v>32</v>
      </c>
      <c r="L326" s="4" t="s">
        <v>33</v>
      </c>
      <c r="M326" s="4">
        <v>8</v>
      </c>
      <c r="N326" s="4">
        <v>2200</v>
      </c>
      <c r="O326" s="4">
        <v>10</v>
      </c>
      <c r="P326" s="4">
        <v>15840</v>
      </c>
      <c r="Q326" s="4">
        <v>4</v>
      </c>
      <c r="R326" s="4" t="s">
        <v>88</v>
      </c>
      <c r="S326" s="4" t="s">
        <v>61</v>
      </c>
      <c r="T326" s="4" t="s">
        <v>256</v>
      </c>
      <c r="U326" s="6" t="s">
        <v>1478</v>
      </c>
      <c r="V326" s="4" t="s">
        <v>69</v>
      </c>
    </row>
    <row r="327" spans="1:22">
      <c r="A327" s="7" t="s">
        <v>1479</v>
      </c>
      <c r="B327" s="8" t="s">
        <v>251</v>
      </c>
      <c r="C327" s="8" t="s">
        <v>184</v>
      </c>
      <c r="D327" s="8" t="s">
        <v>298</v>
      </c>
      <c r="E327" s="8" t="s">
        <v>1480</v>
      </c>
      <c r="F327" s="8" t="s">
        <v>254</v>
      </c>
      <c r="G327" s="8" t="s">
        <v>28</v>
      </c>
      <c r="H327" s="8" t="s">
        <v>1481</v>
      </c>
      <c r="I327" s="8" t="s">
        <v>105</v>
      </c>
      <c r="J327" s="8" t="s">
        <v>106</v>
      </c>
      <c r="K327" s="8" t="s">
        <v>46</v>
      </c>
      <c r="L327" s="8" t="s">
        <v>189</v>
      </c>
      <c r="M327" s="8">
        <v>10</v>
      </c>
      <c r="N327" s="8">
        <v>700</v>
      </c>
      <c r="O327" s="8">
        <v>20</v>
      </c>
      <c r="P327" s="8">
        <v>5600</v>
      </c>
      <c r="Q327" s="8">
        <v>1</v>
      </c>
      <c r="R327" s="8" t="s">
        <v>88</v>
      </c>
      <c r="S327" s="8" t="s">
        <v>115</v>
      </c>
      <c r="T327" s="8" t="s">
        <v>256</v>
      </c>
      <c r="U327" s="9" t="s">
        <v>1482</v>
      </c>
      <c r="V327" s="8" t="s">
        <v>38</v>
      </c>
    </row>
    <row r="328" spans="1:22">
      <c r="A328" s="3" t="s">
        <v>1483</v>
      </c>
      <c r="B328" s="4" t="s">
        <v>83</v>
      </c>
      <c r="C328" s="4" t="s">
        <v>184</v>
      </c>
      <c r="D328" s="4" t="s">
        <v>1484</v>
      </c>
      <c r="E328" s="4" t="s">
        <v>1485</v>
      </c>
      <c r="F328" s="4" t="s">
        <v>180</v>
      </c>
      <c r="G328" s="4" t="s">
        <v>76</v>
      </c>
      <c r="H328" s="4" t="s">
        <v>1486</v>
      </c>
      <c r="I328" s="4" t="s">
        <v>59</v>
      </c>
      <c r="J328" s="4" t="s">
        <v>31</v>
      </c>
      <c r="K328" s="4" t="s">
        <v>46</v>
      </c>
      <c r="L328" s="4" t="s">
        <v>189</v>
      </c>
      <c r="M328" s="4">
        <v>2</v>
      </c>
      <c r="N328" s="4">
        <v>700</v>
      </c>
      <c r="O328" s="4">
        <v>20</v>
      </c>
      <c r="P328" s="4">
        <v>1120</v>
      </c>
      <c r="Q328" s="4">
        <v>2</v>
      </c>
      <c r="R328" s="4" t="s">
        <v>34</v>
      </c>
      <c r="S328" s="4" t="s">
        <v>115</v>
      </c>
      <c r="T328" s="4" t="s">
        <v>89</v>
      </c>
      <c r="U328" s="6" t="s">
        <v>1487</v>
      </c>
      <c r="V328" s="4" t="s">
        <v>64</v>
      </c>
    </row>
    <row r="329" spans="1:22">
      <c r="A329" s="7" t="s">
        <v>1488</v>
      </c>
      <c r="B329" s="8" t="s">
        <v>221</v>
      </c>
      <c r="C329" s="8" t="s">
        <v>92</v>
      </c>
      <c r="D329" s="8" t="s">
        <v>872</v>
      </c>
      <c r="E329" s="8" t="s">
        <v>965</v>
      </c>
      <c r="F329" s="8" t="s">
        <v>225</v>
      </c>
      <c r="G329" s="8" t="s">
        <v>76</v>
      </c>
      <c r="H329" s="8" t="s">
        <v>1489</v>
      </c>
      <c r="I329" s="8" t="s">
        <v>114</v>
      </c>
      <c r="J329" s="8" t="s">
        <v>106</v>
      </c>
      <c r="K329" s="8" t="s">
        <v>32</v>
      </c>
      <c r="L329" s="8" t="s">
        <v>97</v>
      </c>
      <c r="M329" s="8">
        <v>16</v>
      </c>
      <c r="N329" s="8">
        <v>3500</v>
      </c>
      <c r="O329" s="8">
        <v>20</v>
      </c>
      <c r="P329" s="8">
        <v>44800</v>
      </c>
      <c r="Q329" s="8">
        <v>2</v>
      </c>
      <c r="R329" s="8" t="s">
        <v>88</v>
      </c>
      <c r="S329" s="8" t="s">
        <v>35</v>
      </c>
      <c r="T329" s="8" t="s">
        <v>228</v>
      </c>
      <c r="U329" s="9" t="s">
        <v>1490</v>
      </c>
      <c r="V329" s="8" t="s">
        <v>64</v>
      </c>
    </row>
    <row r="330" spans="1:22">
      <c r="A330" s="3" t="s">
        <v>1491</v>
      </c>
      <c r="B330" s="4" t="s">
        <v>168</v>
      </c>
      <c r="C330" s="4" t="s">
        <v>92</v>
      </c>
      <c r="D330" s="4" t="s">
        <v>829</v>
      </c>
      <c r="E330" s="4" t="s">
        <v>756</v>
      </c>
      <c r="F330" s="4" t="s">
        <v>361</v>
      </c>
      <c r="G330" s="4" t="s">
        <v>28</v>
      </c>
      <c r="H330" s="4" t="s">
        <v>1492</v>
      </c>
      <c r="I330" s="4" t="s">
        <v>44</v>
      </c>
      <c r="J330" s="4" t="s">
        <v>45</v>
      </c>
      <c r="K330" s="4" t="s">
        <v>32</v>
      </c>
      <c r="L330" s="4" t="s">
        <v>97</v>
      </c>
      <c r="M330" s="4">
        <v>9</v>
      </c>
      <c r="N330" s="4">
        <v>3500</v>
      </c>
      <c r="O330" s="4">
        <v>20</v>
      </c>
      <c r="P330" s="4">
        <v>25200</v>
      </c>
      <c r="Q330" s="4">
        <v>1</v>
      </c>
      <c r="R330" s="4" t="s">
        <v>79</v>
      </c>
      <c r="S330" s="4" t="s">
        <v>49</v>
      </c>
      <c r="T330" s="4" t="s">
        <v>175</v>
      </c>
      <c r="U330" s="6" t="s">
        <v>1493</v>
      </c>
      <c r="V330" s="4" t="s">
        <v>69</v>
      </c>
    </row>
    <row r="331" spans="1:22">
      <c r="A331" s="7" t="s">
        <v>1494</v>
      </c>
      <c r="B331" s="8" t="s">
        <v>127</v>
      </c>
      <c r="C331" s="8" t="s">
        <v>184</v>
      </c>
      <c r="D331" s="8" t="s">
        <v>896</v>
      </c>
      <c r="E331" s="8" t="s">
        <v>530</v>
      </c>
      <c r="F331" s="8" t="s">
        <v>200</v>
      </c>
      <c r="G331" s="8" t="s">
        <v>76</v>
      </c>
      <c r="H331" s="8" t="s">
        <v>1495</v>
      </c>
      <c r="I331" s="8" t="s">
        <v>30</v>
      </c>
      <c r="J331" s="8" t="s">
        <v>31</v>
      </c>
      <c r="K331" s="8" t="s">
        <v>46</v>
      </c>
      <c r="L331" s="8" t="s">
        <v>189</v>
      </c>
      <c r="M331" s="8">
        <v>15</v>
      </c>
      <c r="N331" s="8">
        <v>700</v>
      </c>
      <c r="O331" s="8">
        <v>5</v>
      </c>
      <c r="P331" s="8">
        <v>9975</v>
      </c>
      <c r="Q331" s="8">
        <v>1</v>
      </c>
      <c r="R331" s="8" t="s">
        <v>34</v>
      </c>
      <c r="S331" s="8" t="s">
        <v>49</v>
      </c>
      <c r="T331" s="8" t="s">
        <v>132</v>
      </c>
      <c r="U331" s="9" t="s">
        <v>1496</v>
      </c>
      <c r="V331" s="8" t="s">
        <v>69</v>
      </c>
    </row>
    <row r="332" spans="1:22">
      <c r="A332" s="3" t="s">
        <v>1497</v>
      </c>
      <c r="B332" s="4" t="s">
        <v>53</v>
      </c>
      <c r="C332" s="4" t="s">
        <v>72</v>
      </c>
      <c r="D332" s="4" t="s">
        <v>179</v>
      </c>
      <c r="E332" s="4" t="s">
        <v>798</v>
      </c>
      <c r="F332" s="4" t="s">
        <v>163</v>
      </c>
      <c r="G332" s="4" t="s">
        <v>28</v>
      </c>
      <c r="H332" s="4" t="s">
        <v>1498</v>
      </c>
      <c r="I332" s="4" t="s">
        <v>138</v>
      </c>
      <c r="J332" s="4" t="s">
        <v>106</v>
      </c>
      <c r="K332" s="4" t="s">
        <v>46</v>
      </c>
      <c r="L332" s="4" t="s">
        <v>78</v>
      </c>
      <c r="M332" s="4">
        <v>13</v>
      </c>
      <c r="N332" s="4">
        <v>1200</v>
      </c>
      <c r="O332" s="4">
        <v>0</v>
      </c>
      <c r="P332" s="4">
        <v>15600</v>
      </c>
      <c r="Q332" s="4">
        <v>3</v>
      </c>
      <c r="R332" s="4" t="s">
        <v>48</v>
      </c>
      <c r="S332" s="4" t="s">
        <v>115</v>
      </c>
      <c r="T332" s="4" t="s">
        <v>62</v>
      </c>
      <c r="U332" s="6" t="s">
        <v>1499</v>
      </c>
      <c r="V332" s="4" t="s">
        <v>69</v>
      </c>
    </row>
    <row r="333" spans="1:22">
      <c r="A333" s="7" t="s">
        <v>1500</v>
      </c>
      <c r="B333" s="8" t="s">
        <v>327</v>
      </c>
      <c r="C333" s="8" t="s">
        <v>40</v>
      </c>
      <c r="D333" s="8" t="s">
        <v>1501</v>
      </c>
      <c r="E333" s="8" t="s">
        <v>1502</v>
      </c>
      <c r="F333" s="8" t="s">
        <v>394</v>
      </c>
      <c r="G333" s="8" t="s">
        <v>76</v>
      </c>
      <c r="H333" s="8" t="s">
        <v>1503</v>
      </c>
      <c r="I333" s="8" t="s">
        <v>44</v>
      </c>
      <c r="J333" s="8" t="s">
        <v>45</v>
      </c>
      <c r="K333" s="8" t="s">
        <v>46</v>
      </c>
      <c r="L333" s="8" t="s">
        <v>47</v>
      </c>
      <c r="M333" s="8">
        <v>5</v>
      </c>
      <c r="N333" s="8">
        <v>12000</v>
      </c>
      <c r="O333" s="8">
        <v>10</v>
      </c>
      <c r="P333" s="8">
        <v>54000</v>
      </c>
      <c r="Q333" s="8">
        <v>3</v>
      </c>
      <c r="R333" s="8" t="s">
        <v>88</v>
      </c>
      <c r="S333" s="8" t="s">
        <v>49</v>
      </c>
      <c r="T333" s="8" t="s">
        <v>332</v>
      </c>
      <c r="U333" s="9" t="s">
        <v>1504</v>
      </c>
      <c r="V333" s="8" t="s">
        <v>38</v>
      </c>
    </row>
    <row r="334" spans="1:22">
      <c r="A334" s="3" t="s">
        <v>1505</v>
      </c>
      <c r="B334" s="4" t="s">
        <v>53</v>
      </c>
      <c r="C334" s="4" t="s">
        <v>259</v>
      </c>
      <c r="D334" s="4" t="s">
        <v>1506</v>
      </c>
      <c r="E334" s="4" t="s">
        <v>1507</v>
      </c>
      <c r="F334" s="4" t="s">
        <v>163</v>
      </c>
      <c r="G334" s="4" t="s">
        <v>28</v>
      </c>
      <c r="H334" s="4" t="s">
        <v>1508</v>
      </c>
      <c r="I334" s="4" t="s">
        <v>59</v>
      </c>
      <c r="J334" s="4" t="s">
        <v>31</v>
      </c>
      <c r="K334" s="4" t="s">
        <v>122</v>
      </c>
      <c r="L334" s="4" t="s">
        <v>263</v>
      </c>
      <c r="M334" s="4">
        <v>12</v>
      </c>
      <c r="N334" s="4">
        <v>45</v>
      </c>
      <c r="O334" s="4">
        <v>20</v>
      </c>
      <c r="P334" s="4">
        <v>432</v>
      </c>
      <c r="Q334" s="4">
        <v>3</v>
      </c>
      <c r="R334" s="4" t="s">
        <v>48</v>
      </c>
      <c r="S334" s="4" t="s">
        <v>61</v>
      </c>
      <c r="T334" s="4" t="s">
        <v>62</v>
      </c>
      <c r="U334" s="6" t="s">
        <v>1509</v>
      </c>
      <c r="V334" s="4" t="s">
        <v>38</v>
      </c>
    </row>
    <row r="335" spans="1:22">
      <c r="A335" s="7" t="s">
        <v>1510</v>
      </c>
      <c r="B335" s="8" t="s">
        <v>23</v>
      </c>
      <c r="C335" s="8" t="s">
        <v>92</v>
      </c>
      <c r="D335" s="8" t="s">
        <v>652</v>
      </c>
      <c r="E335" s="8" t="s">
        <v>666</v>
      </c>
      <c r="F335" s="8" t="s">
        <v>27</v>
      </c>
      <c r="G335" s="8" t="s">
        <v>28</v>
      </c>
      <c r="H335" s="8" t="s">
        <v>1511</v>
      </c>
      <c r="I335" s="8" t="s">
        <v>59</v>
      </c>
      <c r="J335" s="8" t="s">
        <v>31</v>
      </c>
      <c r="K335" s="8" t="s">
        <v>32</v>
      </c>
      <c r="L335" s="8" t="s">
        <v>97</v>
      </c>
      <c r="M335" s="8">
        <v>2</v>
      </c>
      <c r="N335" s="8">
        <v>3500</v>
      </c>
      <c r="O335" s="8">
        <v>0</v>
      </c>
      <c r="P335" s="8">
        <v>7000</v>
      </c>
      <c r="Q335" s="8">
        <v>1</v>
      </c>
      <c r="R335" s="8" t="s">
        <v>48</v>
      </c>
      <c r="S335" s="8" t="s">
        <v>115</v>
      </c>
      <c r="T335" s="8" t="s">
        <v>50</v>
      </c>
      <c r="U335" s="9" t="s">
        <v>1512</v>
      </c>
      <c r="V335" s="8" t="s">
        <v>64</v>
      </c>
    </row>
    <row r="336" spans="1:22">
      <c r="A336" s="3" t="s">
        <v>1513</v>
      </c>
      <c r="B336" s="4" t="s">
        <v>23</v>
      </c>
      <c r="C336" s="4" t="s">
        <v>24</v>
      </c>
      <c r="D336" s="4" t="s">
        <v>426</v>
      </c>
      <c r="E336" s="4" t="s">
        <v>1180</v>
      </c>
      <c r="F336" s="4" t="s">
        <v>27</v>
      </c>
      <c r="G336" s="4" t="s">
        <v>28</v>
      </c>
      <c r="H336" s="4" t="s">
        <v>1514</v>
      </c>
      <c r="I336" s="4" t="s">
        <v>114</v>
      </c>
      <c r="J336" s="4" t="s">
        <v>106</v>
      </c>
      <c r="K336" s="4" t="s">
        <v>32</v>
      </c>
      <c r="L336" s="4" t="s">
        <v>33</v>
      </c>
      <c r="M336" s="4">
        <v>15</v>
      </c>
      <c r="N336" s="4">
        <v>2200</v>
      </c>
      <c r="O336" s="4">
        <v>15</v>
      </c>
      <c r="P336" s="4">
        <v>28050</v>
      </c>
      <c r="Q336" s="4">
        <v>2</v>
      </c>
      <c r="R336" s="4" t="s">
        <v>48</v>
      </c>
      <c r="S336" s="4" t="s">
        <v>49</v>
      </c>
      <c r="T336" s="4" t="s">
        <v>50</v>
      </c>
      <c r="U336" s="6" t="s">
        <v>1515</v>
      </c>
      <c r="V336" s="4" t="s">
        <v>64</v>
      </c>
    </row>
    <row r="337" spans="1:22">
      <c r="A337" s="7" t="s">
        <v>1516</v>
      </c>
      <c r="B337" s="8" t="s">
        <v>100</v>
      </c>
      <c r="C337" s="8" t="s">
        <v>222</v>
      </c>
      <c r="D337" s="8" t="s">
        <v>186</v>
      </c>
      <c r="E337" s="8" t="s">
        <v>1253</v>
      </c>
      <c r="F337" s="8" t="s">
        <v>103</v>
      </c>
      <c r="G337" s="8" t="s">
        <v>28</v>
      </c>
      <c r="H337" s="8" t="s">
        <v>1517</v>
      </c>
      <c r="I337" s="8" t="s">
        <v>138</v>
      </c>
      <c r="J337" s="8" t="s">
        <v>106</v>
      </c>
      <c r="K337" s="8" t="s">
        <v>122</v>
      </c>
      <c r="L337" s="8" t="s">
        <v>227</v>
      </c>
      <c r="M337" s="8">
        <v>8</v>
      </c>
      <c r="N337" s="8">
        <v>20</v>
      </c>
      <c r="O337" s="8">
        <v>20</v>
      </c>
      <c r="P337" s="8">
        <v>128</v>
      </c>
      <c r="Q337" s="8">
        <v>5</v>
      </c>
      <c r="R337" s="8" t="s">
        <v>88</v>
      </c>
      <c r="S337" s="8" t="s">
        <v>49</v>
      </c>
      <c r="T337" s="8" t="s">
        <v>144</v>
      </c>
      <c r="U337" s="9" t="s">
        <v>1518</v>
      </c>
      <c r="V337" s="8" t="s">
        <v>38</v>
      </c>
    </row>
    <row r="338" spans="1:22">
      <c r="A338" s="3" t="s">
        <v>1519</v>
      </c>
      <c r="B338" s="4" t="s">
        <v>127</v>
      </c>
      <c r="C338" s="4" t="s">
        <v>222</v>
      </c>
      <c r="D338" s="4" t="s">
        <v>298</v>
      </c>
      <c r="E338" s="4" t="s">
        <v>798</v>
      </c>
      <c r="F338" s="4" t="s">
        <v>200</v>
      </c>
      <c r="G338" s="4" t="s">
        <v>76</v>
      </c>
      <c r="H338" s="4" t="s">
        <v>1520</v>
      </c>
      <c r="I338" s="4" t="s">
        <v>30</v>
      </c>
      <c r="J338" s="4" t="s">
        <v>31</v>
      </c>
      <c r="K338" s="4" t="s">
        <v>122</v>
      </c>
      <c r="L338" s="4" t="s">
        <v>227</v>
      </c>
      <c r="M338" s="4">
        <v>1</v>
      </c>
      <c r="N338" s="4">
        <v>20</v>
      </c>
      <c r="O338" s="4">
        <v>0</v>
      </c>
      <c r="P338" s="4">
        <v>20</v>
      </c>
      <c r="Q338" s="4">
        <v>3</v>
      </c>
      <c r="R338" s="4" t="s">
        <v>88</v>
      </c>
      <c r="S338" s="4" t="s">
        <v>35</v>
      </c>
      <c r="T338" s="4" t="s">
        <v>132</v>
      </c>
      <c r="U338" s="6" t="s">
        <v>1521</v>
      </c>
      <c r="V338" s="4" t="s">
        <v>38</v>
      </c>
    </row>
    <row r="339" spans="1:22">
      <c r="A339" s="7" t="s">
        <v>1522</v>
      </c>
      <c r="B339" s="8" t="s">
        <v>23</v>
      </c>
      <c r="C339" s="8" t="s">
        <v>184</v>
      </c>
      <c r="D339" s="8" t="s">
        <v>1199</v>
      </c>
      <c r="E339" s="8" t="s">
        <v>253</v>
      </c>
      <c r="F339" s="8" t="s">
        <v>27</v>
      </c>
      <c r="G339" s="8" t="s">
        <v>28</v>
      </c>
      <c r="H339" s="8" t="s">
        <v>1523</v>
      </c>
      <c r="I339" s="8" t="s">
        <v>212</v>
      </c>
      <c r="J339" s="8" t="s">
        <v>45</v>
      </c>
      <c r="K339" s="8" t="s">
        <v>46</v>
      </c>
      <c r="L339" s="8" t="s">
        <v>189</v>
      </c>
      <c r="M339" s="8">
        <v>15</v>
      </c>
      <c r="N339" s="8">
        <v>700</v>
      </c>
      <c r="O339" s="8">
        <v>0</v>
      </c>
      <c r="P339" s="8">
        <v>10500</v>
      </c>
      <c r="Q339" s="8">
        <v>2</v>
      </c>
      <c r="R339" s="8" t="s">
        <v>88</v>
      </c>
      <c r="S339" s="8" t="s">
        <v>49</v>
      </c>
      <c r="T339" s="8" t="s">
        <v>50</v>
      </c>
      <c r="U339" s="9" t="s">
        <v>1524</v>
      </c>
      <c r="V339" s="8" t="s">
        <v>38</v>
      </c>
    </row>
    <row r="340" spans="1:22">
      <c r="A340" s="3" t="s">
        <v>1525</v>
      </c>
      <c r="B340" s="4" t="s">
        <v>327</v>
      </c>
      <c r="C340" s="4" t="s">
        <v>92</v>
      </c>
      <c r="D340" s="4" t="s">
        <v>932</v>
      </c>
      <c r="E340" s="4" t="s">
        <v>1526</v>
      </c>
      <c r="F340" s="4" t="s">
        <v>394</v>
      </c>
      <c r="G340" s="4" t="s">
        <v>76</v>
      </c>
      <c r="H340" s="4" t="s">
        <v>1527</v>
      </c>
      <c r="I340" s="4" t="s">
        <v>30</v>
      </c>
      <c r="J340" s="4" t="s">
        <v>31</v>
      </c>
      <c r="K340" s="4" t="s">
        <v>32</v>
      </c>
      <c r="L340" s="4" t="s">
        <v>97</v>
      </c>
      <c r="M340" s="4">
        <v>15</v>
      </c>
      <c r="N340" s="4">
        <v>3500</v>
      </c>
      <c r="O340" s="4">
        <v>10</v>
      </c>
      <c r="P340" s="4">
        <v>47250</v>
      </c>
      <c r="Q340" s="4">
        <v>3</v>
      </c>
      <c r="R340" s="4" t="s">
        <v>34</v>
      </c>
      <c r="S340" s="4" t="s">
        <v>151</v>
      </c>
      <c r="T340" s="4" t="s">
        <v>332</v>
      </c>
      <c r="U340" s="6" t="s">
        <v>1528</v>
      </c>
      <c r="V340" s="4" t="s">
        <v>64</v>
      </c>
    </row>
    <row r="341" spans="1:22">
      <c r="A341" s="7" t="s">
        <v>1529</v>
      </c>
      <c r="B341" s="8" t="s">
        <v>23</v>
      </c>
      <c r="C341" s="8" t="s">
        <v>118</v>
      </c>
      <c r="D341" s="8" t="s">
        <v>1530</v>
      </c>
      <c r="E341" s="8" t="s">
        <v>156</v>
      </c>
      <c r="F341" s="8" t="s">
        <v>27</v>
      </c>
      <c r="G341" s="8" t="s">
        <v>28</v>
      </c>
      <c r="H341" s="8" t="s">
        <v>1531</v>
      </c>
      <c r="I341" s="8" t="s">
        <v>294</v>
      </c>
      <c r="J341" s="8" t="s">
        <v>295</v>
      </c>
      <c r="K341" s="8" t="s">
        <v>122</v>
      </c>
      <c r="L341" s="8" t="s">
        <v>123</v>
      </c>
      <c r="M341" s="8">
        <v>16</v>
      </c>
      <c r="N341" s="8">
        <v>60</v>
      </c>
      <c r="O341" s="8">
        <v>10</v>
      </c>
      <c r="P341" s="8">
        <v>864</v>
      </c>
      <c r="Q341" s="8">
        <v>4</v>
      </c>
      <c r="R341" s="8" t="s">
        <v>79</v>
      </c>
      <c r="S341" s="8" t="s">
        <v>61</v>
      </c>
      <c r="T341" s="8" t="s">
        <v>50</v>
      </c>
      <c r="U341" s="9" t="s">
        <v>1532</v>
      </c>
      <c r="V341" s="8" t="s">
        <v>38</v>
      </c>
    </row>
    <row r="342" spans="1:22">
      <c r="A342" s="3" t="s">
        <v>1533</v>
      </c>
      <c r="B342" s="4" t="s">
        <v>127</v>
      </c>
      <c r="C342" s="4" t="s">
        <v>259</v>
      </c>
      <c r="D342" s="4" t="s">
        <v>309</v>
      </c>
      <c r="E342" s="4" t="s">
        <v>793</v>
      </c>
      <c r="F342" s="4" t="s">
        <v>200</v>
      </c>
      <c r="G342" s="4" t="s">
        <v>76</v>
      </c>
      <c r="H342" s="4" t="s">
        <v>1534</v>
      </c>
      <c r="I342" s="4" t="s">
        <v>44</v>
      </c>
      <c r="J342" s="4" t="s">
        <v>45</v>
      </c>
      <c r="K342" s="4" t="s">
        <v>122</v>
      </c>
      <c r="L342" s="4" t="s">
        <v>263</v>
      </c>
      <c r="M342" s="4">
        <v>2</v>
      </c>
      <c r="N342" s="4">
        <v>45</v>
      </c>
      <c r="O342" s="4">
        <v>15</v>
      </c>
      <c r="P342" s="4">
        <v>76.5</v>
      </c>
      <c r="Q342" s="4">
        <v>1</v>
      </c>
      <c r="R342" s="4" t="s">
        <v>88</v>
      </c>
      <c r="S342" s="4" t="s">
        <v>151</v>
      </c>
      <c r="T342" s="4" t="s">
        <v>132</v>
      </c>
      <c r="U342" s="6" t="s">
        <v>1535</v>
      </c>
      <c r="V342" s="4" t="s">
        <v>69</v>
      </c>
    </row>
    <row r="343" spans="1:22">
      <c r="A343" s="7" t="s">
        <v>1536</v>
      </c>
      <c r="B343" s="8" t="s">
        <v>168</v>
      </c>
      <c r="C343" s="8" t="s">
        <v>118</v>
      </c>
      <c r="D343" s="8" t="s">
        <v>1537</v>
      </c>
      <c r="E343" s="8" t="s">
        <v>1214</v>
      </c>
      <c r="F343" s="8" t="s">
        <v>361</v>
      </c>
      <c r="G343" s="8" t="s">
        <v>28</v>
      </c>
      <c r="H343" s="8" t="s">
        <v>1538</v>
      </c>
      <c r="I343" s="8" t="s">
        <v>44</v>
      </c>
      <c r="J343" s="8" t="s">
        <v>45</v>
      </c>
      <c r="K343" s="8" t="s">
        <v>122</v>
      </c>
      <c r="L343" s="8" t="s">
        <v>123</v>
      </c>
      <c r="M343" s="8">
        <v>13</v>
      </c>
      <c r="N343" s="8">
        <v>60</v>
      </c>
      <c r="O343" s="8">
        <v>15</v>
      </c>
      <c r="P343" s="8">
        <v>663</v>
      </c>
      <c r="Q343" s="8">
        <v>2</v>
      </c>
      <c r="R343" s="8" t="s">
        <v>48</v>
      </c>
      <c r="S343" s="8" t="s">
        <v>61</v>
      </c>
      <c r="T343" s="8" t="s">
        <v>175</v>
      </c>
      <c r="U343" s="9" t="s">
        <v>1539</v>
      </c>
      <c r="V343" s="8" t="s">
        <v>69</v>
      </c>
    </row>
    <row r="344" spans="1:22">
      <c r="A344" s="3" t="s">
        <v>1540</v>
      </c>
      <c r="B344" s="4" t="s">
        <v>83</v>
      </c>
      <c r="C344" s="4" t="s">
        <v>40</v>
      </c>
      <c r="D344" s="4" t="s">
        <v>1086</v>
      </c>
      <c r="E344" s="4" t="s">
        <v>236</v>
      </c>
      <c r="F344" s="4" t="s">
        <v>180</v>
      </c>
      <c r="G344" s="4" t="s">
        <v>76</v>
      </c>
      <c r="H344" s="4" t="s">
        <v>1541</v>
      </c>
      <c r="I344" s="4" t="s">
        <v>44</v>
      </c>
      <c r="J344" s="4" t="s">
        <v>45</v>
      </c>
      <c r="K344" s="4" t="s">
        <v>46</v>
      </c>
      <c r="L344" s="4" t="s">
        <v>47</v>
      </c>
      <c r="M344" s="4">
        <v>15</v>
      </c>
      <c r="N344" s="4">
        <v>12000</v>
      </c>
      <c r="O344" s="4">
        <v>20</v>
      </c>
      <c r="P344" s="4">
        <v>144000</v>
      </c>
      <c r="Q344" s="4">
        <v>3</v>
      </c>
      <c r="R344" s="4" t="s">
        <v>79</v>
      </c>
      <c r="S344" s="4" t="s">
        <v>35</v>
      </c>
      <c r="T344" s="4" t="s">
        <v>89</v>
      </c>
      <c r="U344" s="6" t="s">
        <v>1542</v>
      </c>
      <c r="V344" s="4" t="s">
        <v>69</v>
      </c>
    </row>
    <row r="345" spans="1:22">
      <c r="A345" s="7" t="s">
        <v>1543</v>
      </c>
      <c r="B345" s="8" t="s">
        <v>327</v>
      </c>
      <c r="C345" s="8" t="s">
        <v>222</v>
      </c>
      <c r="D345" s="8" t="s">
        <v>755</v>
      </c>
      <c r="E345" s="8" t="s">
        <v>1544</v>
      </c>
      <c r="F345" s="8" t="s">
        <v>394</v>
      </c>
      <c r="G345" s="8" t="s">
        <v>76</v>
      </c>
      <c r="H345" s="8" t="s">
        <v>1545</v>
      </c>
      <c r="I345" s="8" t="s">
        <v>44</v>
      </c>
      <c r="J345" s="8" t="s">
        <v>45</v>
      </c>
      <c r="K345" s="8" t="s">
        <v>122</v>
      </c>
      <c r="L345" s="8" t="s">
        <v>227</v>
      </c>
      <c r="M345" s="8">
        <v>2</v>
      </c>
      <c r="N345" s="8">
        <v>20</v>
      </c>
      <c r="O345" s="8">
        <v>20</v>
      </c>
      <c r="P345" s="8">
        <v>32</v>
      </c>
      <c r="Q345" s="8">
        <v>4</v>
      </c>
      <c r="R345" s="8" t="s">
        <v>34</v>
      </c>
      <c r="S345" s="8" t="s">
        <v>35</v>
      </c>
      <c r="T345" s="8" t="s">
        <v>332</v>
      </c>
      <c r="U345" s="9" t="s">
        <v>1546</v>
      </c>
      <c r="V345" s="8" t="s">
        <v>64</v>
      </c>
    </row>
    <row r="346" spans="1:22">
      <c r="A346" s="3" t="s">
        <v>1547</v>
      </c>
      <c r="B346" s="4" t="s">
        <v>127</v>
      </c>
      <c r="C346" s="4" t="s">
        <v>92</v>
      </c>
      <c r="D346" s="4" t="s">
        <v>382</v>
      </c>
      <c r="E346" s="4" t="s">
        <v>1548</v>
      </c>
      <c r="F346" s="4" t="s">
        <v>200</v>
      </c>
      <c r="G346" s="4" t="s">
        <v>76</v>
      </c>
      <c r="H346" s="4" t="s">
        <v>1549</v>
      </c>
      <c r="I346" s="4" t="s">
        <v>59</v>
      </c>
      <c r="J346" s="4" t="s">
        <v>31</v>
      </c>
      <c r="K346" s="4" t="s">
        <v>32</v>
      </c>
      <c r="L346" s="4" t="s">
        <v>97</v>
      </c>
      <c r="M346" s="4">
        <v>16</v>
      </c>
      <c r="N346" s="4">
        <v>3500</v>
      </c>
      <c r="O346" s="4">
        <v>0</v>
      </c>
      <c r="P346" s="4">
        <v>56000</v>
      </c>
      <c r="Q346" s="4">
        <v>4</v>
      </c>
      <c r="R346" s="4" t="s">
        <v>34</v>
      </c>
      <c r="S346" s="4" t="s">
        <v>115</v>
      </c>
      <c r="T346" s="4" t="s">
        <v>132</v>
      </c>
      <c r="U346" s="6" t="s">
        <v>1550</v>
      </c>
      <c r="V346" s="4" t="s">
        <v>38</v>
      </c>
    </row>
    <row r="347" spans="1:22">
      <c r="A347" s="7" t="s">
        <v>1551</v>
      </c>
      <c r="B347" s="8" t="s">
        <v>53</v>
      </c>
      <c r="C347" s="8" t="s">
        <v>92</v>
      </c>
      <c r="D347" s="8" t="s">
        <v>1302</v>
      </c>
      <c r="E347" s="8" t="s">
        <v>94</v>
      </c>
      <c r="F347" s="8" t="s">
        <v>163</v>
      </c>
      <c r="G347" s="8" t="s">
        <v>28</v>
      </c>
      <c r="H347" s="8" t="s">
        <v>1552</v>
      </c>
      <c r="I347" s="8" t="s">
        <v>138</v>
      </c>
      <c r="J347" s="8" t="s">
        <v>106</v>
      </c>
      <c r="K347" s="8" t="s">
        <v>32</v>
      </c>
      <c r="L347" s="8" t="s">
        <v>97</v>
      </c>
      <c r="M347" s="8">
        <v>18</v>
      </c>
      <c r="N347" s="8">
        <v>3500</v>
      </c>
      <c r="O347" s="8">
        <v>15</v>
      </c>
      <c r="P347" s="8">
        <v>53550</v>
      </c>
      <c r="Q347" s="8">
        <v>5</v>
      </c>
      <c r="R347" s="8" t="s">
        <v>34</v>
      </c>
      <c r="S347" s="8" t="s">
        <v>151</v>
      </c>
      <c r="T347" s="8" t="s">
        <v>62</v>
      </c>
      <c r="U347" s="9" t="s">
        <v>1553</v>
      </c>
      <c r="V347" s="8" t="s">
        <v>69</v>
      </c>
    </row>
    <row r="348" spans="1:22">
      <c r="A348" s="3" t="s">
        <v>1554</v>
      </c>
      <c r="B348" s="4" t="s">
        <v>23</v>
      </c>
      <c r="C348" s="4" t="s">
        <v>259</v>
      </c>
      <c r="D348" s="4" t="s">
        <v>65</v>
      </c>
      <c r="E348" s="4" t="s">
        <v>544</v>
      </c>
      <c r="F348" s="4" t="s">
        <v>27</v>
      </c>
      <c r="G348" s="4" t="s">
        <v>28</v>
      </c>
      <c r="H348" s="4" t="s">
        <v>1555</v>
      </c>
      <c r="I348" s="4" t="s">
        <v>138</v>
      </c>
      <c r="J348" s="4" t="s">
        <v>106</v>
      </c>
      <c r="K348" s="4" t="s">
        <v>122</v>
      </c>
      <c r="L348" s="4" t="s">
        <v>263</v>
      </c>
      <c r="M348" s="4">
        <v>20</v>
      </c>
      <c r="N348" s="4">
        <v>45</v>
      </c>
      <c r="O348" s="4">
        <v>15</v>
      </c>
      <c r="P348" s="4">
        <v>765</v>
      </c>
      <c r="Q348" s="4">
        <v>4</v>
      </c>
      <c r="R348" s="4" t="s">
        <v>34</v>
      </c>
      <c r="S348" s="4" t="s">
        <v>151</v>
      </c>
      <c r="T348" s="4" t="s">
        <v>50</v>
      </c>
      <c r="U348" s="6" t="s">
        <v>1556</v>
      </c>
      <c r="V348" s="4" t="s">
        <v>69</v>
      </c>
    </row>
    <row r="349" spans="1:22">
      <c r="A349" s="7" t="s">
        <v>1557</v>
      </c>
      <c r="B349" s="8" t="s">
        <v>251</v>
      </c>
      <c r="C349" s="8" t="s">
        <v>24</v>
      </c>
      <c r="D349" s="8" t="s">
        <v>1286</v>
      </c>
      <c r="E349" s="8" t="s">
        <v>356</v>
      </c>
      <c r="F349" s="8" t="s">
        <v>254</v>
      </c>
      <c r="G349" s="8" t="s">
        <v>28</v>
      </c>
      <c r="H349" s="8" t="s">
        <v>1558</v>
      </c>
      <c r="I349" s="8" t="s">
        <v>44</v>
      </c>
      <c r="J349" s="8" t="s">
        <v>45</v>
      </c>
      <c r="K349" s="8" t="s">
        <v>32</v>
      </c>
      <c r="L349" s="8" t="s">
        <v>33</v>
      </c>
      <c r="M349" s="8">
        <v>13</v>
      </c>
      <c r="N349" s="8">
        <v>2200</v>
      </c>
      <c r="O349" s="8">
        <v>15</v>
      </c>
      <c r="P349" s="8">
        <v>24310</v>
      </c>
      <c r="Q349" s="8">
        <v>2</v>
      </c>
      <c r="R349" s="8" t="s">
        <v>48</v>
      </c>
      <c r="S349" s="8" t="s">
        <v>115</v>
      </c>
      <c r="T349" s="8" t="s">
        <v>256</v>
      </c>
      <c r="U349" s="9" t="s">
        <v>1559</v>
      </c>
      <c r="V349" s="8" t="s">
        <v>64</v>
      </c>
    </row>
    <row r="350" spans="1:22">
      <c r="A350" s="3" t="s">
        <v>1560</v>
      </c>
      <c r="B350" s="4" t="s">
        <v>53</v>
      </c>
      <c r="C350" s="4" t="s">
        <v>1561</v>
      </c>
      <c r="D350" s="4" t="s">
        <v>340</v>
      </c>
      <c r="E350" s="4" t="s">
        <v>346</v>
      </c>
      <c r="F350" s="4" t="s">
        <v>163</v>
      </c>
      <c r="G350" s="4" t="s">
        <v>28</v>
      </c>
      <c r="H350" s="4" t="s">
        <v>1562</v>
      </c>
      <c r="I350" s="4" t="s">
        <v>294</v>
      </c>
      <c r="J350" s="4" t="s">
        <v>295</v>
      </c>
      <c r="K350" s="4" t="s">
        <v>32</v>
      </c>
      <c r="L350" s="4" t="s">
        <v>174</v>
      </c>
      <c r="M350" s="4">
        <v>11</v>
      </c>
      <c r="N350" s="4">
        <v>8500</v>
      </c>
      <c r="O350" s="4">
        <v>5</v>
      </c>
      <c r="P350" s="4">
        <v>88825</v>
      </c>
      <c r="Q350" s="4">
        <v>1</v>
      </c>
      <c r="R350" s="4" t="s">
        <v>88</v>
      </c>
      <c r="S350" s="4" t="s">
        <v>115</v>
      </c>
      <c r="T350" s="4" t="s">
        <v>62</v>
      </c>
      <c r="U350" s="6" t="s">
        <v>1563</v>
      </c>
      <c r="V350" s="4" t="s">
        <v>69</v>
      </c>
    </row>
    <row r="351" spans="1:22">
      <c r="A351" s="7" t="s">
        <v>1564</v>
      </c>
      <c r="B351" s="8" t="s">
        <v>53</v>
      </c>
      <c r="C351" s="8" t="s">
        <v>24</v>
      </c>
      <c r="D351" s="8" t="s">
        <v>1565</v>
      </c>
      <c r="E351" s="8" t="s">
        <v>1475</v>
      </c>
      <c r="F351" s="8" t="s">
        <v>163</v>
      </c>
      <c r="G351" s="8" t="s">
        <v>28</v>
      </c>
      <c r="H351" s="8" t="s">
        <v>1566</v>
      </c>
      <c r="I351" s="8" t="s">
        <v>212</v>
      </c>
      <c r="J351" s="8" t="s">
        <v>45</v>
      </c>
      <c r="K351" s="8" t="s">
        <v>32</v>
      </c>
      <c r="L351" s="8" t="s">
        <v>33</v>
      </c>
      <c r="M351" s="8">
        <v>2</v>
      </c>
      <c r="N351" s="8">
        <v>2200</v>
      </c>
      <c r="O351" s="8">
        <v>0</v>
      </c>
      <c r="P351" s="8">
        <v>4400</v>
      </c>
      <c r="Q351" s="8">
        <v>4</v>
      </c>
      <c r="R351" s="8" t="s">
        <v>88</v>
      </c>
      <c r="S351" s="8" t="s">
        <v>151</v>
      </c>
      <c r="T351" s="8" t="s">
        <v>62</v>
      </c>
      <c r="U351" s="9" t="s">
        <v>1567</v>
      </c>
      <c r="V351" s="8" t="s">
        <v>64</v>
      </c>
    </row>
    <row r="352" spans="1:22">
      <c r="A352" s="3" t="s">
        <v>1568</v>
      </c>
      <c r="B352" s="4" t="s">
        <v>83</v>
      </c>
      <c r="C352" s="4" t="s">
        <v>184</v>
      </c>
      <c r="D352" s="4" t="s">
        <v>1242</v>
      </c>
      <c r="E352" s="4" t="s">
        <v>720</v>
      </c>
      <c r="F352" s="4" t="s">
        <v>180</v>
      </c>
      <c r="G352" s="4" t="s">
        <v>76</v>
      </c>
      <c r="H352" s="4" t="s">
        <v>1569</v>
      </c>
      <c r="I352" s="4" t="s">
        <v>105</v>
      </c>
      <c r="J352" s="4" t="s">
        <v>106</v>
      </c>
      <c r="K352" s="4" t="s">
        <v>46</v>
      </c>
      <c r="L352" s="4" t="s">
        <v>189</v>
      </c>
      <c r="M352" s="4">
        <v>15</v>
      </c>
      <c r="N352" s="4">
        <v>700</v>
      </c>
      <c r="O352" s="4">
        <v>15</v>
      </c>
      <c r="P352" s="4">
        <v>8925</v>
      </c>
      <c r="Q352" s="4">
        <v>3</v>
      </c>
      <c r="R352" s="4" t="s">
        <v>48</v>
      </c>
      <c r="S352" s="4" t="s">
        <v>115</v>
      </c>
      <c r="T352" s="4" t="s">
        <v>89</v>
      </c>
      <c r="U352" s="6" t="s">
        <v>1570</v>
      </c>
      <c r="V352" s="4" t="s">
        <v>38</v>
      </c>
    </row>
    <row r="353" spans="1:22">
      <c r="A353" s="7" t="s">
        <v>1571</v>
      </c>
      <c r="B353" s="8" t="s">
        <v>127</v>
      </c>
      <c r="C353" s="8" t="s">
        <v>24</v>
      </c>
      <c r="D353" s="8" t="s">
        <v>1572</v>
      </c>
      <c r="E353" s="8" t="s">
        <v>835</v>
      </c>
      <c r="F353" s="8" t="s">
        <v>200</v>
      </c>
      <c r="G353" s="8" t="s">
        <v>76</v>
      </c>
      <c r="H353" s="8" t="s">
        <v>1573</v>
      </c>
      <c r="I353" s="8" t="s">
        <v>138</v>
      </c>
      <c r="J353" s="8" t="s">
        <v>106</v>
      </c>
      <c r="K353" s="8" t="s">
        <v>32</v>
      </c>
      <c r="L353" s="8" t="s">
        <v>33</v>
      </c>
      <c r="M353" s="8">
        <v>5</v>
      </c>
      <c r="N353" s="8">
        <v>2200</v>
      </c>
      <c r="O353" s="8">
        <v>15</v>
      </c>
      <c r="P353" s="8">
        <v>9350</v>
      </c>
      <c r="Q353" s="8">
        <v>1</v>
      </c>
      <c r="R353" s="8" t="s">
        <v>48</v>
      </c>
      <c r="S353" s="8" t="s">
        <v>115</v>
      </c>
      <c r="T353" s="8" t="s">
        <v>132</v>
      </c>
      <c r="U353" s="9" t="s">
        <v>1574</v>
      </c>
      <c r="V353" s="8" t="s">
        <v>64</v>
      </c>
    </row>
    <row r="354" spans="1:22">
      <c r="A354" s="3" t="s">
        <v>1575</v>
      </c>
      <c r="B354" s="4" t="s">
        <v>83</v>
      </c>
      <c r="C354" s="4" t="s">
        <v>72</v>
      </c>
      <c r="D354" s="4" t="s">
        <v>554</v>
      </c>
      <c r="E354" s="4" t="s">
        <v>1480</v>
      </c>
      <c r="F354" s="4" t="s">
        <v>180</v>
      </c>
      <c r="G354" s="4" t="s">
        <v>76</v>
      </c>
      <c r="H354" s="4" t="s">
        <v>1576</v>
      </c>
      <c r="I354" s="4" t="s">
        <v>138</v>
      </c>
      <c r="J354" s="4" t="s">
        <v>106</v>
      </c>
      <c r="K354" s="4" t="s">
        <v>46</v>
      </c>
      <c r="L354" s="4" t="s">
        <v>78</v>
      </c>
      <c r="M354" s="4">
        <v>15</v>
      </c>
      <c r="N354" s="4">
        <v>1200</v>
      </c>
      <c r="O354" s="4">
        <v>0</v>
      </c>
      <c r="P354" s="4">
        <v>18000</v>
      </c>
      <c r="Q354" s="4">
        <v>3</v>
      </c>
      <c r="R354" s="4" t="s">
        <v>48</v>
      </c>
      <c r="S354" s="4" t="s">
        <v>61</v>
      </c>
      <c r="T354" s="4" t="s">
        <v>89</v>
      </c>
      <c r="U354" s="6" t="s">
        <v>1577</v>
      </c>
      <c r="V354" s="4" t="s">
        <v>69</v>
      </c>
    </row>
    <row r="355" spans="1:22">
      <c r="A355" s="7" t="s">
        <v>1578</v>
      </c>
      <c r="B355" s="8" t="s">
        <v>251</v>
      </c>
      <c r="C355" s="8" t="s">
        <v>72</v>
      </c>
      <c r="D355" s="8" t="s">
        <v>161</v>
      </c>
      <c r="E355" s="8" t="s">
        <v>657</v>
      </c>
      <c r="F355" s="8" t="s">
        <v>254</v>
      </c>
      <c r="G355" s="8" t="s">
        <v>28</v>
      </c>
      <c r="H355" s="8" t="s">
        <v>1579</v>
      </c>
      <c r="I355" s="8" t="s">
        <v>105</v>
      </c>
      <c r="J355" s="8" t="s">
        <v>106</v>
      </c>
      <c r="K355" s="8" t="s">
        <v>46</v>
      </c>
      <c r="L355" s="8" t="s">
        <v>78</v>
      </c>
      <c r="M355" s="8">
        <v>19</v>
      </c>
      <c r="N355" s="8">
        <v>1200</v>
      </c>
      <c r="O355" s="8">
        <v>0</v>
      </c>
      <c r="P355" s="8">
        <v>22800</v>
      </c>
      <c r="Q355" s="8">
        <v>1</v>
      </c>
      <c r="R355" s="8" t="s">
        <v>34</v>
      </c>
      <c r="S355" s="8" t="s">
        <v>49</v>
      </c>
      <c r="T355" s="8" t="s">
        <v>256</v>
      </c>
      <c r="U355" s="9" t="s">
        <v>1580</v>
      </c>
      <c r="V355" s="8" t="s">
        <v>69</v>
      </c>
    </row>
    <row r="356" spans="1:22">
      <c r="A356" s="3" t="s">
        <v>1581</v>
      </c>
      <c r="B356" s="4" t="s">
        <v>168</v>
      </c>
      <c r="C356" s="4" t="s">
        <v>40</v>
      </c>
      <c r="D356" s="4" t="s">
        <v>25</v>
      </c>
      <c r="E356" s="4" t="s">
        <v>1582</v>
      </c>
      <c r="F356" s="4" t="s">
        <v>361</v>
      </c>
      <c r="G356" s="4" t="s">
        <v>28</v>
      </c>
      <c r="H356" s="4" t="s">
        <v>1583</v>
      </c>
      <c r="I356" s="4" t="s">
        <v>105</v>
      </c>
      <c r="J356" s="4" t="s">
        <v>106</v>
      </c>
      <c r="K356" s="4" t="s">
        <v>46</v>
      </c>
      <c r="L356" s="4" t="s">
        <v>47</v>
      </c>
      <c r="M356" s="4">
        <v>9</v>
      </c>
      <c r="N356" s="4">
        <v>12000</v>
      </c>
      <c r="O356" s="4">
        <v>15</v>
      </c>
      <c r="P356" s="4">
        <v>91800</v>
      </c>
      <c r="Q356" s="4">
        <v>3</v>
      </c>
      <c r="R356" s="4" t="s">
        <v>88</v>
      </c>
      <c r="S356" s="4" t="s">
        <v>49</v>
      </c>
      <c r="T356" s="4" t="s">
        <v>175</v>
      </c>
      <c r="U356" s="6" t="s">
        <v>1584</v>
      </c>
      <c r="V356" s="4" t="s">
        <v>69</v>
      </c>
    </row>
    <row r="357" spans="1:22">
      <c r="A357" s="7" t="s">
        <v>1585</v>
      </c>
      <c r="B357" s="8" t="s">
        <v>23</v>
      </c>
      <c r="C357" s="8" t="s">
        <v>259</v>
      </c>
      <c r="D357" s="8" t="s">
        <v>345</v>
      </c>
      <c r="E357" s="8" t="s">
        <v>793</v>
      </c>
      <c r="F357" s="8" t="s">
        <v>27</v>
      </c>
      <c r="G357" s="8" t="s">
        <v>28</v>
      </c>
      <c r="H357" s="8" t="s">
        <v>1586</v>
      </c>
      <c r="I357" s="8" t="s">
        <v>212</v>
      </c>
      <c r="J357" s="8" t="s">
        <v>45</v>
      </c>
      <c r="K357" s="8" t="s">
        <v>122</v>
      </c>
      <c r="L357" s="8" t="s">
        <v>263</v>
      </c>
      <c r="M357" s="8">
        <v>5</v>
      </c>
      <c r="N357" s="8">
        <v>45</v>
      </c>
      <c r="O357" s="8">
        <v>5</v>
      </c>
      <c r="P357" s="8">
        <v>213.75</v>
      </c>
      <c r="Q357" s="8">
        <v>1</v>
      </c>
      <c r="R357" s="8" t="s">
        <v>79</v>
      </c>
      <c r="S357" s="8" t="s">
        <v>115</v>
      </c>
      <c r="T357" s="8" t="s">
        <v>50</v>
      </c>
      <c r="U357" s="9" t="s">
        <v>1587</v>
      </c>
      <c r="V357" s="8" t="s">
        <v>38</v>
      </c>
    </row>
    <row r="358" spans="1:22">
      <c r="A358" s="3" t="s">
        <v>1588</v>
      </c>
      <c r="B358" s="4" t="s">
        <v>251</v>
      </c>
      <c r="C358" s="4" t="s">
        <v>184</v>
      </c>
      <c r="D358" s="4" t="s">
        <v>1589</v>
      </c>
      <c r="E358" s="4" t="s">
        <v>1373</v>
      </c>
      <c r="F358" s="4" t="s">
        <v>254</v>
      </c>
      <c r="G358" s="4" t="s">
        <v>28</v>
      </c>
      <c r="H358" s="4" t="s">
        <v>1590</v>
      </c>
      <c r="I358" s="4" t="s">
        <v>105</v>
      </c>
      <c r="J358" s="4" t="s">
        <v>106</v>
      </c>
      <c r="K358" s="4" t="s">
        <v>46</v>
      </c>
      <c r="L358" s="4" t="s">
        <v>189</v>
      </c>
      <c r="M358" s="4">
        <v>3</v>
      </c>
      <c r="N358" s="4">
        <v>700</v>
      </c>
      <c r="O358" s="4">
        <v>15</v>
      </c>
      <c r="P358" s="4">
        <v>1785</v>
      </c>
      <c r="Q358" s="4">
        <v>4</v>
      </c>
      <c r="R358" s="4" t="s">
        <v>34</v>
      </c>
      <c r="S358" s="4" t="s">
        <v>151</v>
      </c>
      <c r="T358" s="4" t="s">
        <v>256</v>
      </c>
      <c r="U358" s="6" t="s">
        <v>1591</v>
      </c>
      <c r="V358" s="4" t="s">
        <v>38</v>
      </c>
    </row>
    <row r="359" spans="1:22">
      <c r="A359" s="7" t="s">
        <v>1592</v>
      </c>
      <c r="B359" s="8" t="s">
        <v>71</v>
      </c>
      <c r="C359" s="8" t="s">
        <v>169</v>
      </c>
      <c r="D359" s="8" t="s">
        <v>454</v>
      </c>
      <c r="E359" s="8" t="s">
        <v>961</v>
      </c>
      <c r="F359" s="8" t="s">
        <v>217</v>
      </c>
      <c r="G359" s="8" t="s">
        <v>76</v>
      </c>
      <c r="H359" s="8" t="s">
        <v>1593</v>
      </c>
      <c r="I359" s="8" t="s">
        <v>212</v>
      </c>
      <c r="J359" s="8" t="s">
        <v>45</v>
      </c>
      <c r="K359" s="8" t="s">
        <v>32</v>
      </c>
      <c r="L359" s="8" t="s">
        <v>174</v>
      </c>
      <c r="M359" s="8">
        <v>12</v>
      </c>
      <c r="N359" s="8">
        <v>8500</v>
      </c>
      <c r="O359" s="8">
        <v>5</v>
      </c>
      <c r="P359" s="8">
        <v>96900</v>
      </c>
      <c r="Q359" s="8">
        <v>3</v>
      </c>
      <c r="R359" s="8" t="s">
        <v>79</v>
      </c>
      <c r="S359" s="8" t="s">
        <v>61</v>
      </c>
      <c r="T359" s="8" t="s">
        <v>80</v>
      </c>
      <c r="U359" s="9" t="s">
        <v>1594</v>
      </c>
      <c r="V359" s="8" t="s">
        <v>64</v>
      </c>
    </row>
    <row r="360" spans="1:22">
      <c r="A360" s="3" t="s">
        <v>1595</v>
      </c>
      <c r="B360" s="4" t="s">
        <v>251</v>
      </c>
      <c r="C360" s="4" t="s">
        <v>169</v>
      </c>
      <c r="D360" s="4" t="s">
        <v>162</v>
      </c>
      <c r="E360" s="4" t="s">
        <v>356</v>
      </c>
      <c r="F360" s="4" t="s">
        <v>254</v>
      </c>
      <c r="G360" s="4" t="s">
        <v>28</v>
      </c>
      <c r="H360" s="4" t="s">
        <v>1596</v>
      </c>
      <c r="I360" s="4" t="s">
        <v>114</v>
      </c>
      <c r="J360" s="4" t="s">
        <v>106</v>
      </c>
      <c r="K360" s="4" t="s">
        <v>32</v>
      </c>
      <c r="L360" s="4" t="s">
        <v>174</v>
      </c>
      <c r="M360" s="4">
        <v>4</v>
      </c>
      <c r="N360" s="4">
        <v>8500</v>
      </c>
      <c r="O360" s="4">
        <v>15</v>
      </c>
      <c r="P360" s="4">
        <v>28900</v>
      </c>
      <c r="Q360" s="4">
        <v>4</v>
      </c>
      <c r="R360" s="4" t="s">
        <v>48</v>
      </c>
      <c r="S360" s="4" t="s">
        <v>61</v>
      </c>
      <c r="T360" s="4" t="s">
        <v>256</v>
      </c>
      <c r="U360" s="6" t="s">
        <v>1597</v>
      </c>
      <c r="V360" s="4" t="s">
        <v>64</v>
      </c>
    </row>
    <row r="361" spans="1:22">
      <c r="A361" s="7" t="s">
        <v>1598</v>
      </c>
      <c r="B361" s="8" t="s">
        <v>127</v>
      </c>
      <c r="C361" s="8" t="s">
        <v>222</v>
      </c>
      <c r="D361" s="8" t="s">
        <v>102</v>
      </c>
      <c r="E361" s="8" t="s">
        <v>953</v>
      </c>
      <c r="F361" s="8" t="s">
        <v>200</v>
      </c>
      <c r="G361" s="8" t="s">
        <v>76</v>
      </c>
      <c r="H361" s="8" t="s">
        <v>1599</v>
      </c>
      <c r="I361" s="8" t="s">
        <v>212</v>
      </c>
      <c r="J361" s="8" t="s">
        <v>45</v>
      </c>
      <c r="K361" s="8" t="s">
        <v>122</v>
      </c>
      <c r="L361" s="8" t="s">
        <v>227</v>
      </c>
      <c r="M361" s="8">
        <v>16</v>
      </c>
      <c r="N361" s="8">
        <v>20</v>
      </c>
      <c r="O361" s="8">
        <v>10</v>
      </c>
      <c r="P361" s="8">
        <v>288</v>
      </c>
      <c r="Q361" s="8">
        <v>4</v>
      </c>
      <c r="R361" s="8" t="s">
        <v>34</v>
      </c>
      <c r="S361" s="8" t="s">
        <v>115</v>
      </c>
      <c r="T361" s="8" t="s">
        <v>132</v>
      </c>
      <c r="U361" s="9" t="s">
        <v>1600</v>
      </c>
      <c r="V361" s="8" t="s">
        <v>69</v>
      </c>
    </row>
    <row r="362" spans="1:22">
      <c r="A362" s="3" t="s">
        <v>1601</v>
      </c>
      <c r="B362" s="4" t="s">
        <v>127</v>
      </c>
      <c r="C362" s="4" t="s">
        <v>118</v>
      </c>
      <c r="D362" s="4" t="s">
        <v>601</v>
      </c>
      <c r="E362" s="4" t="s">
        <v>1602</v>
      </c>
      <c r="F362" s="4" t="s">
        <v>200</v>
      </c>
      <c r="G362" s="4" t="s">
        <v>76</v>
      </c>
      <c r="H362" s="4" t="s">
        <v>1603</v>
      </c>
      <c r="I362" s="4" t="s">
        <v>105</v>
      </c>
      <c r="J362" s="4" t="s">
        <v>106</v>
      </c>
      <c r="K362" s="4" t="s">
        <v>122</v>
      </c>
      <c r="L362" s="4" t="s">
        <v>123</v>
      </c>
      <c r="M362" s="4">
        <v>3</v>
      </c>
      <c r="N362" s="4">
        <v>60</v>
      </c>
      <c r="O362" s="4">
        <v>20</v>
      </c>
      <c r="P362" s="4">
        <v>144</v>
      </c>
      <c r="Q362" s="4">
        <v>4</v>
      </c>
      <c r="R362" s="4" t="s">
        <v>88</v>
      </c>
      <c r="S362" s="4" t="s">
        <v>151</v>
      </c>
      <c r="T362" s="4" t="s">
        <v>132</v>
      </c>
      <c r="U362" s="6" t="s">
        <v>1604</v>
      </c>
      <c r="V362" s="4" t="s">
        <v>64</v>
      </c>
    </row>
    <row r="363" spans="1:22">
      <c r="A363" s="7" t="s">
        <v>1605</v>
      </c>
      <c r="B363" s="8" t="s">
        <v>71</v>
      </c>
      <c r="C363" s="8" t="s">
        <v>24</v>
      </c>
      <c r="D363" s="8" t="s">
        <v>1106</v>
      </c>
      <c r="E363" s="8" t="s">
        <v>155</v>
      </c>
      <c r="F363" s="8" t="s">
        <v>217</v>
      </c>
      <c r="G363" s="8" t="s">
        <v>76</v>
      </c>
      <c r="H363" s="8" t="s">
        <v>1606</v>
      </c>
      <c r="I363" s="8" t="s">
        <v>105</v>
      </c>
      <c r="J363" s="8" t="s">
        <v>106</v>
      </c>
      <c r="K363" s="8" t="s">
        <v>32</v>
      </c>
      <c r="L363" s="8" t="s">
        <v>33</v>
      </c>
      <c r="M363" s="8">
        <v>19</v>
      </c>
      <c r="N363" s="8">
        <v>2200</v>
      </c>
      <c r="O363" s="8">
        <v>10</v>
      </c>
      <c r="P363" s="8">
        <v>37620</v>
      </c>
      <c r="Q363" s="8">
        <v>2</v>
      </c>
      <c r="R363" s="8" t="s">
        <v>34</v>
      </c>
      <c r="S363" s="8" t="s">
        <v>151</v>
      </c>
      <c r="T363" s="8" t="s">
        <v>80</v>
      </c>
      <c r="U363" s="9" t="s">
        <v>1607</v>
      </c>
      <c r="V363" s="8" t="s">
        <v>64</v>
      </c>
    </row>
    <row r="364" spans="1:22">
      <c r="A364" s="3" t="s">
        <v>1608</v>
      </c>
      <c r="B364" s="4" t="s">
        <v>71</v>
      </c>
      <c r="C364" s="4" t="s">
        <v>72</v>
      </c>
      <c r="D364" s="4" t="s">
        <v>1609</v>
      </c>
      <c r="E364" s="4" t="s">
        <v>588</v>
      </c>
      <c r="F364" s="4" t="s">
        <v>217</v>
      </c>
      <c r="G364" s="4" t="s">
        <v>76</v>
      </c>
      <c r="H364" s="4" t="s">
        <v>1610</v>
      </c>
      <c r="I364" s="4" t="s">
        <v>30</v>
      </c>
      <c r="J364" s="4" t="s">
        <v>31</v>
      </c>
      <c r="K364" s="4" t="s">
        <v>46</v>
      </c>
      <c r="L364" s="4" t="s">
        <v>78</v>
      </c>
      <c r="M364" s="4">
        <v>7</v>
      </c>
      <c r="N364" s="4">
        <v>1200</v>
      </c>
      <c r="O364" s="4">
        <v>20</v>
      </c>
      <c r="P364" s="4">
        <v>6720</v>
      </c>
      <c r="Q364" s="4">
        <v>3</v>
      </c>
      <c r="R364" s="4" t="s">
        <v>79</v>
      </c>
      <c r="S364" s="4" t="s">
        <v>115</v>
      </c>
      <c r="T364" s="4" t="s">
        <v>80</v>
      </c>
      <c r="U364" s="6" t="s">
        <v>1611</v>
      </c>
      <c r="V364" s="4" t="s">
        <v>69</v>
      </c>
    </row>
    <row r="365" spans="1:22">
      <c r="A365" s="7" t="s">
        <v>1612</v>
      </c>
      <c r="B365" s="8" t="s">
        <v>53</v>
      </c>
      <c r="C365" s="8" t="s">
        <v>222</v>
      </c>
      <c r="D365" s="8" t="s">
        <v>543</v>
      </c>
      <c r="E365" s="8" t="s">
        <v>65</v>
      </c>
      <c r="F365" s="8" t="s">
        <v>163</v>
      </c>
      <c r="G365" s="8" t="s">
        <v>28</v>
      </c>
      <c r="H365" s="8" t="s">
        <v>1613</v>
      </c>
      <c r="I365" s="8" t="s">
        <v>59</v>
      </c>
      <c r="J365" s="8" t="s">
        <v>31</v>
      </c>
      <c r="K365" s="8" t="s">
        <v>122</v>
      </c>
      <c r="L365" s="8" t="s">
        <v>227</v>
      </c>
      <c r="M365" s="8">
        <v>20</v>
      </c>
      <c r="N365" s="8">
        <v>20</v>
      </c>
      <c r="O365" s="8">
        <v>20</v>
      </c>
      <c r="P365" s="8">
        <v>320</v>
      </c>
      <c r="Q365" s="8">
        <v>5</v>
      </c>
      <c r="R365" s="8" t="s">
        <v>79</v>
      </c>
      <c r="S365" s="8" t="s">
        <v>115</v>
      </c>
      <c r="T365" s="8" t="s">
        <v>62</v>
      </c>
      <c r="U365" s="9" t="s">
        <v>1614</v>
      </c>
      <c r="V365" s="8" t="s">
        <v>64</v>
      </c>
    </row>
    <row r="366" spans="1:22">
      <c r="A366" s="3" t="s">
        <v>1615</v>
      </c>
      <c r="B366" s="4" t="s">
        <v>100</v>
      </c>
      <c r="C366" s="4" t="s">
        <v>72</v>
      </c>
      <c r="D366" s="4" t="s">
        <v>210</v>
      </c>
      <c r="E366" s="4" t="s">
        <v>1616</v>
      </c>
      <c r="F366" s="4" t="s">
        <v>103</v>
      </c>
      <c r="G366" s="4" t="s">
        <v>28</v>
      </c>
      <c r="H366" s="4" t="s">
        <v>1617</v>
      </c>
      <c r="I366" s="4" t="s">
        <v>30</v>
      </c>
      <c r="J366" s="4" t="s">
        <v>31</v>
      </c>
      <c r="K366" s="4" t="s">
        <v>46</v>
      </c>
      <c r="L366" s="4" t="s">
        <v>78</v>
      </c>
      <c r="M366" s="4">
        <v>19</v>
      </c>
      <c r="N366" s="4">
        <v>1200</v>
      </c>
      <c r="O366" s="4">
        <v>5</v>
      </c>
      <c r="P366" s="4">
        <v>21660</v>
      </c>
      <c r="Q366" s="4">
        <v>3</v>
      </c>
      <c r="R366" s="4" t="s">
        <v>79</v>
      </c>
      <c r="S366" s="4" t="s">
        <v>35</v>
      </c>
      <c r="T366" s="4" t="s">
        <v>144</v>
      </c>
      <c r="U366" s="6" t="s">
        <v>1618</v>
      </c>
      <c r="V366" s="4" t="s">
        <v>64</v>
      </c>
    </row>
    <row r="367" spans="1:22">
      <c r="A367" s="7" t="s">
        <v>1619</v>
      </c>
      <c r="B367" s="8" t="s">
        <v>53</v>
      </c>
      <c r="C367" s="8" t="s">
        <v>222</v>
      </c>
      <c r="D367" s="8" t="s">
        <v>1620</v>
      </c>
      <c r="E367" s="8" t="s">
        <v>302</v>
      </c>
      <c r="F367" s="8" t="s">
        <v>163</v>
      </c>
      <c r="G367" s="8" t="s">
        <v>28</v>
      </c>
      <c r="H367" s="8" t="s">
        <v>1621</v>
      </c>
      <c r="I367" s="8" t="s">
        <v>30</v>
      </c>
      <c r="J367" s="8" t="s">
        <v>31</v>
      </c>
      <c r="K367" s="8" t="s">
        <v>122</v>
      </c>
      <c r="L367" s="8" t="s">
        <v>227</v>
      </c>
      <c r="M367" s="8">
        <v>5</v>
      </c>
      <c r="N367" s="8">
        <v>20</v>
      </c>
      <c r="O367" s="8">
        <v>0</v>
      </c>
      <c r="P367" s="8">
        <v>100</v>
      </c>
      <c r="Q367" s="8">
        <v>2</v>
      </c>
      <c r="R367" s="8" t="s">
        <v>88</v>
      </c>
      <c r="S367" s="8" t="s">
        <v>49</v>
      </c>
      <c r="T367" s="8" t="s">
        <v>62</v>
      </c>
      <c r="U367" s="9" t="s">
        <v>1622</v>
      </c>
      <c r="V367" s="8" t="s">
        <v>64</v>
      </c>
    </row>
    <row r="368" spans="1:22">
      <c r="A368" s="3" t="s">
        <v>1623</v>
      </c>
      <c r="B368" s="4" t="s">
        <v>100</v>
      </c>
      <c r="C368" s="4" t="s">
        <v>259</v>
      </c>
      <c r="D368" s="4" t="s">
        <v>797</v>
      </c>
      <c r="E368" s="4" t="s">
        <v>543</v>
      </c>
      <c r="F368" s="4" t="s">
        <v>103</v>
      </c>
      <c r="G368" s="4" t="s">
        <v>28</v>
      </c>
      <c r="H368" s="4" t="s">
        <v>1624</v>
      </c>
      <c r="I368" s="4" t="s">
        <v>212</v>
      </c>
      <c r="J368" s="4" t="s">
        <v>45</v>
      </c>
      <c r="K368" s="4" t="s">
        <v>122</v>
      </c>
      <c r="L368" s="4" t="s">
        <v>263</v>
      </c>
      <c r="M368" s="4">
        <v>16</v>
      </c>
      <c r="N368" s="4">
        <v>45</v>
      </c>
      <c r="O368" s="4">
        <v>15</v>
      </c>
      <c r="P368" s="4">
        <v>612</v>
      </c>
      <c r="Q368" s="4">
        <v>5</v>
      </c>
      <c r="R368" s="4" t="s">
        <v>34</v>
      </c>
      <c r="S368" s="4" t="s">
        <v>61</v>
      </c>
      <c r="T368" s="4" t="s">
        <v>144</v>
      </c>
      <c r="U368" s="6" t="s">
        <v>1625</v>
      </c>
      <c r="V368" s="4" t="s">
        <v>69</v>
      </c>
    </row>
    <row r="369" spans="1:22">
      <c r="A369" s="7" t="s">
        <v>1626</v>
      </c>
      <c r="B369" s="8" t="s">
        <v>23</v>
      </c>
      <c r="C369" s="8" t="s">
        <v>24</v>
      </c>
      <c r="D369" s="8" t="s">
        <v>1263</v>
      </c>
      <c r="E369" s="8" t="s">
        <v>944</v>
      </c>
      <c r="F369" s="8" t="s">
        <v>27</v>
      </c>
      <c r="G369" s="8" t="s">
        <v>28</v>
      </c>
      <c r="H369" s="8" t="s">
        <v>1627</v>
      </c>
      <c r="I369" s="8" t="s">
        <v>212</v>
      </c>
      <c r="J369" s="8" t="s">
        <v>45</v>
      </c>
      <c r="K369" s="8" t="s">
        <v>32</v>
      </c>
      <c r="L369" s="8" t="s">
        <v>33</v>
      </c>
      <c r="M369" s="8">
        <v>1</v>
      </c>
      <c r="N369" s="8">
        <v>2200</v>
      </c>
      <c r="O369" s="8">
        <v>10</v>
      </c>
      <c r="P369" s="8">
        <v>1980</v>
      </c>
      <c r="Q369" s="8">
        <v>5</v>
      </c>
      <c r="R369" s="8" t="s">
        <v>79</v>
      </c>
      <c r="S369" s="8" t="s">
        <v>49</v>
      </c>
      <c r="T369" s="8" t="s">
        <v>50</v>
      </c>
      <c r="U369" s="9" t="s">
        <v>1628</v>
      </c>
      <c r="V369" s="8" t="s">
        <v>38</v>
      </c>
    </row>
    <row r="370" spans="1:22">
      <c r="A370" s="3" t="s">
        <v>1629</v>
      </c>
      <c r="B370" s="4" t="s">
        <v>53</v>
      </c>
      <c r="C370" s="4" t="s">
        <v>118</v>
      </c>
      <c r="D370" s="4" t="s">
        <v>891</v>
      </c>
      <c r="E370" s="4" t="s">
        <v>1630</v>
      </c>
      <c r="F370" s="4" t="s">
        <v>163</v>
      </c>
      <c r="G370" s="4" t="s">
        <v>28</v>
      </c>
      <c r="H370" s="4" t="s">
        <v>1631</v>
      </c>
      <c r="I370" s="4" t="s">
        <v>30</v>
      </c>
      <c r="J370" s="4" t="s">
        <v>31</v>
      </c>
      <c r="K370" s="4" t="s">
        <v>122</v>
      </c>
      <c r="L370" s="4" t="s">
        <v>123</v>
      </c>
      <c r="M370" s="4">
        <v>19</v>
      </c>
      <c r="N370" s="4">
        <v>60</v>
      </c>
      <c r="O370" s="4">
        <v>15</v>
      </c>
      <c r="P370" s="4">
        <v>969</v>
      </c>
      <c r="Q370" s="4">
        <v>4</v>
      </c>
      <c r="R370" s="4" t="s">
        <v>48</v>
      </c>
      <c r="S370" s="4" t="s">
        <v>115</v>
      </c>
      <c r="T370" s="4" t="s">
        <v>62</v>
      </c>
      <c r="U370" s="6" t="s">
        <v>1632</v>
      </c>
      <c r="V370" s="4" t="s">
        <v>69</v>
      </c>
    </row>
    <row r="371" spans="1:22">
      <c r="A371" s="7" t="s">
        <v>1633</v>
      </c>
      <c r="B371" s="8" t="s">
        <v>327</v>
      </c>
      <c r="C371" s="8" t="s">
        <v>54</v>
      </c>
      <c r="D371" s="8"/>
      <c r="E371" s="8" t="s">
        <v>1634</v>
      </c>
      <c r="F371" s="8" t="s">
        <v>394</v>
      </c>
      <c r="G371" s="8" t="s">
        <v>76</v>
      </c>
      <c r="H371" s="8" t="s">
        <v>1635</v>
      </c>
      <c r="I371" s="8" t="s">
        <v>44</v>
      </c>
      <c r="J371" s="8" t="s">
        <v>45</v>
      </c>
      <c r="K371" s="8" t="s">
        <v>46</v>
      </c>
      <c r="L371" s="8" t="s">
        <v>60</v>
      </c>
      <c r="M371" s="8">
        <v>15</v>
      </c>
      <c r="N371" s="8">
        <v>55000</v>
      </c>
      <c r="O371" s="8">
        <v>0</v>
      </c>
      <c r="P371" s="8">
        <v>825000</v>
      </c>
      <c r="Q371" s="8">
        <v>5</v>
      </c>
      <c r="R371" s="8" t="s">
        <v>79</v>
      </c>
      <c r="S371" s="8" t="s">
        <v>115</v>
      </c>
      <c r="T371" s="8" t="s">
        <v>332</v>
      </c>
      <c r="U371" s="9" t="s">
        <v>1636</v>
      </c>
      <c r="V371" s="8" t="s">
        <v>69</v>
      </c>
    </row>
    <row r="372" spans="1:22">
      <c r="A372" s="3" t="s">
        <v>1637</v>
      </c>
      <c r="B372" s="4" t="s">
        <v>71</v>
      </c>
      <c r="C372" s="4" t="s">
        <v>259</v>
      </c>
      <c r="D372" s="4" t="s">
        <v>941</v>
      </c>
      <c r="E372" s="4" t="s">
        <v>1638</v>
      </c>
      <c r="F372" s="4" t="s">
        <v>217</v>
      </c>
      <c r="G372" s="4" t="s">
        <v>76</v>
      </c>
      <c r="H372" s="4" t="s">
        <v>1639</v>
      </c>
      <c r="I372" s="4" t="s">
        <v>59</v>
      </c>
      <c r="J372" s="4" t="s">
        <v>31</v>
      </c>
      <c r="K372" s="4" t="s">
        <v>122</v>
      </c>
      <c r="L372" s="4" t="s">
        <v>263</v>
      </c>
      <c r="M372" s="4">
        <v>11</v>
      </c>
      <c r="N372" s="4">
        <v>45</v>
      </c>
      <c r="O372" s="4">
        <v>5</v>
      </c>
      <c r="P372" s="4">
        <v>470.25</v>
      </c>
      <c r="Q372" s="4">
        <v>5</v>
      </c>
      <c r="R372" s="4" t="s">
        <v>48</v>
      </c>
      <c r="S372" s="4" t="s">
        <v>151</v>
      </c>
      <c r="T372" s="4" t="s">
        <v>80</v>
      </c>
      <c r="U372" s="6" t="s">
        <v>1640</v>
      </c>
      <c r="V372" s="4" t="s">
        <v>38</v>
      </c>
    </row>
    <row r="373" spans="1:22">
      <c r="A373" s="7" t="s">
        <v>1641</v>
      </c>
      <c r="B373" s="8" t="s">
        <v>251</v>
      </c>
      <c r="C373" s="8" t="s">
        <v>222</v>
      </c>
      <c r="D373" s="8" t="s">
        <v>1642</v>
      </c>
      <c r="E373" s="8" t="s">
        <v>1643</v>
      </c>
      <c r="F373" s="8" t="s">
        <v>254</v>
      </c>
      <c r="G373" s="8" t="s">
        <v>28</v>
      </c>
      <c r="H373" s="8" t="s">
        <v>1644</v>
      </c>
      <c r="I373" s="8" t="s">
        <v>212</v>
      </c>
      <c r="J373" s="8" t="s">
        <v>45</v>
      </c>
      <c r="K373" s="8" t="s">
        <v>122</v>
      </c>
      <c r="L373" s="8" t="s">
        <v>227</v>
      </c>
      <c r="M373" s="8">
        <v>9</v>
      </c>
      <c r="N373" s="8">
        <v>20</v>
      </c>
      <c r="O373" s="8">
        <v>10</v>
      </c>
      <c r="P373" s="8">
        <v>162</v>
      </c>
      <c r="Q373" s="8">
        <v>1</v>
      </c>
      <c r="R373" s="8" t="s">
        <v>79</v>
      </c>
      <c r="S373" s="8" t="s">
        <v>49</v>
      </c>
      <c r="T373" s="8" t="s">
        <v>256</v>
      </c>
      <c r="U373" s="9" t="s">
        <v>1645</v>
      </c>
      <c r="V373" s="8" t="s">
        <v>69</v>
      </c>
    </row>
    <row r="374" spans="1:22">
      <c r="A374" s="3" t="s">
        <v>1646</v>
      </c>
      <c r="B374" s="4" t="s">
        <v>168</v>
      </c>
      <c r="C374" s="4" t="s">
        <v>259</v>
      </c>
      <c r="D374" s="4" t="s">
        <v>645</v>
      </c>
      <c r="E374" s="4" t="s">
        <v>980</v>
      </c>
      <c r="F374" s="4" t="s">
        <v>361</v>
      </c>
      <c r="G374" s="4" t="s">
        <v>28</v>
      </c>
      <c r="H374" s="4" t="s">
        <v>1647</v>
      </c>
      <c r="I374" s="4" t="s">
        <v>59</v>
      </c>
      <c r="J374" s="4" t="s">
        <v>31</v>
      </c>
      <c r="K374" s="4" t="s">
        <v>122</v>
      </c>
      <c r="L374" s="4" t="s">
        <v>263</v>
      </c>
      <c r="M374" s="4">
        <v>5</v>
      </c>
      <c r="N374" s="4">
        <v>45</v>
      </c>
      <c r="O374" s="4">
        <v>5</v>
      </c>
      <c r="P374" s="4">
        <v>213.75</v>
      </c>
      <c r="Q374" s="4">
        <v>3</v>
      </c>
      <c r="R374" s="4" t="s">
        <v>79</v>
      </c>
      <c r="S374" s="4" t="s">
        <v>115</v>
      </c>
      <c r="T374" s="4" t="s">
        <v>175</v>
      </c>
      <c r="U374" s="6" t="s">
        <v>1648</v>
      </c>
      <c r="V374" s="4" t="s">
        <v>64</v>
      </c>
    </row>
    <row r="375" spans="1:22">
      <c r="A375" s="7" t="s">
        <v>1649</v>
      </c>
      <c r="B375" s="8" t="s">
        <v>83</v>
      </c>
      <c r="C375" s="8" t="s">
        <v>184</v>
      </c>
      <c r="D375" s="8" t="s">
        <v>1650</v>
      </c>
      <c r="E375" s="8" t="s">
        <v>1102</v>
      </c>
      <c r="F375" s="8" t="s">
        <v>180</v>
      </c>
      <c r="G375" s="8" t="s">
        <v>76</v>
      </c>
      <c r="H375" s="8" t="s">
        <v>1651</v>
      </c>
      <c r="I375" s="8" t="s">
        <v>30</v>
      </c>
      <c r="J375" s="8" t="s">
        <v>31</v>
      </c>
      <c r="K375" s="8" t="s">
        <v>46</v>
      </c>
      <c r="L375" s="8" t="s">
        <v>189</v>
      </c>
      <c r="M375" s="8">
        <v>5</v>
      </c>
      <c r="N375" s="8">
        <v>700</v>
      </c>
      <c r="O375" s="8">
        <v>10</v>
      </c>
      <c r="P375" s="8">
        <v>3150</v>
      </c>
      <c r="Q375" s="8">
        <v>2</v>
      </c>
      <c r="R375" s="8" t="s">
        <v>88</v>
      </c>
      <c r="S375" s="8" t="s">
        <v>49</v>
      </c>
      <c r="T375" s="8" t="s">
        <v>89</v>
      </c>
      <c r="U375" s="9" t="s">
        <v>1652</v>
      </c>
      <c r="V375" s="8" t="s">
        <v>38</v>
      </c>
    </row>
    <row r="376" spans="1:22">
      <c r="A376" s="3" t="s">
        <v>1653</v>
      </c>
      <c r="B376" s="4" t="s">
        <v>221</v>
      </c>
      <c r="C376" s="4" t="s">
        <v>184</v>
      </c>
      <c r="D376" s="4" t="s">
        <v>957</v>
      </c>
      <c r="E376" s="4" t="s">
        <v>1654</v>
      </c>
      <c r="F376" s="4" t="s">
        <v>225</v>
      </c>
      <c r="G376" s="4" t="s">
        <v>76</v>
      </c>
      <c r="H376" s="4" t="s">
        <v>1655</v>
      </c>
      <c r="I376" s="4" t="s">
        <v>294</v>
      </c>
      <c r="J376" s="4" t="s">
        <v>295</v>
      </c>
      <c r="K376" s="4" t="s">
        <v>46</v>
      </c>
      <c r="L376" s="4" t="s">
        <v>189</v>
      </c>
      <c r="M376" s="4">
        <v>1</v>
      </c>
      <c r="N376" s="4">
        <v>700</v>
      </c>
      <c r="O376" s="4">
        <v>0</v>
      </c>
      <c r="P376" s="4">
        <v>700</v>
      </c>
      <c r="Q376" s="4">
        <v>1</v>
      </c>
      <c r="R376" s="4" t="s">
        <v>88</v>
      </c>
      <c r="S376" s="4" t="s">
        <v>151</v>
      </c>
      <c r="T376" s="4" t="s">
        <v>228</v>
      </c>
      <c r="U376" s="6" t="s">
        <v>1656</v>
      </c>
      <c r="V376" s="4" t="s">
        <v>38</v>
      </c>
    </row>
    <row r="377" spans="1:22">
      <c r="A377" s="7" t="s">
        <v>1657</v>
      </c>
      <c r="B377" s="8" t="s">
        <v>23</v>
      </c>
      <c r="C377" s="8" t="s">
        <v>184</v>
      </c>
      <c r="D377" s="8" t="s">
        <v>1368</v>
      </c>
      <c r="E377" s="8" t="s">
        <v>923</v>
      </c>
      <c r="F377" s="8" t="s">
        <v>27</v>
      </c>
      <c r="G377" s="8" t="s">
        <v>28</v>
      </c>
      <c r="H377" s="8" t="s">
        <v>1658</v>
      </c>
      <c r="I377" s="8" t="s">
        <v>105</v>
      </c>
      <c r="J377" s="8" t="s">
        <v>106</v>
      </c>
      <c r="K377" s="8" t="s">
        <v>46</v>
      </c>
      <c r="L377" s="8" t="s">
        <v>189</v>
      </c>
      <c r="M377" s="8">
        <v>13</v>
      </c>
      <c r="N377" s="8">
        <v>700</v>
      </c>
      <c r="O377" s="8">
        <v>20</v>
      </c>
      <c r="P377" s="8">
        <v>7280</v>
      </c>
      <c r="Q377" s="8">
        <v>2</v>
      </c>
      <c r="R377" s="8" t="s">
        <v>79</v>
      </c>
      <c r="S377" s="8" t="s">
        <v>35</v>
      </c>
      <c r="T377" s="8" t="s">
        <v>50</v>
      </c>
      <c r="U377" s="9" t="s">
        <v>1659</v>
      </c>
      <c r="V377" s="8" t="s">
        <v>38</v>
      </c>
    </row>
    <row r="378" spans="1:22">
      <c r="A378" s="3" t="s">
        <v>1660</v>
      </c>
      <c r="B378" s="4" t="s">
        <v>71</v>
      </c>
      <c r="C378" s="4" t="s">
        <v>40</v>
      </c>
      <c r="D378" s="4" t="s">
        <v>1153</v>
      </c>
      <c r="E378" s="4" t="s">
        <v>303</v>
      </c>
      <c r="F378" s="4" t="s">
        <v>217</v>
      </c>
      <c r="G378" s="4" t="s">
        <v>76</v>
      </c>
      <c r="H378" s="4" t="s">
        <v>1661</v>
      </c>
      <c r="I378" s="4" t="s">
        <v>114</v>
      </c>
      <c r="J378" s="4" t="s">
        <v>106</v>
      </c>
      <c r="K378" s="4" t="s">
        <v>46</v>
      </c>
      <c r="L378" s="4" t="s">
        <v>47</v>
      </c>
      <c r="M378" s="4">
        <v>20</v>
      </c>
      <c r="N378" s="4">
        <v>12000</v>
      </c>
      <c r="O378" s="4">
        <v>0</v>
      </c>
      <c r="P378" s="4">
        <v>240000</v>
      </c>
      <c r="Q378" s="4">
        <v>2</v>
      </c>
      <c r="R378" s="4" t="s">
        <v>79</v>
      </c>
      <c r="S378" s="4" t="s">
        <v>115</v>
      </c>
      <c r="T378" s="4" t="s">
        <v>80</v>
      </c>
      <c r="U378" s="6" t="s">
        <v>1662</v>
      </c>
      <c r="V378" s="4" t="s">
        <v>38</v>
      </c>
    </row>
    <row r="379" spans="1:22">
      <c r="A379" s="7" t="s">
        <v>1663</v>
      </c>
      <c r="B379" s="8" t="s">
        <v>83</v>
      </c>
      <c r="C379" s="8" t="s">
        <v>72</v>
      </c>
      <c r="D379" s="8" t="s">
        <v>1198</v>
      </c>
      <c r="E379" s="8" t="s">
        <v>712</v>
      </c>
      <c r="F379" s="8" t="s">
        <v>180</v>
      </c>
      <c r="G379" s="8" t="s">
        <v>76</v>
      </c>
      <c r="H379" s="8" t="s">
        <v>1664</v>
      </c>
      <c r="I379" s="8" t="s">
        <v>294</v>
      </c>
      <c r="J379" s="8" t="s">
        <v>295</v>
      </c>
      <c r="K379" s="8" t="s">
        <v>46</v>
      </c>
      <c r="L379" s="8" t="s">
        <v>78</v>
      </c>
      <c r="M379" s="8">
        <v>9</v>
      </c>
      <c r="N379" s="8">
        <v>1200</v>
      </c>
      <c r="O379" s="8">
        <v>15</v>
      </c>
      <c r="P379" s="8">
        <v>9180</v>
      </c>
      <c r="Q379" s="8">
        <v>1</v>
      </c>
      <c r="R379" s="8" t="s">
        <v>88</v>
      </c>
      <c r="S379" s="8" t="s">
        <v>35</v>
      </c>
      <c r="T379" s="8" t="s">
        <v>89</v>
      </c>
      <c r="U379" s="9" t="s">
        <v>1665</v>
      </c>
      <c r="V379" s="8" t="s">
        <v>64</v>
      </c>
    </row>
    <row r="380" spans="1:22">
      <c r="A380" s="3" t="s">
        <v>1666</v>
      </c>
      <c r="B380" s="4" t="s">
        <v>83</v>
      </c>
      <c r="C380" s="4" t="s">
        <v>222</v>
      </c>
      <c r="D380" s="4" t="s">
        <v>1221</v>
      </c>
      <c r="E380" s="4" t="s">
        <v>1667</v>
      </c>
      <c r="F380" s="4" t="s">
        <v>180</v>
      </c>
      <c r="G380" s="4" t="s">
        <v>76</v>
      </c>
      <c r="H380" s="4" t="s">
        <v>1668</v>
      </c>
      <c r="I380" s="4" t="s">
        <v>212</v>
      </c>
      <c r="J380" s="4" t="s">
        <v>45</v>
      </c>
      <c r="K380" s="4" t="s">
        <v>122</v>
      </c>
      <c r="L380" s="4" t="s">
        <v>227</v>
      </c>
      <c r="M380" s="4">
        <v>3</v>
      </c>
      <c r="N380" s="4">
        <v>20</v>
      </c>
      <c r="O380" s="4">
        <v>15</v>
      </c>
      <c r="P380" s="4">
        <v>51</v>
      </c>
      <c r="Q380" s="4">
        <v>3</v>
      </c>
      <c r="R380" s="4" t="s">
        <v>34</v>
      </c>
      <c r="S380" s="4" t="s">
        <v>115</v>
      </c>
      <c r="T380" s="4" t="s">
        <v>89</v>
      </c>
      <c r="U380" s="6" t="s">
        <v>1669</v>
      </c>
      <c r="V380" s="4" t="s">
        <v>64</v>
      </c>
    </row>
    <row r="381" spans="1:22">
      <c r="A381" s="7" t="s">
        <v>1670</v>
      </c>
      <c r="B381" s="8" t="s">
        <v>251</v>
      </c>
      <c r="C381" s="8" t="s">
        <v>54</v>
      </c>
      <c r="D381" s="8" t="s">
        <v>788</v>
      </c>
      <c r="E381" s="8" t="s">
        <v>455</v>
      </c>
      <c r="F381" s="8" t="s">
        <v>254</v>
      </c>
      <c r="G381" s="8" t="s">
        <v>28</v>
      </c>
      <c r="H381" s="8" t="s">
        <v>1671</v>
      </c>
      <c r="I381" s="8" t="s">
        <v>44</v>
      </c>
      <c r="J381" s="8" t="s">
        <v>45</v>
      </c>
      <c r="K381" s="8" t="s">
        <v>46</v>
      </c>
      <c r="L381" s="8" t="s">
        <v>60</v>
      </c>
      <c r="M381" s="8">
        <v>8</v>
      </c>
      <c r="N381" s="8">
        <v>55000</v>
      </c>
      <c r="O381" s="8">
        <v>20</v>
      </c>
      <c r="P381" s="8">
        <v>352000</v>
      </c>
      <c r="Q381" s="8">
        <v>5</v>
      </c>
      <c r="R381" s="8" t="s">
        <v>79</v>
      </c>
      <c r="S381" s="8" t="s">
        <v>151</v>
      </c>
      <c r="T381" s="8" t="s">
        <v>256</v>
      </c>
      <c r="U381" s="9" t="s">
        <v>1672</v>
      </c>
      <c r="V381" s="8" t="s">
        <v>64</v>
      </c>
    </row>
    <row r="382" spans="1:22">
      <c r="A382" s="3" t="s">
        <v>1673</v>
      </c>
      <c r="B382" s="4" t="s">
        <v>251</v>
      </c>
      <c r="C382" s="4" t="s">
        <v>118</v>
      </c>
      <c r="D382" s="4" t="s">
        <v>1311</v>
      </c>
      <c r="E382" s="4" t="s">
        <v>74</v>
      </c>
      <c r="F382" s="4" t="s">
        <v>254</v>
      </c>
      <c r="G382" s="4" t="s">
        <v>28</v>
      </c>
      <c r="H382" s="4" t="s">
        <v>1674</v>
      </c>
      <c r="I382" s="4" t="s">
        <v>44</v>
      </c>
      <c r="J382" s="4" t="s">
        <v>45</v>
      </c>
      <c r="K382" s="4" t="s">
        <v>122</v>
      </c>
      <c r="L382" s="4" t="s">
        <v>123</v>
      </c>
      <c r="M382" s="4">
        <v>17</v>
      </c>
      <c r="N382" s="4">
        <v>60</v>
      </c>
      <c r="O382" s="4">
        <v>20</v>
      </c>
      <c r="P382" s="4">
        <v>816</v>
      </c>
      <c r="Q382" s="4">
        <v>1</v>
      </c>
      <c r="R382" s="4" t="s">
        <v>88</v>
      </c>
      <c r="S382" s="4" t="s">
        <v>35</v>
      </c>
      <c r="T382" s="4" t="s">
        <v>256</v>
      </c>
      <c r="U382" s="6" t="s">
        <v>1675</v>
      </c>
      <c r="V382" s="4" t="s">
        <v>64</v>
      </c>
    </row>
    <row r="383" spans="1:22">
      <c r="A383" s="7" t="s">
        <v>1676</v>
      </c>
      <c r="B383" s="8" t="s">
        <v>127</v>
      </c>
      <c r="C383" s="8" t="s">
        <v>222</v>
      </c>
      <c r="D383" s="8" t="s">
        <v>1677</v>
      </c>
      <c r="E383" s="8" t="s">
        <v>236</v>
      </c>
      <c r="F383" s="8" t="s">
        <v>200</v>
      </c>
      <c r="G383" s="8" t="s">
        <v>76</v>
      </c>
      <c r="H383" s="8" t="s">
        <v>1678</v>
      </c>
      <c r="I383" s="8" t="s">
        <v>59</v>
      </c>
      <c r="J383" s="8" t="s">
        <v>31</v>
      </c>
      <c r="K383" s="8" t="s">
        <v>122</v>
      </c>
      <c r="L383" s="8" t="s">
        <v>227</v>
      </c>
      <c r="M383" s="8">
        <v>4</v>
      </c>
      <c r="N383" s="8">
        <v>20</v>
      </c>
      <c r="O383" s="8">
        <v>15</v>
      </c>
      <c r="P383" s="8">
        <v>68</v>
      </c>
      <c r="Q383" s="8">
        <v>3</v>
      </c>
      <c r="R383" s="8" t="s">
        <v>48</v>
      </c>
      <c r="S383" s="8" t="s">
        <v>61</v>
      </c>
      <c r="T383" s="8" t="s">
        <v>132</v>
      </c>
      <c r="U383" s="9" t="s">
        <v>1679</v>
      </c>
      <c r="V383" s="8" t="s">
        <v>64</v>
      </c>
    </row>
    <row r="384" spans="1:22">
      <c r="A384" s="3" t="s">
        <v>1680</v>
      </c>
      <c r="B384" s="4" t="s">
        <v>127</v>
      </c>
      <c r="C384" s="4" t="s">
        <v>24</v>
      </c>
      <c r="D384" s="4" t="s">
        <v>1360</v>
      </c>
      <c r="E384" s="4" t="s">
        <v>775</v>
      </c>
      <c r="F384" s="4" t="s">
        <v>1681</v>
      </c>
      <c r="G384" s="4" t="s">
        <v>76</v>
      </c>
      <c r="H384" s="4" t="s">
        <v>1682</v>
      </c>
      <c r="I384" s="4" t="s">
        <v>294</v>
      </c>
      <c r="J384" s="4" t="s">
        <v>295</v>
      </c>
      <c r="K384" s="4" t="s">
        <v>32</v>
      </c>
      <c r="L384" s="4" t="s">
        <v>33</v>
      </c>
      <c r="M384" s="4">
        <v>2</v>
      </c>
      <c r="N384" s="4">
        <v>2200</v>
      </c>
      <c r="O384" s="4">
        <v>10</v>
      </c>
      <c r="P384" s="4">
        <v>3960</v>
      </c>
      <c r="Q384" s="4">
        <v>2</v>
      </c>
      <c r="R384" s="4" t="s">
        <v>88</v>
      </c>
      <c r="S384" s="4" t="s">
        <v>49</v>
      </c>
      <c r="T384" s="4" t="s">
        <v>132</v>
      </c>
      <c r="U384" s="6" t="s">
        <v>1683</v>
      </c>
      <c r="V384" s="4" t="s">
        <v>64</v>
      </c>
    </row>
    <row r="385" spans="1:22">
      <c r="A385" s="7" t="s">
        <v>1684</v>
      </c>
      <c r="B385" s="8" t="s">
        <v>221</v>
      </c>
      <c r="C385" s="8" t="s">
        <v>118</v>
      </c>
      <c r="D385" s="8" t="s">
        <v>366</v>
      </c>
      <c r="E385" s="8" t="s">
        <v>539</v>
      </c>
      <c r="F385" s="8" t="s">
        <v>225</v>
      </c>
      <c r="G385" s="8" t="s">
        <v>76</v>
      </c>
      <c r="H385" s="8" t="s">
        <v>1685</v>
      </c>
      <c r="I385" s="8" t="s">
        <v>59</v>
      </c>
      <c r="J385" s="8" t="s">
        <v>31</v>
      </c>
      <c r="K385" s="8" t="s">
        <v>122</v>
      </c>
      <c r="L385" s="8" t="s">
        <v>123</v>
      </c>
      <c r="M385" s="8">
        <v>5</v>
      </c>
      <c r="N385" s="8">
        <v>60</v>
      </c>
      <c r="O385" s="8">
        <v>5</v>
      </c>
      <c r="P385" s="8">
        <v>285</v>
      </c>
      <c r="Q385" s="8">
        <v>1</v>
      </c>
      <c r="R385" s="8" t="s">
        <v>88</v>
      </c>
      <c r="S385" s="8" t="s">
        <v>35</v>
      </c>
      <c r="T385" s="8" t="s">
        <v>228</v>
      </c>
      <c r="U385" s="9" t="s">
        <v>1686</v>
      </c>
      <c r="V385" s="8" t="s">
        <v>69</v>
      </c>
    </row>
    <row r="386" spans="1:22">
      <c r="A386" s="3" t="s">
        <v>1687</v>
      </c>
      <c r="B386" s="4" t="s">
        <v>127</v>
      </c>
      <c r="C386" s="4" t="s">
        <v>24</v>
      </c>
      <c r="D386" s="4" t="s">
        <v>1688</v>
      </c>
      <c r="E386" s="4" t="s">
        <v>1689</v>
      </c>
      <c r="F386" s="4" t="s">
        <v>200</v>
      </c>
      <c r="G386" s="4" t="s">
        <v>76</v>
      </c>
      <c r="H386" s="4" t="s">
        <v>1690</v>
      </c>
      <c r="I386" s="4" t="s">
        <v>44</v>
      </c>
      <c r="J386" s="4" t="s">
        <v>45</v>
      </c>
      <c r="K386" s="4" t="s">
        <v>32</v>
      </c>
      <c r="L386" s="4" t="s">
        <v>33</v>
      </c>
      <c r="M386" s="4">
        <v>17</v>
      </c>
      <c r="N386" s="4">
        <v>2200</v>
      </c>
      <c r="O386" s="4">
        <v>0</v>
      </c>
      <c r="P386" s="4">
        <v>37400</v>
      </c>
      <c r="Q386" s="4">
        <v>2</v>
      </c>
      <c r="R386" s="4" t="s">
        <v>88</v>
      </c>
      <c r="S386" s="4" t="s">
        <v>151</v>
      </c>
      <c r="T386" s="4" t="s">
        <v>132</v>
      </c>
      <c r="U386" s="6" t="s">
        <v>1691</v>
      </c>
      <c r="V386" s="4" t="s">
        <v>69</v>
      </c>
    </row>
    <row r="387" spans="1:22">
      <c r="A387" s="7" t="s">
        <v>1692</v>
      </c>
      <c r="B387" s="8" t="s">
        <v>168</v>
      </c>
      <c r="C387" s="8" t="s">
        <v>118</v>
      </c>
      <c r="D387" s="8" t="s">
        <v>186</v>
      </c>
      <c r="E387" s="8" t="s">
        <v>610</v>
      </c>
      <c r="F387" s="8" t="s">
        <v>361</v>
      </c>
      <c r="G387" s="8" t="s">
        <v>28</v>
      </c>
      <c r="H387" s="8" t="s">
        <v>1693</v>
      </c>
      <c r="I387" s="8" t="s">
        <v>138</v>
      </c>
      <c r="J387" s="8" t="s">
        <v>106</v>
      </c>
      <c r="K387" s="8" t="s">
        <v>122</v>
      </c>
      <c r="L387" s="8" t="s">
        <v>123</v>
      </c>
      <c r="M387" s="8">
        <v>7</v>
      </c>
      <c r="N387" s="8">
        <v>60</v>
      </c>
      <c r="O387" s="8">
        <v>0</v>
      </c>
      <c r="P387" s="8">
        <v>420</v>
      </c>
      <c r="Q387" s="8">
        <v>2</v>
      </c>
      <c r="R387" s="8" t="s">
        <v>88</v>
      </c>
      <c r="S387" s="8" t="s">
        <v>61</v>
      </c>
      <c r="T387" s="8" t="s">
        <v>175</v>
      </c>
      <c r="U387" s="9" t="s">
        <v>1694</v>
      </c>
      <c r="V387" s="8" t="s">
        <v>64</v>
      </c>
    </row>
    <row r="388" spans="1:22">
      <c r="A388" s="3" t="s">
        <v>1695</v>
      </c>
      <c r="B388" s="4" t="s">
        <v>221</v>
      </c>
      <c r="C388" s="4" t="s">
        <v>54</v>
      </c>
      <c r="D388" s="4" t="s">
        <v>702</v>
      </c>
      <c r="E388" s="4" t="s">
        <v>1696</v>
      </c>
      <c r="F388" s="4" t="s">
        <v>225</v>
      </c>
      <c r="G388" s="4" t="s">
        <v>76</v>
      </c>
      <c r="H388" s="4" t="s">
        <v>1697</v>
      </c>
      <c r="I388" s="4" t="s">
        <v>30</v>
      </c>
      <c r="J388" s="4" t="s">
        <v>31</v>
      </c>
      <c r="K388" s="4" t="s">
        <v>46</v>
      </c>
      <c r="L388" s="4" t="s">
        <v>60</v>
      </c>
      <c r="M388" s="4">
        <v>6</v>
      </c>
      <c r="N388" s="4">
        <v>55000</v>
      </c>
      <c r="O388" s="4">
        <v>5</v>
      </c>
      <c r="P388" s="4">
        <v>313500</v>
      </c>
      <c r="Q388" s="4">
        <v>4</v>
      </c>
      <c r="R388" s="4" t="s">
        <v>79</v>
      </c>
      <c r="S388" s="4" t="s">
        <v>61</v>
      </c>
      <c r="T388" s="4" t="s">
        <v>228</v>
      </c>
      <c r="U388" s="6" t="s">
        <v>1698</v>
      </c>
      <c r="V388" s="4" t="s">
        <v>38</v>
      </c>
    </row>
    <row r="389" spans="1:22">
      <c r="A389" s="7" t="s">
        <v>1699</v>
      </c>
      <c r="B389" s="8" t="s">
        <v>71</v>
      </c>
      <c r="C389" s="8" t="s">
        <v>222</v>
      </c>
      <c r="D389" s="8" t="s">
        <v>1306</v>
      </c>
      <c r="E389" s="8" t="s">
        <v>1700</v>
      </c>
      <c r="F389" s="8" t="s">
        <v>217</v>
      </c>
      <c r="G389" s="8" t="s">
        <v>76</v>
      </c>
      <c r="H389" s="8" t="s">
        <v>1701</v>
      </c>
      <c r="I389" s="8" t="s">
        <v>30</v>
      </c>
      <c r="J389" s="8" t="s">
        <v>31</v>
      </c>
      <c r="K389" s="8" t="s">
        <v>122</v>
      </c>
      <c r="L389" s="8" t="s">
        <v>227</v>
      </c>
      <c r="M389" s="8">
        <v>16</v>
      </c>
      <c r="N389" s="8">
        <v>20</v>
      </c>
      <c r="O389" s="8">
        <v>5</v>
      </c>
      <c r="P389" s="8">
        <v>304</v>
      </c>
      <c r="Q389" s="8">
        <v>1</v>
      </c>
      <c r="R389" s="8" t="s">
        <v>79</v>
      </c>
      <c r="S389" s="8" t="s">
        <v>49</v>
      </c>
      <c r="T389" s="8" t="s">
        <v>80</v>
      </c>
      <c r="U389" s="9" t="s">
        <v>1702</v>
      </c>
      <c r="V389" s="8" t="s">
        <v>38</v>
      </c>
    </row>
    <row r="390" spans="1:22">
      <c r="A390" s="3" t="s">
        <v>1703</v>
      </c>
      <c r="B390" s="4" t="s">
        <v>23</v>
      </c>
      <c r="C390" s="4" t="s">
        <v>24</v>
      </c>
      <c r="D390" s="4" t="s">
        <v>1704</v>
      </c>
      <c r="E390" s="4" t="s">
        <v>1705</v>
      </c>
      <c r="F390" s="4" t="s">
        <v>27</v>
      </c>
      <c r="G390" s="4" t="s">
        <v>28</v>
      </c>
      <c r="H390" s="4" t="s">
        <v>1706</v>
      </c>
      <c r="I390" s="4" t="s">
        <v>294</v>
      </c>
      <c r="J390" s="4" t="s">
        <v>295</v>
      </c>
      <c r="K390" s="4" t="s">
        <v>32</v>
      </c>
      <c r="L390" s="4" t="s">
        <v>33</v>
      </c>
      <c r="M390" s="4">
        <v>11</v>
      </c>
      <c r="N390" s="4">
        <v>2200</v>
      </c>
      <c r="O390" s="4">
        <v>15</v>
      </c>
      <c r="P390" s="4">
        <v>20570</v>
      </c>
      <c r="Q390" s="4">
        <v>1</v>
      </c>
      <c r="R390" s="4" t="s">
        <v>48</v>
      </c>
      <c r="S390" s="4" t="s">
        <v>115</v>
      </c>
      <c r="T390" s="4" t="s">
        <v>50</v>
      </c>
      <c r="U390" s="6" t="s">
        <v>1707</v>
      </c>
      <c r="V390" s="4" t="s">
        <v>69</v>
      </c>
    </row>
    <row r="391" spans="1:22">
      <c r="A391" s="7" t="s">
        <v>1708</v>
      </c>
      <c r="B391" s="8" t="s">
        <v>100</v>
      </c>
      <c r="C391" s="8" t="s">
        <v>222</v>
      </c>
      <c r="D391" s="8" t="s">
        <v>1069</v>
      </c>
      <c r="E391" s="8" t="s">
        <v>1409</v>
      </c>
      <c r="F391" s="8" t="s">
        <v>103</v>
      </c>
      <c r="G391" s="8" t="s">
        <v>28</v>
      </c>
      <c r="H391" s="8" t="s">
        <v>1709</v>
      </c>
      <c r="I391" s="8" t="s">
        <v>114</v>
      </c>
      <c r="J391" s="8" t="s">
        <v>106</v>
      </c>
      <c r="K391" s="8" t="s">
        <v>122</v>
      </c>
      <c r="L391" s="8" t="s">
        <v>227</v>
      </c>
      <c r="M391" s="8">
        <v>19</v>
      </c>
      <c r="N391" s="8">
        <v>20</v>
      </c>
      <c r="O391" s="8">
        <v>5</v>
      </c>
      <c r="P391" s="8">
        <v>361</v>
      </c>
      <c r="Q391" s="8">
        <v>4</v>
      </c>
      <c r="R391" s="8" t="s">
        <v>88</v>
      </c>
      <c r="S391" s="8" t="s">
        <v>35</v>
      </c>
      <c r="T391" s="8" t="s">
        <v>144</v>
      </c>
      <c r="U391" s="9" t="s">
        <v>1710</v>
      </c>
      <c r="V391" s="8" t="s">
        <v>64</v>
      </c>
    </row>
    <row r="392" spans="1:22">
      <c r="A392" s="3" t="s">
        <v>1711</v>
      </c>
      <c r="B392" s="4" t="s">
        <v>100</v>
      </c>
      <c r="C392" s="4" t="s">
        <v>72</v>
      </c>
      <c r="D392" s="4" t="s">
        <v>1712</v>
      </c>
      <c r="E392" s="4" t="s">
        <v>1713</v>
      </c>
      <c r="F392" s="4" t="s">
        <v>103</v>
      </c>
      <c r="G392" s="4" t="s">
        <v>28</v>
      </c>
      <c r="H392" s="4" t="s">
        <v>1714</v>
      </c>
      <c r="I392" s="4" t="s">
        <v>114</v>
      </c>
      <c r="J392" s="4" t="s">
        <v>106</v>
      </c>
      <c r="K392" s="4" t="s">
        <v>46</v>
      </c>
      <c r="L392" s="4" t="s">
        <v>78</v>
      </c>
      <c r="M392" s="4">
        <v>20</v>
      </c>
      <c r="N392" s="4">
        <v>1200</v>
      </c>
      <c r="O392" s="4">
        <v>15</v>
      </c>
      <c r="P392" s="4">
        <v>20400</v>
      </c>
      <c r="Q392" s="4">
        <v>4</v>
      </c>
      <c r="R392" s="4" t="s">
        <v>79</v>
      </c>
      <c r="S392" s="4" t="s">
        <v>35</v>
      </c>
      <c r="T392" s="4" t="s">
        <v>144</v>
      </c>
      <c r="U392" s="6" t="s">
        <v>1715</v>
      </c>
      <c r="V392" s="4" t="s">
        <v>64</v>
      </c>
    </row>
    <row r="393" spans="1:22">
      <c r="A393" s="7" t="s">
        <v>1716</v>
      </c>
      <c r="B393" s="8" t="s">
        <v>53</v>
      </c>
      <c r="C393" s="8" t="s">
        <v>222</v>
      </c>
      <c r="D393" s="8" t="s">
        <v>1717</v>
      </c>
      <c r="E393" s="8" t="s">
        <v>1718</v>
      </c>
      <c r="F393" s="8" t="s">
        <v>163</v>
      </c>
      <c r="G393" s="8" t="s">
        <v>28</v>
      </c>
      <c r="H393" s="8" t="s">
        <v>1719</v>
      </c>
      <c r="I393" s="8" t="s">
        <v>30</v>
      </c>
      <c r="J393" s="8" t="s">
        <v>31</v>
      </c>
      <c r="K393" s="8" t="s">
        <v>122</v>
      </c>
      <c r="L393" s="8" t="s">
        <v>227</v>
      </c>
      <c r="M393" s="8">
        <v>13</v>
      </c>
      <c r="N393" s="8">
        <v>20</v>
      </c>
      <c r="O393" s="8">
        <v>15</v>
      </c>
      <c r="P393" s="8">
        <v>221</v>
      </c>
      <c r="Q393" s="8">
        <v>4</v>
      </c>
      <c r="R393" s="8" t="s">
        <v>34</v>
      </c>
      <c r="S393" s="8" t="s">
        <v>35</v>
      </c>
      <c r="T393" s="8" t="s">
        <v>62</v>
      </c>
      <c r="U393" s="9" t="s">
        <v>1720</v>
      </c>
      <c r="V393" s="8" t="s">
        <v>64</v>
      </c>
    </row>
    <row r="394" spans="1:22">
      <c r="A394" s="3" t="s">
        <v>1721</v>
      </c>
      <c r="B394" s="4" t="s">
        <v>251</v>
      </c>
      <c r="C394" s="4" t="s">
        <v>72</v>
      </c>
      <c r="D394" s="4" t="s">
        <v>205</v>
      </c>
      <c r="E394" s="4" t="s">
        <v>206</v>
      </c>
      <c r="F394" s="4" t="s">
        <v>254</v>
      </c>
      <c r="G394" s="4" t="s">
        <v>28</v>
      </c>
      <c r="H394" s="4" t="s">
        <v>1722</v>
      </c>
      <c r="I394" s="4" t="s">
        <v>44</v>
      </c>
      <c r="J394" s="4" t="s">
        <v>45</v>
      </c>
      <c r="K394" s="4" t="s">
        <v>46</v>
      </c>
      <c r="L394" s="4" t="s">
        <v>78</v>
      </c>
      <c r="M394" s="4">
        <v>12</v>
      </c>
      <c r="N394" s="4">
        <v>1200</v>
      </c>
      <c r="O394" s="4">
        <v>10</v>
      </c>
      <c r="P394" s="4">
        <v>12960</v>
      </c>
      <c r="Q394" s="4">
        <v>3</v>
      </c>
      <c r="R394" s="4" t="s">
        <v>48</v>
      </c>
      <c r="S394" s="4" t="s">
        <v>35</v>
      </c>
      <c r="T394" s="4" t="s">
        <v>256</v>
      </c>
      <c r="U394" s="6" t="s">
        <v>1723</v>
      </c>
      <c r="V394" s="4" t="s">
        <v>64</v>
      </c>
    </row>
    <row r="395" spans="1:22">
      <c r="A395" s="7" t="s">
        <v>1724</v>
      </c>
      <c r="B395" s="8" t="s">
        <v>100</v>
      </c>
      <c r="C395" s="8" t="s">
        <v>169</v>
      </c>
      <c r="D395" s="8" t="s">
        <v>1705</v>
      </c>
      <c r="E395" s="8" t="s">
        <v>783</v>
      </c>
      <c r="F395" s="8" t="s">
        <v>103</v>
      </c>
      <c r="G395" s="8" t="s">
        <v>28</v>
      </c>
      <c r="H395" s="8" t="s">
        <v>1725</v>
      </c>
      <c r="I395" s="8" t="s">
        <v>294</v>
      </c>
      <c r="J395" s="8" t="s">
        <v>295</v>
      </c>
      <c r="K395" s="8" t="s">
        <v>32</v>
      </c>
      <c r="L395" s="8" t="s">
        <v>174</v>
      </c>
      <c r="M395" s="8">
        <v>6</v>
      </c>
      <c r="N395" s="8">
        <v>8500</v>
      </c>
      <c r="O395" s="8">
        <v>5</v>
      </c>
      <c r="P395" s="8">
        <v>48450</v>
      </c>
      <c r="Q395" s="8">
        <v>5</v>
      </c>
      <c r="R395" s="8" t="s">
        <v>34</v>
      </c>
      <c r="S395" s="8" t="s">
        <v>115</v>
      </c>
      <c r="T395" s="8" t="s">
        <v>144</v>
      </c>
      <c r="U395" s="9" t="s">
        <v>1726</v>
      </c>
      <c r="V395" s="8" t="s">
        <v>69</v>
      </c>
    </row>
    <row r="396" spans="1:22">
      <c r="A396" s="3" t="s">
        <v>1727</v>
      </c>
      <c r="B396" s="4" t="s">
        <v>23</v>
      </c>
      <c r="C396" s="4" t="s">
        <v>169</v>
      </c>
      <c r="D396" s="4" t="s">
        <v>1302</v>
      </c>
      <c r="E396" s="4" t="s">
        <v>1728</v>
      </c>
      <c r="F396" s="4" t="s">
        <v>27</v>
      </c>
      <c r="G396" s="4" t="s">
        <v>28</v>
      </c>
      <c r="H396" s="4" t="s">
        <v>1729</v>
      </c>
      <c r="I396" s="4" t="s">
        <v>138</v>
      </c>
      <c r="J396" s="4" t="s">
        <v>106</v>
      </c>
      <c r="K396" s="4" t="s">
        <v>32</v>
      </c>
      <c r="L396" s="4" t="s">
        <v>174</v>
      </c>
      <c r="M396" s="4">
        <v>15</v>
      </c>
      <c r="N396" s="4">
        <v>8500</v>
      </c>
      <c r="O396" s="4">
        <v>10</v>
      </c>
      <c r="P396" s="4">
        <v>114750</v>
      </c>
      <c r="Q396" s="4">
        <v>1</v>
      </c>
      <c r="R396" s="4" t="s">
        <v>34</v>
      </c>
      <c r="S396" s="4" t="s">
        <v>115</v>
      </c>
      <c r="T396" s="4" t="s">
        <v>50</v>
      </c>
      <c r="U396" s="6" t="s">
        <v>1730</v>
      </c>
      <c r="V396" s="4" t="s">
        <v>38</v>
      </c>
    </row>
    <row r="397" spans="1:22">
      <c r="A397" s="7" t="s">
        <v>1731</v>
      </c>
      <c r="B397" s="8" t="s">
        <v>127</v>
      </c>
      <c r="C397" s="8" t="s">
        <v>40</v>
      </c>
      <c r="D397" s="8" t="s">
        <v>1732</v>
      </c>
      <c r="E397" s="8" t="s">
        <v>1733</v>
      </c>
      <c r="F397" s="8" t="s">
        <v>200</v>
      </c>
      <c r="G397" s="8" t="s">
        <v>76</v>
      </c>
      <c r="H397" s="8" t="s">
        <v>1734</v>
      </c>
      <c r="I397" s="8" t="s">
        <v>30</v>
      </c>
      <c r="J397" s="8" t="s">
        <v>31</v>
      </c>
      <c r="K397" s="8" t="s">
        <v>46</v>
      </c>
      <c r="L397" s="8" t="s">
        <v>47</v>
      </c>
      <c r="M397" s="8">
        <v>19</v>
      </c>
      <c r="N397" s="8">
        <v>12000</v>
      </c>
      <c r="O397" s="8">
        <v>20</v>
      </c>
      <c r="P397" s="8">
        <v>182400</v>
      </c>
      <c r="Q397" s="8">
        <v>5</v>
      </c>
      <c r="R397" s="8" t="s">
        <v>34</v>
      </c>
      <c r="S397" s="8" t="s">
        <v>115</v>
      </c>
      <c r="T397" s="8" t="s">
        <v>132</v>
      </c>
      <c r="U397" s="9" t="s">
        <v>1735</v>
      </c>
      <c r="V397" s="8" t="s">
        <v>38</v>
      </c>
    </row>
    <row r="398" spans="1:22">
      <c r="A398" s="3" t="s">
        <v>1736</v>
      </c>
      <c r="B398" s="4" t="s">
        <v>83</v>
      </c>
      <c r="C398" s="4" t="s">
        <v>184</v>
      </c>
      <c r="D398" s="4" t="s">
        <v>142</v>
      </c>
      <c r="E398" s="4" t="s">
        <v>1737</v>
      </c>
      <c r="F398" s="4" t="s">
        <v>180</v>
      </c>
      <c r="G398" s="4" t="s">
        <v>76</v>
      </c>
      <c r="H398" s="4" t="s">
        <v>1738</v>
      </c>
      <c r="I398" s="4" t="s">
        <v>44</v>
      </c>
      <c r="J398" s="4" t="s">
        <v>45</v>
      </c>
      <c r="K398" s="4" t="s">
        <v>46</v>
      </c>
      <c r="L398" s="4" t="s">
        <v>189</v>
      </c>
      <c r="M398" s="4">
        <v>5</v>
      </c>
      <c r="N398" s="4">
        <v>700</v>
      </c>
      <c r="O398" s="4">
        <v>0</v>
      </c>
      <c r="P398" s="4">
        <v>3500</v>
      </c>
      <c r="Q398" s="4">
        <v>2</v>
      </c>
      <c r="R398" s="4" t="s">
        <v>79</v>
      </c>
      <c r="S398" s="4" t="s">
        <v>61</v>
      </c>
      <c r="T398" s="4" t="s">
        <v>89</v>
      </c>
      <c r="U398" s="6" t="s">
        <v>1739</v>
      </c>
      <c r="V398" s="4" t="s">
        <v>69</v>
      </c>
    </row>
    <row r="399" spans="1:22">
      <c r="A399" s="7" t="s">
        <v>1740</v>
      </c>
      <c r="B399" s="8" t="s">
        <v>83</v>
      </c>
      <c r="C399" s="8" t="s">
        <v>40</v>
      </c>
      <c r="D399" s="8" t="s">
        <v>1654</v>
      </c>
      <c r="E399" s="8" t="s">
        <v>765</v>
      </c>
      <c r="F399" s="8" t="s">
        <v>180</v>
      </c>
      <c r="G399" s="8" t="s">
        <v>76</v>
      </c>
      <c r="H399" s="8" t="s">
        <v>1741</v>
      </c>
      <c r="I399" s="8" t="s">
        <v>294</v>
      </c>
      <c r="J399" s="8" t="s">
        <v>295</v>
      </c>
      <c r="K399" s="8" t="s">
        <v>46</v>
      </c>
      <c r="L399" s="8" t="s">
        <v>47</v>
      </c>
      <c r="M399" s="8">
        <v>19</v>
      </c>
      <c r="N399" s="8">
        <v>12000</v>
      </c>
      <c r="O399" s="8">
        <v>0</v>
      </c>
      <c r="P399" s="8">
        <v>228000</v>
      </c>
      <c r="Q399" s="8">
        <v>4</v>
      </c>
      <c r="R399" s="8" t="s">
        <v>88</v>
      </c>
      <c r="S399" s="8" t="s">
        <v>61</v>
      </c>
      <c r="T399" s="8" t="s">
        <v>89</v>
      </c>
      <c r="U399" s="9" t="s">
        <v>1742</v>
      </c>
      <c r="V399" s="8" t="s">
        <v>64</v>
      </c>
    </row>
    <row r="400" spans="1:22">
      <c r="A400" s="3" t="s">
        <v>1743</v>
      </c>
      <c r="B400" s="4" t="s">
        <v>327</v>
      </c>
      <c r="C400" s="4" t="s">
        <v>184</v>
      </c>
      <c r="D400" s="4"/>
      <c r="E400" s="4" t="s">
        <v>1225</v>
      </c>
      <c r="F400" s="4" t="s">
        <v>394</v>
      </c>
      <c r="G400" s="4" t="s">
        <v>76</v>
      </c>
      <c r="H400" s="4" t="s">
        <v>1744</v>
      </c>
      <c r="I400" s="4" t="s">
        <v>59</v>
      </c>
      <c r="J400" s="4" t="s">
        <v>31</v>
      </c>
      <c r="K400" s="4" t="s">
        <v>46</v>
      </c>
      <c r="L400" s="4" t="s">
        <v>189</v>
      </c>
      <c r="M400" s="4">
        <v>12</v>
      </c>
      <c r="N400" s="4">
        <v>700</v>
      </c>
      <c r="O400" s="4">
        <v>15</v>
      </c>
      <c r="P400" s="4">
        <v>7140</v>
      </c>
      <c r="Q400" s="4">
        <v>3</v>
      </c>
      <c r="R400" s="4" t="s">
        <v>79</v>
      </c>
      <c r="S400" s="4" t="s">
        <v>35</v>
      </c>
      <c r="T400" s="4" t="s">
        <v>332</v>
      </c>
      <c r="U400" s="6" t="s">
        <v>1745</v>
      </c>
      <c r="V400" s="4" t="s">
        <v>38</v>
      </c>
    </row>
    <row r="401" spans="1:22">
      <c r="A401" s="7" t="s">
        <v>1746</v>
      </c>
      <c r="B401" s="8" t="s">
        <v>23</v>
      </c>
      <c r="C401" s="8" t="s">
        <v>72</v>
      </c>
      <c r="D401" s="8" t="s">
        <v>1747</v>
      </c>
      <c r="E401" s="8" t="s">
        <v>707</v>
      </c>
      <c r="F401" s="8" t="s">
        <v>27</v>
      </c>
      <c r="G401" s="8" t="s">
        <v>28</v>
      </c>
      <c r="H401" s="8" t="s">
        <v>1748</v>
      </c>
      <c r="I401" s="8" t="s">
        <v>44</v>
      </c>
      <c r="J401" s="8" t="s">
        <v>45</v>
      </c>
      <c r="K401" s="8" t="s">
        <v>46</v>
      </c>
      <c r="L401" s="8" t="s">
        <v>78</v>
      </c>
      <c r="M401" s="8">
        <v>16</v>
      </c>
      <c r="N401" s="8">
        <v>1200</v>
      </c>
      <c r="O401" s="8">
        <v>20</v>
      </c>
      <c r="P401" s="8">
        <v>15360</v>
      </c>
      <c r="Q401" s="8">
        <v>1</v>
      </c>
      <c r="R401" s="8" t="s">
        <v>34</v>
      </c>
      <c r="S401" s="8" t="s">
        <v>49</v>
      </c>
      <c r="T401" s="8" t="s">
        <v>50</v>
      </c>
      <c r="U401" s="9" t="s">
        <v>1749</v>
      </c>
      <c r="V401" s="8" t="s">
        <v>64</v>
      </c>
    </row>
    <row r="402" spans="1:22">
      <c r="A402" s="3" t="s">
        <v>1750</v>
      </c>
      <c r="B402" s="4" t="s">
        <v>71</v>
      </c>
      <c r="C402" s="4" t="s">
        <v>169</v>
      </c>
      <c r="D402" s="4" t="s">
        <v>1052</v>
      </c>
      <c r="E402" s="4" t="s">
        <v>84</v>
      </c>
      <c r="F402" s="4" t="s">
        <v>217</v>
      </c>
      <c r="G402" s="4" t="s">
        <v>76</v>
      </c>
      <c r="H402" s="4" t="s">
        <v>1751</v>
      </c>
      <c r="I402" s="4" t="s">
        <v>30</v>
      </c>
      <c r="J402" s="4" t="s">
        <v>31</v>
      </c>
      <c r="K402" s="4" t="s">
        <v>32</v>
      </c>
      <c r="L402" s="4" t="s">
        <v>174</v>
      </c>
      <c r="M402" s="4">
        <v>10</v>
      </c>
      <c r="N402" s="4">
        <v>8500</v>
      </c>
      <c r="O402" s="4">
        <v>5</v>
      </c>
      <c r="P402" s="4">
        <v>80750</v>
      </c>
      <c r="Q402" s="4">
        <v>5</v>
      </c>
      <c r="R402" s="4" t="s">
        <v>48</v>
      </c>
      <c r="S402" s="4" t="s">
        <v>35</v>
      </c>
      <c r="T402" s="4" t="s">
        <v>80</v>
      </c>
      <c r="U402" s="6" t="s">
        <v>1752</v>
      </c>
      <c r="V402" s="4" t="s">
        <v>38</v>
      </c>
    </row>
    <row r="403" spans="1:22">
      <c r="A403" s="7" t="s">
        <v>1753</v>
      </c>
      <c r="B403" s="8" t="s">
        <v>23</v>
      </c>
      <c r="C403" s="8" t="s">
        <v>222</v>
      </c>
      <c r="D403" s="8" t="s">
        <v>1373</v>
      </c>
      <c r="E403" s="8" t="s">
        <v>386</v>
      </c>
      <c r="F403" s="8" t="s">
        <v>27</v>
      </c>
      <c r="G403" s="8" t="s">
        <v>28</v>
      </c>
      <c r="H403" s="8" t="s">
        <v>1754</v>
      </c>
      <c r="I403" s="8" t="s">
        <v>138</v>
      </c>
      <c r="J403" s="8" t="s">
        <v>106</v>
      </c>
      <c r="K403" s="8" t="s">
        <v>122</v>
      </c>
      <c r="L403" s="8" t="s">
        <v>227</v>
      </c>
      <c r="M403" s="8">
        <v>18</v>
      </c>
      <c r="N403" s="8">
        <v>20</v>
      </c>
      <c r="O403" s="8">
        <v>20</v>
      </c>
      <c r="P403" s="8">
        <v>288</v>
      </c>
      <c r="Q403" s="8">
        <v>1</v>
      </c>
      <c r="R403" s="8" t="s">
        <v>88</v>
      </c>
      <c r="S403" s="8" t="s">
        <v>35</v>
      </c>
      <c r="T403" s="8" t="s">
        <v>50</v>
      </c>
      <c r="U403" s="9" t="s">
        <v>1755</v>
      </c>
      <c r="V403" s="8" t="s">
        <v>64</v>
      </c>
    </row>
    <row r="404" spans="1:22">
      <c r="A404" s="3" t="s">
        <v>1756</v>
      </c>
      <c r="B404" s="4" t="s">
        <v>71</v>
      </c>
      <c r="C404" s="4" t="s">
        <v>169</v>
      </c>
      <c r="D404" s="4" t="s">
        <v>241</v>
      </c>
      <c r="E404" s="4" t="s">
        <v>404</v>
      </c>
      <c r="F404" s="4" t="s">
        <v>217</v>
      </c>
      <c r="G404" s="4" t="s">
        <v>76</v>
      </c>
      <c r="H404" s="4" t="s">
        <v>1757</v>
      </c>
      <c r="I404" s="4" t="s">
        <v>105</v>
      </c>
      <c r="J404" s="4" t="s">
        <v>106</v>
      </c>
      <c r="K404" s="4" t="s">
        <v>32</v>
      </c>
      <c r="L404" s="4" t="s">
        <v>174</v>
      </c>
      <c r="M404" s="4">
        <v>9</v>
      </c>
      <c r="N404" s="4">
        <v>8500</v>
      </c>
      <c r="O404" s="4">
        <v>0</v>
      </c>
      <c r="P404" s="4">
        <v>76500</v>
      </c>
      <c r="Q404" s="4">
        <v>2</v>
      </c>
      <c r="R404" s="4" t="s">
        <v>79</v>
      </c>
      <c r="S404" s="4" t="s">
        <v>35</v>
      </c>
      <c r="T404" s="4" t="s">
        <v>80</v>
      </c>
      <c r="U404" s="6" t="s">
        <v>1758</v>
      </c>
      <c r="V404" s="4" t="s">
        <v>64</v>
      </c>
    </row>
    <row r="405" spans="1:22">
      <c r="A405" s="7" t="s">
        <v>1759</v>
      </c>
      <c r="B405" s="8" t="s">
        <v>23</v>
      </c>
      <c r="C405" s="8" t="s">
        <v>169</v>
      </c>
      <c r="D405" s="8" t="s">
        <v>1221</v>
      </c>
      <c r="E405" s="8" t="s">
        <v>1760</v>
      </c>
      <c r="F405" s="8" t="s">
        <v>27</v>
      </c>
      <c r="G405" s="8" t="s">
        <v>28</v>
      </c>
      <c r="H405" s="8" t="s">
        <v>1761</v>
      </c>
      <c r="I405" s="8" t="s">
        <v>105</v>
      </c>
      <c r="J405" s="8" t="s">
        <v>106</v>
      </c>
      <c r="K405" s="8" t="s">
        <v>32</v>
      </c>
      <c r="L405" s="8" t="s">
        <v>174</v>
      </c>
      <c r="M405" s="8">
        <v>8</v>
      </c>
      <c r="N405" s="8">
        <v>8500</v>
      </c>
      <c r="O405" s="8">
        <v>10</v>
      </c>
      <c r="P405" s="8">
        <v>61200</v>
      </c>
      <c r="Q405" s="8">
        <v>4</v>
      </c>
      <c r="R405" s="8" t="s">
        <v>34</v>
      </c>
      <c r="S405" s="8" t="s">
        <v>115</v>
      </c>
      <c r="T405" s="8" t="s">
        <v>50</v>
      </c>
      <c r="U405" s="9" t="s">
        <v>1762</v>
      </c>
      <c r="V405" s="8" t="s">
        <v>69</v>
      </c>
    </row>
    <row r="406" spans="1:22">
      <c r="A406" s="3" t="s">
        <v>1763</v>
      </c>
      <c r="B406" s="4" t="s">
        <v>53</v>
      </c>
      <c r="C406" s="4" t="s">
        <v>222</v>
      </c>
      <c r="D406" s="4" t="s">
        <v>483</v>
      </c>
      <c r="E406" s="4" t="s">
        <v>1764</v>
      </c>
      <c r="F406" s="4" t="s">
        <v>163</v>
      </c>
      <c r="G406" s="4" t="s">
        <v>28</v>
      </c>
      <c r="H406" s="4" t="s">
        <v>1765</v>
      </c>
      <c r="I406" s="4" t="s">
        <v>114</v>
      </c>
      <c r="J406" s="4" t="s">
        <v>106</v>
      </c>
      <c r="K406" s="4" t="s">
        <v>122</v>
      </c>
      <c r="L406" s="4" t="s">
        <v>227</v>
      </c>
      <c r="M406" s="4">
        <v>3</v>
      </c>
      <c r="N406" s="4">
        <v>20</v>
      </c>
      <c r="O406" s="4">
        <v>10</v>
      </c>
      <c r="P406" s="4">
        <v>54</v>
      </c>
      <c r="Q406" s="4">
        <v>3</v>
      </c>
      <c r="R406" s="4" t="s">
        <v>79</v>
      </c>
      <c r="S406" s="4" t="s">
        <v>151</v>
      </c>
      <c r="T406" s="4" t="s">
        <v>62</v>
      </c>
      <c r="U406" s="6" t="s">
        <v>1766</v>
      </c>
      <c r="V406" s="4" t="s">
        <v>64</v>
      </c>
    </row>
    <row r="407" spans="1:22">
      <c r="A407" s="7" t="s">
        <v>1767</v>
      </c>
      <c r="B407" s="8" t="s">
        <v>168</v>
      </c>
      <c r="C407" s="8" t="s">
        <v>169</v>
      </c>
      <c r="D407" s="8" t="s">
        <v>232</v>
      </c>
      <c r="E407" s="8" t="s">
        <v>641</v>
      </c>
      <c r="F407" s="8" t="s">
        <v>361</v>
      </c>
      <c r="G407" s="8" t="s">
        <v>28</v>
      </c>
      <c r="H407" s="8" t="s">
        <v>1768</v>
      </c>
      <c r="I407" s="8" t="s">
        <v>294</v>
      </c>
      <c r="J407" s="8" t="s">
        <v>295</v>
      </c>
      <c r="K407" s="8" t="s">
        <v>32</v>
      </c>
      <c r="L407" s="8" t="s">
        <v>174</v>
      </c>
      <c r="M407" s="8">
        <v>18</v>
      </c>
      <c r="N407" s="8">
        <v>8500</v>
      </c>
      <c r="O407" s="8">
        <v>10</v>
      </c>
      <c r="P407" s="8">
        <v>137700</v>
      </c>
      <c r="Q407" s="8">
        <v>4</v>
      </c>
      <c r="R407" s="8" t="s">
        <v>34</v>
      </c>
      <c r="S407" s="8" t="s">
        <v>49</v>
      </c>
      <c r="T407" s="8" t="s">
        <v>175</v>
      </c>
      <c r="U407" s="9" t="s">
        <v>1769</v>
      </c>
      <c r="V407" s="8" t="s">
        <v>69</v>
      </c>
    </row>
    <row r="408" spans="1:22">
      <c r="A408" s="3" t="s">
        <v>1770</v>
      </c>
      <c r="B408" s="4" t="s">
        <v>53</v>
      </c>
      <c r="C408" s="4" t="s">
        <v>259</v>
      </c>
      <c r="D408" s="4" t="s">
        <v>308</v>
      </c>
      <c r="E408" s="4" t="s">
        <v>281</v>
      </c>
      <c r="F408" s="4" t="s">
        <v>163</v>
      </c>
      <c r="G408" s="4" t="s">
        <v>28</v>
      </c>
      <c r="H408" s="4" t="s">
        <v>1771</v>
      </c>
      <c r="I408" s="4" t="s">
        <v>114</v>
      </c>
      <c r="J408" s="4" t="s">
        <v>106</v>
      </c>
      <c r="K408" s="4" t="s">
        <v>122</v>
      </c>
      <c r="L408" s="4" t="s">
        <v>263</v>
      </c>
      <c r="M408" s="4">
        <v>5</v>
      </c>
      <c r="N408" s="4">
        <v>45</v>
      </c>
      <c r="O408" s="4">
        <v>10</v>
      </c>
      <c r="P408" s="4">
        <v>202.5</v>
      </c>
      <c r="Q408" s="4">
        <v>3</v>
      </c>
      <c r="R408" s="4" t="s">
        <v>34</v>
      </c>
      <c r="S408" s="4" t="s">
        <v>115</v>
      </c>
      <c r="T408" s="4" t="s">
        <v>62</v>
      </c>
      <c r="U408" s="6" t="s">
        <v>1772</v>
      </c>
      <c r="V408" s="4" t="s">
        <v>64</v>
      </c>
    </row>
    <row r="409" spans="1:22">
      <c r="A409" s="7" t="s">
        <v>1773</v>
      </c>
      <c r="B409" s="8" t="s">
        <v>71</v>
      </c>
      <c r="C409" s="8" t="s">
        <v>259</v>
      </c>
      <c r="D409" s="8" t="s">
        <v>683</v>
      </c>
      <c r="E409" s="8" t="s">
        <v>684</v>
      </c>
      <c r="F409" s="8" t="s">
        <v>217</v>
      </c>
      <c r="G409" s="8" t="s">
        <v>76</v>
      </c>
      <c r="H409" s="8" t="s">
        <v>1774</v>
      </c>
      <c r="I409" s="8" t="s">
        <v>105</v>
      </c>
      <c r="J409" s="8" t="s">
        <v>106</v>
      </c>
      <c r="K409" s="8" t="s">
        <v>122</v>
      </c>
      <c r="L409" s="8" t="s">
        <v>263</v>
      </c>
      <c r="M409" s="8">
        <v>2</v>
      </c>
      <c r="N409" s="8">
        <v>45</v>
      </c>
      <c r="O409" s="8">
        <v>20</v>
      </c>
      <c r="P409" s="8">
        <v>72</v>
      </c>
      <c r="Q409" s="8">
        <v>5</v>
      </c>
      <c r="R409" s="8" t="s">
        <v>88</v>
      </c>
      <c r="S409" s="8" t="s">
        <v>61</v>
      </c>
      <c r="T409" s="8" t="s">
        <v>80</v>
      </c>
      <c r="U409" s="9" t="s">
        <v>1775</v>
      </c>
      <c r="V409" s="8" t="s">
        <v>69</v>
      </c>
    </row>
    <row r="410" spans="1:22">
      <c r="A410" s="3" t="s">
        <v>1776</v>
      </c>
      <c r="B410" s="4" t="s">
        <v>100</v>
      </c>
      <c r="C410" s="4" t="s">
        <v>259</v>
      </c>
      <c r="D410" s="4" t="s">
        <v>1379</v>
      </c>
      <c r="E410" s="4" t="s">
        <v>900</v>
      </c>
      <c r="F410" s="4" t="s">
        <v>103</v>
      </c>
      <c r="G410" s="4" t="s">
        <v>28</v>
      </c>
      <c r="H410" s="4" t="s">
        <v>1777</v>
      </c>
      <c r="I410" s="4" t="s">
        <v>30</v>
      </c>
      <c r="J410" s="4" t="s">
        <v>31</v>
      </c>
      <c r="K410" s="4" t="s">
        <v>122</v>
      </c>
      <c r="L410" s="4" t="s">
        <v>263</v>
      </c>
      <c r="M410" s="4">
        <v>18</v>
      </c>
      <c r="N410" s="4">
        <v>45</v>
      </c>
      <c r="O410" s="4">
        <v>10</v>
      </c>
      <c r="P410" s="4">
        <v>729</v>
      </c>
      <c r="Q410" s="4">
        <v>2</v>
      </c>
      <c r="R410" s="4" t="s">
        <v>48</v>
      </c>
      <c r="S410" s="4" t="s">
        <v>115</v>
      </c>
      <c r="T410" s="4" t="s">
        <v>144</v>
      </c>
      <c r="U410" s="6" t="s">
        <v>1778</v>
      </c>
      <c r="V410" s="4" t="s">
        <v>64</v>
      </c>
    </row>
    <row r="411" spans="1:22">
      <c r="A411" s="7" t="s">
        <v>1779</v>
      </c>
      <c r="B411" s="8" t="s">
        <v>127</v>
      </c>
      <c r="C411" s="8" t="s">
        <v>72</v>
      </c>
      <c r="D411" s="8" t="s">
        <v>463</v>
      </c>
      <c r="E411" s="8" t="s">
        <v>216</v>
      </c>
      <c r="F411" s="8" t="s">
        <v>200</v>
      </c>
      <c r="G411" s="8" t="s">
        <v>76</v>
      </c>
      <c r="H411" s="8" t="s">
        <v>1780</v>
      </c>
      <c r="I411" s="8" t="s">
        <v>294</v>
      </c>
      <c r="J411" s="8" t="s">
        <v>295</v>
      </c>
      <c r="K411" s="8" t="s">
        <v>46</v>
      </c>
      <c r="L411" s="8" t="s">
        <v>78</v>
      </c>
      <c r="M411" s="8">
        <v>13</v>
      </c>
      <c r="N411" s="8">
        <v>1200</v>
      </c>
      <c r="O411" s="8">
        <v>5</v>
      </c>
      <c r="P411" s="8">
        <v>14820</v>
      </c>
      <c r="Q411" s="8">
        <v>4</v>
      </c>
      <c r="R411" s="8" t="s">
        <v>79</v>
      </c>
      <c r="S411" s="8" t="s">
        <v>115</v>
      </c>
      <c r="T411" s="8" t="s">
        <v>132</v>
      </c>
      <c r="U411" s="9" t="s">
        <v>1781</v>
      </c>
      <c r="V411" s="8" t="s">
        <v>38</v>
      </c>
    </row>
    <row r="412" spans="1:22">
      <c r="A412" s="3" t="s">
        <v>1782</v>
      </c>
      <c r="B412" s="4" t="s">
        <v>23</v>
      </c>
      <c r="C412" s="4" t="s">
        <v>222</v>
      </c>
      <c r="D412" s="4" t="s">
        <v>1344</v>
      </c>
      <c r="E412" s="4" t="s">
        <v>1783</v>
      </c>
      <c r="F412" s="4" t="s">
        <v>27</v>
      </c>
      <c r="G412" s="4" t="s">
        <v>28</v>
      </c>
      <c r="H412" s="4" t="s">
        <v>1784</v>
      </c>
      <c r="I412" s="4" t="s">
        <v>30</v>
      </c>
      <c r="J412" s="4" t="s">
        <v>31</v>
      </c>
      <c r="K412" s="4" t="s">
        <v>122</v>
      </c>
      <c r="L412" s="4" t="s">
        <v>227</v>
      </c>
      <c r="M412" s="4">
        <v>14</v>
      </c>
      <c r="N412" s="4">
        <v>20</v>
      </c>
      <c r="O412" s="4">
        <v>20</v>
      </c>
      <c r="P412" s="4">
        <v>224</v>
      </c>
      <c r="Q412" s="4">
        <v>5</v>
      </c>
      <c r="R412" s="4" t="s">
        <v>88</v>
      </c>
      <c r="S412" s="4" t="s">
        <v>49</v>
      </c>
      <c r="T412" s="4" t="s">
        <v>50</v>
      </c>
      <c r="U412" s="6" t="s">
        <v>1785</v>
      </c>
      <c r="V412" s="4" t="s">
        <v>64</v>
      </c>
    </row>
    <row r="413" spans="1:22">
      <c r="A413" s="7" t="s">
        <v>1786</v>
      </c>
      <c r="B413" s="8" t="s">
        <v>100</v>
      </c>
      <c r="C413" s="8" t="s">
        <v>92</v>
      </c>
      <c r="D413" s="8" t="s">
        <v>1787</v>
      </c>
      <c r="E413" s="8" t="s">
        <v>1689</v>
      </c>
      <c r="F413" s="8" t="s">
        <v>103</v>
      </c>
      <c r="G413" s="8" t="s">
        <v>28</v>
      </c>
      <c r="H413" s="8" t="s">
        <v>1788</v>
      </c>
      <c r="I413" s="8" t="s">
        <v>30</v>
      </c>
      <c r="J413" s="8" t="s">
        <v>31</v>
      </c>
      <c r="K413" s="8" t="s">
        <v>32</v>
      </c>
      <c r="L413" s="8" t="s">
        <v>97</v>
      </c>
      <c r="M413" s="8">
        <v>16</v>
      </c>
      <c r="N413" s="8">
        <v>3500</v>
      </c>
      <c r="O413" s="8">
        <v>15</v>
      </c>
      <c r="P413" s="8">
        <v>47600</v>
      </c>
      <c r="Q413" s="8">
        <v>3</v>
      </c>
      <c r="R413" s="8" t="s">
        <v>88</v>
      </c>
      <c r="S413" s="8" t="s">
        <v>61</v>
      </c>
      <c r="T413" s="8" t="s">
        <v>144</v>
      </c>
      <c r="U413" s="9" t="s">
        <v>1789</v>
      </c>
      <c r="V413" s="8" t="s">
        <v>69</v>
      </c>
    </row>
    <row r="414" spans="1:22">
      <c r="A414" s="3" t="s">
        <v>1790</v>
      </c>
      <c r="B414" s="4" t="s">
        <v>251</v>
      </c>
      <c r="C414" s="4" t="s">
        <v>222</v>
      </c>
      <c r="D414" s="4" t="s">
        <v>987</v>
      </c>
      <c r="E414" s="4" t="s">
        <v>1110</v>
      </c>
      <c r="F414" s="4" t="s">
        <v>254</v>
      </c>
      <c r="G414" s="4" t="s">
        <v>28</v>
      </c>
      <c r="H414" s="4" t="s">
        <v>1791</v>
      </c>
      <c r="I414" s="4" t="s">
        <v>59</v>
      </c>
      <c r="J414" s="4" t="s">
        <v>31</v>
      </c>
      <c r="K414" s="4" t="s">
        <v>122</v>
      </c>
      <c r="L414" s="4" t="s">
        <v>227</v>
      </c>
      <c r="M414" s="4">
        <v>20</v>
      </c>
      <c r="N414" s="4">
        <v>20</v>
      </c>
      <c r="O414" s="4">
        <v>15</v>
      </c>
      <c r="P414" s="4">
        <v>340</v>
      </c>
      <c r="Q414" s="4">
        <v>1</v>
      </c>
      <c r="R414" s="4" t="s">
        <v>48</v>
      </c>
      <c r="S414" s="4" t="s">
        <v>61</v>
      </c>
      <c r="T414" s="4" t="s">
        <v>256</v>
      </c>
      <c r="U414" s="6" t="s">
        <v>1792</v>
      </c>
      <c r="V414" s="4" t="s">
        <v>69</v>
      </c>
    </row>
    <row r="415" spans="1:22">
      <c r="A415" s="7" t="s">
        <v>1793</v>
      </c>
      <c r="B415" s="8" t="s">
        <v>168</v>
      </c>
      <c r="C415" s="8" t="s">
        <v>54</v>
      </c>
      <c r="D415" s="8" t="s">
        <v>652</v>
      </c>
      <c r="E415" s="8" t="s">
        <v>666</v>
      </c>
      <c r="F415" s="8" t="s">
        <v>361</v>
      </c>
      <c r="G415" s="8" t="s">
        <v>28</v>
      </c>
      <c r="H415" s="8" t="s">
        <v>1794</v>
      </c>
      <c r="I415" s="8" t="s">
        <v>138</v>
      </c>
      <c r="J415" s="8" t="s">
        <v>106</v>
      </c>
      <c r="K415" s="8" t="s">
        <v>46</v>
      </c>
      <c r="L415" s="8" t="s">
        <v>60</v>
      </c>
      <c r="M415" s="8">
        <v>1</v>
      </c>
      <c r="N415" s="8">
        <v>55000</v>
      </c>
      <c r="O415" s="8">
        <v>15</v>
      </c>
      <c r="P415" s="8">
        <v>46750</v>
      </c>
      <c r="Q415" s="8">
        <v>2</v>
      </c>
      <c r="R415" s="8" t="s">
        <v>88</v>
      </c>
      <c r="S415" s="8" t="s">
        <v>115</v>
      </c>
      <c r="T415" s="8" t="s">
        <v>175</v>
      </c>
      <c r="U415" s="9" t="s">
        <v>1795</v>
      </c>
      <c r="V415" s="8" t="s">
        <v>69</v>
      </c>
    </row>
    <row r="416" spans="1:22">
      <c r="A416" s="3" t="s">
        <v>1796</v>
      </c>
      <c r="B416" s="4" t="s">
        <v>100</v>
      </c>
      <c r="C416" s="4" t="s">
        <v>118</v>
      </c>
      <c r="D416" s="4" t="s">
        <v>142</v>
      </c>
      <c r="E416" s="4" t="s">
        <v>620</v>
      </c>
      <c r="F416" s="4" t="s">
        <v>103</v>
      </c>
      <c r="G416" s="4" t="s">
        <v>28</v>
      </c>
      <c r="H416" s="4" t="s">
        <v>1797</v>
      </c>
      <c r="I416" s="4" t="s">
        <v>138</v>
      </c>
      <c r="J416" s="4" t="s">
        <v>106</v>
      </c>
      <c r="K416" s="4" t="s">
        <v>122</v>
      </c>
      <c r="L416" s="4" t="s">
        <v>123</v>
      </c>
      <c r="M416" s="4">
        <v>15</v>
      </c>
      <c r="N416" s="4">
        <v>60</v>
      </c>
      <c r="O416" s="4">
        <v>5</v>
      </c>
      <c r="P416" s="4">
        <v>855</v>
      </c>
      <c r="Q416" s="4">
        <v>4</v>
      </c>
      <c r="R416" s="4" t="s">
        <v>48</v>
      </c>
      <c r="S416" s="4" t="s">
        <v>61</v>
      </c>
      <c r="T416" s="4" t="s">
        <v>144</v>
      </c>
      <c r="U416" s="6" t="s">
        <v>1798</v>
      </c>
      <c r="V416" s="4" t="s">
        <v>38</v>
      </c>
    </row>
    <row r="417" spans="1:22">
      <c r="A417" s="7" t="s">
        <v>1799</v>
      </c>
      <c r="B417" s="8" t="s">
        <v>83</v>
      </c>
      <c r="C417" s="8" t="s">
        <v>184</v>
      </c>
      <c r="D417" s="8" t="s">
        <v>1800</v>
      </c>
      <c r="E417" s="8" t="s">
        <v>66</v>
      </c>
      <c r="F417" s="8" t="s">
        <v>180</v>
      </c>
      <c r="G417" s="8" t="s">
        <v>76</v>
      </c>
      <c r="H417" s="8" t="s">
        <v>1801</v>
      </c>
      <c r="I417" s="8" t="s">
        <v>105</v>
      </c>
      <c r="J417" s="8" t="s">
        <v>106</v>
      </c>
      <c r="K417" s="8" t="s">
        <v>46</v>
      </c>
      <c r="L417" s="8" t="s">
        <v>189</v>
      </c>
      <c r="M417" s="8">
        <v>15</v>
      </c>
      <c r="N417" s="8">
        <v>700</v>
      </c>
      <c r="O417" s="8">
        <v>0</v>
      </c>
      <c r="P417" s="8">
        <v>10500</v>
      </c>
      <c r="Q417" s="8">
        <v>5</v>
      </c>
      <c r="R417" s="8" t="s">
        <v>48</v>
      </c>
      <c r="S417" s="8" t="s">
        <v>115</v>
      </c>
      <c r="T417" s="8" t="s">
        <v>89</v>
      </c>
      <c r="U417" s="9" t="s">
        <v>1802</v>
      </c>
      <c r="V417" s="8" t="s">
        <v>38</v>
      </c>
    </row>
    <row r="418" spans="1:22">
      <c r="A418" s="3" t="s">
        <v>1803</v>
      </c>
      <c r="B418" s="4" t="s">
        <v>221</v>
      </c>
      <c r="C418" s="4" t="s">
        <v>40</v>
      </c>
      <c r="D418" s="4" t="s">
        <v>1199</v>
      </c>
      <c r="E418" s="4" t="s">
        <v>440</v>
      </c>
      <c r="F418" s="4" t="s">
        <v>225</v>
      </c>
      <c r="G418" s="4" t="s">
        <v>76</v>
      </c>
      <c r="H418" s="4" t="s">
        <v>1804</v>
      </c>
      <c r="I418" s="4" t="s">
        <v>294</v>
      </c>
      <c r="J418" s="4" t="s">
        <v>295</v>
      </c>
      <c r="K418" s="4" t="s">
        <v>46</v>
      </c>
      <c r="L418" s="4" t="s">
        <v>47</v>
      </c>
      <c r="M418" s="4">
        <v>13</v>
      </c>
      <c r="N418" s="4">
        <v>12000</v>
      </c>
      <c r="O418" s="4">
        <v>10</v>
      </c>
      <c r="P418" s="4">
        <v>140400</v>
      </c>
      <c r="Q418" s="4">
        <v>1</v>
      </c>
      <c r="R418" s="4" t="s">
        <v>34</v>
      </c>
      <c r="S418" s="4" t="s">
        <v>151</v>
      </c>
      <c r="T418" s="4" t="s">
        <v>228</v>
      </c>
      <c r="U418" s="6" t="s">
        <v>1805</v>
      </c>
      <c r="V418" s="4" t="s">
        <v>69</v>
      </c>
    </row>
    <row r="419" spans="1:22">
      <c r="A419" s="7" t="s">
        <v>1806</v>
      </c>
      <c r="B419" s="8" t="s">
        <v>83</v>
      </c>
      <c r="C419" s="8" t="s">
        <v>40</v>
      </c>
      <c r="D419" s="8" t="s">
        <v>1807</v>
      </c>
      <c r="E419" s="8" t="s">
        <v>1081</v>
      </c>
      <c r="F419" s="8" t="s">
        <v>180</v>
      </c>
      <c r="G419" s="8" t="s">
        <v>76</v>
      </c>
      <c r="H419" s="8" t="s">
        <v>1808</v>
      </c>
      <c r="I419" s="8" t="s">
        <v>30</v>
      </c>
      <c r="J419" s="8" t="s">
        <v>31</v>
      </c>
      <c r="K419" s="8" t="s">
        <v>46</v>
      </c>
      <c r="L419" s="8" t="s">
        <v>47</v>
      </c>
      <c r="M419" s="8">
        <v>12</v>
      </c>
      <c r="N419" s="8">
        <v>12000</v>
      </c>
      <c r="O419" s="8">
        <v>20</v>
      </c>
      <c r="P419" s="8">
        <v>115200</v>
      </c>
      <c r="Q419" s="8">
        <v>2</v>
      </c>
      <c r="R419" s="8" t="s">
        <v>34</v>
      </c>
      <c r="S419" s="8" t="s">
        <v>35</v>
      </c>
      <c r="T419" s="8" t="s">
        <v>89</v>
      </c>
      <c r="U419" s="9" t="s">
        <v>1809</v>
      </c>
      <c r="V419" s="8" t="s">
        <v>38</v>
      </c>
    </row>
    <row r="420" spans="1:22">
      <c r="A420" s="3" t="s">
        <v>1810</v>
      </c>
      <c r="B420" s="4" t="s">
        <v>83</v>
      </c>
      <c r="C420" s="4" t="s">
        <v>259</v>
      </c>
      <c r="D420" s="4" t="s">
        <v>119</v>
      </c>
      <c r="E420" s="4" t="s">
        <v>1298</v>
      </c>
      <c r="F420" s="4" t="s">
        <v>180</v>
      </c>
      <c r="G420" s="4" t="s">
        <v>76</v>
      </c>
      <c r="H420" s="4" t="s">
        <v>1811</v>
      </c>
      <c r="I420" s="4" t="s">
        <v>105</v>
      </c>
      <c r="J420" s="4" t="s">
        <v>106</v>
      </c>
      <c r="K420" s="4" t="s">
        <v>122</v>
      </c>
      <c r="L420" s="4" t="s">
        <v>263</v>
      </c>
      <c r="M420" s="4">
        <v>10</v>
      </c>
      <c r="N420" s="4">
        <v>45</v>
      </c>
      <c r="O420" s="4">
        <v>0</v>
      </c>
      <c r="P420" s="4">
        <v>450</v>
      </c>
      <c r="Q420" s="4">
        <v>5</v>
      </c>
      <c r="R420" s="4" t="s">
        <v>79</v>
      </c>
      <c r="S420" s="4" t="s">
        <v>115</v>
      </c>
      <c r="T420" s="4" t="s">
        <v>89</v>
      </c>
      <c r="U420" s="6" t="s">
        <v>1812</v>
      </c>
      <c r="V420" s="4" t="s">
        <v>69</v>
      </c>
    </row>
    <row r="421" spans="1:22">
      <c r="A421" s="7" t="s">
        <v>1813</v>
      </c>
      <c r="B421" s="8" t="s">
        <v>127</v>
      </c>
      <c r="C421" s="8" t="s">
        <v>72</v>
      </c>
      <c r="D421" s="8" t="s">
        <v>41</v>
      </c>
      <c r="E421" s="8" t="s">
        <v>596</v>
      </c>
      <c r="F421" s="8" t="s">
        <v>200</v>
      </c>
      <c r="G421" s="8" t="s">
        <v>76</v>
      </c>
      <c r="H421" s="8" t="s">
        <v>1814</v>
      </c>
      <c r="I421" s="8" t="s">
        <v>105</v>
      </c>
      <c r="J421" s="8" t="s">
        <v>106</v>
      </c>
      <c r="K421" s="8" t="s">
        <v>46</v>
      </c>
      <c r="L421" s="8" t="s">
        <v>78</v>
      </c>
      <c r="M421" s="8">
        <v>20</v>
      </c>
      <c r="N421" s="8">
        <v>1200</v>
      </c>
      <c r="O421" s="8">
        <v>20</v>
      </c>
      <c r="P421" s="8">
        <v>19200</v>
      </c>
      <c r="Q421" s="8">
        <v>5</v>
      </c>
      <c r="R421" s="8" t="s">
        <v>48</v>
      </c>
      <c r="S421" s="8" t="s">
        <v>61</v>
      </c>
      <c r="T421" s="8" t="s">
        <v>132</v>
      </c>
      <c r="U421" s="9" t="s">
        <v>1815</v>
      </c>
      <c r="V421" s="8" t="s">
        <v>69</v>
      </c>
    </row>
    <row r="422" spans="1:22">
      <c r="A422" s="3" t="s">
        <v>1816</v>
      </c>
      <c r="B422" s="4" t="s">
        <v>71</v>
      </c>
      <c r="C422" s="4" t="s">
        <v>72</v>
      </c>
      <c r="D422" s="4" t="s">
        <v>128</v>
      </c>
      <c r="E422" s="4" t="s">
        <v>1817</v>
      </c>
      <c r="F422" s="4" t="s">
        <v>217</v>
      </c>
      <c r="G422" s="4" t="s">
        <v>76</v>
      </c>
      <c r="H422" s="4" t="s">
        <v>1818</v>
      </c>
      <c r="I422" s="4" t="s">
        <v>114</v>
      </c>
      <c r="J422" s="4" t="s">
        <v>106</v>
      </c>
      <c r="K422" s="4" t="s">
        <v>46</v>
      </c>
      <c r="L422" s="4" t="s">
        <v>78</v>
      </c>
      <c r="M422" s="4">
        <v>8</v>
      </c>
      <c r="N422" s="4">
        <v>1200</v>
      </c>
      <c r="O422" s="4">
        <v>10</v>
      </c>
      <c r="P422" s="4">
        <v>8640</v>
      </c>
      <c r="Q422" s="4">
        <v>4</v>
      </c>
      <c r="R422" s="4" t="s">
        <v>48</v>
      </c>
      <c r="S422" s="4" t="s">
        <v>61</v>
      </c>
      <c r="T422" s="4" t="s">
        <v>80</v>
      </c>
      <c r="U422" s="6" t="s">
        <v>1819</v>
      </c>
      <c r="V422" s="4" t="s">
        <v>38</v>
      </c>
    </row>
    <row r="423" spans="1:22">
      <c r="A423" s="7" t="s">
        <v>1820</v>
      </c>
      <c r="B423" s="8" t="s">
        <v>127</v>
      </c>
      <c r="C423" s="8" t="s">
        <v>72</v>
      </c>
      <c r="D423" s="8" t="s">
        <v>1085</v>
      </c>
      <c r="E423" s="8" t="s">
        <v>1086</v>
      </c>
      <c r="F423" s="8" t="s">
        <v>200</v>
      </c>
      <c r="G423" s="8" t="s">
        <v>76</v>
      </c>
      <c r="H423" s="8" t="s">
        <v>1821</v>
      </c>
      <c r="I423" s="8" t="s">
        <v>212</v>
      </c>
      <c r="J423" s="8" t="s">
        <v>45</v>
      </c>
      <c r="K423" s="8" t="s">
        <v>46</v>
      </c>
      <c r="L423" s="8" t="s">
        <v>78</v>
      </c>
      <c r="M423" s="8">
        <v>8</v>
      </c>
      <c r="N423" s="8">
        <v>1200</v>
      </c>
      <c r="O423" s="8">
        <v>10</v>
      </c>
      <c r="P423" s="8">
        <v>8640</v>
      </c>
      <c r="Q423" s="8">
        <v>5</v>
      </c>
      <c r="R423" s="8" t="s">
        <v>79</v>
      </c>
      <c r="S423" s="8" t="s">
        <v>49</v>
      </c>
      <c r="T423" s="8" t="s">
        <v>132</v>
      </c>
      <c r="U423" s="9" t="s">
        <v>1822</v>
      </c>
      <c r="V423" s="8" t="s">
        <v>69</v>
      </c>
    </row>
    <row r="424" spans="1:22">
      <c r="A424" s="3" t="s">
        <v>1823</v>
      </c>
      <c r="B424" s="4" t="s">
        <v>327</v>
      </c>
      <c r="C424" s="4" t="s">
        <v>24</v>
      </c>
      <c r="D424" s="4" t="s">
        <v>1824</v>
      </c>
      <c r="E424" s="4" t="s">
        <v>1444</v>
      </c>
      <c r="F424" s="4" t="s">
        <v>394</v>
      </c>
      <c r="G424" s="4" t="s">
        <v>76</v>
      </c>
      <c r="H424" s="4" t="s">
        <v>1825</v>
      </c>
      <c r="I424" s="4" t="s">
        <v>212</v>
      </c>
      <c r="J424" s="4" t="s">
        <v>45</v>
      </c>
      <c r="K424" s="4" t="s">
        <v>32</v>
      </c>
      <c r="L424" s="4" t="s">
        <v>33</v>
      </c>
      <c r="M424" s="4">
        <v>9</v>
      </c>
      <c r="N424" s="4">
        <v>2200</v>
      </c>
      <c r="O424" s="4">
        <v>20</v>
      </c>
      <c r="P424" s="4">
        <v>15840</v>
      </c>
      <c r="Q424" s="4">
        <v>1</v>
      </c>
      <c r="R424" s="4" t="s">
        <v>48</v>
      </c>
      <c r="S424" s="4" t="s">
        <v>115</v>
      </c>
      <c r="T424" s="4" t="s">
        <v>332</v>
      </c>
      <c r="U424" s="6" t="s">
        <v>1826</v>
      </c>
      <c r="V424" s="4" t="s">
        <v>38</v>
      </c>
    </row>
    <row r="425" spans="1:22">
      <c r="A425" s="7" t="s">
        <v>1827</v>
      </c>
      <c r="B425" s="8" t="s">
        <v>127</v>
      </c>
      <c r="C425" s="8" t="s">
        <v>222</v>
      </c>
      <c r="D425" s="8" t="s">
        <v>1268</v>
      </c>
      <c r="E425" s="8" t="s">
        <v>760</v>
      </c>
      <c r="F425" s="8" t="s">
        <v>200</v>
      </c>
      <c r="G425" s="8" t="s">
        <v>76</v>
      </c>
      <c r="H425" s="8" t="s">
        <v>1828</v>
      </c>
      <c r="I425" s="8" t="s">
        <v>294</v>
      </c>
      <c r="J425" s="8" t="s">
        <v>295</v>
      </c>
      <c r="K425" s="8" t="s">
        <v>122</v>
      </c>
      <c r="L425" s="8" t="s">
        <v>227</v>
      </c>
      <c r="M425" s="8">
        <v>8</v>
      </c>
      <c r="N425" s="8">
        <v>20</v>
      </c>
      <c r="O425" s="8">
        <v>20</v>
      </c>
      <c r="P425" s="8">
        <v>128</v>
      </c>
      <c r="Q425" s="8">
        <v>4</v>
      </c>
      <c r="R425" s="8" t="s">
        <v>34</v>
      </c>
      <c r="S425" s="8" t="s">
        <v>35</v>
      </c>
      <c r="T425" s="8" t="s">
        <v>132</v>
      </c>
      <c r="U425" s="9" t="s">
        <v>1829</v>
      </c>
      <c r="V425" s="8" t="s">
        <v>69</v>
      </c>
    </row>
    <row r="426" spans="1:22">
      <c r="A426" s="3" t="s">
        <v>1830</v>
      </c>
      <c r="B426" s="4" t="s">
        <v>221</v>
      </c>
      <c r="C426" s="4" t="s">
        <v>54</v>
      </c>
      <c r="D426" s="4" t="s">
        <v>1176</v>
      </c>
      <c r="E426" s="4" t="s">
        <v>1831</v>
      </c>
      <c r="F426" s="4" t="s">
        <v>225</v>
      </c>
      <c r="G426" s="4" t="s">
        <v>76</v>
      </c>
      <c r="H426" s="4" t="s">
        <v>1006</v>
      </c>
      <c r="I426" s="4" t="s">
        <v>114</v>
      </c>
      <c r="J426" s="4" t="s">
        <v>106</v>
      </c>
      <c r="K426" s="4" t="s">
        <v>46</v>
      </c>
      <c r="L426" s="4" t="s">
        <v>60</v>
      </c>
      <c r="M426" s="4">
        <v>5</v>
      </c>
      <c r="N426" s="4">
        <v>55000</v>
      </c>
      <c r="O426" s="4">
        <v>0</v>
      </c>
      <c r="P426" s="4">
        <v>275000</v>
      </c>
      <c r="Q426" s="4">
        <v>1</v>
      </c>
      <c r="R426" s="4" t="s">
        <v>79</v>
      </c>
      <c r="S426" s="4" t="s">
        <v>115</v>
      </c>
      <c r="T426" s="4" t="s">
        <v>228</v>
      </c>
      <c r="U426" s="6" t="s">
        <v>1832</v>
      </c>
      <c r="V426" s="4" t="s">
        <v>38</v>
      </c>
    </row>
    <row r="427" spans="1:22">
      <c r="A427" s="7" t="s">
        <v>1833</v>
      </c>
      <c r="B427" s="8" t="s">
        <v>100</v>
      </c>
      <c r="C427" s="8" t="s">
        <v>72</v>
      </c>
      <c r="D427" s="8" t="s">
        <v>1834</v>
      </c>
      <c r="E427" s="8" t="s">
        <v>636</v>
      </c>
      <c r="F427" s="8" t="s">
        <v>103</v>
      </c>
      <c r="G427" s="8" t="s">
        <v>28</v>
      </c>
      <c r="H427" s="8" t="s">
        <v>1835</v>
      </c>
      <c r="I427" s="8" t="s">
        <v>105</v>
      </c>
      <c r="J427" s="8" t="s">
        <v>106</v>
      </c>
      <c r="K427" s="8" t="s">
        <v>46</v>
      </c>
      <c r="L427" s="8" t="s">
        <v>78</v>
      </c>
      <c r="M427" s="8">
        <v>13</v>
      </c>
      <c r="N427" s="8">
        <v>1200</v>
      </c>
      <c r="O427" s="8">
        <v>5</v>
      </c>
      <c r="P427" s="8">
        <v>14820</v>
      </c>
      <c r="Q427" s="8">
        <v>2</v>
      </c>
      <c r="R427" s="8" t="s">
        <v>79</v>
      </c>
      <c r="S427" s="8" t="s">
        <v>35</v>
      </c>
      <c r="T427" s="8" t="s">
        <v>144</v>
      </c>
      <c r="U427" s="9" t="s">
        <v>1836</v>
      </c>
      <c r="V427" s="8" t="s">
        <v>69</v>
      </c>
    </row>
    <row r="428" spans="1:22">
      <c r="A428" s="3" t="s">
        <v>1837</v>
      </c>
      <c r="B428" s="4" t="s">
        <v>83</v>
      </c>
      <c r="C428" s="4" t="s">
        <v>169</v>
      </c>
      <c r="D428" s="4" t="s">
        <v>1484</v>
      </c>
      <c r="E428" s="4" t="s">
        <v>1838</v>
      </c>
      <c r="F428" s="4" t="s">
        <v>180</v>
      </c>
      <c r="G428" s="4" t="s">
        <v>76</v>
      </c>
      <c r="H428" s="4" t="s">
        <v>1839</v>
      </c>
      <c r="I428" s="4" t="s">
        <v>212</v>
      </c>
      <c r="J428" s="4" t="s">
        <v>45</v>
      </c>
      <c r="K428" s="4" t="s">
        <v>32</v>
      </c>
      <c r="L428" s="4" t="s">
        <v>174</v>
      </c>
      <c r="M428" s="4">
        <v>13</v>
      </c>
      <c r="N428" s="4">
        <v>8500</v>
      </c>
      <c r="O428" s="4">
        <v>20</v>
      </c>
      <c r="P428" s="4">
        <v>88400</v>
      </c>
      <c r="Q428" s="4">
        <v>5</v>
      </c>
      <c r="R428" s="4" t="s">
        <v>34</v>
      </c>
      <c r="S428" s="4" t="s">
        <v>49</v>
      </c>
      <c r="T428" s="4" t="s">
        <v>89</v>
      </c>
      <c r="U428" s="6" t="s">
        <v>1840</v>
      </c>
      <c r="V428" s="4" t="s">
        <v>64</v>
      </c>
    </row>
    <row r="429" spans="1:22">
      <c r="A429" s="7" t="s">
        <v>1841</v>
      </c>
      <c r="B429" s="8" t="s">
        <v>71</v>
      </c>
      <c r="C429" s="8" t="s">
        <v>118</v>
      </c>
      <c r="D429" s="8" t="s">
        <v>765</v>
      </c>
      <c r="E429" s="8" t="s">
        <v>1842</v>
      </c>
      <c r="F429" s="8" t="s">
        <v>217</v>
      </c>
      <c r="G429" s="8" t="s">
        <v>76</v>
      </c>
      <c r="H429" s="8" t="s">
        <v>1843</v>
      </c>
      <c r="I429" s="8" t="s">
        <v>114</v>
      </c>
      <c r="J429" s="8" t="s">
        <v>106</v>
      </c>
      <c r="K429" s="8" t="s">
        <v>122</v>
      </c>
      <c r="L429" s="8" t="s">
        <v>123</v>
      </c>
      <c r="M429" s="8">
        <v>14</v>
      </c>
      <c r="N429" s="8">
        <v>60</v>
      </c>
      <c r="O429" s="8">
        <v>10</v>
      </c>
      <c r="P429" s="8">
        <v>756</v>
      </c>
      <c r="Q429" s="8">
        <v>1</v>
      </c>
      <c r="R429" s="8" t="s">
        <v>34</v>
      </c>
      <c r="S429" s="8" t="s">
        <v>61</v>
      </c>
      <c r="T429" s="8" t="s">
        <v>80</v>
      </c>
      <c r="U429" s="9" t="s">
        <v>1844</v>
      </c>
      <c r="V429" s="8" t="s">
        <v>69</v>
      </c>
    </row>
    <row r="430" spans="1:22">
      <c r="A430" s="3" t="s">
        <v>1845</v>
      </c>
      <c r="B430" s="4" t="s">
        <v>251</v>
      </c>
      <c r="C430" s="4" t="s">
        <v>24</v>
      </c>
      <c r="D430" s="4" t="s">
        <v>336</v>
      </c>
      <c r="E430" s="4" t="s">
        <v>606</v>
      </c>
      <c r="F430" s="4" t="s">
        <v>254</v>
      </c>
      <c r="G430" s="4" t="s">
        <v>28</v>
      </c>
      <c r="H430" s="4" t="s">
        <v>1846</v>
      </c>
      <c r="I430" s="4" t="s">
        <v>59</v>
      </c>
      <c r="J430" s="4" t="s">
        <v>31</v>
      </c>
      <c r="K430" s="4" t="s">
        <v>32</v>
      </c>
      <c r="L430" s="4" t="s">
        <v>33</v>
      </c>
      <c r="M430" s="4">
        <v>15</v>
      </c>
      <c r="N430" s="4">
        <v>2200</v>
      </c>
      <c r="O430" s="4">
        <v>0</v>
      </c>
      <c r="P430" s="4">
        <v>33000</v>
      </c>
      <c r="Q430" s="4">
        <v>1</v>
      </c>
      <c r="R430" s="4" t="s">
        <v>34</v>
      </c>
      <c r="S430" s="4" t="s">
        <v>61</v>
      </c>
      <c r="T430" s="4" t="s">
        <v>256</v>
      </c>
      <c r="U430" s="6" t="s">
        <v>1847</v>
      </c>
      <c r="V430" s="4" t="s">
        <v>38</v>
      </c>
    </row>
    <row r="431" spans="1:22">
      <c r="A431" s="7" t="s">
        <v>1848</v>
      </c>
      <c r="B431" s="8" t="s">
        <v>83</v>
      </c>
      <c r="C431" s="8" t="s">
        <v>118</v>
      </c>
      <c r="D431" s="8" t="s">
        <v>1849</v>
      </c>
      <c r="E431" s="8" t="s">
        <v>1850</v>
      </c>
      <c r="F431" s="8" t="s">
        <v>180</v>
      </c>
      <c r="G431" s="8" t="s">
        <v>76</v>
      </c>
      <c r="H431" s="8" t="s">
        <v>1851</v>
      </c>
      <c r="I431" s="8" t="s">
        <v>212</v>
      </c>
      <c r="J431" s="8" t="s">
        <v>45</v>
      </c>
      <c r="K431" s="8" t="s">
        <v>122</v>
      </c>
      <c r="L431" s="8" t="s">
        <v>123</v>
      </c>
      <c r="M431" s="8">
        <v>19</v>
      </c>
      <c r="N431" s="8">
        <v>60</v>
      </c>
      <c r="O431" s="8">
        <v>20</v>
      </c>
      <c r="P431" s="8">
        <v>912</v>
      </c>
      <c r="Q431" s="8">
        <v>3</v>
      </c>
      <c r="R431" s="8" t="s">
        <v>34</v>
      </c>
      <c r="S431" s="8" t="s">
        <v>151</v>
      </c>
      <c r="T431" s="8" t="s">
        <v>89</v>
      </c>
      <c r="U431" s="9" t="s">
        <v>1852</v>
      </c>
      <c r="V431" s="8" t="s">
        <v>64</v>
      </c>
    </row>
    <row r="432" spans="1:22">
      <c r="A432" s="3" t="s">
        <v>1853</v>
      </c>
      <c r="B432" s="4" t="s">
        <v>53</v>
      </c>
      <c r="C432" s="4" t="s">
        <v>259</v>
      </c>
      <c r="D432" s="4" t="s">
        <v>1760</v>
      </c>
      <c r="E432" s="4" t="s">
        <v>341</v>
      </c>
      <c r="F432" s="4" t="s">
        <v>163</v>
      </c>
      <c r="G432" s="4" t="s">
        <v>28</v>
      </c>
      <c r="H432" s="4" t="s">
        <v>1854</v>
      </c>
      <c r="I432" s="4" t="s">
        <v>212</v>
      </c>
      <c r="J432" s="4" t="s">
        <v>45</v>
      </c>
      <c r="K432" s="4" t="s">
        <v>122</v>
      </c>
      <c r="L432" s="4" t="s">
        <v>263</v>
      </c>
      <c r="M432" s="4">
        <v>13</v>
      </c>
      <c r="N432" s="4">
        <v>45</v>
      </c>
      <c r="O432" s="4">
        <v>15</v>
      </c>
      <c r="P432" s="4">
        <v>497.25</v>
      </c>
      <c r="Q432" s="4">
        <v>2</v>
      </c>
      <c r="R432" s="4" t="s">
        <v>34</v>
      </c>
      <c r="S432" s="4" t="s">
        <v>49</v>
      </c>
      <c r="T432" s="4" t="s">
        <v>62</v>
      </c>
      <c r="U432" s="6" t="s">
        <v>1855</v>
      </c>
      <c r="V432" s="4" t="s">
        <v>38</v>
      </c>
    </row>
    <row r="433" spans="1:22">
      <c r="A433" s="7" t="s">
        <v>1856</v>
      </c>
      <c r="B433" s="8" t="s">
        <v>251</v>
      </c>
      <c r="C433" s="8" t="s">
        <v>40</v>
      </c>
      <c r="D433" s="8" t="s">
        <v>998</v>
      </c>
      <c r="E433" s="8" t="s">
        <v>1128</v>
      </c>
      <c r="F433" s="8" t="s">
        <v>254</v>
      </c>
      <c r="G433" s="8" t="s">
        <v>28</v>
      </c>
      <c r="H433" s="8" t="s">
        <v>1857</v>
      </c>
      <c r="I433" s="8" t="s">
        <v>105</v>
      </c>
      <c r="J433" s="8" t="s">
        <v>106</v>
      </c>
      <c r="K433" s="8" t="s">
        <v>46</v>
      </c>
      <c r="L433" s="8" t="s">
        <v>47</v>
      </c>
      <c r="M433" s="8">
        <v>7</v>
      </c>
      <c r="N433" s="8">
        <v>12000</v>
      </c>
      <c r="O433" s="8">
        <v>5</v>
      </c>
      <c r="P433" s="8">
        <v>79800</v>
      </c>
      <c r="Q433" s="8">
        <v>4</v>
      </c>
      <c r="R433" s="8" t="s">
        <v>79</v>
      </c>
      <c r="S433" s="8" t="s">
        <v>151</v>
      </c>
      <c r="T433" s="8" t="s">
        <v>256</v>
      </c>
      <c r="U433" s="9" t="s">
        <v>1858</v>
      </c>
      <c r="V433" s="8" t="s">
        <v>69</v>
      </c>
    </row>
    <row r="434" spans="1:22">
      <c r="A434" s="3" t="s">
        <v>1859</v>
      </c>
      <c r="B434" s="4" t="s">
        <v>327</v>
      </c>
      <c r="C434" s="4" t="s">
        <v>222</v>
      </c>
      <c r="D434" s="4" t="s">
        <v>601</v>
      </c>
      <c r="E434" s="4"/>
      <c r="F434" s="4" t="s">
        <v>394</v>
      </c>
      <c r="G434" s="4" t="s">
        <v>76</v>
      </c>
      <c r="H434" s="4" t="s">
        <v>1860</v>
      </c>
      <c r="I434" s="4" t="s">
        <v>294</v>
      </c>
      <c r="J434" s="4" t="s">
        <v>295</v>
      </c>
      <c r="K434" s="4" t="s">
        <v>122</v>
      </c>
      <c r="L434" s="4" t="s">
        <v>227</v>
      </c>
      <c r="M434" s="4">
        <v>8</v>
      </c>
      <c r="N434" s="4">
        <v>20</v>
      </c>
      <c r="O434" s="4">
        <v>0</v>
      </c>
      <c r="P434" s="4">
        <v>160</v>
      </c>
      <c r="Q434" s="4">
        <v>4</v>
      </c>
      <c r="R434" s="4" t="s">
        <v>79</v>
      </c>
      <c r="S434" s="4" t="s">
        <v>61</v>
      </c>
      <c r="T434" s="4" t="s">
        <v>332</v>
      </c>
      <c r="U434" s="6" t="s">
        <v>1861</v>
      </c>
      <c r="V434" s="4" t="s">
        <v>64</v>
      </c>
    </row>
    <row r="435" spans="1:22">
      <c r="A435" s="7" t="s">
        <v>1862</v>
      </c>
      <c r="B435" s="8" t="s">
        <v>23</v>
      </c>
      <c r="C435" s="8" t="s">
        <v>92</v>
      </c>
      <c r="D435" s="8" t="s">
        <v>1863</v>
      </c>
      <c r="E435" s="8" t="s">
        <v>900</v>
      </c>
      <c r="F435" s="8" t="s">
        <v>27</v>
      </c>
      <c r="G435" s="8" t="s">
        <v>28</v>
      </c>
      <c r="H435" s="8" t="s">
        <v>1864</v>
      </c>
      <c r="I435" s="8" t="s">
        <v>294</v>
      </c>
      <c r="J435" s="8" t="s">
        <v>295</v>
      </c>
      <c r="K435" s="8" t="s">
        <v>32</v>
      </c>
      <c r="L435" s="8" t="s">
        <v>97</v>
      </c>
      <c r="M435" s="8">
        <v>16</v>
      </c>
      <c r="N435" s="8">
        <v>3500</v>
      </c>
      <c r="O435" s="8">
        <v>5</v>
      </c>
      <c r="P435" s="8">
        <v>53200</v>
      </c>
      <c r="Q435" s="8">
        <v>1</v>
      </c>
      <c r="R435" s="8" t="s">
        <v>79</v>
      </c>
      <c r="S435" s="8" t="s">
        <v>61</v>
      </c>
      <c r="T435" s="8" t="s">
        <v>50</v>
      </c>
      <c r="U435" s="9" t="s">
        <v>1865</v>
      </c>
      <c r="V435" s="8" t="s">
        <v>69</v>
      </c>
    </row>
    <row r="436" spans="1:22">
      <c r="A436" s="3" t="s">
        <v>1866</v>
      </c>
      <c r="B436" s="4" t="s">
        <v>327</v>
      </c>
      <c r="C436" s="4" t="s">
        <v>169</v>
      </c>
      <c r="D436" s="4" t="s">
        <v>1867</v>
      </c>
      <c r="E436" s="4" t="s">
        <v>1157</v>
      </c>
      <c r="F436" s="4" t="s">
        <v>394</v>
      </c>
      <c r="G436" s="4" t="s">
        <v>76</v>
      </c>
      <c r="H436" s="4" t="s">
        <v>1868</v>
      </c>
      <c r="I436" s="4" t="s">
        <v>105</v>
      </c>
      <c r="J436" s="4" t="s">
        <v>106</v>
      </c>
      <c r="K436" s="4" t="s">
        <v>32</v>
      </c>
      <c r="L436" s="4" t="s">
        <v>174</v>
      </c>
      <c r="M436" s="4">
        <v>12</v>
      </c>
      <c r="N436" s="4">
        <v>8500</v>
      </c>
      <c r="O436" s="4">
        <v>10</v>
      </c>
      <c r="P436" s="4">
        <v>91800</v>
      </c>
      <c r="Q436" s="4">
        <v>3</v>
      </c>
      <c r="R436" s="4" t="s">
        <v>79</v>
      </c>
      <c r="S436" s="4" t="s">
        <v>35</v>
      </c>
      <c r="T436" s="4" t="s">
        <v>332</v>
      </c>
      <c r="U436" s="6" t="s">
        <v>1869</v>
      </c>
      <c r="V436" s="4" t="s">
        <v>38</v>
      </c>
    </row>
    <row r="437" spans="1:22">
      <c r="A437" s="7" t="s">
        <v>1870</v>
      </c>
      <c r="B437" s="8" t="s">
        <v>23</v>
      </c>
      <c r="C437" s="8" t="s">
        <v>118</v>
      </c>
      <c r="D437" s="8" t="s">
        <v>539</v>
      </c>
      <c r="E437" s="8" t="s">
        <v>1114</v>
      </c>
      <c r="F437" s="8" t="s">
        <v>27</v>
      </c>
      <c r="G437" s="8" t="s">
        <v>28</v>
      </c>
      <c r="H437" s="8" t="s">
        <v>1871</v>
      </c>
      <c r="I437" s="8" t="s">
        <v>138</v>
      </c>
      <c r="J437" s="8" t="s">
        <v>106</v>
      </c>
      <c r="K437" s="8" t="s">
        <v>122</v>
      </c>
      <c r="L437" s="8" t="s">
        <v>123</v>
      </c>
      <c r="M437" s="8">
        <v>1</v>
      </c>
      <c r="N437" s="8">
        <v>60</v>
      </c>
      <c r="O437" s="8">
        <v>20</v>
      </c>
      <c r="P437" s="8">
        <v>48</v>
      </c>
      <c r="Q437" s="8">
        <v>2</v>
      </c>
      <c r="R437" s="8" t="s">
        <v>79</v>
      </c>
      <c r="S437" s="8" t="s">
        <v>151</v>
      </c>
      <c r="T437" s="8" t="s">
        <v>50</v>
      </c>
      <c r="U437" s="9" t="s">
        <v>1872</v>
      </c>
      <c r="V437" s="8" t="s">
        <v>38</v>
      </c>
    </row>
    <row r="438" spans="1:22">
      <c r="A438" s="3" t="s">
        <v>1873</v>
      </c>
      <c r="B438" s="4" t="s">
        <v>127</v>
      </c>
      <c r="C438" s="4" t="s">
        <v>118</v>
      </c>
      <c r="D438" s="4" t="s">
        <v>507</v>
      </c>
      <c r="E438" s="4" t="s">
        <v>535</v>
      </c>
      <c r="F438" s="4" t="s">
        <v>200</v>
      </c>
      <c r="G438" s="4" t="s">
        <v>76</v>
      </c>
      <c r="H438" s="4" t="s">
        <v>1874</v>
      </c>
      <c r="I438" s="4" t="s">
        <v>30</v>
      </c>
      <c r="J438" s="4" t="s">
        <v>31</v>
      </c>
      <c r="K438" s="4" t="s">
        <v>122</v>
      </c>
      <c r="L438" s="4" t="s">
        <v>123</v>
      </c>
      <c r="M438" s="4">
        <v>3</v>
      </c>
      <c r="N438" s="4">
        <v>60</v>
      </c>
      <c r="O438" s="4">
        <v>15</v>
      </c>
      <c r="P438" s="4">
        <v>153</v>
      </c>
      <c r="Q438" s="4">
        <v>4</v>
      </c>
      <c r="R438" s="4" t="s">
        <v>79</v>
      </c>
      <c r="S438" s="4" t="s">
        <v>35</v>
      </c>
      <c r="T438" s="4" t="s">
        <v>132</v>
      </c>
      <c r="U438" s="6" t="s">
        <v>1875</v>
      </c>
      <c r="V438" s="4" t="s">
        <v>38</v>
      </c>
    </row>
    <row r="439" spans="1:22">
      <c r="A439" s="7" t="s">
        <v>1876</v>
      </c>
      <c r="B439" s="8" t="s">
        <v>100</v>
      </c>
      <c r="C439" s="8" t="s">
        <v>184</v>
      </c>
      <c r="D439" s="8" t="s">
        <v>568</v>
      </c>
      <c r="E439" s="8" t="s">
        <v>119</v>
      </c>
      <c r="F439" s="8" t="s">
        <v>103</v>
      </c>
      <c r="G439" s="8" t="s">
        <v>28</v>
      </c>
      <c r="H439" s="8" t="s">
        <v>1877</v>
      </c>
      <c r="I439" s="8" t="s">
        <v>294</v>
      </c>
      <c r="J439" s="8" t="s">
        <v>295</v>
      </c>
      <c r="K439" s="8" t="s">
        <v>46</v>
      </c>
      <c r="L439" s="8" t="s">
        <v>189</v>
      </c>
      <c r="M439" s="8">
        <v>10</v>
      </c>
      <c r="N439" s="8">
        <v>700</v>
      </c>
      <c r="O439" s="8">
        <v>15</v>
      </c>
      <c r="P439" s="8">
        <v>5950</v>
      </c>
      <c r="Q439" s="8">
        <v>3</v>
      </c>
      <c r="R439" s="8" t="s">
        <v>48</v>
      </c>
      <c r="S439" s="8" t="s">
        <v>35</v>
      </c>
      <c r="T439" s="8" t="s">
        <v>144</v>
      </c>
      <c r="U439" s="9" t="s">
        <v>1878</v>
      </c>
      <c r="V439" s="8" t="s">
        <v>64</v>
      </c>
    </row>
    <row r="440" spans="1:22">
      <c r="A440" s="3" t="s">
        <v>1879</v>
      </c>
      <c r="B440" s="4" t="s">
        <v>83</v>
      </c>
      <c r="C440" s="4" t="s">
        <v>222</v>
      </c>
      <c r="D440" s="4" t="s">
        <v>1880</v>
      </c>
      <c r="E440" s="4" t="s">
        <v>1881</v>
      </c>
      <c r="F440" s="4" t="s">
        <v>180</v>
      </c>
      <c r="G440" s="4" t="s">
        <v>76</v>
      </c>
      <c r="H440" s="4" t="s">
        <v>1882</v>
      </c>
      <c r="I440" s="4" t="s">
        <v>138</v>
      </c>
      <c r="J440" s="4" t="s">
        <v>106</v>
      </c>
      <c r="K440" s="4" t="s">
        <v>122</v>
      </c>
      <c r="L440" s="4" t="s">
        <v>227</v>
      </c>
      <c r="M440" s="4">
        <v>2</v>
      </c>
      <c r="N440" s="4">
        <v>20</v>
      </c>
      <c r="O440" s="4">
        <v>10</v>
      </c>
      <c r="P440" s="4">
        <v>36</v>
      </c>
      <c r="Q440" s="4">
        <v>2</v>
      </c>
      <c r="R440" s="4" t="s">
        <v>88</v>
      </c>
      <c r="S440" s="4" t="s">
        <v>61</v>
      </c>
      <c r="T440" s="4" t="s">
        <v>89</v>
      </c>
      <c r="U440" s="6" t="s">
        <v>1883</v>
      </c>
      <c r="V440" s="4" t="s">
        <v>38</v>
      </c>
    </row>
    <row r="441" spans="1:22">
      <c r="A441" s="7" t="s">
        <v>1884</v>
      </c>
      <c r="B441" s="8" t="s">
        <v>83</v>
      </c>
      <c r="C441" s="8" t="s">
        <v>222</v>
      </c>
      <c r="D441" s="8" t="s">
        <v>1885</v>
      </c>
      <c r="E441" s="8" t="s">
        <v>1199</v>
      </c>
      <c r="F441" s="8" t="s">
        <v>180</v>
      </c>
      <c r="G441" s="8" t="s">
        <v>76</v>
      </c>
      <c r="H441" s="8" t="s">
        <v>1886</v>
      </c>
      <c r="I441" s="8" t="s">
        <v>44</v>
      </c>
      <c r="J441" s="8" t="s">
        <v>45</v>
      </c>
      <c r="K441" s="8" t="s">
        <v>122</v>
      </c>
      <c r="L441" s="8" t="s">
        <v>227</v>
      </c>
      <c r="M441" s="8">
        <v>14</v>
      </c>
      <c r="N441" s="8">
        <v>20</v>
      </c>
      <c r="O441" s="8">
        <v>20</v>
      </c>
      <c r="P441" s="8">
        <v>224</v>
      </c>
      <c r="Q441" s="8">
        <v>5</v>
      </c>
      <c r="R441" s="8" t="s">
        <v>34</v>
      </c>
      <c r="S441" s="8" t="s">
        <v>151</v>
      </c>
      <c r="T441" s="8" t="s">
        <v>89</v>
      </c>
      <c r="U441" s="9" t="s">
        <v>1887</v>
      </c>
      <c r="V441" s="8" t="s">
        <v>64</v>
      </c>
    </row>
    <row r="442" spans="1:22">
      <c r="A442" s="3" t="s">
        <v>1888</v>
      </c>
      <c r="B442" s="4" t="s">
        <v>327</v>
      </c>
      <c r="C442" s="4" t="s">
        <v>92</v>
      </c>
      <c r="D442" s="4" t="s">
        <v>1713</v>
      </c>
      <c r="E442" s="4" t="s">
        <v>193</v>
      </c>
      <c r="F442" s="4" t="s">
        <v>394</v>
      </c>
      <c r="G442" s="4" t="s">
        <v>76</v>
      </c>
      <c r="H442" s="4" t="s">
        <v>1889</v>
      </c>
      <c r="I442" s="4" t="s">
        <v>138</v>
      </c>
      <c r="J442" s="4" t="s">
        <v>106</v>
      </c>
      <c r="K442" s="4" t="s">
        <v>32</v>
      </c>
      <c r="L442" s="4" t="s">
        <v>97</v>
      </c>
      <c r="M442" s="4">
        <v>4</v>
      </c>
      <c r="N442" s="4">
        <v>3500</v>
      </c>
      <c r="O442" s="4">
        <v>0</v>
      </c>
      <c r="P442" s="4">
        <v>14000</v>
      </c>
      <c r="Q442" s="4">
        <v>2</v>
      </c>
      <c r="R442" s="4" t="s">
        <v>88</v>
      </c>
      <c r="S442" s="4" t="s">
        <v>35</v>
      </c>
      <c r="T442" s="4" t="s">
        <v>332</v>
      </c>
      <c r="U442" s="6" t="s">
        <v>1890</v>
      </c>
      <c r="V442" s="4" t="s">
        <v>69</v>
      </c>
    </row>
    <row r="443" spans="1:22">
      <c r="A443" s="7" t="s">
        <v>1891</v>
      </c>
      <c r="B443" s="8" t="s">
        <v>83</v>
      </c>
      <c r="C443" s="8" t="s">
        <v>92</v>
      </c>
      <c r="D443" s="8" t="s">
        <v>318</v>
      </c>
      <c r="E443" s="8" t="s">
        <v>1119</v>
      </c>
      <c r="F443" s="8" t="s">
        <v>180</v>
      </c>
      <c r="G443" s="8" t="s">
        <v>76</v>
      </c>
      <c r="H443" s="8" t="s">
        <v>1892</v>
      </c>
      <c r="I443" s="8" t="s">
        <v>212</v>
      </c>
      <c r="J443" s="8" t="s">
        <v>45</v>
      </c>
      <c r="K443" s="8" t="s">
        <v>32</v>
      </c>
      <c r="L443" s="8" t="s">
        <v>97</v>
      </c>
      <c r="M443" s="8">
        <v>9</v>
      </c>
      <c r="N443" s="8">
        <v>3500</v>
      </c>
      <c r="O443" s="8">
        <v>5</v>
      </c>
      <c r="P443" s="8">
        <v>29925</v>
      </c>
      <c r="Q443" s="8">
        <v>3</v>
      </c>
      <c r="R443" s="8" t="s">
        <v>79</v>
      </c>
      <c r="S443" s="8" t="s">
        <v>61</v>
      </c>
      <c r="T443" s="8" t="s">
        <v>89</v>
      </c>
      <c r="U443" s="9" t="s">
        <v>1893</v>
      </c>
      <c r="V443" s="8" t="s">
        <v>38</v>
      </c>
    </row>
    <row r="444" spans="1:22">
      <c r="A444" s="3" t="s">
        <v>1894</v>
      </c>
      <c r="B444" s="4" t="s">
        <v>127</v>
      </c>
      <c r="C444" s="4" t="s">
        <v>118</v>
      </c>
      <c r="D444" s="4" t="s">
        <v>683</v>
      </c>
      <c r="E444" s="4" t="s">
        <v>1465</v>
      </c>
      <c r="F444" s="4" t="s">
        <v>200</v>
      </c>
      <c r="G444" s="4" t="s">
        <v>76</v>
      </c>
      <c r="H444" s="4" t="s">
        <v>1895</v>
      </c>
      <c r="I444" s="4" t="s">
        <v>105</v>
      </c>
      <c r="J444" s="4" t="s">
        <v>106</v>
      </c>
      <c r="K444" s="4" t="s">
        <v>122</v>
      </c>
      <c r="L444" s="4" t="s">
        <v>123</v>
      </c>
      <c r="M444" s="4">
        <v>9</v>
      </c>
      <c r="N444" s="4">
        <v>60</v>
      </c>
      <c r="O444" s="4">
        <v>0</v>
      </c>
      <c r="P444" s="4">
        <v>540</v>
      </c>
      <c r="Q444" s="4">
        <v>3</v>
      </c>
      <c r="R444" s="4" t="s">
        <v>88</v>
      </c>
      <c r="S444" s="4" t="s">
        <v>35</v>
      </c>
      <c r="T444" s="4" t="s">
        <v>132</v>
      </c>
      <c r="U444" s="6" t="s">
        <v>1896</v>
      </c>
      <c r="V444" s="4" t="s">
        <v>64</v>
      </c>
    </row>
    <row r="445" spans="1:22">
      <c r="A445" s="7" t="s">
        <v>1897</v>
      </c>
      <c r="B445" s="8" t="s">
        <v>168</v>
      </c>
      <c r="C445" s="8" t="s">
        <v>72</v>
      </c>
      <c r="D445" s="8" t="s">
        <v>1898</v>
      </c>
      <c r="E445" s="8" t="s">
        <v>1263</v>
      </c>
      <c r="F445" s="8" t="s">
        <v>361</v>
      </c>
      <c r="G445" s="8" t="s">
        <v>28</v>
      </c>
      <c r="H445" s="8" t="s">
        <v>1899</v>
      </c>
      <c r="I445" s="8" t="s">
        <v>138</v>
      </c>
      <c r="J445" s="8" t="s">
        <v>106</v>
      </c>
      <c r="K445" s="8" t="s">
        <v>46</v>
      </c>
      <c r="L445" s="8" t="s">
        <v>78</v>
      </c>
      <c r="M445" s="8">
        <v>4</v>
      </c>
      <c r="N445" s="8">
        <v>1200</v>
      </c>
      <c r="O445" s="8">
        <v>0</v>
      </c>
      <c r="P445" s="8">
        <v>4800</v>
      </c>
      <c r="Q445" s="8">
        <v>1</v>
      </c>
      <c r="R445" s="8" t="s">
        <v>48</v>
      </c>
      <c r="S445" s="8" t="s">
        <v>61</v>
      </c>
      <c r="T445" s="8" t="s">
        <v>175</v>
      </c>
      <c r="U445" s="9" t="s">
        <v>1900</v>
      </c>
      <c r="V445" s="8" t="s">
        <v>38</v>
      </c>
    </row>
    <row r="446" spans="1:22">
      <c r="A446" s="3" t="s">
        <v>1901</v>
      </c>
      <c r="B446" s="4" t="s">
        <v>53</v>
      </c>
      <c r="C446" s="4" t="s">
        <v>54</v>
      </c>
      <c r="D446" s="4" t="s">
        <v>1620</v>
      </c>
      <c r="E446" s="4" t="s">
        <v>302</v>
      </c>
      <c r="F446" s="4" t="s">
        <v>163</v>
      </c>
      <c r="G446" s="4" t="s">
        <v>28</v>
      </c>
      <c r="H446" s="4" t="s">
        <v>1902</v>
      </c>
      <c r="I446" s="4" t="s">
        <v>30</v>
      </c>
      <c r="J446" s="4" t="s">
        <v>31</v>
      </c>
      <c r="K446" s="4" t="s">
        <v>46</v>
      </c>
      <c r="L446" s="4" t="s">
        <v>60</v>
      </c>
      <c r="M446" s="4">
        <v>10</v>
      </c>
      <c r="N446" s="4">
        <v>55000</v>
      </c>
      <c r="O446" s="4">
        <v>5</v>
      </c>
      <c r="P446" s="4">
        <v>522500</v>
      </c>
      <c r="Q446" s="4">
        <v>5</v>
      </c>
      <c r="R446" s="4" t="s">
        <v>88</v>
      </c>
      <c r="S446" s="4" t="s">
        <v>115</v>
      </c>
      <c r="T446" s="4" t="s">
        <v>62</v>
      </c>
      <c r="U446" s="6" t="s">
        <v>1903</v>
      </c>
      <c r="V446" s="4" t="s">
        <v>38</v>
      </c>
    </row>
    <row r="447" spans="1:22">
      <c r="A447" s="7" t="s">
        <v>1904</v>
      </c>
      <c r="B447" s="8" t="s">
        <v>221</v>
      </c>
      <c r="C447" s="8" t="s">
        <v>259</v>
      </c>
      <c r="D447" s="8" t="s">
        <v>1905</v>
      </c>
      <c r="E447" s="8" t="s">
        <v>881</v>
      </c>
      <c r="F447" s="8" t="s">
        <v>225</v>
      </c>
      <c r="G447" s="8" t="s">
        <v>76</v>
      </c>
      <c r="H447" s="8" t="s">
        <v>1906</v>
      </c>
      <c r="I447" s="8" t="s">
        <v>30</v>
      </c>
      <c r="J447" s="8" t="s">
        <v>31</v>
      </c>
      <c r="K447" s="8" t="s">
        <v>122</v>
      </c>
      <c r="L447" s="8" t="s">
        <v>263</v>
      </c>
      <c r="M447" s="8">
        <v>20</v>
      </c>
      <c r="N447" s="8">
        <v>45</v>
      </c>
      <c r="O447" s="8">
        <v>15</v>
      </c>
      <c r="P447" s="8">
        <v>765</v>
      </c>
      <c r="Q447" s="8">
        <v>2</v>
      </c>
      <c r="R447" s="8" t="s">
        <v>79</v>
      </c>
      <c r="S447" s="8" t="s">
        <v>35</v>
      </c>
      <c r="T447" s="8" t="s">
        <v>228</v>
      </c>
      <c r="U447" s="9" t="s">
        <v>1907</v>
      </c>
      <c r="V447" s="8" t="s">
        <v>69</v>
      </c>
    </row>
    <row r="448" spans="1:22">
      <c r="A448" s="3" t="s">
        <v>1908</v>
      </c>
      <c r="B448" s="4" t="s">
        <v>23</v>
      </c>
      <c r="C448" s="4" t="s">
        <v>222</v>
      </c>
      <c r="D448" s="4" t="s">
        <v>314</v>
      </c>
      <c r="E448" s="4" t="s">
        <v>170</v>
      </c>
      <c r="F448" s="4" t="s">
        <v>27</v>
      </c>
      <c r="G448" s="4" t="s">
        <v>28</v>
      </c>
      <c r="H448" s="4" t="s">
        <v>1909</v>
      </c>
      <c r="I448" s="4" t="s">
        <v>105</v>
      </c>
      <c r="J448" s="4" t="s">
        <v>106</v>
      </c>
      <c r="K448" s="4" t="s">
        <v>122</v>
      </c>
      <c r="L448" s="4" t="s">
        <v>227</v>
      </c>
      <c r="M448" s="4">
        <v>9</v>
      </c>
      <c r="N448" s="4">
        <v>20</v>
      </c>
      <c r="O448" s="4">
        <v>20</v>
      </c>
      <c r="P448" s="4">
        <v>144</v>
      </c>
      <c r="Q448" s="4">
        <v>3</v>
      </c>
      <c r="R448" s="4" t="s">
        <v>79</v>
      </c>
      <c r="S448" s="4" t="s">
        <v>61</v>
      </c>
      <c r="T448" s="4" t="s">
        <v>50</v>
      </c>
      <c r="U448" s="6" t="s">
        <v>1910</v>
      </c>
      <c r="V448" s="4" t="s">
        <v>38</v>
      </c>
    </row>
    <row r="449" spans="1:22">
      <c r="A449" s="7" t="s">
        <v>1911</v>
      </c>
      <c r="B449" s="8" t="s">
        <v>23</v>
      </c>
      <c r="C449" s="8" t="s">
        <v>54</v>
      </c>
      <c r="D449" s="8" t="s">
        <v>1912</v>
      </c>
      <c r="E449" s="8" t="s">
        <v>910</v>
      </c>
      <c r="F449" s="8" t="s">
        <v>27</v>
      </c>
      <c r="G449" s="8" t="s">
        <v>28</v>
      </c>
      <c r="H449" s="8" t="s">
        <v>1913</v>
      </c>
      <c r="I449" s="8" t="s">
        <v>114</v>
      </c>
      <c r="J449" s="8" t="s">
        <v>106</v>
      </c>
      <c r="K449" s="8" t="s">
        <v>46</v>
      </c>
      <c r="L449" s="8" t="s">
        <v>60</v>
      </c>
      <c r="M449" s="8">
        <v>8</v>
      </c>
      <c r="N449" s="8">
        <v>55000</v>
      </c>
      <c r="O449" s="8">
        <v>0</v>
      </c>
      <c r="P449" s="8">
        <v>440000</v>
      </c>
      <c r="Q449" s="8">
        <v>4</v>
      </c>
      <c r="R449" s="8" t="s">
        <v>34</v>
      </c>
      <c r="S449" s="8" t="s">
        <v>115</v>
      </c>
      <c r="T449" s="8" t="s">
        <v>50</v>
      </c>
      <c r="U449" s="9" t="s">
        <v>1914</v>
      </c>
      <c r="V449" s="8" t="s">
        <v>38</v>
      </c>
    </row>
    <row r="450" spans="1:22">
      <c r="A450" s="3" t="s">
        <v>1915</v>
      </c>
      <c r="B450" s="4" t="s">
        <v>327</v>
      </c>
      <c r="C450" s="4" t="s">
        <v>72</v>
      </c>
      <c r="D450" s="4" t="s">
        <v>1916</v>
      </c>
      <c r="E450" s="4" t="s">
        <v>1430</v>
      </c>
      <c r="F450" s="4" t="s">
        <v>394</v>
      </c>
      <c r="G450" s="4" t="s">
        <v>76</v>
      </c>
      <c r="H450" s="4" t="s">
        <v>1917</v>
      </c>
      <c r="I450" s="4" t="s">
        <v>138</v>
      </c>
      <c r="J450" s="4" t="s">
        <v>106</v>
      </c>
      <c r="K450" s="4" t="s">
        <v>46</v>
      </c>
      <c r="L450" s="4" t="s">
        <v>78</v>
      </c>
      <c r="M450" s="4">
        <v>4</v>
      </c>
      <c r="N450" s="4">
        <v>1200</v>
      </c>
      <c r="O450" s="4">
        <v>10</v>
      </c>
      <c r="P450" s="4">
        <v>4320</v>
      </c>
      <c r="Q450" s="4">
        <v>4</v>
      </c>
      <c r="R450" s="4" t="s">
        <v>88</v>
      </c>
      <c r="S450" s="4" t="s">
        <v>35</v>
      </c>
      <c r="T450" s="5" t="s">
        <v>1918</v>
      </c>
      <c r="U450" s="6" t="s">
        <v>1919</v>
      </c>
      <c r="V450" s="4" t="s">
        <v>69</v>
      </c>
    </row>
    <row r="451" spans="1:22">
      <c r="A451" s="7" t="s">
        <v>1920</v>
      </c>
      <c r="B451" s="8" t="s">
        <v>327</v>
      </c>
      <c r="C451" s="8" t="s">
        <v>169</v>
      </c>
      <c r="D451" s="8" t="s">
        <v>518</v>
      </c>
      <c r="E451" s="8" t="s">
        <v>426</v>
      </c>
      <c r="F451" s="8" t="s">
        <v>394</v>
      </c>
      <c r="G451" s="8" t="s">
        <v>76</v>
      </c>
      <c r="H451" s="8" t="s">
        <v>1921</v>
      </c>
      <c r="I451" s="8" t="s">
        <v>294</v>
      </c>
      <c r="J451" s="8" t="s">
        <v>295</v>
      </c>
      <c r="K451" s="8" t="s">
        <v>32</v>
      </c>
      <c r="L451" s="8" t="s">
        <v>174</v>
      </c>
      <c r="M451" s="8">
        <v>14</v>
      </c>
      <c r="N451" s="8">
        <v>8500</v>
      </c>
      <c r="O451" s="8">
        <v>10</v>
      </c>
      <c r="P451" s="8">
        <v>107100</v>
      </c>
      <c r="Q451" s="8">
        <v>4</v>
      </c>
      <c r="R451" s="8" t="s">
        <v>34</v>
      </c>
      <c r="S451" s="8" t="s">
        <v>35</v>
      </c>
      <c r="T451" s="8" t="s">
        <v>332</v>
      </c>
      <c r="U451" s="9" t="s">
        <v>1922</v>
      </c>
      <c r="V451" s="8" t="s">
        <v>38</v>
      </c>
    </row>
    <row r="452" spans="1:22">
      <c r="A452" s="3" t="s">
        <v>1923</v>
      </c>
      <c r="B452" s="4" t="s">
        <v>71</v>
      </c>
      <c r="C452" s="4" t="s">
        <v>259</v>
      </c>
      <c r="D452" s="4" t="s">
        <v>683</v>
      </c>
      <c r="E452" s="4" t="s">
        <v>1924</v>
      </c>
      <c r="F452" s="4" t="s">
        <v>217</v>
      </c>
      <c r="G452" s="4" t="s">
        <v>76</v>
      </c>
      <c r="H452" s="4" t="s">
        <v>1925</v>
      </c>
      <c r="I452" s="4" t="s">
        <v>30</v>
      </c>
      <c r="J452" s="4" t="s">
        <v>31</v>
      </c>
      <c r="K452" s="4" t="s">
        <v>122</v>
      </c>
      <c r="L452" s="4" t="s">
        <v>263</v>
      </c>
      <c r="M452" s="4">
        <v>1</v>
      </c>
      <c r="N452" s="4">
        <v>45</v>
      </c>
      <c r="O452" s="4">
        <v>0</v>
      </c>
      <c r="P452" s="4">
        <v>45</v>
      </c>
      <c r="Q452" s="4">
        <v>3</v>
      </c>
      <c r="R452" s="4" t="s">
        <v>88</v>
      </c>
      <c r="S452" s="4" t="s">
        <v>151</v>
      </c>
      <c r="T452" s="4" t="s">
        <v>80</v>
      </c>
      <c r="U452" s="6" t="s">
        <v>1926</v>
      </c>
      <c r="V452" s="4" t="s">
        <v>69</v>
      </c>
    </row>
    <row r="453" spans="1:22">
      <c r="A453" s="7" t="s">
        <v>1927</v>
      </c>
      <c r="B453" s="8" t="s">
        <v>71</v>
      </c>
      <c r="C453" s="8" t="s">
        <v>54</v>
      </c>
      <c r="D453" s="8" t="s">
        <v>901</v>
      </c>
      <c r="E453" s="8" t="s">
        <v>1069</v>
      </c>
      <c r="F453" s="8" t="s">
        <v>217</v>
      </c>
      <c r="G453" s="8" t="s">
        <v>76</v>
      </c>
      <c r="H453" s="8" t="s">
        <v>1928</v>
      </c>
      <c r="I453" s="8" t="s">
        <v>44</v>
      </c>
      <c r="J453" s="8" t="s">
        <v>45</v>
      </c>
      <c r="K453" s="8" t="s">
        <v>46</v>
      </c>
      <c r="L453" s="8" t="s">
        <v>60</v>
      </c>
      <c r="M453" s="8">
        <v>16</v>
      </c>
      <c r="N453" s="8">
        <v>55000</v>
      </c>
      <c r="O453" s="8">
        <v>15</v>
      </c>
      <c r="P453" s="8">
        <v>748000</v>
      </c>
      <c r="Q453" s="8">
        <v>1</v>
      </c>
      <c r="R453" s="8" t="s">
        <v>79</v>
      </c>
      <c r="S453" s="8" t="s">
        <v>151</v>
      </c>
      <c r="T453" s="8" t="s">
        <v>80</v>
      </c>
      <c r="U453" s="9" t="s">
        <v>1929</v>
      </c>
      <c r="V453" s="8" t="s">
        <v>69</v>
      </c>
    </row>
    <row r="454" spans="1:22">
      <c r="A454" s="3" t="s">
        <v>1930</v>
      </c>
      <c r="B454" s="4" t="s">
        <v>53</v>
      </c>
      <c r="C454" s="4" t="s">
        <v>184</v>
      </c>
      <c r="D454" s="4" t="s">
        <v>1931</v>
      </c>
      <c r="E454" s="4" t="s">
        <v>1932</v>
      </c>
      <c r="F454" s="4" t="s">
        <v>163</v>
      </c>
      <c r="G454" s="4" t="s">
        <v>28</v>
      </c>
      <c r="H454" s="4" t="s">
        <v>1933</v>
      </c>
      <c r="I454" s="4" t="s">
        <v>138</v>
      </c>
      <c r="J454" s="4" t="s">
        <v>106</v>
      </c>
      <c r="K454" s="4" t="s">
        <v>46</v>
      </c>
      <c r="L454" s="4" t="s">
        <v>189</v>
      </c>
      <c r="M454" s="4">
        <v>8</v>
      </c>
      <c r="N454" s="4">
        <v>700</v>
      </c>
      <c r="O454" s="4">
        <v>0</v>
      </c>
      <c r="P454" s="4">
        <v>5600</v>
      </c>
      <c r="Q454" s="4">
        <v>3</v>
      </c>
      <c r="R454" s="4" t="s">
        <v>34</v>
      </c>
      <c r="S454" s="4" t="s">
        <v>49</v>
      </c>
      <c r="T454" s="4" t="s">
        <v>62</v>
      </c>
      <c r="U454" s="6" t="s">
        <v>1934</v>
      </c>
      <c r="V454" s="4" t="s">
        <v>38</v>
      </c>
    </row>
    <row r="455" spans="1:22">
      <c r="A455" s="7" t="s">
        <v>1935</v>
      </c>
      <c r="B455" s="8" t="s">
        <v>251</v>
      </c>
      <c r="C455" s="8" t="s">
        <v>72</v>
      </c>
      <c r="D455" s="8" t="s">
        <v>66</v>
      </c>
      <c r="E455" s="8" t="s">
        <v>1936</v>
      </c>
      <c r="F455" s="8" t="s">
        <v>254</v>
      </c>
      <c r="G455" s="8" t="s">
        <v>28</v>
      </c>
      <c r="H455" s="8" t="s">
        <v>1937</v>
      </c>
      <c r="I455" s="8" t="s">
        <v>138</v>
      </c>
      <c r="J455" s="8" t="s">
        <v>106</v>
      </c>
      <c r="K455" s="8" t="s">
        <v>46</v>
      </c>
      <c r="L455" s="8" t="s">
        <v>78</v>
      </c>
      <c r="M455" s="8">
        <v>3</v>
      </c>
      <c r="N455" s="8">
        <v>1200</v>
      </c>
      <c r="O455" s="8">
        <v>0</v>
      </c>
      <c r="P455" s="8">
        <v>3600</v>
      </c>
      <c r="Q455" s="8">
        <v>1</v>
      </c>
      <c r="R455" s="8" t="s">
        <v>79</v>
      </c>
      <c r="S455" s="8" t="s">
        <v>49</v>
      </c>
      <c r="T455" s="8" t="s">
        <v>256</v>
      </c>
      <c r="U455" s="9" t="s">
        <v>1938</v>
      </c>
      <c r="V455" s="8" t="s">
        <v>69</v>
      </c>
    </row>
    <row r="456" spans="1:22">
      <c r="A456" s="3" t="s">
        <v>1939</v>
      </c>
      <c r="B456" s="4" t="s">
        <v>71</v>
      </c>
      <c r="C456" s="4" t="s">
        <v>92</v>
      </c>
      <c r="D456" s="4" t="s">
        <v>988</v>
      </c>
      <c r="E456" s="4" t="s">
        <v>387</v>
      </c>
      <c r="F456" s="4" t="s">
        <v>217</v>
      </c>
      <c r="G456" s="4" t="s">
        <v>76</v>
      </c>
      <c r="H456" s="4" t="s">
        <v>1940</v>
      </c>
      <c r="I456" s="4" t="s">
        <v>294</v>
      </c>
      <c r="J456" s="4" t="s">
        <v>295</v>
      </c>
      <c r="K456" s="4" t="s">
        <v>32</v>
      </c>
      <c r="L456" s="4" t="s">
        <v>97</v>
      </c>
      <c r="M456" s="4">
        <v>7</v>
      </c>
      <c r="N456" s="4">
        <v>3500</v>
      </c>
      <c r="O456" s="4">
        <v>15</v>
      </c>
      <c r="P456" s="4">
        <v>20825</v>
      </c>
      <c r="Q456" s="4">
        <v>4</v>
      </c>
      <c r="R456" s="4" t="s">
        <v>79</v>
      </c>
      <c r="S456" s="4" t="s">
        <v>61</v>
      </c>
      <c r="T456" s="4" t="s">
        <v>80</v>
      </c>
      <c r="U456" s="6" t="s">
        <v>1941</v>
      </c>
      <c r="V456" s="4" t="s">
        <v>64</v>
      </c>
    </row>
    <row r="457" spans="1:22">
      <c r="A457" s="7" t="s">
        <v>1942</v>
      </c>
      <c r="B457" s="8" t="s">
        <v>53</v>
      </c>
      <c r="C457" s="8" t="s">
        <v>54</v>
      </c>
      <c r="D457" s="8" t="s">
        <v>1932</v>
      </c>
      <c r="E457" s="8" t="s">
        <v>740</v>
      </c>
      <c r="F457" s="8" t="s">
        <v>163</v>
      </c>
      <c r="G457" s="8" t="s">
        <v>28</v>
      </c>
      <c r="H457" s="8" t="s">
        <v>1943</v>
      </c>
      <c r="I457" s="8" t="s">
        <v>114</v>
      </c>
      <c r="J457" s="8" t="s">
        <v>106</v>
      </c>
      <c r="K457" s="8" t="s">
        <v>46</v>
      </c>
      <c r="L457" s="8" t="s">
        <v>60</v>
      </c>
      <c r="M457" s="8">
        <v>9</v>
      </c>
      <c r="N457" s="8">
        <v>55000</v>
      </c>
      <c r="O457" s="8">
        <v>15</v>
      </c>
      <c r="P457" s="8">
        <v>420750</v>
      </c>
      <c r="Q457" s="8">
        <v>3</v>
      </c>
      <c r="R457" s="8" t="s">
        <v>88</v>
      </c>
      <c r="S457" s="8" t="s">
        <v>35</v>
      </c>
      <c r="T457" s="8" t="s">
        <v>62</v>
      </c>
      <c r="U457" s="9" t="s">
        <v>1944</v>
      </c>
      <c r="V457" s="8" t="s">
        <v>69</v>
      </c>
    </row>
    <row r="458" spans="1:22">
      <c r="A458" s="3" t="s">
        <v>1945</v>
      </c>
      <c r="B458" s="4" t="s">
        <v>327</v>
      </c>
      <c r="C458" s="4" t="s">
        <v>40</v>
      </c>
      <c r="D458" s="4" t="s">
        <v>185</v>
      </c>
      <c r="E458" s="4" t="s">
        <v>918</v>
      </c>
      <c r="F458" s="4" t="s">
        <v>394</v>
      </c>
      <c r="G458" s="4" t="s">
        <v>76</v>
      </c>
      <c r="H458" s="4" t="s">
        <v>1946</v>
      </c>
      <c r="I458" s="4" t="s">
        <v>59</v>
      </c>
      <c r="J458" s="4" t="s">
        <v>31</v>
      </c>
      <c r="K458" s="4" t="s">
        <v>46</v>
      </c>
      <c r="L458" s="4" t="s">
        <v>47</v>
      </c>
      <c r="M458" s="4">
        <v>12</v>
      </c>
      <c r="N458" s="4">
        <v>12000</v>
      </c>
      <c r="O458" s="4">
        <v>0</v>
      </c>
      <c r="P458" s="4">
        <v>144000</v>
      </c>
      <c r="Q458" s="4">
        <v>3</v>
      </c>
      <c r="R458" s="4" t="s">
        <v>79</v>
      </c>
      <c r="S458" s="4" t="s">
        <v>151</v>
      </c>
      <c r="T458" s="4" t="s">
        <v>332</v>
      </c>
      <c r="U458" s="6" t="s">
        <v>1947</v>
      </c>
      <c r="V458" s="4" t="s">
        <v>69</v>
      </c>
    </row>
    <row r="459" spans="1:22">
      <c r="A459" s="7" t="s">
        <v>1948</v>
      </c>
      <c r="B459" s="8" t="s">
        <v>100</v>
      </c>
      <c r="C459" s="8" t="s">
        <v>118</v>
      </c>
      <c r="D459" s="8" t="s">
        <v>42</v>
      </c>
      <c r="E459" s="8" t="s">
        <v>597</v>
      </c>
      <c r="F459" s="8" t="s">
        <v>103</v>
      </c>
      <c r="G459" s="8" t="s">
        <v>28</v>
      </c>
      <c r="H459" s="8" t="s">
        <v>1949</v>
      </c>
      <c r="I459" s="8" t="s">
        <v>138</v>
      </c>
      <c r="J459" s="8" t="s">
        <v>106</v>
      </c>
      <c r="K459" s="8" t="s">
        <v>122</v>
      </c>
      <c r="L459" s="8" t="s">
        <v>123</v>
      </c>
      <c r="M459" s="8">
        <v>7</v>
      </c>
      <c r="N459" s="8">
        <v>60</v>
      </c>
      <c r="O459" s="8">
        <v>10</v>
      </c>
      <c r="P459" s="8">
        <v>378</v>
      </c>
      <c r="Q459" s="8">
        <v>4</v>
      </c>
      <c r="R459" s="8" t="s">
        <v>34</v>
      </c>
      <c r="S459" s="8" t="s">
        <v>49</v>
      </c>
      <c r="T459" s="8" t="s">
        <v>144</v>
      </c>
      <c r="U459" s="9" t="s">
        <v>1950</v>
      </c>
      <c r="V459" s="8" t="s">
        <v>69</v>
      </c>
    </row>
    <row r="460" spans="1:22">
      <c r="A460" s="3" t="s">
        <v>1951</v>
      </c>
      <c r="B460" s="4" t="s">
        <v>221</v>
      </c>
      <c r="C460" s="4" t="s">
        <v>24</v>
      </c>
      <c r="D460" s="4" t="s">
        <v>377</v>
      </c>
      <c r="E460" s="4" t="s">
        <v>674</v>
      </c>
      <c r="F460" s="4" t="s">
        <v>225</v>
      </c>
      <c r="G460" s="4" t="s">
        <v>76</v>
      </c>
      <c r="H460" s="4" t="s">
        <v>1952</v>
      </c>
      <c r="I460" s="4" t="s">
        <v>105</v>
      </c>
      <c r="J460" s="4" t="s">
        <v>106</v>
      </c>
      <c r="K460" s="4" t="s">
        <v>32</v>
      </c>
      <c r="L460" s="4" t="s">
        <v>33</v>
      </c>
      <c r="M460" s="4">
        <v>17</v>
      </c>
      <c r="N460" s="4">
        <v>2200</v>
      </c>
      <c r="O460" s="4">
        <v>15</v>
      </c>
      <c r="P460" s="4">
        <v>31790</v>
      </c>
      <c r="Q460" s="4">
        <v>3</v>
      </c>
      <c r="R460" s="4" t="s">
        <v>88</v>
      </c>
      <c r="S460" s="4" t="s">
        <v>151</v>
      </c>
      <c r="T460" s="4" t="s">
        <v>228</v>
      </c>
      <c r="U460" s="6" t="s">
        <v>1953</v>
      </c>
      <c r="V460" s="4" t="s">
        <v>64</v>
      </c>
    </row>
    <row r="461" spans="1:22">
      <c r="A461" s="7" t="s">
        <v>1954</v>
      </c>
      <c r="B461" s="8" t="s">
        <v>327</v>
      </c>
      <c r="C461" s="8" t="s">
        <v>184</v>
      </c>
      <c r="D461" s="8" t="s">
        <v>351</v>
      </c>
      <c r="E461" s="8" t="s">
        <v>1537</v>
      </c>
      <c r="F461" s="8" t="s">
        <v>394</v>
      </c>
      <c r="G461" s="8" t="s">
        <v>76</v>
      </c>
      <c r="H461" s="8" t="s">
        <v>1955</v>
      </c>
      <c r="I461" s="8" t="s">
        <v>59</v>
      </c>
      <c r="J461" s="8" t="s">
        <v>31</v>
      </c>
      <c r="K461" s="8" t="s">
        <v>46</v>
      </c>
      <c r="L461" s="8" t="s">
        <v>189</v>
      </c>
      <c r="M461" s="8">
        <v>17</v>
      </c>
      <c r="N461" s="8">
        <v>700</v>
      </c>
      <c r="O461" s="8">
        <v>10</v>
      </c>
      <c r="P461" s="8">
        <v>10710</v>
      </c>
      <c r="Q461" s="8">
        <v>2</v>
      </c>
      <c r="R461" s="8" t="s">
        <v>34</v>
      </c>
      <c r="S461" s="8" t="s">
        <v>61</v>
      </c>
      <c r="T461" s="8" t="s">
        <v>332</v>
      </c>
      <c r="U461" s="9" t="s">
        <v>1956</v>
      </c>
      <c r="V461" s="8" t="s">
        <v>64</v>
      </c>
    </row>
    <row r="462" spans="1:22">
      <c r="A462" s="3" t="s">
        <v>1957</v>
      </c>
      <c r="B462" s="4" t="s">
        <v>327</v>
      </c>
      <c r="C462" s="4" t="s">
        <v>54</v>
      </c>
      <c r="D462" s="4" t="s">
        <v>1958</v>
      </c>
      <c r="E462" s="4" t="s">
        <v>1188</v>
      </c>
      <c r="F462" s="4" t="s">
        <v>394</v>
      </c>
      <c r="G462" s="4" t="s">
        <v>76</v>
      </c>
      <c r="H462" s="4" t="s">
        <v>1959</v>
      </c>
      <c r="I462" s="4" t="s">
        <v>44</v>
      </c>
      <c r="J462" s="4" t="s">
        <v>45</v>
      </c>
      <c r="K462" s="4" t="s">
        <v>46</v>
      </c>
      <c r="L462" s="4" t="s">
        <v>60</v>
      </c>
      <c r="M462" s="4">
        <v>19</v>
      </c>
      <c r="N462" s="4">
        <v>55000</v>
      </c>
      <c r="O462" s="4">
        <v>20</v>
      </c>
      <c r="P462" s="4">
        <v>836000</v>
      </c>
      <c r="Q462" s="4">
        <v>5</v>
      </c>
      <c r="R462" s="4" t="s">
        <v>48</v>
      </c>
      <c r="S462" s="4" t="s">
        <v>61</v>
      </c>
      <c r="T462" s="4" t="s">
        <v>332</v>
      </c>
      <c r="U462" s="6" t="s">
        <v>1960</v>
      </c>
      <c r="V462" s="4" t="s">
        <v>38</v>
      </c>
    </row>
    <row r="463" spans="1:22">
      <c r="A463" s="7" t="s">
        <v>1961</v>
      </c>
      <c r="B463" s="8" t="s">
        <v>127</v>
      </c>
      <c r="C463" s="8" t="s">
        <v>118</v>
      </c>
      <c r="D463" s="8" t="s">
        <v>1172</v>
      </c>
      <c r="E463" s="8" t="s">
        <v>128</v>
      </c>
      <c r="F463" s="8" t="s">
        <v>200</v>
      </c>
      <c r="G463" s="8" t="s">
        <v>76</v>
      </c>
      <c r="H463" s="8" t="s">
        <v>1962</v>
      </c>
      <c r="I463" s="8" t="s">
        <v>44</v>
      </c>
      <c r="J463" s="8" t="s">
        <v>45</v>
      </c>
      <c r="K463" s="8" t="s">
        <v>122</v>
      </c>
      <c r="L463" s="8" t="s">
        <v>123</v>
      </c>
      <c r="M463" s="8">
        <v>1</v>
      </c>
      <c r="N463" s="8">
        <v>60</v>
      </c>
      <c r="O463" s="8">
        <v>10</v>
      </c>
      <c r="P463" s="8">
        <v>54</v>
      </c>
      <c r="Q463" s="8">
        <v>4</v>
      </c>
      <c r="R463" s="8" t="s">
        <v>48</v>
      </c>
      <c r="S463" s="8"/>
      <c r="T463" s="10" t="s">
        <v>1963</v>
      </c>
      <c r="U463" s="9" t="s">
        <v>1964</v>
      </c>
      <c r="V463" s="8" t="s">
        <v>69</v>
      </c>
    </row>
    <row r="464" spans="1:22">
      <c r="A464" s="3" t="s">
        <v>1965</v>
      </c>
      <c r="B464" s="4" t="s">
        <v>71</v>
      </c>
      <c r="C464" s="4" t="s">
        <v>92</v>
      </c>
      <c r="D464" s="4" t="s">
        <v>1142</v>
      </c>
      <c r="E464" s="4" t="s">
        <v>554</v>
      </c>
      <c r="F464" s="4" t="s">
        <v>217</v>
      </c>
      <c r="G464" s="4" t="s">
        <v>76</v>
      </c>
      <c r="H464" s="4" t="s">
        <v>1966</v>
      </c>
      <c r="I464" s="4" t="s">
        <v>30</v>
      </c>
      <c r="J464" s="4" t="s">
        <v>31</v>
      </c>
      <c r="K464" s="4" t="s">
        <v>32</v>
      </c>
      <c r="L464" s="4" t="s">
        <v>97</v>
      </c>
      <c r="M464" s="4">
        <v>16</v>
      </c>
      <c r="N464" s="4">
        <v>3500</v>
      </c>
      <c r="O464" s="4">
        <v>0</v>
      </c>
      <c r="P464" s="4">
        <v>56000</v>
      </c>
      <c r="Q464" s="4">
        <v>4</v>
      </c>
      <c r="R464" s="4" t="s">
        <v>48</v>
      </c>
      <c r="S464" s="4" t="s">
        <v>35</v>
      </c>
      <c r="T464" s="4" t="s">
        <v>80</v>
      </c>
      <c r="U464" s="6" t="s">
        <v>1967</v>
      </c>
      <c r="V464" s="4" t="s">
        <v>64</v>
      </c>
    </row>
    <row r="465" spans="1:22">
      <c r="A465" s="7" t="s">
        <v>1968</v>
      </c>
      <c r="B465" s="8" t="s">
        <v>127</v>
      </c>
      <c r="C465" s="8" t="s">
        <v>222</v>
      </c>
      <c r="D465" s="8" t="s">
        <v>957</v>
      </c>
      <c r="E465" s="8" t="s">
        <v>766</v>
      </c>
      <c r="F465" s="8" t="s">
        <v>200</v>
      </c>
      <c r="G465" s="8" t="s">
        <v>76</v>
      </c>
      <c r="H465" s="8" t="s">
        <v>1295</v>
      </c>
      <c r="I465" s="8" t="s">
        <v>114</v>
      </c>
      <c r="J465" s="8" t="s">
        <v>106</v>
      </c>
      <c r="K465" s="8" t="s">
        <v>122</v>
      </c>
      <c r="L465" s="8" t="s">
        <v>227</v>
      </c>
      <c r="M465" s="8">
        <v>14</v>
      </c>
      <c r="N465" s="8">
        <v>20</v>
      </c>
      <c r="O465" s="8">
        <v>10</v>
      </c>
      <c r="P465" s="8">
        <v>252</v>
      </c>
      <c r="Q465" s="8">
        <v>1</v>
      </c>
      <c r="R465" s="8" t="s">
        <v>48</v>
      </c>
      <c r="S465" s="8" t="s">
        <v>61</v>
      </c>
      <c r="T465" s="8" t="s">
        <v>132</v>
      </c>
      <c r="U465" s="9" t="s">
        <v>1969</v>
      </c>
      <c r="V465" s="8" t="s">
        <v>64</v>
      </c>
    </row>
    <row r="466" spans="1:22">
      <c r="A466" s="3" t="s">
        <v>1970</v>
      </c>
      <c r="B466" s="4" t="s">
        <v>71</v>
      </c>
      <c r="C466" s="4" t="s">
        <v>24</v>
      </c>
      <c r="D466" s="4" t="s">
        <v>473</v>
      </c>
      <c r="E466" s="4" t="s">
        <v>454</v>
      </c>
      <c r="F466" s="4" t="s">
        <v>217</v>
      </c>
      <c r="G466" s="4" t="s">
        <v>76</v>
      </c>
      <c r="H466" s="4" t="s">
        <v>1971</v>
      </c>
      <c r="I466" s="4" t="s">
        <v>59</v>
      </c>
      <c r="J466" s="4" t="s">
        <v>31</v>
      </c>
      <c r="K466" s="4" t="s">
        <v>32</v>
      </c>
      <c r="L466" s="4" t="s">
        <v>33</v>
      </c>
      <c r="M466" s="4">
        <v>11</v>
      </c>
      <c r="N466" s="4">
        <v>2200</v>
      </c>
      <c r="O466" s="4">
        <v>15</v>
      </c>
      <c r="P466" s="4">
        <v>20570</v>
      </c>
      <c r="Q466" s="4">
        <v>4</v>
      </c>
      <c r="R466" s="4" t="s">
        <v>48</v>
      </c>
      <c r="S466" s="4" t="s">
        <v>49</v>
      </c>
      <c r="T466" s="4" t="s">
        <v>80</v>
      </c>
      <c r="U466" s="6" t="s">
        <v>1972</v>
      </c>
      <c r="V466" s="4" t="s">
        <v>69</v>
      </c>
    </row>
    <row r="467" spans="1:22">
      <c r="A467" s="7" t="s">
        <v>1973</v>
      </c>
      <c r="B467" s="8" t="s">
        <v>83</v>
      </c>
      <c r="C467" s="8" t="s">
        <v>54</v>
      </c>
      <c r="D467" s="8" t="s">
        <v>756</v>
      </c>
      <c r="E467" s="8" t="s">
        <v>1282</v>
      </c>
      <c r="F467" s="8" t="s">
        <v>180</v>
      </c>
      <c r="G467" s="8" t="s">
        <v>76</v>
      </c>
      <c r="H467" s="8" t="s">
        <v>1974</v>
      </c>
      <c r="I467" s="8" t="s">
        <v>212</v>
      </c>
      <c r="J467" s="8" t="s">
        <v>45</v>
      </c>
      <c r="K467" s="8" t="s">
        <v>46</v>
      </c>
      <c r="L467" s="8" t="s">
        <v>60</v>
      </c>
      <c r="M467" s="8">
        <v>2</v>
      </c>
      <c r="N467" s="8">
        <v>55000</v>
      </c>
      <c r="O467" s="8">
        <v>0</v>
      </c>
      <c r="P467" s="8">
        <v>110000</v>
      </c>
      <c r="Q467" s="8">
        <v>4</v>
      </c>
      <c r="R467" s="8" t="s">
        <v>48</v>
      </c>
      <c r="S467" s="8" t="s">
        <v>49</v>
      </c>
      <c r="T467" s="8" t="s">
        <v>89</v>
      </c>
      <c r="U467" s="9" t="s">
        <v>1975</v>
      </c>
      <c r="V467" s="8" t="s">
        <v>69</v>
      </c>
    </row>
    <row r="468" spans="1:22">
      <c r="A468" s="3" t="s">
        <v>1976</v>
      </c>
      <c r="B468" s="4" t="s">
        <v>53</v>
      </c>
      <c r="C468" s="4" t="s">
        <v>24</v>
      </c>
      <c r="D468" s="4" t="s">
        <v>512</v>
      </c>
      <c r="E468" s="4" t="s">
        <v>513</v>
      </c>
      <c r="F468" s="4" t="s">
        <v>163</v>
      </c>
      <c r="G468" s="4" t="s">
        <v>28</v>
      </c>
      <c r="H468" s="4" t="s">
        <v>1977</v>
      </c>
      <c r="I468" s="4" t="s">
        <v>114</v>
      </c>
      <c r="J468" s="4" t="s">
        <v>106</v>
      </c>
      <c r="K468" s="4" t="s">
        <v>32</v>
      </c>
      <c r="L468" s="4" t="s">
        <v>33</v>
      </c>
      <c r="M468" s="4">
        <v>7</v>
      </c>
      <c r="N468" s="4">
        <v>2200</v>
      </c>
      <c r="O468" s="4">
        <v>5</v>
      </c>
      <c r="P468" s="4">
        <v>14630</v>
      </c>
      <c r="Q468" s="4">
        <v>4</v>
      </c>
      <c r="R468" s="4" t="s">
        <v>79</v>
      </c>
      <c r="S468" s="4" t="s">
        <v>115</v>
      </c>
      <c r="T468" s="4" t="s">
        <v>62</v>
      </c>
      <c r="U468" s="6" t="s">
        <v>1978</v>
      </c>
      <c r="V468" s="4" t="s">
        <v>69</v>
      </c>
    </row>
    <row r="469" spans="1:22">
      <c r="A469" s="7" t="s">
        <v>1979</v>
      </c>
      <c r="B469" s="8" t="s">
        <v>23</v>
      </c>
      <c r="C469" s="8" t="s">
        <v>259</v>
      </c>
      <c r="D469" s="8" t="s">
        <v>1507</v>
      </c>
      <c r="E469" s="8" t="s">
        <v>577</v>
      </c>
      <c r="F469" s="8" t="s">
        <v>27</v>
      </c>
      <c r="G469" s="8" t="s">
        <v>28</v>
      </c>
      <c r="H469" s="8" t="s">
        <v>1980</v>
      </c>
      <c r="I469" s="8" t="s">
        <v>138</v>
      </c>
      <c r="J469" s="8" t="s">
        <v>106</v>
      </c>
      <c r="K469" s="8" t="s">
        <v>122</v>
      </c>
      <c r="L469" s="8" t="s">
        <v>263</v>
      </c>
      <c r="M469" s="8">
        <v>11</v>
      </c>
      <c r="N469" s="8">
        <v>45</v>
      </c>
      <c r="O469" s="8">
        <v>15</v>
      </c>
      <c r="P469" s="8">
        <v>420.75</v>
      </c>
      <c r="Q469" s="8">
        <v>4</v>
      </c>
      <c r="R469" s="8" t="s">
        <v>79</v>
      </c>
      <c r="S469" s="8" t="s">
        <v>61</v>
      </c>
      <c r="T469" s="8" t="s">
        <v>50</v>
      </c>
      <c r="U469" s="9" t="s">
        <v>1981</v>
      </c>
      <c r="V469" s="8" t="s">
        <v>64</v>
      </c>
    </row>
    <row r="470" spans="1:22">
      <c r="A470" s="3" t="s">
        <v>1982</v>
      </c>
      <c r="B470" s="4" t="s">
        <v>100</v>
      </c>
      <c r="C470" s="4" t="s">
        <v>118</v>
      </c>
      <c r="D470" s="4" t="s">
        <v>1114</v>
      </c>
      <c r="E470" s="4" t="s">
        <v>210</v>
      </c>
      <c r="F470" s="4" t="s">
        <v>103</v>
      </c>
      <c r="G470" s="4" t="s">
        <v>28</v>
      </c>
      <c r="H470" s="4" t="s">
        <v>1983</v>
      </c>
      <c r="I470" s="4" t="s">
        <v>105</v>
      </c>
      <c r="J470" s="4" t="s">
        <v>106</v>
      </c>
      <c r="K470" s="4" t="s">
        <v>122</v>
      </c>
      <c r="L470" s="4" t="s">
        <v>123</v>
      </c>
      <c r="M470" s="4">
        <v>16</v>
      </c>
      <c r="N470" s="4">
        <v>60</v>
      </c>
      <c r="O470" s="4">
        <v>5</v>
      </c>
      <c r="P470" s="4">
        <v>912</v>
      </c>
      <c r="Q470" s="4">
        <v>2</v>
      </c>
      <c r="R470" s="4" t="s">
        <v>34</v>
      </c>
      <c r="S470" s="4" t="s">
        <v>115</v>
      </c>
      <c r="T470" s="4" t="s">
        <v>144</v>
      </c>
      <c r="U470" s="6" t="s">
        <v>1984</v>
      </c>
      <c r="V470" s="4" t="s">
        <v>69</v>
      </c>
    </row>
    <row r="471" spans="1:22">
      <c r="A471" s="7" t="s">
        <v>1985</v>
      </c>
      <c r="B471" s="8" t="s">
        <v>327</v>
      </c>
      <c r="C471" s="8" t="s">
        <v>54</v>
      </c>
      <c r="D471" s="8" t="s">
        <v>1102</v>
      </c>
      <c r="E471" s="8" t="s">
        <v>864</v>
      </c>
      <c r="F471" s="8" t="s">
        <v>394</v>
      </c>
      <c r="G471" s="8" t="s">
        <v>76</v>
      </c>
      <c r="H471" s="8" t="s">
        <v>1986</v>
      </c>
      <c r="I471" s="8" t="s">
        <v>114</v>
      </c>
      <c r="J471" s="8" t="s">
        <v>106</v>
      </c>
      <c r="K471" s="8" t="s">
        <v>46</v>
      </c>
      <c r="L471" s="8" t="s">
        <v>60</v>
      </c>
      <c r="M471" s="8">
        <v>18</v>
      </c>
      <c r="N471" s="8">
        <v>55000</v>
      </c>
      <c r="O471" s="8">
        <v>0</v>
      </c>
      <c r="P471" s="8">
        <v>990000</v>
      </c>
      <c r="Q471" s="8">
        <v>5</v>
      </c>
      <c r="R471" s="8" t="s">
        <v>48</v>
      </c>
      <c r="S471" s="8" t="s">
        <v>49</v>
      </c>
      <c r="T471" s="8" t="s">
        <v>332</v>
      </c>
      <c r="U471" s="9" t="s">
        <v>1987</v>
      </c>
      <c r="V471" s="8" t="s">
        <v>64</v>
      </c>
    </row>
    <row r="472" spans="1:22">
      <c r="A472" s="3" t="s">
        <v>1988</v>
      </c>
      <c r="B472" s="4" t="s">
        <v>23</v>
      </c>
      <c r="C472" s="4" t="s">
        <v>72</v>
      </c>
      <c r="D472" s="4" t="s">
        <v>1989</v>
      </c>
      <c r="E472" s="4" t="s">
        <v>1880</v>
      </c>
      <c r="F472" s="4" t="s">
        <v>27</v>
      </c>
      <c r="G472" s="4" t="s">
        <v>28</v>
      </c>
      <c r="H472" s="4" t="s">
        <v>1990</v>
      </c>
      <c r="I472" s="4" t="s">
        <v>59</v>
      </c>
      <c r="J472" s="4" t="s">
        <v>31</v>
      </c>
      <c r="K472" s="4" t="s">
        <v>46</v>
      </c>
      <c r="L472" s="4" t="s">
        <v>78</v>
      </c>
      <c r="M472" s="4">
        <v>17</v>
      </c>
      <c r="N472" s="4">
        <v>1200</v>
      </c>
      <c r="O472" s="4">
        <v>5</v>
      </c>
      <c r="P472" s="4">
        <v>19380</v>
      </c>
      <c r="Q472" s="4">
        <v>1</v>
      </c>
      <c r="R472" s="4" t="s">
        <v>48</v>
      </c>
      <c r="S472" s="4" t="s">
        <v>35</v>
      </c>
      <c r="T472" s="4" t="s">
        <v>50</v>
      </c>
      <c r="U472" s="6" t="s">
        <v>1991</v>
      </c>
      <c r="V472" s="4" t="s">
        <v>64</v>
      </c>
    </row>
    <row r="473" spans="1:22">
      <c r="A473" s="7" t="s">
        <v>1992</v>
      </c>
      <c r="B473" s="8" t="s">
        <v>53</v>
      </c>
      <c r="C473" s="8" t="s">
        <v>54</v>
      </c>
      <c r="D473" s="8" t="s">
        <v>41</v>
      </c>
      <c r="E473" s="8" t="s">
        <v>199</v>
      </c>
      <c r="F473" s="8" t="s">
        <v>163</v>
      </c>
      <c r="G473" s="8" t="s">
        <v>28</v>
      </c>
      <c r="H473" s="8" t="s">
        <v>1993</v>
      </c>
      <c r="I473" s="8" t="s">
        <v>114</v>
      </c>
      <c r="J473" s="8" t="s">
        <v>106</v>
      </c>
      <c r="K473" s="8" t="s">
        <v>46</v>
      </c>
      <c r="L473" s="8" t="s">
        <v>60</v>
      </c>
      <c r="M473" s="8">
        <v>11</v>
      </c>
      <c r="N473" s="8">
        <v>55000</v>
      </c>
      <c r="O473" s="8">
        <v>0</v>
      </c>
      <c r="P473" s="8">
        <v>605000</v>
      </c>
      <c r="Q473" s="8">
        <v>2</v>
      </c>
      <c r="R473" s="8" t="s">
        <v>34</v>
      </c>
      <c r="S473" s="8" t="s">
        <v>61</v>
      </c>
      <c r="T473" s="8" t="s">
        <v>62</v>
      </c>
      <c r="U473" s="9" t="s">
        <v>1994</v>
      </c>
      <c r="V473" s="8" t="s">
        <v>64</v>
      </c>
    </row>
    <row r="474" spans="1:22">
      <c r="A474" s="3" t="s">
        <v>1995</v>
      </c>
      <c r="B474" s="4" t="s">
        <v>251</v>
      </c>
      <c r="C474" s="4" t="s">
        <v>184</v>
      </c>
      <c r="D474" s="4" t="s">
        <v>236</v>
      </c>
      <c r="E474" s="4" t="s">
        <v>678</v>
      </c>
      <c r="F474" s="4" t="s">
        <v>254</v>
      </c>
      <c r="G474" s="4" t="s">
        <v>28</v>
      </c>
      <c r="H474" s="4" t="s">
        <v>1996</v>
      </c>
      <c r="I474" s="4" t="s">
        <v>44</v>
      </c>
      <c r="J474" s="4" t="s">
        <v>45</v>
      </c>
      <c r="K474" s="4" t="s">
        <v>46</v>
      </c>
      <c r="L474" s="4" t="s">
        <v>189</v>
      </c>
      <c r="M474" s="4">
        <v>20</v>
      </c>
      <c r="N474" s="4">
        <v>700</v>
      </c>
      <c r="O474" s="4">
        <v>20</v>
      </c>
      <c r="P474" s="4">
        <v>11200</v>
      </c>
      <c r="Q474" s="4">
        <v>5</v>
      </c>
      <c r="R474" s="4" t="s">
        <v>48</v>
      </c>
      <c r="S474" s="4" t="s">
        <v>61</v>
      </c>
      <c r="T474" s="4" t="s">
        <v>256</v>
      </c>
      <c r="U474" s="6" t="s">
        <v>1997</v>
      </c>
      <c r="V474" s="4" t="s">
        <v>38</v>
      </c>
    </row>
    <row r="475" spans="1:22">
      <c r="A475" s="7" t="s">
        <v>1998</v>
      </c>
      <c r="B475" s="8" t="s">
        <v>71</v>
      </c>
      <c r="C475" s="8" t="s">
        <v>222</v>
      </c>
      <c r="D475" s="8" t="s">
        <v>484</v>
      </c>
      <c r="E475" s="8" t="s">
        <v>322</v>
      </c>
      <c r="F475" s="8" t="s">
        <v>217</v>
      </c>
      <c r="G475" s="8" t="s">
        <v>76</v>
      </c>
      <c r="H475" s="8" t="s">
        <v>1999</v>
      </c>
      <c r="I475" s="8" t="s">
        <v>44</v>
      </c>
      <c r="J475" s="8" t="s">
        <v>45</v>
      </c>
      <c r="K475" s="8" t="s">
        <v>122</v>
      </c>
      <c r="L475" s="8" t="s">
        <v>227</v>
      </c>
      <c r="M475" s="8">
        <v>5</v>
      </c>
      <c r="N475" s="8">
        <v>20</v>
      </c>
      <c r="O475" s="8">
        <v>5</v>
      </c>
      <c r="P475" s="8">
        <v>95</v>
      </c>
      <c r="Q475" s="8">
        <v>4</v>
      </c>
      <c r="R475" s="8" t="s">
        <v>34</v>
      </c>
      <c r="S475" s="8" t="s">
        <v>49</v>
      </c>
      <c r="T475" s="8" t="s">
        <v>80</v>
      </c>
      <c r="U475" s="9" t="s">
        <v>2000</v>
      </c>
      <c r="V475" s="8" t="s">
        <v>69</v>
      </c>
    </row>
    <row r="476" spans="1:22">
      <c r="A476" s="3" t="s">
        <v>2001</v>
      </c>
      <c r="B476" s="4" t="s">
        <v>327</v>
      </c>
      <c r="C476" s="4" t="s">
        <v>54</v>
      </c>
      <c r="D476" s="4" t="s">
        <v>765</v>
      </c>
      <c r="E476" s="4" t="s">
        <v>1373</v>
      </c>
      <c r="F476" s="4" t="s">
        <v>394</v>
      </c>
      <c r="G476" s="4" t="s">
        <v>76</v>
      </c>
      <c r="H476" s="4" t="s">
        <v>2002</v>
      </c>
      <c r="I476" s="4" t="s">
        <v>105</v>
      </c>
      <c r="J476" s="4" t="s">
        <v>106</v>
      </c>
      <c r="K476" s="4" t="s">
        <v>46</v>
      </c>
      <c r="L476" s="4" t="s">
        <v>60</v>
      </c>
      <c r="M476" s="4">
        <v>13</v>
      </c>
      <c r="N476" s="4">
        <v>55000</v>
      </c>
      <c r="O476" s="4">
        <v>5</v>
      </c>
      <c r="P476" s="4">
        <v>679250</v>
      </c>
      <c r="Q476" s="4">
        <v>1</v>
      </c>
      <c r="R476" s="4" t="s">
        <v>48</v>
      </c>
      <c r="S476" s="4" t="s">
        <v>49</v>
      </c>
      <c r="T476" s="4" t="s">
        <v>332</v>
      </c>
      <c r="U476" s="6" t="s">
        <v>2003</v>
      </c>
      <c r="V476" s="4" t="s">
        <v>64</v>
      </c>
    </row>
    <row r="477" spans="1:22">
      <c r="A477" s="7" t="s">
        <v>2004</v>
      </c>
      <c r="B477" s="8" t="s">
        <v>127</v>
      </c>
      <c r="C477" s="8" t="s">
        <v>54</v>
      </c>
      <c r="D477" s="8" t="s">
        <v>102</v>
      </c>
      <c r="E477" s="8" t="s">
        <v>1114</v>
      </c>
      <c r="F477" s="8" t="s">
        <v>200</v>
      </c>
      <c r="G477" s="8" t="s">
        <v>76</v>
      </c>
      <c r="H477" s="8" t="s">
        <v>2005</v>
      </c>
      <c r="I477" s="8" t="s">
        <v>294</v>
      </c>
      <c r="J477" s="8" t="s">
        <v>295</v>
      </c>
      <c r="K477" s="8" t="s">
        <v>46</v>
      </c>
      <c r="L477" s="8" t="s">
        <v>60</v>
      </c>
      <c r="M477" s="8">
        <v>12</v>
      </c>
      <c r="N477" s="8">
        <v>55000</v>
      </c>
      <c r="O477" s="8">
        <v>5</v>
      </c>
      <c r="P477" s="8">
        <v>627000</v>
      </c>
      <c r="Q477" s="8">
        <v>1</v>
      </c>
      <c r="R477" s="8" t="s">
        <v>48</v>
      </c>
      <c r="S477" s="8" t="s">
        <v>115</v>
      </c>
      <c r="T477" s="8" t="s">
        <v>132</v>
      </c>
      <c r="U477" s="9" t="s">
        <v>2006</v>
      </c>
      <c r="V477" s="8" t="s">
        <v>69</v>
      </c>
    </row>
    <row r="478" spans="1:22">
      <c r="A478" s="3" t="s">
        <v>2007</v>
      </c>
      <c r="B478" s="4" t="s">
        <v>53</v>
      </c>
      <c r="C478" s="4" t="s">
        <v>259</v>
      </c>
      <c r="D478" s="4" t="s">
        <v>761</v>
      </c>
      <c r="E478" s="4" t="s">
        <v>1705</v>
      </c>
      <c r="F478" s="4" t="s">
        <v>163</v>
      </c>
      <c r="G478" s="4" t="s">
        <v>28</v>
      </c>
      <c r="H478" s="4" t="s">
        <v>2008</v>
      </c>
      <c r="I478" s="4" t="s">
        <v>105</v>
      </c>
      <c r="J478" s="4" t="s">
        <v>106</v>
      </c>
      <c r="K478" s="4" t="s">
        <v>122</v>
      </c>
      <c r="L478" s="4" t="s">
        <v>263</v>
      </c>
      <c r="M478" s="4">
        <v>16</v>
      </c>
      <c r="N478" s="4">
        <v>45</v>
      </c>
      <c r="O478" s="4">
        <v>20</v>
      </c>
      <c r="P478" s="4">
        <v>576</v>
      </c>
      <c r="Q478" s="4">
        <v>2</v>
      </c>
      <c r="R478" s="4" t="s">
        <v>34</v>
      </c>
      <c r="S478" s="4" t="s">
        <v>49</v>
      </c>
      <c r="T478" s="4" t="s">
        <v>62</v>
      </c>
      <c r="U478" s="6" t="s">
        <v>2009</v>
      </c>
      <c r="V478" s="4" t="s">
        <v>64</v>
      </c>
    </row>
    <row r="479" spans="1:22">
      <c r="A479" s="7" t="s">
        <v>2010</v>
      </c>
      <c r="B479" s="8" t="s">
        <v>23</v>
      </c>
      <c r="C479" s="8" t="s">
        <v>72</v>
      </c>
      <c r="D479" s="8" t="s">
        <v>25</v>
      </c>
      <c r="E479" s="8" t="s">
        <v>73</v>
      </c>
      <c r="F479" s="8" t="s">
        <v>27</v>
      </c>
      <c r="G479" s="8" t="s">
        <v>28</v>
      </c>
      <c r="H479" s="8" t="s">
        <v>2011</v>
      </c>
      <c r="I479" s="8" t="s">
        <v>59</v>
      </c>
      <c r="J479" s="8" t="s">
        <v>31</v>
      </c>
      <c r="K479" s="8" t="s">
        <v>46</v>
      </c>
      <c r="L479" s="8" t="s">
        <v>78</v>
      </c>
      <c r="M479" s="8">
        <v>5</v>
      </c>
      <c r="N479" s="8">
        <v>1200</v>
      </c>
      <c r="O479" s="8">
        <v>10</v>
      </c>
      <c r="P479" s="8">
        <v>5400</v>
      </c>
      <c r="Q479" s="8">
        <v>1</v>
      </c>
      <c r="R479" s="8" t="s">
        <v>34</v>
      </c>
      <c r="S479" s="8"/>
      <c r="T479" s="10" t="s">
        <v>2012</v>
      </c>
      <c r="U479" s="9" t="s">
        <v>2013</v>
      </c>
      <c r="V479" s="8" t="s">
        <v>38</v>
      </c>
    </row>
    <row r="480" spans="1:22">
      <c r="A480" s="3" t="s">
        <v>2014</v>
      </c>
      <c r="B480" s="4" t="s">
        <v>168</v>
      </c>
      <c r="C480" s="4" t="s">
        <v>259</v>
      </c>
      <c r="D480" s="4" t="s">
        <v>282</v>
      </c>
      <c r="E480" s="4" t="s">
        <v>702</v>
      </c>
      <c r="F480" s="4" t="s">
        <v>2015</v>
      </c>
      <c r="G480" s="4" t="s">
        <v>28</v>
      </c>
      <c r="H480" s="4" t="s">
        <v>2016</v>
      </c>
      <c r="I480" s="4" t="s">
        <v>294</v>
      </c>
      <c r="J480" s="4" t="s">
        <v>295</v>
      </c>
      <c r="K480" s="4" t="s">
        <v>122</v>
      </c>
      <c r="L480" s="4" t="s">
        <v>263</v>
      </c>
      <c r="M480" s="4">
        <v>2</v>
      </c>
      <c r="N480" s="4">
        <v>45</v>
      </c>
      <c r="O480" s="4">
        <v>10</v>
      </c>
      <c r="P480" s="4">
        <v>81</v>
      </c>
      <c r="Q480" s="4">
        <v>4</v>
      </c>
      <c r="R480" s="4" t="s">
        <v>88</v>
      </c>
      <c r="S480" s="4" t="s">
        <v>49</v>
      </c>
      <c r="T480" s="4" t="s">
        <v>175</v>
      </c>
      <c r="U480" s="6" t="s">
        <v>2017</v>
      </c>
      <c r="V480" s="4" t="s">
        <v>64</v>
      </c>
    </row>
    <row r="481" spans="1:22">
      <c r="A481" s="7" t="s">
        <v>2018</v>
      </c>
      <c r="B481" s="8" t="s">
        <v>127</v>
      </c>
      <c r="C481" s="8" t="s">
        <v>40</v>
      </c>
      <c r="D481" s="8" t="s">
        <v>85</v>
      </c>
      <c r="E481" s="8" t="s">
        <v>587</v>
      </c>
      <c r="F481" s="8" t="s">
        <v>200</v>
      </c>
      <c r="G481" s="8" t="s">
        <v>76</v>
      </c>
      <c r="H481" s="8" t="s">
        <v>2019</v>
      </c>
      <c r="I481" s="8" t="s">
        <v>138</v>
      </c>
      <c r="J481" s="8" t="s">
        <v>106</v>
      </c>
      <c r="K481" s="8" t="s">
        <v>46</v>
      </c>
      <c r="L481" s="8" t="s">
        <v>47</v>
      </c>
      <c r="M481" s="8">
        <v>3</v>
      </c>
      <c r="N481" s="8">
        <v>12000</v>
      </c>
      <c r="O481" s="8">
        <v>0</v>
      </c>
      <c r="P481" s="8">
        <v>36000</v>
      </c>
      <c r="Q481" s="8">
        <v>2</v>
      </c>
      <c r="R481" s="8" t="s">
        <v>88</v>
      </c>
      <c r="S481" s="8" t="s">
        <v>151</v>
      </c>
      <c r="T481" s="8" t="s">
        <v>132</v>
      </c>
      <c r="U481" s="9" t="s">
        <v>2020</v>
      </c>
      <c r="V481" s="8" t="s">
        <v>64</v>
      </c>
    </row>
    <row r="482" spans="1:22">
      <c r="A482" s="3" t="s">
        <v>2021</v>
      </c>
      <c r="B482" s="4" t="s">
        <v>23</v>
      </c>
      <c r="C482" s="4" t="s">
        <v>40</v>
      </c>
      <c r="D482" s="4" t="s">
        <v>2022</v>
      </c>
      <c r="E482" s="4" t="s">
        <v>1863</v>
      </c>
      <c r="F482" s="4" t="s">
        <v>95</v>
      </c>
      <c r="G482" s="4" t="s">
        <v>28</v>
      </c>
      <c r="H482" s="4" t="s">
        <v>2023</v>
      </c>
      <c r="I482" s="4" t="s">
        <v>59</v>
      </c>
      <c r="J482" s="4" t="s">
        <v>31</v>
      </c>
      <c r="K482" s="4" t="s">
        <v>46</v>
      </c>
      <c r="L482" s="4" t="s">
        <v>47</v>
      </c>
      <c r="M482" s="4">
        <v>3</v>
      </c>
      <c r="N482" s="4">
        <v>12000</v>
      </c>
      <c r="O482" s="4">
        <v>20</v>
      </c>
      <c r="P482" s="4">
        <v>28800</v>
      </c>
      <c r="Q482" s="4">
        <v>3</v>
      </c>
      <c r="R482" s="4" t="s">
        <v>88</v>
      </c>
      <c r="S482" s="4" t="s">
        <v>115</v>
      </c>
      <c r="T482" s="4" t="s">
        <v>50</v>
      </c>
      <c r="U482" s="6" t="s">
        <v>2024</v>
      </c>
      <c r="V482" s="4" t="s">
        <v>38</v>
      </c>
    </row>
    <row r="483" spans="1:22">
      <c r="A483" s="7" t="s">
        <v>2025</v>
      </c>
      <c r="B483" s="8" t="s">
        <v>127</v>
      </c>
      <c r="C483" s="8" t="s">
        <v>169</v>
      </c>
      <c r="D483" s="8" t="s">
        <v>892</v>
      </c>
      <c r="E483" s="8" t="s">
        <v>161</v>
      </c>
      <c r="F483" s="8" t="s">
        <v>200</v>
      </c>
      <c r="G483" s="8" t="s">
        <v>76</v>
      </c>
      <c r="H483" s="8" t="s">
        <v>2026</v>
      </c>
      <c r="I483" s="8" t="s">
        <v>294</v>
      </c>
      <c r="J483" s="8" t="s">
        <v>295</v>
      </c>
      <c r="K483" s="8" t="s">
        <v>32</v>
      </c>
      <c r="L483" s="8" t="s">
        <v>174</v>
      </c>
      <c r="M483" s="8">
        <v>9</v>
      </c>
      <c r="N483" s="8">
        <v>8500</v>
      </c>
      <c r="O483" s="8">
        <v>15</v>
      </c>
      <c r="P483" s="8">
        <v>65025</v>
      </c>
      <c r="Q483" s="8">
        <v>5</v>
      </c>
      <c r="R483" s="8" t="s">
        <v>34</v>
      </c>
      <c r="S483" s="8" t="s">
        <v>49</v>
      </c>
      <c r="T483" s="8" t="s">
        <v>132</v>
      </c>
      <c r="U483" s="9" t="s">
        <v>2027</v>
      </c>
      <c r="V483" s="8" t="s">
        <v>64</v>
      </c>
    </row>
    <row r="484" spans="1:22">
      <c r="A484" s="3" t="s">
        <v>2028</v>
      </c>
      <c r="B484" s="4" t="s">
        <v>71</v>
      </c>
      <c r="C484" s="4" t="s">
        <v>184</v>
      </c>
      <c r="D484" s="4" t="s">
        <v>261</v>
      </c>
      <c r="E484" s="4" t="s">
        <v>881</v>
      </c>
      <c r="F484" s="4" t="s">
        <v>2029</v>
      </c>
      <c r="G484" s="4" t="s">
        <v>76</v>
      </c>
      <c r="H484" s="4" t="s">
        <v>2030</v>
      </c>
      <c r="I484" s="4" t="s">
        <v>294</v>
      </c>
      <c r="J484" s="4" t="s">
        <v>295</v>
      </c>
      <c r="K484" s="4" t="s">
        <v>46</v>
      </c>
      <c r="L484" s="4" t="s">
        <v>189</v>
      </c>
      <c r="M484" s="4">
        <v>17</v>
      </c>
      <c r="N484" s="4">
        <v>700</v>
      </c>
      <c r="O484" s="4">
        <v>0</v>
      </c>
      <c r="P484" s="4">
        <v>11900</v>
      </c>
      <c r="Q484" s="4">
        <v>2</v>
      </c>
      <c r="R484" s="4" t="s">
        <v>34</v>
      </c>
      <c r="S484" s="4" t="s">
        <v>61</v>
      </c>
      <c r="T484" s="4" t="s">
        <v>80</v>
      </c>
      <c r="U484" s="6" t="s">
        <v>2031</v>
      </c>
      <c r="V484" s="4" t="s">
        <v>69</v>
      </c>
    </row>
    <row r="485" spans="1:22">
      <c r="A485" s="7" t="s">
        <v>2032</v>
      </c>
      <c r="B485" s="8" t="s">
        <v>23</v>
      </c>
      <c r="C485" s="8" t="s">
        <v>184</v>
      </c>
      <c r="D485" s="8" t="s">
        <v>1249</v>
      </c>
      <c r="E485" s="8" t="s">
        <v>1572</v>
      </c>
      <c r="F485" s="8" t="s">
        <v>27</v>
      </c>
      <c r="G485" s="8" t="s">
        <v>28</v>
      </c>
      <c r="H485" s="8" t="s">
        <v>2033</v>
      </c>
      <c r="I485" s="8" t="s">
        <v>30</v>
      </c>
      <c r="J485" s="8" t="s">
        <v>31</v>
      </c>
      <c r="K485" s="8" t="s">
        <v>46</v>
      </c>
      <c r="L485" s="8" t="s">
        <v>189</v>
      </c>
      <c r="M485" s="8">
        <v>20</v>
      </c>
      <c r="N485" s="8">
        <v>700</v>
      </c>
      <c r="O485" s="8">
        <v>5</v>
      </c>
      <c r="P485" s="8">
        <v>13300</v>
      </c>
      <c r="Q485" s="8">
        <v>2</v>
      </c>
      <c r="R485" s="8" t="s">
        <v>88</v>
      </c>
      <c r="S485" s="8" t="s">
        <v>35</v>
      </c>
      <c r="T485" s="8" t="s">
        <v>50</v>
      </c>
      <c r="U485" s="9" t="s">
        <v>2034</v>
      </c>
      <c r="V485" s="8" t="s">
        <v>38</v>
      </c>
    </row>
    <row r="486" spans="1:22">
      <c r="A486" s="3" t="s">
        <v>2035</v>
      </c>
      <c r="B486" s="4" t="s">
        <v>327</v>
      </c>
      <c r="C486" s="4" t="s">
        <v>72</v>
      </c>
      <c r="D486" s="4" t="s">
        <v>554</v>
      </c>
      <c r="E486" s="4" t="s">
        <v>65</v>
      </c>
      <c r="F486" s="4" t="s">
        <v>2036</v>
      </c>
      <c r="G486" s="4" t="s">
        <v>76</v>
      </c>
      <c r="H486" s="4" t="s">
        <v>2037</v>
      </c>
      <c r="I486" s="4" t="s">
        <v>138</v>
      </c>
      <c r="J486" s="4" t="s">
        <v>106</v>
      </c>
      <c r="K486" s="4" t="s">
        <v>46</v>
      </c>
      <c r="L486" s="4" t="s">
        <v>78</v>
      </c>
      <c r="M486" s="4">
        <v>13</v>
      </c>
      <c r="N486" s="4">
        <v>1200</v>
      </c>
      <c r="O486" s="4">
        <v>20</v>
      </c>
      <c r="P486" s="4">
        <v>12480</v>
      </c>
      <c r="Q486" s="4">
        <v>5</v>
      </c>
      <c r="R486" s="4" t="s">
        <v>79</v>
      </c>
      <c r="S486" s="4" t="s">
        <v>115</v>
      </c>
      <c r="T486" s="4" t="s">
        <v>332</v>
      </c>
      <c r="U486" s="6" t="s">
        <v>2038</v>
      </c>
      <c r="V486" s="4" t="s">
        <v>38</v>
      </c>
    </row>
    <row r="487" spans="1:22">
      <c r="A487" s="7" t="s">
        <v>2039</v>
      </c>
      <c r="B487" s="8" t="s">
        <v>100</v>
      </c>
      <c r="C487" s="8" t="s">
        <v>54</v>
      </c>
      <c r="D487" s="8" t="s">
        <v>2040</v>
      </c>
      <c r="E487" s="8" t="s">
        <v>1932</v>
      </c>
      <c r="F487" s="8" t="s">
        <v>103</v>
      </c>
      <c r="G487" s="8" t="s">
        <v>28</v>
      </c>
      <c r="H487" s="8" t="s">
        <v>1082</v>
      </c>
      <c r="I487" s="8" t="s">
        <v>212</v>
      </c>
      <c r="J487" s="8" t="s">
        <v>45</v>
      </c>
      <c r="K487" s="8" t="s">
        <v>46</v>
      </c>
      <c r="L487" s="8" t="s">
        <v>60</v>
      </c>
      <c r="M487" s="8">
        <v>20</v>
      </c>
      <c r="N487" s="8">
        <v>55000</v>
      </c>
      <c r="O487" s="8">
        <v>10</v>
      </c>
      <c r="P487" s="8">
        <v>990000</v>
      </c>
      <c r="Q487" s="8">
        <v>1</v>
      </c>
      <c r="R487" s="8" t="s">
        <v>88</v>
      </c>
      <c r="S487" s="8" t="s">
        <v>35</v>
      </c>
      <c r="T487" s="8" t="s">
        <v>144</v>
      </c>
      <c r="U487" s="9" t="s">
        <v>2041</v>
      </c>
      <c r="V487" s="8" t="s">
        <v>64</v>
      </c>
    </row>
    <row r="488" spans="1:22">
      <c r="A488" s="3" t="s">
        <v>2042</v>
      </c>
      <c r="B488" s="4" t="s">
        <v>251</v>
      </c>
      <c r="C488" s="4" t="s">
        <v>72</v>
      </c>
      <c r="D488" s="4" t="s">
        <v>531</v>
      </c>
      <c r="E488" s="4" t="s">
        <v>291</v>
      </c>
      <c r="F488" s="4" t="s">
        <v>254</v>
      </c>
      <c r="G488" s="4" t="s">
        <v>28</v>
      </c>
      <c r="H488" s="4" t="s">
        <v>2043</v>
      </c>
      <c r="I488" s="4" t="s">
        <v>294</v>
      </c>
      <c r="J488" s="4" t="s">
        <v>295</v>
      </c>
      <c r="K488" s="4" t="s">
        <v>46</v>
      </c>
      <c r="L488" s="4" t="s">
        <v>78</v>
      </c>
      <c r="M488" s="4">
        <v>8</v>
      </c>
      <c r="N488" s="4">
        <v>1200</v>
      </c>
      <c r="O488" s="4">
        <v>0</v>
      </c>
      <c r="P488" s="4">
        <v>9600</v>
      </c>
      <c r="Q488" s="4">
        <v>2</v>
      </c>
      <c r="R488" s="4" t="s">
        <v>48</v>
      </c>
      <c r="S488" s="4" t="s">
        <v>151</v>
      </c>
      <c r="T488" s="4" t="s">
        <v>256</v>
      </c>
      <c r="U488" s="6" t="s">
        <v>2044</v>
      </c>
      <c r="V488" s="4" t="s">
        <v>38</v>
      </c>
    </row>
    <row r="489" spans="1:22">
      <c r="A489" s="7" t="s">
        <v>2045</v>
      </c>
      <c r="B489" s="8" t="s">
        <v>53</v>
      </c>
      <c r="C489" s="8" t="s">
        <v>222</v>
      </c>
      <c r="D489" s="8" t="s">
        <v>2046</v>
      </c>
      <c r="E489" s="8" t="s">
        <v>1238</v>
      </c>
      <c r="F489" s="8" t="s">
        <v>163</v>
      </c>
      <c r="G489" s="8" t="s">
        <v>28</v>
      </c>
      <c r="H489" s="8" t="s">
        <v>2047</v>
      </c>
      <c r="I489" s="8" t="s">
        <v>294</v>
      </c>
      <c r="J489" s="8" t="s">
        <v>295</v>
      </c>
      <c r="K489" s="8" t="s">
        <v>122</v>
      </c>
      <c r="L489" s="8" t="s">
        <v>227</v>
      </c>
      <c r="M489" s="8">
        <v>18</v>
      </c>
      <c r="N489" s="8">
        <v>20</v>
      </c>
      <c r="O489" s="8">
        <v>10</v>
      </c>
      <c r="P489" s="8">
        <v>324</v>
      </c>
      <c r="Q489" s="8">
        <v>5</v>
      </c>
      <c r="R489" s="8" t="s">
        <v>79</v>
      </c>
      <c r="S489" s="8"/>
      <c r="T489" s="10" t="s">
        <v>2048</v>
      </c>
      <c r="U489" s="9" t="s">
        <v>2049</v>
      </c>
      <c r="V489" s="8" t="s">
        <v>64</v>
      </c>
    </row>
    <row r="490" spans="1:22">
      <c r="A490" s="3" t="s">
        <v>2050</v>
      </c>
      <c r="B490" s="4" t="s">
        <v>168</v>
      </c>
      <c r="C490" s="4" t="s">
        <v>40</v>
      </c>
      <c r="D490" s="4" t="s">
        <v>2051</v>
      </c>
      <c r="E490" s="4" t="s">
        <v>272</v>
      </c>
      <c r="F490" s="4" t="s">
        <v>361</v>
      </c>
      <c r="G490" s="4" t="s">
        <v>28</v>
      </c>
      <c r="H490" s="4" t="s">
        <v>2052</v>
      </c>
      <c r="I490" s="4" t="s">
        <v>114</v>
      </c>
      <c r="J490" s="4" t="s">
        <v>106</v>
      </c>
      <c r="K490" s="4" t="s">
        <v>46</v>
      </c>
      <c r="L490" s="4" t="s">
        <v>47</v>
      </c>
      <c r="M490" s="4">
        <v>11</v>
      </c>
      <c r="N490" s="4">
        <v>12000</v>
      </c>
      <c r="O490" s="4">
        <v>10</v>
      </c>
      <c r="P490" s="4">
        <v>118800</v>
      </c>
      <c r="Q490" s="4">
        <v>1</v>
      </c>
      <c r="R490" s="4" t="s">
        <v>79</v>
      </c>
      <c r="S490" s="4" t="s">
        <v>49</v>
      </c>
      <c r="T490" s="4" t="s">
        <v>175</v>
      </c>
      <c r="U490" s="6" t="s">
        <v>2053</v>
      </c>
      <c r="V490" s="4" t="s">
        <v>69</v>
      </c>
    </row>
    <row r="491" spans="1:22">
      <c r="A491" s="7" t="s">
        <v>2054</v>
      </c>
      <c r="B491" s="8" t="s">
        <v>327</v>
      </c>
      <c r="C491" s="8" t="s">
        <v>169</v>
      </c>
      <c r="D491" s="8" t="s">
        <v>142</v>
      </c>
      <c r="E491" s="8" t="s">
        <v>1378</v>
      </c>
      <c r="F491" s="8" t="s">
        <v>394</v>
      </c>
      <c r="G491" s="8" t="s">
        <v>76</v>
      </c>
      <c r="H491" s="8" t="s">
        <v>2055</v>
      </c>
      <c r="I491" s="8" t="s">
        <v>30</v>
      </c>
      <c r="J491" s="8" t="s">
        <v>31</v>
      </c>
      <c r="K491" s="8" t="s">
        <v>32</v>
      </c>
      <c r="L491" s="8" t="s">
        <v>174</v>
      </c>
      <c r="M491" s="8">
        <v>2</v>
      </c>
      <c r="N491" s="8">
        <v>8500</v>
      </c>
      <c r="O491" s="8">
        <v>5</v>
      </c>
      <c r="P491" s="8">
        <v>16150</v>
      </c>
      <c r="Q491" s="8">
        <v>1</v>
      </c>
      <c r="R491" s="8" t="s">
        <v>79</v>
      </c>
      <c r="S491" s="8" t="s">
        <v>61</v>
      </c>
      <c r="T491" s="8" t="s">
        <v>332</v>
      </c>
      <c r="U491" s="9" t="s">
        <v>2056</v>
      </c>
      <c r="V491" s="8" t="s">
        <v>38</v>
      </c>
    </row>
    <row r="492" spans="1:22">
      <c r="A492" s="3" t="s">
        <v>2057</v>
      </c>
      <c r="B492" s="4" t="s">
        <v>100</v>
      </c>
      <c r="C492" s="4" t="s">
        <v>24</v>
      </c>
      <c r="D492" s="4" t="s">
        <v>328</v>
      </c>
      <c r="E492" s="4" t="s">
        <v>1507</v>
      </c>
      <c r="F492" s="4" t="s">
        <v>2058</v>
      </c>
      <c r="G492" s="4" t="s">
        <v>28</v>
      </c>
      <c r="H492" s="4" t="s">
        <v>2059</v>
      </c>
      <c r="I492" s="4" t="s">
        <v>114</v>
      </c>
      <c r="J492" s="4" t="s">
        <v>106</v>
      </c>
      <c r="K492" s="4" t="s">
        <v>32</v>
      </c>
      <c r="L492" s="4" t="s">
        <v>33</v>
      </c>
      <c r="M492" s="4">
        <v>7</v>
      </c>
      <c r="N492" s="4">
        <v>2200</v>
      </c>
      <c r="O492" s="4">
        <v>0</v>
      </c>
      <c r="P492" s="4">
        <v>15400</v>
      </c>
      <c r="Q492" s="4">
        <v>5</v>
      </c>
      <c r="R492" s="4" t="s">
        <v>48</v>
      </c>
      <c r="S492" s="4" t="s">
        <v>35</v>
      </c>
      <c r="T492" s="4" t="s">
        <v>144</v>
      </c>
      <c r="U492" s="6" t="s">
        <v>2060</v>
      </c>
      <c r="V492" s="4" t="s">
        <v>64</v>
      </c>
    </row>
    <row r="493" spans="1:22">
      <c r="A493" s="7" t="s">
        <v>2061</v>
      </c>
      <c r="B493" s="8" t="s">
        <v>83</v>
      </c>
      <c r="C493" s="8" t="s">
        <v>169</v>
      </c>
      <c r="D493" s="8" t="s">
        <v>1916</v>
      </c>
      <c r="E493" s="8" t="s">
        <v>1098</v>
      </c>
      <c r="F493" s="8" t="s">
        <v>180</v>
      </c>
      <c r="G493" s="8" t="s">
        <v>76</v>
      </c>
      <c r="H493" s="8" t="s">
        <v>2062</v>
      </c>
      <c r="I493" s="8" t="s">
        <v>44</v>
      </c>
      <c r="J493" s="8" t="s">
        <v>45</v>
      </c>
      <c r="K493" s="8" t="s">
        <v>32</v>
      </c>
      <c r="L493" s="8" t="s">
        <v>174</v>
      </c>
      <c r="M493" s="8">
        <v>20</v>
      </c>
      <c r="N493" s="8">
        <v>8500</v>
      </c>
      <c r="O493" s="8">
        <v>0</v>
      </c>
      <c r="P493" s="8">
        <v>170000</v>
      </c>
      <c r="Q493" s="8">
        <v>3</v>
      </c>
      <c r="R493" s="8" t="s">
        <v>48</v>
      </c>
      <c r="S493" s="8" t="s">
        <v>49</v>
      </c>
      <c r="T493" s="8" t="s">
        <v>89</v>
      </c>
      <c r="U493" s="9" t="s">
        <v>2063</v>
      </c>
      <c r="V493" s="8" t="s">
        <v>38</v>
      </c>
    </row>
    <row r="494" spans="1:22">
      <c r="A494" s="3" t="s">
        <v>2064</v>
      </c>
      <c r="B494" s="4" t="s">
        <v>127</v>
      </c>
      <c r="C494" s="4" t="s">
        <v>72</v>
      </c>
      <c r="D494" s="4" t="s">
        <v>1106</v>
      </c>
      <c r="E494" s="4" t="s">
        <v>839</v>
      </c>
      <c r="F494" s="4" t="s">
        <v>2065</v>
      </c>
      <c r="G494" s="4" t="s">
        <v>76</v>
      </c>
      <c r="H494" s="4" t="s">
        <v>2066</v>
      </c>
      <c r="I494" s="4" t="s">
        <v>30</v>
      </c>
      <c r="J494" s="4" t="s">
        <v>31</v>
      </c>
      <c r="K494" s="4" t="s">
        <v>46</v>
      </c>
      <c r="L494" s="4" t="s">
        <v>78</v>
      </c>
      <c r="M494" s="4">
        <v>11</v>
      </c>
      <c r="N494" s="4">
        <v>1200</v>
      </c>
      <c r="O494" s="4">
        <v>5</v>
      </c>
      <c r="P494" s="4">
        <v>12540</v>
      </c>
      <c r="Q494" s="4">
        <v>2</v>
      </c>
      <c r="R494" s="4" t="s">
        <v>34</v>
      </c>
      <c r="S494" s="4" t="s">
        <v>35</v>
      </c>
      <c r="T494" s="4" t="s">
        <v>132</v>
      </c>
      <c r="U494" s="6" t="s">
        <v>2067</v>
      </c>
      <c r="V494" s="4" t="s">
        <v>64</v>
      </c>
    </row>
    <row r="495" spans="1:22">
      <c r="A495" s="7" t="s">
        <v>2068</v>
      </c>
      <c r="B495" s="8" t="s">
        <v>83</v>
      </c>
      <c r="C495" s="8" t="s">
        <v>184</v>
      </c>
      <c r="D495" s="8" t="s">
        <v>839</v>
      </c>
      <c r="E495" s="8" t="s">
        <v>756</v>
      </c>
      <c r="F495" s="8" t="s">
        <v>180</v>
      </c>
      <c r="G495" s="8" t="s">
        <v>76</v>
      </c>
      <c r="H495" s="8" t="s">
        <v>2069</v>
      </c>
      <c r="I495" s="8" t="s">
        <v>138</v>
      </c>
      <c r="J495" s="8" t="s">
        <v>106</v>
      </c>
      <c r="K495" s="8" t="s">
        <v>46</v>
      </c>
      <c r="L495" s="8" t="s">
        <v>189</v>
      </c>
      <c r="M495" s="8">
        <v>14</v>
      </c>
      <c r="N495" s="8">
        <v>700</v>
      </c>
      <c r="O495" s="8">
        <v>0</v>
      </c>
      <c r="P495" s="8">
        <v>9800</v>
      </c>
      <c r="Q495" s="8">
        <v>2</v>
      </c>
      <c r="R495" s="8" t="s">
        <v>79</v>
      </c>
      <c r="S495" s="8" t="s">
        <v>151</v>
      </c>
      <c r="T495" s="8" t="s">
        <v>89</v>
      </c>
      <c r="U495" s="9" t="s">
        <v>2070</v>
      </c>
      <c r="V495" s="8" t="s">
        <v>69</v>
      </c>
    </row>
    <row r="496" spans="1:22">
      <c r="A496" s="3" t="s">
        <v>2071</v>
      </c>
      <c r="B496" s="4" t="s">
        <v>71</v>
      </c>
      <c r="C496" s="4" t="s">
        <v>72</v>
      </c>
      <c r="D496" s="4" t="s">
        <v>793</v>
      </c>
      <c r="E496" s="4" t="s">
        <v>1650</v>
      </c>
      <c r="F496" s="4" t="s">
        <v>217</v>
      </c>
      <c r="G496" s="4" t="s">
        <v>76</v>
      </c>
      <c r="H496" s="4" t="s">
        <v>2072</v>
      </c>
      <c r="I496" s="4" t="s">
        <v>114</v>
      </c>
      <c r="J496" s="4" t="s">
        <v>106</v>
      </c>
      <c r="K496" s="4" t="s">
        <v>46</v>
      </c>
      <c r="L496" s="4" t="s">
        <v>78</v>
      </c>
      <c r="M496" s="4">
        <v>16</v>
      </c>
      <c r="N496" s="4">
        <v>1200</v>
      </c>
      <c r="O496" s="4">
        <v>15</v>
      </c>
      <c r="P496" s="4">
        <v>16320</v>
      </c>
      <c r="Q496" s="4">
        <v>4</v>
      </c>
      <c r="R496" s="4" t="s">
        <v>34</v>
      </c>
      <c r="S496" s="4" t="s">
        <v>151</v>
      </c>
      <c r="T496" s="4" t="s">
        <v>80</v>
      </c>
      <c r="U496" s="6" t="s">
        <v>2073</v>
      </c>
      <c r="V496" s="4" t="s">
        <v>64</v>
      </c>
    </row>
    <row r="497" spans="1:22">
      <c r="A497" s="7" t="s">
        <v>2074</v>
      </c>
      <c r="B497" s="8" t="s">
        <v>168</v>
      </c>
      <c r="C497" s="8" t="s">
        <v>24</v>
      </c>
      <c r="D497" s="8" t="s">
        <v>493</v>
      </c>
      <c r="E497" s="8" t="s">
        <v>1932</v>
      </c>
      <c r="F497" s="8" t="s">
        <v>2075</v>
      </c>
      <c r="G497" s="8" t="s">
        <v>28</v>
      </c>
      <c r="H497" s="8" t="s">
        <v>2076</v>
      </c>
      <c r="I497" s="8" t="s">
        <v>212</v>
      </c>
      <c r="J497" s="8" t="s">
        <v>45</v>
      </c>
      <c r="K497" s="8" t="s">
        <v>32</v>
      </c>
      <c r="L497" s="8" t="s">
        <v>33</v>
      </c>
      <c r="M497" s="8">
        <v>20</v>
      </c>
      <c r="N497" s="8">
        <v>2200</v>
      </c>
      <c r="O497" s="8">
        <v>0</v>
      </c>
      <c r="P497" s="8">
        <v>44000</v>
      </c>
      <c r="Q497" s="8">
        <v>5</v>
      </c>
      <c r="R497" s="8" t="s">
        <v>34</v>
      </c>
      <c r="S497" s="8" t="s">
        <v>35</v>
      </c>
      <c r="T497" s="8" t="s">
        <v>175</v>
      </c>
      <c r="U497" s="9" t="s">
        <v>2077</v>
      </c>
      <c r="V497" s="8" t="s">
        <v>69</v>
      </c>
    </row>
    <row r="498" spans="1:22">
      <c r="A498" s="3" t="s">
        <v>2078</v>
      </c>
      <c r="B498" s="4" t="s">
        <v>83</v>
      </c>
      <c r="C498" s="4" t="s">
        <v>40</v>
      </c>
      <c r="D498" s="4" t="s">
        <v>2051</v>
      </c>
      <c r="E498" s="4" t="s">
        <v>272</v>
      </c>
      <c r="F498" s="4" t="s">
        <v>180</v>
      </c>
      <c r="G498" s="4" t="s">
        <v>76</v>
      </c>
      <c r="H498" s="4" t="s">
        <v>2079</v>
      </c>
      <c r="I498" s="4" t="s">
        <v>212</v>
      </c>
      <c r="J498" s="4" t="s">
        <v>45</v>
      </c>
      <c r="K498" s="4" t="s">
        <v>46</v>
      </c>
      <c r="L498" s="4" t="s">
        <v>47</v>
      </c>
      <c r="M498" s="4">
        <v>12</v>
      </c>
      <c r="N498" s="4">
        <v>12000</v>
      </c>
      <c r="O498" s="4">
        <v>15</v>
      </c>
      <c r="P498" s="4">
        <v>122400</v>
      </c>
      <c r="Q498" s="4">
        <v>5</v>
      </c>
      <c r="R498" s="4" t="s">
        <v>34</v>
      </c>
      <c r="S498" s="4" t="s">
        <v>151</v>
      </c>
      <c r="T498" s="4" t="s">
        <v>89</v>
      </c>
      <c r="U498" s="6" t="s">
        <v>2080</v>
      </c>
      <c r="V498" s="4" t="s">
        <v>38</v>
      </c>
    </row>
    <row r="499" spans="1:22">
      <c r="A499" s="7" t="s">
        <v>2081</v>
      </c>
      <c r="B499" s="8" t="s">
        <v>221</v>
      </c>
      <c r="C499" s="8" t="s">
        <v>72</v>
      </c>
      <c r="D499" s="8" t="s">
        <v>610</v>
      </c>
      <c r="E499" s="8" t="s">
        <v>611</v>
      </c>
      <c r="F499" s="8" t="s">
        <v>225</v>
      </c>
      <c r="G499" s="8" t="s">
        <v>76</v>
      </c>
      <c r="H499" s="8" t="s">
        <v>2082</v>
      </c>
      <c r="I499" s="8" t="s">
        <v>44</v>
      </c>
      <c r="J499" s="8" t="s">
        <v>45</v>
      </c>
      <c r="K499" s="8" t="s">
        <v>46</v>
      </c>
      <c r="L499" s="8" t="s">
        <v>78</v>
      </c>
      <c r="M499" s="8">
        <v>3</v>
      </c>
      <c r="N499" s="8">
        <v>1200</v>
      </c>
      <c r="O499" s="8">
        <v>20</v>
      </c>
      <c r="P499" s="8">
        <v>2880</v>
      </c>
      <c r="Q499" s="8">
        <v>2</v>
      </c>
      <c r="R499" s="8" t="s">
        <v>48</v>
      </c>
      <c r="S499" s="8" t="s">
        <v>115</v>
      </c>
      <c r="T499" s="8" t="s">
        <v>907</v>
      </c>
      <c r="U499" s="9" t="s">
        <v>2083</v>
      </c>
      <c r="V499" s="8" t="s">
        <v>64</v>
      </c>
    </row>
    <row r="500" spans="1:22">
      <c r="A500" s="3" t="s">
        <v>2084</v>
      </c>
      <c r="B500" s="4" t="s">
        <v>100</v>
      </c>
      <c r="C500" s="4" t="s">
        <v>54</v>
      </c>
      <c r="D500" s="4" t="s">
        <v>276</v>
      </c>
      <c r="E500" s="4" t="s">
        <v>2085</v>
      </c>
      <c r="F500" s="4" t="s">
        <v>103</v>
      </c>
      <c r="G500" s="4" t="s">
        <v>28</v>
      </c>
      <c r="H500" s="4" t="s">
        <v>2086</v>
      </c>
      <c r="I500" s="4" t="s">
        <v>105</v>
      </c>
      <c r="J500" s="4" t="s">
        <v>106</v>
      </c>
      <c r="K500" s="4" t="s">
        <v>46</v>
      </c>
      <c r="L500" s="4" t="s">
        <v>2087</v>
      </c>
      <c r="M500" s="4">
        <v>6</v>
      </c>
      <c r="N500" s="4">
        <v>55000</v>
      </c>
      <c r="O500" s="4">
        <v>20</v>
      </c>
      <c r="P500" s="4">
        <v>264000</v>
      </c>
      <c r="Q500" s="4">
        <v>3</v>
      </c>
      <c r="R500" s="4" t="s">
        <v>34</v>
      </c>
      <c r="S500" s="4" t="s">
        <v>151</v>
      </c>
      <c r="T500" s="4" t="s">
        <v>144</v>
      </c>
      <c r="U500" s="6" t="s">
        <v>2088</v>
      </c>
      <c r="V500" s="4" t="s">
        <v>38</v>
      </c>
    </row>
    <row r="501" spans="1:22">
      <c r="A501" s="11" t="s">
        <v>2089</v>
      </c>
      <c r="B501" s="12" t="s">
        <v>100</v>
      </c>
      <c r="C501" s="12" t="s">
        <v>92</v>
      </c>
      <c r="D501" s="12" t="s">
        <v>2090</v>
      </c>
      <c r="E501" s="12" t="s">
        <v>129</v>
      </c>
      <c r="F501" s="12" t="s">
        <v>103</v>
      </c>
      <c r="G501" s="12" t="s">
        <v>28</v>
      </c>
      <c r="H501" s="12" t="s">
        <v>2091</v>
      </c>
      <c r="I501" s="12" t="s">
        <v>59</v>
      </c>
      <c r="J501" s="12" t="s">
        <v>31</v>
      </c>
      <c r="K501" s="12" t="s">
        <v>32</v>
      </c>
      <c r="L501" s="12" t="s">
        <v>97</v>
      </c>
      <c r="M501" s="12">
        <v>20</v>
      </c>
      <c r="N501" s="12">
        <v>3500</v>
      </c>
      <c r="O501" s="12">
        <v>0</v>
      </c>
      <c r="P501" s="12">
        <v>70000</v>
      </c>
      <c r="Q501" s="12">
        <v>1</v>
      </c>
      <c r="R501" s="12" t="s">
        <v>48</v>
      </c>
      <c r="S501" s="12" t="s">
        <v>151</v>
      </c>
      <c r="T501" s="12" t="s">
        <v>144</v>
      </c>
      <c r="U501" s="13" t="s">
        <v>2092</v>
      </c>
      <c r="V501" s="12" t="s">
        <v>64</v>
      </c>
    </row>
    <row r="505" spans="1:22" ht="23.4">
      <c r="A505" t="s">
        <v>2122</v>
      </c>
    </row>
    <row r="508" spans="1:22">
      <c r="B508" s="56" t="s">
        <v>2123</v>
      </c>
      <c r="C508" s="56"/>
      <c r="D508" s="56"/>
      <c r="E508" s="56"/>
      <c r="F508" s="56"/>
      <c r="G508" s="37">
        <f>SUMIFS($P$2:$P$501,$K$2:$K$501,"Electronics",$V$2:$V$501,"Completed")</f>
        <v>7222090</v>
      </c>
    </row>
    <row r="511" spans="1:22">
      <c r="B511" s="56" t="s">
        <v>2124</v>
      </c>
      <c r="C511" s="56"/>
      <c r="D511" s="56"/>
      <c r="E511" s="56"/>
      <c r="F511" s="56"/>
      <c r="G511" s="56"/>
      <c r="H511" s="56"/>
      <c r="I511" s="37">
        <f>SUMIFS($P$2:P$501,S$2:S$501,"Neha",$J$2:$J$501,"North")</f>
        <v>1550369.25</v>
      </c>
    </row>
    <row r="514" spans="2:13">
      <c r="B514" s="56" t="s">
        <v>2125</v>
      </c>
      <c r="C514" s="56"/>
      <c r="D514" s="56"/>
      <c r="E514" s="56"/>
      <c r="F514" s="56"/>
      <c r="G514" s="56"/>
      <c r="H514" s="56"/>
      <c r="I514" s="56"/>
      <c r="J514" s="56"/>
      <c r="K514" s="56"/>
      <c r="L514" s="56"/>
      <c r="M514" s="37">
        <f>COUNTIFS($O$2:$O$501,"&gt;=15",$R$2:$R$501,"UPI")</f>
        <v>45</v>
      </c>
    </row>
    <row r="517" spans="2:13">
      <c r="B517" s="56" t="s">
        <v>2126</v>
      </c>
      <c r="C517" s="56"/>
      <c r="D517" s="56"/>
      <c r="E517" s="56"/>
      <c r="F517" s="56"/>
      <c r="G517" s="56"/>
      <c r="H517" s="56"/>
      <c r="I517" s="56"/>
      <c r="J517" s="56"/>
      <c r="K517" s="37">
        <f>COUNTIFS($Q$2:$Q$501,5,$V$2:$V$501,"Completed")</f>
        <v>27</v>
      </c>
    </row>
    <row r="520" spans="2:13">
      <c r="B520" s="56" t="s">
        <v>2127</v>
      </c>
      <c r="C520" s="56"/>
      <c r="D520" s="56"/>
      <c r="E520" s="56"/>
      <c r="F520" s="56"/>
      <c r="G520" s="56"/>
      <c r="H520" s="56"/>
      <c r="I520" s="56"/>
      <c r="J520" s="56"/>
      <c r="K520" s="56"/>
      <c r="L520" s="37">
        <f>AVERAGEIFS($P$2:$P$501,$J$2:$J$501,"West",$M$2:$M$501,"&gt;5")</f>
        <v>82824.450657894733</v>
      </c>
    </row>
  </sheetData>
  <mergeCells count="5">
    <mergeCell ref="B508:F508"/>
    <mergeCell ref="B511:H511"/>
    <mergeCell ref="B514:L514"/>
    <mergeCell ref="B517:J517"/>
    <mergeCell ref="B520:K520"/>
  </mergeCells>
  <hyperlinks>
    <hyperlink ref="T2" r:id="rId1" xr:uid="{C08B3385-5256-4FBD-A69C-44811F8B9176}"/>
    <hyperlink ref="T5" r:id="rId2" xr:uid="{9B51DE80-EEC4-4089-8576-EBBBA760024B}"/>
    <hyperlink ref="T9" r:id="rId3" xr:uid="{378511ED-6592-4905-81EA-527D3A99FC22}"/>
    <hyperlink ref="T11" r:id="rId4" xr:uid="{70C7AEF4-904A-46A3-A4C1-F2E2B864AA0F}"/>
    <hyperlink ref="T16" r:id="rId5" xr:uid="{106CA512-1751-4588-9A49-966E80DC973C}"/>
    <hyperlink ref="T15" r:id="rId6" xr:uid="{4A52BB24-AE84-43C5-9B07-CFB4D6835CE9}"/>
    <hyperlink ref="T20" r:id="rId7" xr:uid="{0C311257-D559-459F-BCB4-8967C44BDC44}"/>
    <hyperlink ref="T61" r:id="rId8" xr:uid="{5969EA11-5C4E-4593-B61C-E59FEB959971}"/>
    <hyperlink ref="T72" r:id="rId9" xr:uid="{2F8D2AD2-D705-4F83-887C-40BA17E46908}"/>
    <hyperlink ref="T294" r:id="rId10" xr:uid="{77635AF3-B69A-4DEB-88B6-6757C0FB1817}"/>
    <hyperlink ref="T489" r:id="rId11" xr:uid="{C7DB4356-276C-4215-B654-5395D97ABDF2}"/>
    <hyperlink ref="T479" r:id="rId12" xr:uid="{1767C97A-F06D-457D-9DD4-BEE49CF08881}"/>
    <hyperlink ref="T463" r:id="rId13" xr:uid="{0E75C52C-B3DB-4331-BE24-50424780334C}"/>
    <hyperlink ref="T450" r:id="rId14" xr:uid="{68BBCEE4-4F89-4C75-ADEE-7E8D99CE7B7C}"/>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3D118-3D35-41CF-82FA-3E08458EA9C8}">
  <dimension ref="A1:AG501"/>
  <sheetViews>
    <sheetView topLeftCell="A475" workbookViewId="0">
      <selection sqref="A1:V501"/>
    </sheetView>
  </sheetViews>
  <sheetFormatPr defaultRowHeight="14.4"/>
  <sheetData>
    <row r="1" spans="1:33" ht="15" thickBo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33" ht="15" thickTop="1">
      <c r="A2" s="3" t="s">
        <v>22</v>
      </c>
      <c r="B2" s="4" t="s">
        <v>23</v>
      </c>
      <c r="C2" s="4" t="s">
        <v>24</v>
      </c>
      <c r="D2" s="4" t="s">
        <v>25</v>
      </c>
      <c r="E2" s="4" t="s">
        <v>26</v>
      </c>
      <c r="F2" s="4" t="s">
        <v>27</v>
      </c>
      <c r="G2" s="4" t="s">
        <v>28</v>
      </c>
      <c r="H2" s="4" t="s">
        <v>29</v>
      </c>
      <c r="I2" s="4" t="s">
        <v>30</v>
      </c>
      <c r="J2" s="4" t="s">
        <v>31</v>
      </c>
      <c r="K2" s="4" t="s">
        <v>32</v>
      </c>
      <c r="L2" s="4" t="s">
        <v>33</v>
      </c>
      <c r="M2" s="4">
        <v>4</v>
      </c>
      <c r="N2" s="4">
        <v>2200</v>
      </c>
      <c r="O2" s="4">
        <v>10</v>
      </c>
      <c r="P2" s="4">
        <v>7920</v>
      </c>
      <c r="Q2" s="4">
        <v>4</v>
      </c>
      <c r="R2" s="4" t="s">
        <v>34</v>
      </c>
      <c r="S2" s="4" t="s">
        <v>35</v>
      </c>
      <c r="T2" s="5" t="s">
        <v>36</v>
      </c>
      <c r="U2" s="6" t="s">
        <v>37</v>
      </c>
      <c r="V2" s="4" t="s">
        <v>38</v>
      </c>
    </row>
    <row r="3" spans="1:33">
      <c r="A3" s="7" t="s">
        <v>39</v>
      </c>
      <c r="B3" s="8" t="s">
        <v>23</v>
      </c>
      <c r="C3" s="8" t="s">
        <v>40</v>
      </c>
      <c r="D3" s="8" t="s">
        <v>41</v>
      </c>
      <c r="E3" s="8" t="s">
        <v>42</v>
      </c>
      <c r="F3" s="8" t="s">
        <v>27</v>
      </c>
      <c r="G3" s="8" t="s">
        <v>28</v>
      </c>
      <c r="H3" s="8" t="s">
        <v>43</v>
      </c>
      <c r="I3" s="8" t="s">
        <v>44</v>
      </c>
      <c r="J3" s="8" t="s">
        <v>45</v>
      </c>
      <c r="K3" s="8" t="s">
        <v>46</v>
      </c>
      <c r="L3" s="8" t="s">
        <v>47</v>
      </c>
      <c r="M3" s="8">
        <v>17</v>
      </c>
      <c r="N3" s="8">
        <v>12000</v>
      </c>
      <c r="O3" s="8">
        <v>10</v>
      </c>
      <c r="P3" s="8">
        <v>183600</v>
      </c>
      <c r="Q3" s="8">
        <v>1</v>
      </c>
      <c r="R3" s="8" t="s">
        <v>48</v>
      </c>
      <c r="S3" s="8" t="s">
        <v>49</v>
      </c>
      <c r="T3" s="8" t="s">
        <v>50</v>
      </c>
      <c r="U3" s="9" t="s">
        <v>51</v>
      </c>
      <c r="V3" s="8" t="s">
        <v>38</v>
      </c>
    </row>
    <row r="4" spans="1:33">
      <c r="A4" s="3" t="s">
        <v>52</v>
      </c>
      <c r="B4" s="4" t="s">
        <v>53</v>
      </c>
      <c r="C4" s="4" t="s">
        <v>54</v>
      </c>
      <c r="D4" s="4" t="s">
        <v>55</v>
      </c>
      <c r="E4" s="4" t="s">
        <v>56</v>
      </c>
      <c r="F4" s="4" t="s">
        <v>57</v>
      </c>
      <c r="G4" s="4" t="s">
        <v>28</v>
      </c>
      <c r="H4" s="4" t="s">
        <v>58</v>
      </c>
      <c r="I4" s="4" t="s">
        <v>59</v>
      </c>
      <c r="J4" s="4" t="s">
        <v>31</v>
      </c>
      <c r="K4" s="4" t="s">
        <v>46</v>
      </c>
      <c r="L4" s="4" t="s">
        <v>60</v>
      </c>
      <c r="M4" s="4">
        <v>5</v>
      </c>
      <c r="N4" s="4">
        <v>55000</v>
      </c>
      <c r="O4" s="4">
        <v>5</v>
      </c>
      <c r="P4" s="4">
        <v>261250</v>
      </c>
      <c r="Q4" s="4">
        <v>3</v>
      </c>
      <c r="R4" s="4" t="s">
        <v>48</v>
      </c>
      <c r="S4" s="4" t="s">
        <v>61</v>
      </c>
      <c r="T4" s="4" t="s">
        <v>62</v>
      </c>
      <c r="U4" s="6" t="s">
        <v>63</v>
      </c>
      <c r="V4" s="4" t="s">
        <v>64</v>
      </c>
    </row>
    <row r="5" spans="1:33">
      <c r="A5" s="7" t="s">
        <v>39</v>
      </c>
      <c r="B5" s="8" t="s">
        <v>23</v>
      </c>
      <c r="C5" s="8" t="s">
        <v>24</v>
      </c>
      <c r="D5" s="8" t="s">
        <v>65</v>
      </c>
      <c r="E5" s="8" t="s">
        <v>66</v>
      </c>
      <c r="F5" s="8" t="s">
        <v>27</v>
      </c>
      <c r="G5" s="8" t="s">
        <v>28</v>
      </c>
      <c r="H5" s="8" t="s">
        <v>67</v>
      </c>
      <c r="I5" s="8" t="s">
        <v>59</v>
      </c>
      <c r="J5" s="8" t="s">
        <v>31</v>
      </c>
      <c r="K5" s="8" t="s">
        <v>32</v>
      </c>
      <c r="L5" s="8" t="s">
        <v>33</v>
      </c>
      <c r="M5" s="8">
        <v>5</v>
      </c>
      <c r="N5" s="8">
        <v>2200</v>
      </c>
      <c r="O5" s="8">
        <v>5</v>
      </c>
      <c r="P5" s="8">
        <v>10450</v>
      </c>
      <c r="Q5" s="8">
        <v>5</v>
      </c>
      <c r="R5" s="8" t="s">
        <v>48</v>
      </c>
      <c r="S5" s="8" t="s">
        <v>61</v>
      </c>
      <c r="T5" s="10" t="s">
        <v>50</v>
      </c>
      <c r="U5" s="9" t="s">
        <v>68</v>
      </c>
      <c r="V5" s="8" t="s">
        <v>69</v>
      </c>
    </row>
    <row r="6" spans="1:33">
      <c r="A6" s="3" t="s">
        <v>70</v>
      </c>
      <c r="B6" s="4" t="s">
        <v>71</v>
      </c>
      <c r="C6" s="4" t="s">
        <v>72</v>
      </c>
      <c r="D6" s="4" t="s">
        <v>73</v>
      </c>
      <c r="E6" s="4" t="s">
        <v>74</v>
      </c>
      <c r="F6" s="4" t="s">
        <v>75</v>
      </c>
      <c r="G6" s="4" t="s">
        <v>76</v>
      </c>
      <c r="H6" s="4" t="s">
        <v>77</v>
      </c>
      <c r="I6" s="4" t="s">
        <v>44</v>
      </c>
      <c r="J6" s="4" t="s">
        <v>45</v>
      </c>
      <c r="K6" s="4" t="s">
        <v>46</v>
      </c>
      <c r="L6" s="4" t="s">
        <v>78</v>
      </c>
      <c r="M6" s="4">
        <v>8</v>
      </c>
      <c r="N6" s="4">
        <v>1200</v>
      </c>
      <c r="O6" s="4">
        <v>5</v>
      </c>
      <c r="P6" s="4">
        <v>9120</v>
      </c>
      <c r="Q6" s="4">
        <v>2</v>
      </c>
      <c r="R6" s="4" t="s">
        <v>79</v>
      </c>
      <c r="S6" s="4" t="s">
        <v>61</v>
      </c>
      <c r="T6" s="4" t="s">
        <v>80</v>
      </c>
      <c r="U6" s="6" t="s">
        <v>81</v>
      </c>
      <c r="V6" s="4" t="s">
        <v>64</v>
      </c>
    </row>
    <row r="7" spans="1:33" ht="25.8">
      <c r="A7" s="7" t="s">
        <v>82</v>
      </c>
      <c r="B7" s="8" t="s">
        <v>83</v>
      </c>
      <c r="C7" s="8" t="s">
        <v>24</v>
      </c>
      <c r="D7" s="8" t="s">
        <v>84</v>
      </c>
      <c r="E7" s="8" t="s">
        <v>85</v>
      </c>
      <c r="F7" s="8" t="s">
        <v>86</v>
      </c>
      <c r="G7" s="8" t="s">
        <v>76</v>
      </c>
      <c r="H7" s="8" t="s">
        <v>87</v>
      </c>
      <c r="I7" s="8" t="s">
        <v>30</v>
      </c>
      <c r="J7" s="8" t="s">
        <v>31</v>
      </c>
      <c r="K7" s="8" t="s">
        <v>32</v>
      </c>
      <c r="L7" s="8" t="s">
        <v>33</v>
      </c>
      <c r="M7" s="8">
        <v>4</v>
      </c>
      <c r="N7" s="8">
        <v>2200</v>
      </c>
      <c r="O7" s="8">
        <v>0</v>
      </c>
      <c r="P7" s="8">
        <v>8800</v>
      </c>
      <c r="Q7" s="8">
        <v>1</v>
      </c>
      <c r="R7" s="8" t="s">
        <v>88</v>
      </c>
      <c r="S7" s="8" t="s">
        <v>35</v>
      </c>
      <c r="T7" s="8" t="s">
        <v>89</v>
      </c>
      <c r="U7" s="9" t="s">
        <v>90</v>
      </c>
      <c r="V7" s="8" t="s">
        <v>38</v>
      </c>
      <c r="Y7" s="41" t="s">
        <v>2128</v>
      </c>
    </row>
    <row r="8" spans="1:33">
      <c r="A8" s="3" t="s">
        <v>91</v>
      </c>
      <c r="B8" s="4" t="s">
        <v>23</v>
      </c>
      <c r="C8" s="4" t="s">
        <v>92</v>
      </c>
      <c r="D8" s="4" t="s">
        <v>93</v>
      </c>
      <c r="E8" s="4" t="s">
        <v>94</v>
      </c>
      <c r="F8" s="4" t="s">
        <v>95</v>
      </c>
      <c r="G8" s="4" t="s">
        <v>28</v>
      </c>
      <c r="H8" s="4" t="s">
        <v>96</v>
      </c>
      <c r="I8" s="4" t="s">
        <v>30</v>
      </c>
      <c r="J8" s="4" t="s">
        <v>31</v>
      </c>
      <c r="K8" s="4" t="s">
        <v>32</v>
      </c>
      <c r="L8" s="4" t="s">
        <v>97</v>
      </c>
      <c r="M8" s="4">
        <v>2</v>
      </c>
      <c r="N8" s="4">
        <v>3500</v>
      </c>
      <c r="O8" s="4">
        <v>5</v>
      </c>
      <c r="P8" s="4">
        <v>6650</v>
      </c>
      <c r="Q8" s="4">
        <v>1</v>
      </c>
      <c r="R8" s="4" t="s">
        <v>88</v>
      </c>
      <c r="S8" s="4" t="s">
        <v>35</v>
      </c>
      <c r="T8" s="4" t="s">
        <v>50</v>
      </c>
      <c r="U8" s="6" t="s">
        <v>98</v>
      </c>
      <c r="V8" s="4" t="s">
        <v>38</v>
      </c>
    </row>
    <row r="9" spans="1:33">
      <c r="A9" s="7" t="s">
        <v>99</v>
      </c>
      <c r="B9" s="8" t="s">
        <v>100</v>
      </c>
      <c r="C9" s="8" t="s">
        <v>40</v>
      </c>
      <c r="D9" s="8" t="s">
        <v>101</v>
      </c>
      <c r="E9" s="8" t="s">
        <v>102</v>
      </c>
      <c r="F9" s="8" t="s">
        <v>103</v>
      </c>
      <c r="G9" s="8" t="s">
        <v>28</v>
      </c>
      <c r="H9" s="8" t="s">
        <v>104</v>
      </c>
      <c r="I9" s="8" t="s">
        <v>105</v>
      </c>
      <c r="J9" s="8" t="s">
        <v>106</v>
      </c>
      <c r="K9" s="8" t="s">
        <v>46</v>
      </c>
      <c r="L9" s="8" t="s">
        <v>47</v>
      </c>
      <c r="M9" s="8">
        <v>14</v>
      </c>
      <c r="N9" s="8">
        <v>12000</v>
      </c>
      <c r="O9" s="8">
        <v>15</v>
      </c>
      <c r="P9" s="8">
        <v>142800</v>
      </c>
      <c r="Q9" s="8">
        <v>4</v>
      </c>
      <c r="R9" s="8" t="s">
        <v>48</v>
      </c>
      <c r="S9" s="8" t="s">
        <v>35</v>
      </c>
      <c r="T9" s="10" t="s">
        <v>107</v>
      </c>
      <c r="U9" s="9" t="s">
        <v>108</v>
      </c>
      <c r="V9" s="8" t="s">
        <v>38</v>
      </c>
      <c r="Y9">
        <v>1</v>
      </c>
      <c r="Z9" s="56" t="s">
        <v>2132</v>
      </c>
      <c r="AA9" s="56"/>
      <c r="AB9" s="56"/>
      <c r="AC9" s="56"/>
      <c r="AD9" s="37">
        <f>AVERAGE($P$2:$P$501)</f>
        <v>69531.875</v>
      </c>
    </row>
    <row r="10" spans="1:33">
      <c r="A10" s="3" t="s">
        <v>109</v>
      </c>
      <c r="B10" s="4" t="s">
        <v>23</v>
      </c>
      <c r="C10" s="4" t="s">
        <v>40</v>
      </c>
      <c r="D10" s="4" t="s">
        <v>110</v>
      </c>
      <c r="E10" s="4" t="s">
        <v>111</v>
      </c>
      <c r="F10" s="4" t="s">
        <v>112</v>
      </c>
      <c r="G10" s="4" t="s">
        <v>28</v>
      </c>
      <c r="H10" s="4" t="s">
        <v>113</v>
      </c>
      <c r="I10" s="4" t="s">
        <v>114</v>
      </c>
      <c r="J10" s="4" t="s">
        <v>106</v>
      </c>
      <c r="K10" s="4" t="s">
        <v>46</v>
      </c>
      <c r="L10" s="4" t="s">
        <v>47</v>
      </c>
      <c r="M10" s="4">
        <v>4</v>
      </c>
      <c r="N10" s="4">
        <v>12000</v>
      </c>
      <c r="O10" s="4">
        <v>15</v>
      </c>
      <c r="P10" s="4">
        <v>40800</v>
      </c>
      <c r="Q10" s="4">
        <v>4</v>
      </c>
      <c r="R10" s="4" t="s">
        <v>88</v>
      </c>
      <c r="S10" s="4" t="s">
        <v>115</v>
      </c>
      <c r="T10" s="4" t="s">
        <v>50</v>
      </c>
      <c r="U10" s="6" t="s">
        <v>116</v>
      </c>
      <c r="V10" s="4" t="s">
        <v>38</v>
      </c>
    </row>
    <row r="11" spans="1:33">
      <c r="A11" s="7" t="s">
        <v>117</v>
      </c>
      <c r="B11" s="8" t="s">
        <v>100</v>
      </c>
      <c r="C11" s="8" t="s">
        <v>118</v>
      </c>
      <c r="D11" s="8" t="s">
        <v>119</v>
      </c>
      <c r="E11" s="8" t="s">
        <v>120</v>
      </c>
      <c r="F11" s="8" t="s">
        <v>103</v>
      </c>
      <c r="G11" s="8" t="s">
        <v>28</v>
      </c>
      <c r="H11" s="8" t="s">
        <v>121</v>
      </c>
      <c r="I11" s="8" t="s">
        <v>105</v>
      </c>
      <c r="J11" s="8" t="s">
        <v>106</v>
      </c>
      <c r="K11" s="8" t="s">
        <v>122</v>
      </c>
      <c r="L11" s="8" t="s">
        <v>123</v>
      </c>
      <c r="M11" s="8">
        <v>6</v>
      </c>
      <c r="N11" s="8">
        <v>60</v>
      </c>
      <c r="O11" s="8">
        <v>0</v>
      </c>
      <c r="P11" s="8">
        <v>360</v>
      </c>
      <c r="Q11" s="8">
        <v>4</v>
      </c>
      <c r="R11" s="8" t="s">
        <v>79</v>
      </c>
      <c r="S11" s="8" t="s">
        <v>115</v>
      </c>
      <c r="T11" s="10" t="s">
        <v>124</v>
      </c>
      <c r="U11" s="9" t="s">
        <v>125</v>
      </c>
      <c r="V11" s="8" t="s">
        <v>38</v>
      </c>
      <c r="Y11">
        <v>2</v>
      </c>
      <c r="Z11" s="56" t="s">
        <v>2133</v>
      </c>
      <c r="AA11" s="56"/>
      <c r="AB11" s="56"/>
      <c r="AC11" s="56"/>
      <c r="AD11" s="37">
        <f>MEDIAN($P$2:$P$501)</f>
        <v>10475</v>
      </c>
    </row>
    <row r="12" spans="1:33">
      <c r="A12" s="3" t="s">
        <v>126</v>
      </c>
      <c r="B12" s="4" t="s">
        <v>127</v>
      </c>
      <c r="C12" s="4" t="s">
        <v>24</v>
      </c>
      <c r="D12" s="4" t="s">
        <v>128</v>
      </c>
      <c r="E12" s="4" t="s">
        <v>129</v>
      </c>
      <c r="F12" s="4" t="s">
        <v>130</v>
      </c>
      <c r="G12" s="4" t="s">
        <v>76</v>
      </c>
      <c r="H12" s="4" t="s">
        <v>131</v>
      </c>
      <c r="I12" s="4" t="s">
        <v>44</v>
      </c>
      <c r="J12" s="4" t="s">
        <v>45</v>
      </c>
      <c r="K12" s="4" t="s">
        <v>32</v>
      </c>
      <c r="L12" s="4" t="s">
        <v>33</v>
      </c>
      <c r="M12" s="4">
        <v>-3</v>
      </c>
      <c r="N12" s="4">
        <v>2200</v>
      </c>
      <c r="O12" s="4">
        <v>0</v>
      </c>
      <c r="P12" s="4">
        <v>35200</v>
      </c>
      <c r="Q12" s="4">
        <v>2</v>
      </c>
      <c r="R12" s="4" t="s">
        <v>79</v>
      </c>
      <c r="S12" s="4" t="s">
        <v>49</v>
      </c>
      <c r="T12" s="4" t="s">
        <v>132</v>
      </c>
      <c r="U12" s="6" t="s">
        <v>133</v>
      </c>
      <c r="V12" s="4" t="s">
        <v>64</v>
      </c>
    </row>
    <row r="13" spans="1:33">
      <c r="A13" s="7" t="s">
        <v>134</v>
      </c>
      <c r="B13" s="8" t="s">
        <v>23</v>
      </c>
      <c r="C13" s="8" t="s">
        <v>92</v>
      </c>
      <c r="D13" s="8" t="s">
        <v>135</v>
      </c>
      <c r="E13" s="8" t="s">
        <v>136</v>
      </c>
      <c r="F13" s="8" t="s">
        <v>27</v>
      </c>
      <c r="G13" s="8" t="s">
        <v>28</v>
      </c>
      <c r="H13" s="8" t="s">
        <v>137</v>
      </c>
      <c r="I13" s="8" t="s">
        <v>138</v>
      </c>
      <c r="J13" s="8" t="s">
        <v>106</v>
      </c>
      <c r="K13" s="8" t="s">
        <v>32</v>
      </c>
      <c r="L13" s="8" t="s">
        <v>97</v>
      </c>
      <c r="M13" s="8">
        <v>10</v>
      </c>
      <c r="N13" s="8">
        <v>3500</v>
      </c>
      <c r="O13" s="8">
        <v>5</v>
      </c>
      <c r="P13" s="8">
        <v>33250</v>
      </c>
      <c r="Q13" s="8">
        <v>5</v>
      </c>
      <c r="R13" s="8" t="s">
        <v>79</v>
      </c>
      <c r="S13" s="8" t="s">
        <v>61</v>
      </c>
      <c r="T13" s="8" t="s">
        <v>50</v>
      </c>
      <c r="U13" s="9" t="s">
        <v>139</v>
      </c>
      <c r="V13" s="8" t="s">
        <v>69</v>
      </c>
      <c r="Y13">
        <v>3</v>
      </c>
      <c r="Z13" s="56" t="s">
        <v>2129</v>
      </c>
      <c r="AA13" s="56"/>
      <c r="AB13" s="56"/>
      <c r="AC13" s="56"/>
      <c r="AD13" s="56"/>
      <c r="AE13" s="37">
        <f>MAX($P$2:$P$501)</f>
        <v>1045000</v>
      </c>
      <c r="AF13" s="37" t="s">
        <v>2131</v>
      </c>
      <c r="AG13" s="37">
        <f>MIN($P$2:$P$501)</f>
        <v>19</v>
      </c>
    </row>
    <row r="14" spans="1:33">
      <c r="A14" s="3" t="s">
        <v>140</v>
      </c>
      <c r="B14" s="4" t="s">
        <v>100</v>
      </c>
      <c r="C14" s="4" t="s">
        <v>24</v>
      </c>
      <c r="D14" s="4" t="s">
        <v>141</v>
      </c>
      <c r="E14" s="4" t="s">
        <v>142</v>
      </c>
      <c r="F14" s="4" t="s">
        <v>103</v>
      </c>
      <c r="G14" s="4" t="s">
        <v>28</v>
      </c>
      <c r="H14" s="4" t="s">
        <v>143</v>
      </c>
      <c r="I14" s="4" t="s">
        <v>114</v>
      </c>
      <c r="J14" s="4" t="s">
        <v>106</v>
      </c>
      <c r="K14" s="4" t="s">
        <v>32</v>
      </c>
      <c r="L14" s="4" t="s">
        <v>33</v>
      </c>
      <c r="M14" s="4">
        <v>15</v>
      </c>
      <c r="N14" s="4">
        <v>2200</v>
      </c>
      <c r="O14" s="4">
        <v>10</v>
      </c>
      <c r="P14" s="4">
        <v>29700</v>
      </c>
      <c r="Q14" s="4">
        <v>1</v>
      </c>
      <c r="R14" s="4" t="s">
        <v>88</v>
      </c>
      <c r="S14" s="4" t="s">
        <v>115</v>
      </c>
      <c r="T14" s="4" t="s">
        <v>144</v>
      </c>
      <c r="U14" s="6" t="s">
        <v>145</v>
      </c>
      <c r="V14" s="4" t="s">
        <v>64</v>
      </c>
    </row>
    <row r="15" spans="1:33">
      <c r="A15" s="7" t="s">
        <v>146</v>
      </c>
      <c r="B15" s="8" t="s">
        <v>127</v>
      </c>
      <c r="C15" s="8" t="s">
        <v>24</v>
      </c>
      <c r="D15" s="8" t="s">
        <v>147</v>
      </c>
      <c r="E15" s="8" t="s">
        <v>148</v>
      </c>
      <c r="F15" s="8" t="s">
        <v>149</v>
      </c>
      <c r="G15" s="8" t="s">
        <v>76</v>
      </c>
      <c r="H15" s="8" t="s">
        <v>150</v>
      </c>
      <c r="I15" s="8" t="s">
        <v>105</v>
      </c>
      <c r="J15" s="8" t="s">
        <v>106</v>
      </c>
      <c r="K15" s="8" t="s">
        <v>32</v>
      </c>
      <c r="L15" s="8" t="s">
        <v>33</v>
      </c>
      <c r="M15" s="8">
        <v>17</v>
      </c>
      <c r="N15" s="8">
        <v>2200</v>
      </c>
      <c r="O15" s="8">
        <v>5</v>
      </c>
      <c r="P15" s="8">
        <v>35530</v>
      </c>
      <c r="Q15" s="8">
        <v>1</v>
      </c>
      <c r="R15" s="8" t="s">
        <v>34</v>
      </c>
      <c r="S15" s="8" t="s">
        <v>151</v>
      </c>
      <c r="T15" s="10" t="s">
        <v>152</v>
      </c>
      <c r="U15" s="9" t="s">
        <v>153</v>
      </c>
      <c r="V15" s="8" t="s">
        <v>38</v>
      </c>
      <c r="Y15">
        <v>4</v>
      </c>
      <c r="Z15" s="56" t="s">
        <v>2134</v>
      </c>
      <c r="AA15" s="56"/>
      <c r="AB15" s="37">
        <f>_xlfn.STDEV.S($P$2:$P$501)</f>
        <v>167151.44592393315</v>
      </c>
    </row>
    <row r="16" spans="1:33">
      <c r="A16" s="3" t="s">
        <v>154</v>
      </c>
      <c r="B16" s="4" t="s">
        <v>23</v>
      </c>
      <c r="C16" s="4" t="s">
        <v>92</v>
      </c>
      <c r="D16" s="4" t="s">
        <v>155</v>
      </c>
      <c r="E16" s="4" t="s">
        <v>156</v>
      </c>
      <c r="F16" s="4" t="s">
        <v>157</v>
      </c>
      <c r="G16" s="4" t="s">
        <v>28</v>
      </c>
      <c r="H16" s="4" t="s">
        <v>158</v>
      </c>
      <c r="I16" s="4" t="s">
        <v>105</v>
      </c>
      <c r="J16" s="4" t="s">
        <v>106</v>
      </c>
      <c r="K16" s="4" t="s">
        <v>32</v>
      </c>
      <c r="L16" s="4" t="s">
        <v>97</v>
      </c>
      <c r="M16" s="4">
        <v>15</v>
      </c>
      <c r="N16" s="4">
        <v>3500</v>
      </c>
      <c r="O16" s="4">
        <v>15</v>
      </c>
      <c r="P16" s="4">
        <v>44625</v>
      </c>
      <c r="Q16" s="4">
        <v>2</v>
      </c>
      <c r="R16" s="4" t="s">
        <v>34</v>
      </c>
      <c r="S16" s="4" t="s">
        <v>115</v>
      </c>
      <c r="T16" s="5" t="s">
        <v>50</v>
      </c>
      <c r="U16" s="6" t="s">
        <v>159</v>
      </c>
      <c r="V16" s="4" t="s">
        <v>69</v>
      </c>
    </row>
    <row r="17" spans="1:30">
      <c r="A17" s="7" t="s">
        <v>160</v>
      </c>
      <c r="B17" s="8" t="s">
        <v>53</v>
      </c>
      <c r="C17" s="8" t="s">
        <v>72</v>
      </c>
      <c r="D17" s="8" t="s">
        <v>161</v>
      </c>
      <c r="E17" s="8" t="s">
        <v>162</v>
      </c>
      <c r="F17" s="8" t="s">
        <v>163</v>
      </c>
      <c r="G17" s="8" t="s">
        <v>28</v>
      </c>
      <c r="H17" s="8" t="s">
        <v>164</v>
      </c>
      <c r="I17" s="8" t="s">
        <v>30</v>
      </c>
      <c r="J17" s="8" t="s">
        <v>31</v>
      </c>
      <c r="K17" s="8" t="s">
        <v>46</v>
      </c>
      <c r="L17" s="8" t="s">
        <v>78</v>
      </c>
      <c r="M17" s="8">
        <v>3</v>
      </c>
      <c r="N17" s="8">
        <v>1200</v>
      </c>
      <c r="O17" s="8">
        <v>5</v>
      </c>
      <c r="P17" s="8">
        <v>3420</v>
      </c>
      <c r="Q17" s="8">
        <v>5</v>
      </c>
      <c r="R17" s="8" t="s">
        <v>88</v>
      </c>
      <c r="S17" s="8" t="s">
        <v>35</v>
      </c>
      <c r="T17" s="8" t="s">
        <v>165</v>
      </c>
      <c r="U17" s="9" t="s">
        <v>166</v>
      </c>
      <c r="V17" s="8" t="s">
        <v>38</v>
      </c>
      <c r="Y17">
        <v>5</v>
      </c>
      <c r="Z17" s="56" t="s">
        <v>2135</v>
      </c>
      <c r="AA17" s="56"/>
      <c r="AB17" s="56"/>
      <c r="AC17" s="56"/>
      <c r="AD17" s="37">
        <f>_xlfn.PERCENTILE.INC(P$2:$P$501,90%)</f>
        <v>163880.00000000015</v>
      </c>
    </row>
    <row r="18" spans="1:30">
      <c r="A18" s="3" t="s">
        <v>167</v>
      </c>
      <c r="B18" s="4" t="s">
        <v>168</v>
      </c>
      <c r="C18" s="4" t="s">
        <v>169</v>
      </c>
      <c r="D18" s="4" t="s">
        <v>170</v>
      </c>
      <c r="E18" s="4" t="s">
        <v>171</v>
      </c>
      <c r="F18" s="4" t="s">
        <v>172</v>
      </c>
      <c r="G18" s="4" t="s">
        <v>28</v>
      </c>
      <c r="H18" s="4" t="s">
        <v>173</v>
      </c>
      <c r="I18" s="4" t="s">
        <v>114</v>
      </c>
      <c r="J18" s="4" t="s">
        <v>106</v>
      </c>
      <c r="K18" s="4" t="s">
        <v>32</v>
      </c>
      <c r="L18" s="4" t="s">
        <v>174</v>
      </c>
      <c r="M18" s="4">
        <v>13</v>
      </c>
      <c r="N18" s="4">
        <v>8500</v>
      </c>
      <c r="O18" s="4">
        <v>20</v>
      </c>
      <c r="P18" s="4">
        <v>88400</v>
      </c>
      <c r="Q18" s="4">
        <v>4</v>
      </c>
      <c r="R18" s="4" t="s">
        <v>79</v>
      </c>
      <c r="S18" s="4" t="s">
        <v>49</v>
      </c>
      <c r="T18" s="4" t="s">
        <v>175</v>
      </c>
      <c r="U18" s="6" t="s">
        <v>176</v>
      </c>
      <c r="V18" s="4" t="s">
        <v>64</v>
      </c>
    </row>
    <row r="19" spans="1:30">
      <c r="A19" s="7" t="s">
        <v>177</v>
      </c>
      <c r="B19" s="8" t="s">
        <v>83</v>
      </c>
      <c r="C19" s="8" t="s">
        <v>169</v>
      </c>
      <c r="D19" s="8" t="s">
        <v>178</v>
      </c>
      <c r="E19" s="8" t="s">
        <v>179</v>
      </c>
      <c r="F19" s="8" t="s">
        <v>180</v>
      </c>
      <c r="G19" s="8" t="s">
        <v>76</v>
      </c>
      <c r="H19" s="8" t="s">
        <v>181</v>
      </c>
      <c r="I19" s="8" t="s">
        <v>138</v>
      </c>
      <c r="J19" s="8" t="s">
        <v>106</v>
      </c>
      <c r="K19" s="8" t="s">
        <v>32</v>
      </c>
      <c r="L19" s="8" t="s">
        <v>174</v>
      </c>
      <c r="M19" s="8">
        <v>4</v>
      </c>
      <c r="N19" s="8">
        <v>8500</v>
      </c>
      <c r="O19" s="8">
        <v>20</v>
      </c>
      <c r="P19" s="8">
        <v>27200</v>
      </c>
      <c r="Q19" s="8">
        <v>5</v>
      </c>
      <c r="R19" s="8" t="s">
        <v>79</v>
      </c>
      <c r="S19" s="8" t="s">
        <v>61</v>
      </c>
      <c r="T19" s="8" t="s">
        <v>89</v>
      </c>
      <c r="U19" s="9" t="s">
        <v>182</v>
      </c>
      <c r="V19" s="8" t="s">
        <v>64</v>
      </c>
    </row>
    <row r="20" spans="1:30">
      <c r="A20" s="3" t="s">
        <v>183</v>
      </c>
      <c r="B20" s="4" t="s">
        <v>83</v>
      </c>
      <c r="C20" s="4" t="s">
        <v>184</v>
      </c>
      <c r="D20" s="4" t="s">
        <v>185</v>
      </c>
      <c r="E20" s="4" t="s">
        <v>186</v>
      </c>
      <c r="F20" s="4" t="s">
        <v>187</v>
      </c>
      <c r="G20" s="4" t="s">
        <v>76</v>
      </c>
      <c r="H20" s="4" t="s">
        <v>188</v>
      </c>
      <c r="I20" s="4" t="s">
        <v>105</v>
      </c>
      <c r="J20" s="4" t="s">
        <v>106</v>
      </c>
      <c r="K20" s="4" t="s">
        <v>46</v>
      </c>
      <c r="L20" s="4" t="s">
        <v>189</v>
      </c>
      <c r="M20" s="4">
        <v>9</v>
      </c>
      <c r="N20" s="4">
        <v>700</v>
      </c>
      <c r="O20" s="4">
        <v>5</v>
      </c>
      <c r="P20" s="4">
        <v>5985</v>
      </c>
      <c r="Q20" s="4">
        <v>3</v>
      </c>
      <c r="R20" s="4" t="s">
        <v>88</v>
      </c>
      <c r="S20" s="4" t="s">
        <v>35</v>
      </c>
      <c r="T20" s="5" t="s">
        <v>190</v>
      </c>
      <c r="U20" s="6" t="s">
        <v>191</v>
      </c>
      <c r="V20" s="4" t="s">
        <v>64</v>
      </c>
    </row>
    <row r="21" spans="1:30">
      <c r="A21" s="7" t="s">
        <v>192</v>
      </c>
      <c r="B21" s="8" t="s">
        <v>23</v>
      </c>
      <c r="C21" s="8" t="s">
        <v>54</v>
      </c>
      <c r="D21" s="8" t="s">
        <v>193</v>
      </c>
      <c r="E21" s="8" t="s">
        <v>194</v>
      </c>
      <c r="F21" s="8" t="s">
        <v>27</v>
      </c>
      <c r="G21" s="8" t="s">
        <v>28</v>
      </c>
      <c r="H21" s="8" t="s">
        <v>195</v>
      </c>
      <c r="I21" s="8" t="s">
        <v>138</v>
      </c>
      <c r="J21" s="8" t="s">
        <v>106</v>
      </c>
      <c r="K21" s="8" t="s">
        <v>46</v>
      </c>
      <c r="L21" s="8" t="s">
        <v>60</v>
      </c>
      <c r="M21" s="8">
        <v>8</v>
      </c>
      <c r="N21" s="8">
        <v>55000</v>
      </c>
      <c r="O21" s="8">
        <v>20</v>
      </c>
      <c r="P21" s="8">
        <v>352000</v>
      </c>
      <c r="Q21" s="8">
        <v>1</v>
      </c>
      <c r="R21" s="8" t="s">
        <v>34</v>
      </c>
      <c r="S21" s="8" t="s">
        <v>151</v>
      </c>
      <c r="T21" s="8" t="s">
        <v>50</v>
      </c>
      <c r="U21" s="9" t="s">
        <v>196</v>
      </c>
      <c r="V21" s="8" t="s">
        <v>38</v>
      </c>
    </row>
    <row r="22" spans="1:30">
      <c r="A22" s="3" t="s">
        <v>197</v>
      </c>
      <c r="B22" s="4" t="s">
        <v>127</v>
      </c>
      <c r="C22" s="4" t="s">
        <v>184</v>
      </c>
      <c r="D22" s="4" t="s">
        <v>198</v>
      </c>
      <c r="E22" s="4" t="s">
        <v>199</v>
      </c>
      <c r="F22" s="4" t="s">
        <v>200</v>
      </c>
      <c r="G22" s="4" t="s">
        <v>76</v>
      </c>
      <c r="H22" s="4" t="s">
        <v>201</v>
      </c>
      <c r="I22" s="4" t="s">
        <v>44</v>
      </c>
      <c r="J22" s="4" t="s">
        <v>45</v>
      </c>
      <c r="K22" s="4" t="s">
        <v>202</v>
      </c>
      <c r="L22" s="4" t="s">
        <v>189</v>
      </c>
      <c r="M22" s="4">
        <v>10</v>
      </c>
      <c r="N22" s="4">
        <v>700</v>
      </c>
      <c r="O22" s="4">
        <v>20</v>
      </c>
      <c r="P22" s="4">
        <v>5600</v>
      </c>
      <c r="Q22" s="4">
        <v>4</v>
      </c>
      <c r="R22" s="4" t="s">
        <v>79</v>
      </c>
      <c r="S22" s="4" t="s">
        <v>61</v>
      </c>
      <c r="T22" s="4" t="s">
        <v>132</v>
      </c>
      <c r="U22" s="6" t="s">
        <v>203</v>
      </c>
      <c r="V22" s="4" t="s">
        <v>69</v>
      </c>
    </row>
    <row r="23" spans="1:30">
      <c r="A23" s="7" t="s">
        <v>204</v>
      </c>
      <c r="B23" s="8" t="s">
        <v>23</v>
      </c>
      <c r="C23" s="8" t="s">
        <v>92</v>
      </c>
      <c r="D23" s="8" t="s">
        <v>205</v>
      </c>
      <c r="E23" s="8" t="s">
        <v>206</v>
      </c>
      <c r="F23" s="8" t="s">
        <v>112</v>
      </c>
      <c r="G23" s="8" t="s">
        <v>28</v>
      </c>
      <c r="H23" s="8" t="s">
        <v>207</v>
      </c>
      <c r="I23" s="8" t="s">
        <v>59</v>
      </c>
      <c r="J23" s="8" t="s">
        <v>31</v>
      </c>
      <c r="K23" s="8" t="s">
        <v>32</v>
      </c>
      <c r="L23" s="8" t="s">
        <v>97</v>
      </c>
      <c r="M23" s="8">
        <v>1</v>
      </c>
      <c r="N23" s="8">
        <v>3500</v>
      </c>
      <c r="O23" s="8">
        <v>5</v>
      </c>
      <c r="P23" s="8">
        <v>3325</v>
      </c>
      <c r="Q23" s="8">
        <v>3</v>
      </c>
      <c r="R23" s="8" t="s">
        <v>88</v>
      </c>
      <c r="S23" s="8" t="s">
        <v>115</v>
      </c>
      <c r="T23" s="8" t="s">
        <v>50</v>
      </c>
      <c r="U23" s="9" t="s">
        <v>208</v>
      </c>
      <c r="V23" s="8" t="s">
        <v>69</v>
      </c>
    </row>
    <row r="24" spans="1:30">
      <c r="A24" s="3" t="s">
        <v>209</v>
      </c>
      <c r="B24" s="4" t="s">
        <v>100</v>
      </c>
      <c r="C24" s="4" t="s">
        <v>184</v>
      </c>
      <c r="D24" s="4" t="s">
        <v>102</v>
      </c>
      <c r="E24" s="4" t="s">
        <v>210</v>
      </c>
      <c r="F24" s="4" t="s">
        <v>103</v>
      </c>
      <c r="G24" s="4" t="s">
        <v>28</v>
      </c>
      <c r="H24" s="4" t="s">
        <v>211</v>
      </c>
      <c r="I24" s="4" t="s">
        <v>212</v>
      </c>
      <c r="J24" s="4" t="s">
        <v>45</v>
      </c>
      <c r="K24" s="4" t="s">
        <v>46</v>
      </c>
      <c r="L24" s="4" t="s">
        <v>189</v>
      </c>
      <c r="M24" s="4">
        <v>19</v>
      </c>
      <c r="N24" s="4">
        <v>700</v>
      </c>
      <c r="O24" s="4">
        <v>15</v>
      </c>
      <c r="P24" s="4">
        <v>11305</v>
      </c>
      <c r="Q24" s="4">
        <v>3</v>
      </c>
      <c r="R24" s="4" t="s">
        <v>48</v>
      </c>
      <c r="S24" s="4" t="s">
        <v>151</v>
      </c>
      <c r="T24" s="4" t="s">
        <v>144</v>
      </c>
      <c r="U24" s="6" t="s">
        <v>213</v>
      </c>
      <c r="V24" s="4" t="s">
        <v>64</v>
      </c>
    </row>
    <row r="25" spans="1:30">
      <c r="A25" s="7" t="s">
        <v>214</v>
      </c>
      <c r="B25" s="8" t="s">
        <v>71</v>
      </c>
      <c r="C25" s="8" t="s">
        <v>54</v>
      </c>
      <c r="D25" s="8" t="s">
        <v>215</v>
      </c>
      <c r="E25" s="8" t="s">
        <v>216</v>
      </c>
      <c r="F25" s="8" t="s">
        <v>217</v>
      </c>
      <c r="G25" s="8" t="s">
        <v>76</v>
      </c>
      <c r="H25" s="8" t="s">
        <v>218</v>
      </c>
      <c r="I25" s="8" t="s">
        <v>59</v>
      </c>
      <c r="J25" s="8" t="s">
        <v>31</v>
      </c>
      <c r="K25" s="8" t="s">
        <v>46</v>
      </c>
      <c r="L25" s="8" t="s">
        <v>60</v>
      </c>
      <c r="M25" s="8">
        <v>12</v>
      </c>
      <c r="N25" s="8">
        <v>55000</v>
      </c>
      <c r="O25" s="8">
        <v>0</v>
      </c>
      <c r="P25" s="8">
        <v>660000</v>
      </c>
      <c r="Q25" s="8">
        <v>1</v>
      </c>
      <c r="R25" s="8" t="s">
        <v>79</v>
      </c>
      <c r="S25" s="8" t="s">
        <v>49</v>
      </c>
      <c r="T25" s="8" t="s">
        <v>80</v>
      </c>
      <c r="U25" s="9" t="s">
        <v>219</v>
      </c>
      <c r="V25" s="8" t="s">
        <v>64</v>
      </c>
    </row>
    <row r="26" spans="1:30">
      <c r="A26" s="3" t="s">
        <v>220</v>
      </c>
      <c r="B26" s="4" t="s">
        <v>221</v>
      </c>
      <c r="C26" s="4" t="s">
        <v>222</v>
      </c>
      <c r="D26" s="4" t="s">
        <v>223</v>
      </c>
      <c r="E26" s="4" t="s">
        <v>224</v>
      </c>
      <c r="F26" s="4" t="s">
        <v>225</v>
      </c>
      <c r="G26" s="4" t="s">
        <v>76</v>
      </c>
      <c r="H26" s="4" t="s">
        <v>226</v>
      </c>
      <c r="I26" s="4" t="s">
        <v>105</v>
      </c>
      <c r="J26" s="4" t="s">
        <v>106</v>
      </c>
      <c r="K26" s="4" t="s">
        <v>122</v>
      </c>
      <c r="L26" s="4" t="s">
        <v>227</v>
      </c>
      <c r="M26" s="4">
        <v>1</v>
      </c>
      <c r="N26" s="4">
        <v>20</v>
      </c>
      <c r="O26" s="4">
        <v>5</v>
      </c>
      <c r="P26" s="4">
        <v>19</v>
      </c>
      <c r="Q26" s="4">
        <v>5</v>
      </c>
      <c r="R26" s="4" t="s">
        <v>79</v>
      </c>
      <c r="S26" s="4" t="s">
        <v>35</v>
      </c>
      <c r="T26" s="4" t="s">
        <v>228</v>
      </c>
      <c r="U26" s="6" t="s">
        <v>229</v>
      </c>
      <c r="V26" s="4" t="s">
        <v>69</v>
      </c>
    </row>
    <row r="27" spans="1:30">
      <c r="A27" s="7" t="s">
        <v>230</v>
      </c>
      <c r="B27" s="8" t="s">
        <v>83</v>
      </c>
      <c r="C27" s="8" t="s">
        <v>222</v>
      </c>
      <c r="D27" s="8" t="s">
        <v>231</v>
      </c>
      <c r="E27" s="8" t="s">
        <v>232</v>
      </c>
      <c r="F27" s="8" t="s">
        <v>180</v>
      </c>
      <c r="G27" s="8" t="s">
        <v>76</v>
      </c>
      <c r="H27" s="8" t="s">
        <v>233</v>
      </c>
      <c r="I27" s="8" t="s">
        <v>105</v>
      </c>
      <c r="J27" s="8" t="s">
        <v>106</v>
      </c>
      <c r="K27" s="8" t="s">
        <v>122</v>
      </c>
      <c r="L27" s="8" t="s">
        <v>227</v>
      </c>
      <c r="M27" s="8">
        <v>2</v>
      </c>
      <c r="N27" s="8">
        <v>20</v>
      </c>
      <c r="O27" s="8">
        <v>15</v>
      </c>
      <c r="P27" s="8">
        <v>34</v>
      </c>
      <c r="Q27" s="8">
        <v>1</v>
      </c>
      <c r="R27" s="8" t="s">
        <v>88</v>
      </c>
      <c r="S27" s="8" t="s">
        <v>35</v>
      </c>
      <c r="T27" s="8" t="s">
        <v>89</v>
      </c>
      <c r="U27" s="9" t="s">
        <v>234</v>
      </c>
      <c r="V27" s="8" t="s">
        <v>64</v>
      </c>
    </row>
    <row r="28" spans="1:30">
      <c r="A28" s="3" t="s">
        <v>235</v>
      </c>
      <c r="B28" s="4" t="s">
        <v>71</v>
      </c>
      <c r="C28" s="4" t="s">
        <v>92</v>
      </c>
      <c r="D28" s="4" t="s">
        <v>236</v>
      </c>
      <c r="E28" s="4" t="s">
        <v>237</v>
      </c>
      <c r="F28" s="4" t="s">
        <v>217</v>
      </c>
      <c r="G28" s="4" t="s">
        <v>76</v>
      </c>
      <c r="H28" s="4" t="s">
        <v>238</v>
      </c>
      <c r="I28" s="4" t="s">
        <v>138</v>
      </c>
      <c r="J28" s="4" t="s">
        <v>106</v>
      </c>
      <c r="K28" s="4" t="s">
        <v>32</v>
      </c>
      <c r="L28" s="4" t="s">
        <v>97</v>
      </c>
      <c r="M28" s="4">
        <v>12</v>
      </c>
      <c r="N28" s="4">
        <v>3500</v>
      </c>
      <c r="O28" s="4">
        <v>15</v>
      </c>
      <c r="P28" s="4">
        <v>35700</v>
      </c>
      <c r="Q28" s="4">
        <v>4</v>
      </c>
      <c r="R28" s="4" t="s">
        <v>34</v>
      </c>
      <c r="S28" s="4" t="s">
        <v>49</v>
      </c>
      <c r="T28" s="4" t="s">
        <v>80</v>
      </c>
      <c r="U28" s="6" t="s">
        <v>239</v>
      </c>
      <c r="V28" s="4" t="s">
        <v>69</v>
      </c>
    </row>
    <row r="29" spans="1:30">
      <c r="A29" s="7" t="s">
        <v>240</v>
      </c>
      <c r="B29" s="8" t="s">
        <v>23</v>
      </c>
      <c r="C29" s="8" t="s">
        <v>72</v>
      </c>
      <c r="D29" s="8" t="s">
        <v>241</v>
      </c>
      <c r="E29" s="8" t="s">
        <v>242</v>
      </c>
      <c r="F29" s="8" t="s">
        <v>27</v>
      </c>
      <c r="G29" s="8" t="s">
        <v>28</v>
      </c>
      <c r="H29" s="8" t="s">
        <v>243</v>
      </c>
      <c r="I29" s="8" t="s">
        <v>138</v>
      </c>
      <c r="J29" s="8" t="s">
        <v>106</v>
      </c>
      <c r="K29" s="8" t="s">
        <v>46</v>
      </c>
      <c r="L29" s="8" t="s">
        <v>78</v>
      </c>
      <c r="M29" s="8">
        <v>11</v>
      </c>
      <c r="N29" s="8">
        <v>1200</v>
      </c>
      <c r="O29" s="8">
        <v>0</v>
      </c>
      <c r="P29" s="8">
        <v>13200</v>
      </c>
      <c r="Q29" s="8">
        <v>2</v>
      </c>
      <c r="R29" s="8" t="s">
        <v>88</v>
      </c>
      <c r="S29" s="8" t="s">
        <v>151</v>
      </c>
      <c r="T29" s="8" t="s">
        <v>50</v>
      </c>
      <c r="U29" s="9" t="s">
        <v>244</v>
      </c>
      <c r="V29" s="8" t="s">
        <v>38</v>
      </c>
    </row>
    <row r="30" spans="1:30">
      <c r="A30" s="3" t="s">
        <v>245</v>
      </c>
      <c r="B30" s="4" t="s">
        <v>127</v>
      </c>
      <c r="C30" s="4" t="s">
        <v>169</v>
      </c>
      <c r="D30" s="4" t="s">
        <v>246</v>
      </c>
      <c r="E30" s="4" t="s">
        <v>247</v>
      </c>
      <c r="F30" s="4" t="s">
        <v>200</v>
      </c>
      <c r="G30" s="4" t="s">
        <v>76</v>
      </c>
      <c r="H30" s="4" t="s">
        <v>248</v>
      </c>
      <c r="I30" s="4" t="s">
        <v>114</v>
      </c>
      <c r="J30" s="4" t="s">
        <v>106</v>
      </c>
      <c r="K30" s="4" t="s">
        <v>32</v>
      </c>
      <c r="L30" s="4" t="s">
        <v>174</v>
      </c>
      <c r="M30" s="4">
        <v>6</v>
      </c>
      <c r="N30" s="4">
        <v>8500</v>
      </c>
      <c r="O30" s="4">
        <v>65</v>
      </c>
      <c r="P30" s="4">
        <v>51000</v>
      </c>
      <c r="Q30" s="4">
        <v>1</v>
      </c>
      <c r="R30" s="4" t="s">
        <v>79</v>
      </c>
      <c r="S30" s="4" t="s">
        <v>61</v>
      </c>
      <c r="T30" s="4" t="s">
        <v>132</v>
      </c>
      <c r="U30" s="6" t="s">
        <v>249</v>
      </c>
      <c r="V30" s="4" t="s">
        <v>38</v>
      </c>
    </row>
    <row r="31" spans="1:30">
      <c r="A31" s="7" t="s">
        <v>250</v>
      </c>
      <c r="B31" s="8" t="s">
        <v>251</v>
      </c>
      <c r="C31" s="8" t="s">
        <v>118</v>
      </c>
      <c r="D31" s="8" t="s">
        <v>252</v>
      </c>
      <c r="E31" s="8" t="s">
        <v>253</v>
      </c>
      <c r="F31" s="8" t="s">
        <v>254</v>
      </c>
      <c r="G31" s="8" t="s">
        <v>28</v>
      </c>
      <c r="H31" s="8" t="s">
        <v>255</v>
      </c>
      <c r="I31" s="8" t="s">
        <v>114</v>
      </c>
      <c r="J31" s="8" t="s">
        <v>106</v>
      </c>
      <c r="K31" s="8" t="s">
        <v>122</v>
      </c>
      <c r="L31" s="8" t="s">
        <v>123</v>
      </c>
      <c r="M31" s="8">
        <v>2</v>
      </c>
      <c r="N31" s="8">
        <v>60</v>
      </c>
      <c r="O31" s="8">
        <v>5</v>
      </c>
      <c r="P31" s="8">
        <v>114</v>
      </c>
      <c r="Q31" s="8">
        <v>3</v>
      </c>
      <c r="R31" s="8" t="s">
        <v>34</v>
      </c>
      <c r="S31" s="8" t="s">
        <v>151</v>
      </c>
      <c r="T31" s="8" t="s">
        <v>256</v>
      </c>
      <c r="U31" s="9" t="s">
        <v>257</v>
      </c>
      <c r="V31" s="8" t="s">
        <v>69</v>
      </c>
    </row>
    <row r="32" spans="1:30">
      <c r="A32" s="3" t="s">
        <v>258</v>
      </c>
      <c r="B32" s="4" t="s">
        <v>23</v>
      </c>
      <c r="C32" s="4" t="s">
        <v>259</v>
      </c>
      <c r="D32" s="4" t="s">
        <v>260</v>
      </c>
      <c r="E32" s="4" t="s">
        <v>261</v>
      </c>
      <c r="F32" s="4" t="s">
        <v>27</v>
      </c>
      <c r="G32" s="4" t="s">
        <v>28</v>
      </c>
      <c r="H32" s="4" t="s">
        <v>262</v>
      </c>
      <c r="I32" s="4" t="s">
        <v>59</v>
      </c>
      <c r="J32" s="4" t="s">
        <v>31</v>
      </c>
      <c r="K32" s="4" t="s">
        <v>122</v>
      </c>
      <c r="L32" s="4" t="s">
        <v>263</v>
      </c>
      <c r="M32" s="4">
        <v>19</v>
      </c>
      <c r="N32" s="4">
        <v>45</v>
      </c>
      <c r="O32" s="4">
        <v>20</v>
      </c>
      <c r="P32" s="4">
        <v>684</v>
      </c>
      <c r="Q32" s="4">
        <v>4</v>
      </c>
      <c r="R32" s="4" t="s">
        <v>48</v>
      </c>
      <c r="S32" s="4" t="s">
        <v>61</v>
      </c>
      <c r="T32" s="4" t="s">
        <v>50</v>
      </c>
      <c r="U32" s="6" t="s">
        <v>264</v>
      </c>
      <c r="V32" s="4" t="s">
        <v>69</v>
      </c>
    </row>
    <row r="33" spans="1:22">
      <c r="A33" s="7" t="s">
        <v>265</v>
      </c>
      <c r="B33" s="8" t="s">
        <v>100</v>
      </c>
      <c r="C33" s="8" t="s">
        <v>40</v>
      </c>
      <c r="D33" s="8" t="s">
        <v>266</v>
      </c>
      <c r="E33" s="8" t="s">
        <v>267</v>
      </c>
      <c r="F33" s="8" t="s">
        <v>268</v>
      </c>
      <c r="G33" s="8" t="s">
        <v>28</v>
      </c>
      <c r="H33" s="8" t="s">
        <v>269</v>
      </c>
      <c r="I33" s="8" t="s">
        <v>138</v>
      </c>
      <c r="J33" s="8" t="s">
        <v>106</v>
      </c>
      <c r="K33" s="8" t="s">
        <v>46</v>
      </c>
      <c r="L33" s="8" t="s">
        <v>47</v>
      </c>
      <c r="M33" s="8">
        <v>11</v>
      </c>
      <c r="N33" s="8">
        <v>12000</v>
      </c>
      <c r="O33" s="8">
        <v>0</v>
      </c>
      <c r="P33" s="8">
        <v>132000</v>
      </c>
      <c r="Q33" s="8">
        <v>3</v>
      </c>
      <c r="R33" s="8" t="s">
        <v>88</v>
      </c>
      <c r="S33" s="8" t="s">
        <v>35</v>
      </c>
      <c r="T33" s="8" t="s">
        <v>144</v>
      </c>
      <c r="U33" s="9" t="s">
        <v>270</v>
      </c>
      <c r="V33" s="8" t="s">
        <v>64</v>
      </c>
    </row>
    <row r="34" spans="1:22">
      <c r="A34" s="3" t="s">
        <v>271</v>
      </c>
      <c r="B34" s="4" t="s">
        <v>251</v>
      </c>
      <c r="C34" s="4" t="s">
        <v>24</v>
      </c>
      <c r="D34" s="4" t="s">
        <v>272</v>
      </c>
      <c r="E34" s="4" t="s">
        <v>136</v>
      </c>
      <c r="F34" s="4" t="s">
        <v>254</v>
      </c>
      <c r="G34" s="4" t="s">
        <v>28</v>
      </c>
      <c r="H34" s="4" t="s">
        <v>273</v>
      </c>
      <c r="I34" s="4" t="s">
        <v>59</v>
      </c>
      <c r="J34" s="4" t="s">
        <v>31</v>
      </c>
      <c r="K34" s="4" t="s">
        <v>32</v>
      </c>
      <c r="L34" s="4" t="s">
        <v>33</v>
      </c>
      <c r="M34" s="4">
        <v>20</v>
      </c>
      <c r="N34" s="4">
        <v>2200</v>
      </c>
      <c r="O34" s="4">
        <v>5</v>
      </c>
      <c r="P34" s="4">
        <v>41800</v>
      </c>
      <c r="Q34" s="4">
        <v>1</v>
      </c>
      <c r="R34" s="4" t="s">
        <v>34</v>
      </c>
      <c r="S34" s="4" t="s">
        <v>49</v>
      </c>
      <c r="T34" s="4" t="s">
        <v>256</v>
      </c>
      <c r="U34" s="6" t="s">
        <v>274</v>
      </c>
      <c r="V34" s="4" t="s">
        <v>64</v>
      </c>
    </row>
    <row r="35" spans="1:22">
      <c r="A35" s="7" t="s">
        <v>275</v>
      </c>
      <c r="B35" s="8" t="s">
        <v>83</v>
      </c>
      <c r="C35" s="8" t="s">
        <v>222</v>
      </c>
      <c r="D35" s="8" t="s">
        <v>231</v>
      </c>
      <c r="E35" s="8" t="s">
        <v>276</v>
      </c>
      <c r="F35" s="8" t="s">
        <v>180</v>
      </c>
      <c r="G35" s="8" t="s">
        <v>76</v>
      </c>
      <c r="H35" s="8" t="s">
        <v>277</v>
      </c>
      <c r="I35" s="8" t="s">
        <v>138</v>
      </c>
      <c r="J35" s="8" t="s">
        <v>106</v>
      </c>
      <c r="K35" s="8" t="s">
        <v>122</v>
      </c>
      <c r="L35" s="8" t="s">
        <v>227</v>
      </c>
      <c r="M35" s="8">
        <v>3</v>
      </c>
      <c r="N35" s="8">
        <v>20</v>
      </c>
      <c r="O35" s="8">
        <v>0</v>
      </c>
      <c r="P35" s="8">
        <v>60</v>
      </c>
      <c r="Q35" s="8">
        <v>2</v>
      </c>
      <c r="R35" s="8" t="s">
        <v>79</v>
      </c>
      <c r="S35" s="8" t="s">
        <v>35</v>
      </c>
      <c r="T35" s="8" t="s">
        <v>278</v>
      </c>
      <c r="U35" s="9" t="s">
        <v>279</v>
      </c>
      <c r="V35" s="8" t="s">
        <v>69</v>
      </c>
    </row>
    <row r="36" spans="1:22">
      <c r="A36" s="3" t="s">
        <v>280</v>
      </c>
      <c r="B36" s="4" t="s">
        <v>127</v>
      </c>
      <c r="C36" s="4" t="s">
        <v>259</v>
      </c>
      <c r="D36" s="4" t="s">
        <v>281</v>
      </c>
      <c r="E36" s="4" t="s">
        <v>282</v>
      </c>
      <c r="F36" s="4" t="s">
        <v>200</v>
      </c>
      <c r="G36" s="4" t="s">
        <v>76</v>
      </c>
      <c r="H36" s="4" t="s">
        <v>283</v>
      </c>
      <c r="I36" s="4" t="s">
        <v>114</v>
      </c>
      <c r="J36" s="4" t="s">
        <v>106</v>
      </c>
      <c r="K36" s="4" t="s">
        <v>122</v>
      </c>
      <c r="L36" s="4" t="s">
        <v>263</v>
      </c>
      <c r="M36" s="4">
        <v>18</v>
      </c>
      <c r="N36" s="4">
        <v>45</v>
      </c>
      <c r="O36" s="4">
        <v>20</v>
      </c>
      <c r="P36" s="4">
        <v>648</v>
      </c>
      <c r="Q36" s="4">
        <v>4</v>
      </c>
      <c r="R36" s="4" t="s">
        <v>48</v>
      </c>
      <c r="S36" s="4" t="s">
        <v>35</v>
      </c>
      <c r="T36" s="4" t="s">
        <v>132</v>
      </c>
      <c r="U36" s="6" t="s">
        <v>284</v>
      </c>
      <c r="V36" s="4" t="s">
        <v>69</v>
      </c>
    </row>
    <row r="37" spans="1:22">
      <c r="A37" s="7" t="s">
        <v>285</v>
      </c>
      <c r="B37" s="8" t="s">
        <v>127</v>
      </c>
      <c r="C37" s="8" t="s">
        <v>72</v>
      </c>
      <c r="D37" s="8" t="s">
        <v>286</v>
      </c>
      <c r="E37" s="8" t="s">
        <v>287</v>
      </c>
      <c r="F37" s="8" t="s">
        <v>200</v>
      </c>
      <c r="G37" s="8" t="s">
        <v>76</v>
      </c>
      <c r="H37" s="8" t="s">
        <v>288</v>
      </c>
      <c r="I37" s="8" t="s">
        <v>59</v>
      </c>
      <c r="J37" s="8" t="s">
        <v>31</v>
      </c>
      <c r="K37" s="8" t="s">
        <v>46</v>
      </c>
      <c r="L37" s="8" t="s">
        <v>78</v>
      </c>
      <c r="M37" s="8">
        <v>4</v>
      </c>
      <c r="N37" s="8">
        <v>1200</v>
      </c>
      <c r="O37" s="8">
        <v>20</v>
      </c>
      <c r="P37" s="8">
        <v>3840</v>
      </c>
      <c r="Q37" s="8">
        <v>3</v>
      </c>
      <c r="R37" s="8" t="s">
        <v>48</v>
      </c>
      <c r="S37" s="8" t="s">
        <v>61</v>
      </c>
      <c r="T37" s="8" t="s">
        <v>132</v>
      </c>
      <c r="U37" s="9" t="s">
        <v>289</v>
      </c>
      <c r="V37" s="8" t="s">
        <v>38</v>
      </c>
    </row>
    <row r="38" spans="1:22">
      <c r="A38" s="3" t="s">
        <v>290</v>
      </c>
      <c r="B38" s="4" t="s">
        <v>71</v>
      </c>
      <c r="C38" s="4" t="s">
        <v>54</v>
      </c>
      <c r="D38" s="4" t="s">
        <v>291</v>
      </c>
      <c r="E38" s="4" t="s">
        <v>292</v>
      </c>
      <c r="F38" s="4" t="s">
        <v>217</v>
      </c>
      <c r="G38" s="4" t="s">
        <v>76</v>
      </c>
      <c r="H38" s="4" t="s">
        <v>293</v>
      </c>
      <c r="I38" s="4" t="s">
        <v>294</v>
      </c>
      <c r="J38" s="4" t="s">
        <v>295</v>
      </c>
      <c r="K38" s="4" t="s">
        <v>46</v>
      </c>
      <c r="L38" s="4" t="s">
        <v>60</v>
      </c>
      <c r="M38" s="4">
        <v>10</v>
      </c>
      <c r="N38" s="4">
        <v>55000</v>
      </c>
      <c r="O38" s="4">
        <v>0</v>
      </c>
      <c r="P38" s="4">
        <v>550000</v>
      </c>
      <c r="Q38" s="4">
        <v>1</v>
      </c>
      <c r="R38" s="4" t="s">
        <v>88</v>
      </c>
      <c r="S38" s="4" t="s">
        <v>49</v>
      </c>
      <c r="T38" s="4" t="s">
        <v>80</v>
      </c>
      <c r="U38" s="6" t="s">
        <v>296</v>
      </c>
      <c r="V38" s="4" t="s">
        <v>69</v>
      </c>
    </row>
    <row r="39" spans="1:22">
      <c r="A39" s="7" t="s">
        <v>297</v>
      </c>
      <c r="B39" s="8" t="s">
        <v>251</v>
      </c>
      <c r="C39" s="8" t="s">
        <v>92</v>
      </c>
      <c r="D39" s="8" t="s">
        <v>298</v>
      </c>
      <c r="E39" s="8" t="s">
        <v>242</v>
      </c>
      <c r="F39" s="8" t="s">
        <v>254</v>
      </c>
      <c r="G39" s="8" t="s">
        <v>28</v>
      </c>
      <c r="H39" s="8" t="s">
        <v>299</v>
      </c>
      <c r="I39" s="8" t="s">
        <v>44</v>
      </c>
      <c r="J39" s="8" t="s">
        <v>45</v>
      </c>
      <c r="K39" s="8" t="s">
        <v>32</v>
      </c>
      <c r="L39" s="8" t="s">
        <v>97</v>
      </c>
      <c r="M39" s="8">
        <v>20</v>
      </c>
      <c r="N39" s="8">
        <v>3500</v>
      </c>
      <c r="O39" s="8">
        <v>10</v>
      </c>
      <c r="P39" s="8">
        <v>63000</v>
      </c>
      <c r="Q39" s="8">
        <v>3</v>
      </c>
      <c r="R39" s="8" t="s">
        <v>79</v>
      </c>
      <c r="S39" s="8" t="s">
        <v>49</v>
      </c>
      <c r="T39" s="8" t="s">
        <v>256</v>
      </c>
      <c r="U39" s="9" t="s">
        <v>300</v>
      </c>
      <c r="V39" s="8" t="s">
        <v>69</v>
      </c>
    </row>
    <row r="40" spans="1:22">
      <c r="A40" s="3" t="s">
        <v>301</v>
      </c>
      <c r="B40" s="4" t="s">
        <v>23</v>
      </c>
      <c r="C40" s="4" t="s">
        <v>222</v>
      </c>
      <c r="D40" s="4" t="s">
        <v>302</v>
      </c>
      <c r="E40" s="4" t="s">
        <v>303</v>
      </c>
      <c r="F40" s="4" t="s">
        <v>27</v>
      </c>
      <c r="G40" s="4" t="s">
        <v>28</v>
      </c>
      <c r="H40" s="4" t="s">
        <v>304</v>
      </c>
      <c r="I40" s="4" t="s">
        <v>114</v>
      </c>
      <c r="J40" s="4" t="s">
        <v>106</v>
      </c>
      <c r="K40" s="4" t="s">
        <v>122</v>
      </c>
      <c r="L40" s="4" t="s">
        <v>227</v>
      </c>
      <c r="M40" s="4">
        <v>5</v>
      </c>
      <c r="N40" s="4" t="s">
        <v>305</v>
      </c>
      <c r="O40" s="4">
        <v>0</v>
      </c>
      <c r="P40" s="4">
        <v>100</v>
      </c>
      <c r="Q40" s="4">
        <v>1</v>
      </c>
      <c r="R40" s="4" t="s">
        <v>34</v>
      </c>
      <c r="S40" s="4" t="s">
        <v>49</v>
      </c>
      <c r="T40" s="4" t="s">
        <v>50</v>
      </c>
      <c r="U40" s="6" t="s">
        <v>306</v>
      </c>
      <c r="V40" s="4" t="s">
        <v>69</v>
      </c>
    </row>
    <row r="41" spans="1:22">
      <c r="A41" s="7" t="s">
        <v>307</v>
      </c>
      <c r="B41" s="8" t="s">
        <v>53</v>
      </c>
      <c r="C41" s="8" t="s">
        <v>169</v>
      </c>
      <c r="D41" s="8" t="s">
        <v>308</v>
      </c>
      <c r="E41" s="8" t="s">
        <v>309</v>
      </c>
      <c r="F41" s="8" t="s">
        <v>163</v>
      </c>
      <c r="G41" s="8" t="s">
        <v>28</v>
      </c>
      <c r="H41" s="8" t="s">
        <v>310</v>
      </c>
      <c r="I41" s="8" t="s">
        <v>105</v>
      </c>
      <c r="J41" s="8" t="s">
        <v>106</v>
      </c>
      <c r="K41" s="8" t="s">
        <v>32</v>
      </c>
      <c r="L41" s="8" t="s">
        <v>174</v>
      </c>
      <c r="M41" s="8">
        <v>20</v>
      </c>
      <c r="N41" s="8">
        <v>8500</v>
      </c>
      <c r="O41" s="8">
        <v>0</v>
      </c>
      <c r="P41" s="8">
        <v>170000</v>
      </c>
      <c r="Q41" s="8">
        <v>1</v>
      </c>
      <c r="R41" s="8" t="s">
        <v>88</v>
      </c>
      <c r="S41" s="8" t="s">
        <v>115</v>
      </c>
      <c r="T41" s="8" t="s">
        <v>62</v>
      </c>
      <c r="U41" s="9" t="s">
        <v>311</v>
      </c>
      <c r="V41" s="8" t="s">
        <v>69</v>
      </c>
    </row>
    <row r="42" spans="1:22">
      <c r="A42" s="3" t="s">
        <v>312</v>
      </c>
      <c r="B42" s="4" t="s">
        <v>83</v>
      </c>
      <c r="C42" s="4" t="s">
        <v>118</v>
      </c>
      <c r="D42" s="4" t="s">
        <v>313</v>
      </c>
      <c r="E42" s="4" t="s">
        <v>314</v>
      </c>
      <c r="F42" s="4" t="s">
        <v>180</v>
      </c>
      <c r="G42" s="4" t="s">
        <v>76</v>
      </c>
      <c r="H42" s="4" t="s">
        <v>315</v>
      </c>
      <c r="I42" s="4" t="s">
        <v>59</v>
      </c>
      <c r="J42" s="4" t="s">
        <v>31</v>
      </c>
      <c r="K42" s="4" t="s">
        <v>122</v>
      </c>
      <c r="L42" s="4" t="s">
        <v>123</v>
      </c>
      <c r="M42" s="4">
        <v>8</v>
      </c>
      <c r="N42" s="4">
        <v>60</v>
      </c>
      <c r="O42" s="4">
        <v>15</v>
      </c>
      <c r="P42" s="4">
        <v>408</v>
      </c>
      <c r="Q42" s="4">
        <v>5</v>
      </c>
      <c r="R42" s="4" t="s">
        <v>88</v>
      </c>
      <c r="S42" s="4" t="s">
        <v>49</v>
      </c>
      <c r="T42" s="4" t="s">
        <v>89</v>
      </c>
      <c r="U42" s="6" t="s">
        <v>316</v>
      </c>
      <c r="V42" s="4" t="s">
        <v>64</v>
      </c>
    </row>
    <row r="43" spans="1:22">
      <c r="A43" s="7" t="s">
        <v>317</v>
      </c>
      <c r="B43" s="8" t="s">
        <v>53</v>
      </c>
      <c r="C43" s="8" t="s">
        <v>92</v>
      </c>
      <c r="D43" s="8" t="s">
        <v>318</v>
      </c>
      <c r="E43" s="8" t="s">
        <v>260</v>
      </c>
      <c r="F43" s="8" t="s">
        <v>163</v>
      </c>
      <c r="G43" s="8" t="s">
        <v>28</v>
      </c>
      <c r="H43" s="8" t="s">
        <v>319</v>
      </c>
      <c r="I43" s="8" t="s">
        <v>114</v>
      </c>
      <c r="J43" s="8" t="s">
        <v>106</v>
      </c>
      <c r="K43" s="8" t="s">
        <v>32</v>
      </c>
      <c r="L43" s="8" t="s">
        <v>97</v>
      </c>
      <c r="M43" s="8">
        <v>8</v>
      </c>
      <c r="N43" s="8">
        <v>3500</v>
      </c>
      <c r="O43" s="8">
        <v>5</v>
      </c>
      <c r="P43" s="8">
        <v>26600</v>
      </c>
      <c r="Q43" s="8">
        <v>1</v>
      </c>
      <c r="R43" s="8" t="s">
        <v>79</v>
      </c>
      <c r="S43" s="8" t="s">
        <v>115</v>
      </c>
      <c r="T43" s="8" t="s">
        <v>62</v>
      </c>
      <c r="U43" s="9" t="s">
        <v>320</v>
      </c>
      <c r="V43" s="8" t="s">
        <v>64</v>
      </c>
    </row>
    <row r="44" spans="1:22">
      <c r="A44" s="3" t="s">
        <v>321</v>
      </c>
      <c r="B44" s="4" t="s">
        <v>71</v>
      </c>
      <c r="C44" s="4" t="s">
        <v>169</v>
      </c>
      <c r="D44" s="4" t="s">
        <v>322</v>
      </c>
      <c r="E44" s="4" t="s">
        <v>323</v>
      </c>
      <c r="F44" s="4" t="s">
        <v>217</v>
      </c>
      <c r="G44" s="4" t="s">
        <v>76</v>
      </c>
      <c r="H44" s="4" t="s">
        <v>324</v>
      </c>
      <c r="I44" s="4" t="s">
        <v>212</v>
      </c>
      <c r="J44" s="4" t="s">
        <v>45</v>
      </c>
      <c r="K44" s="4" t="s">
        <v>32</v>
      </c>
      <c r="L44" s="4" t="s">
        <v>174</v>
      </c>
      <c r="M44" s="4">
        <v>1</v>
      </c>
      <c r="N44" s="4">
        <v>8500</v>
      </c>
      <c r="O44" s="4">
        <v>0</v>
      </c>
      <c r="P44" s="4">
        <v>8500</v>
      </c>
      <c r="Q44" s="4">
        <v>2</v>
      </c>
      <c r="R44" s="4" t="s">
        <v>79</v>
      </c>
      <c r="S44" s="4" t="s">
        <v>115</v>
      </c>
      <c r="T44" s="4" t="s">
        <v>80</v>
      </c>
      <c r="U44" s="6" t="s">
        <v>325</v>
      </c>
      <c r="V44" s="4" t="s">
        <v>64</v>
      </c>
    </row>
    <row r="45" spans="1:22">
      <c r="A45" s="7" t="s">
        <v>326</v>
      </c>
      <c r="B45" s="8" t="s">
        <v>327</v>
      </c>
      <c r="C45" s="8" t="s">
        <v>259</v>
      </c>
      <c r="D45" s="8" t="s">
        <v>328</v>
      </c>
      <c r="E45" s="8" t="s">
        <v>329</v>
      </c>
      <c r="F45" s="8" t="s">
        <v>330</v>
      </c>
      <c r="G45" s="8" t="s">
        <v>76</v>
      </c>
      <c r="H45" s="8" t="s">
        <v>331</v>
      </c>
      <c r="I45" s="8" t="s">
        <v>114</v>
      </c>
      <c r="J45" s="8" t="s">
        <v>106</v>
      </c>
      <c r="K45" s="8" t="s">
        <v>122</v>
      </c>
      <c r="L45" s="8" t="s">
        <v>263</v>
      </c>
      <c r="M45" s="8">
        <v>8</v>
      </c>
      <c r="N45" s="8">
        <v>45</v>
      </c>
      <c r="O45" s="8">
        <v>15</v>
      </c>
      <c r="P45" s="8">
        <v>306</v>
      </c>
      <c r="Q45" s="8">
        <v>2</v>
      </c>
      <c r="R45" s="8" t="s">
        <v>79</v>
      </c>
      <c r="S45" s="8" t="s">
        <v>61</v>
      </c>
      <c r="T45" s="8" t="s">
        <v>332</v>
      </c>
      <c r="U45" s="9" t="s">
        <v>333</v>
      </c>
      <c r="V45" s="8" t="s">
        <v>38</v>
      </c>
    </row>
    <row r="46" spans="1:22">
      <c r="A46" s="3" t="s">
        <v>334</v>
      </c>
      <c r="B46" s="4" t="s">
        <v>251</v>
      </c>
      <c r="C46" s="4" t="s">
        <v>24</v>
      </c>
      <c r="D46" s="4" t="s">
        <v>335</v>
      </c>
      <c r="E46" s="4" t="s">
        <v>336</v>
      </c>
      <c r="F46" s="4" t="s">
        <v>254</v>
      </c>
      <c r="G46" s="4" t="s">
        <v>28</v>
      </c>
      <c r="H46" s="4" t="s">
        <v>337</v>
      </c>
      <c r="I46" s="4" t="s">
        <v>114</v>
      </c>
      <c r="J46" s="4" t="s">
        <v>106</v>
      </c>
      <c r="K46" s="4" t="s">
        <v>32</v>
      </c>
      <c r="L46" s="4" t="s">
        <v>33</v>
      </c>
      <c r="M46" s="4">
        <v>16</v>
      </c>
      <c r="N46" s="4">
        <v>2200</v>
      </c>
      <c r="O46" s="4">
        <v>5</v>
      </c>
      <c r="P46" s="4">
        <v>33440</v>
      </c>
      <c r="Q46" s="4">
        <v>5</v>
      </c>
      <c r="R46" s="4" t="s">
        <v>79</v>
      </c>
      <c r="S46" s="4" t="s">
        <v>61</v>
      </c>
      <c r="T46" s="4" t="s">
        <v>256</v>
      </c>
      <c r="U46" s="6" t="s">
        <v>338</v>
      </c>
      <c r="V46" s="4" t="s">
        <v>69</v>
      </c>
    </row>
    <row r="47" spans="1:22">
      <c r="A47" s="7" t="s">
        <v>339</v>
      </c>
      <c r="B47" s="8" t="s">
        <v>71</v>
      </c>
      <c r="C47" s="8" t="s">
        <v>92</v>
      </c>
      <c r="D47" s="8" t="s">
        <v>340</v>
      </c>
      <c r="E47" s="8" t="s">
        <v>341</v>
      </c>
      <c r="F47" s="8" t="s">
        <v>217</v>
      </c>
      <c r="G47" s="8" t="s">
        <v>76</v>
      </c>
      <c r="H47" s="8" t="s">
        <v>342</v>
      </c>
      <c r="I47" s="8" t="s">
        <v>59</v>
      </c>
      <c r="J47" s="8" t="s">
        <v>31</v>
      </c>
      <c r="K47" s="8" t="s">
        <v>32</v>
      </c>
      <c r="L47" s="8" t="s">
        <v>97</v>
      </c>
      <c r="M47" s="8">
        <v>19</v>
      </c>
      <c r="N47" s="8">
        <v>3500</v>
      </c>
      <c r="O47" s="8">
        <v>20</v>
      </c>
      <c r="P47" s="8">
        <v>53200</v>
      </c>
      <c r="Q47" s="8">
        <v>3</v>
      </c>
      <c r="R47" s="8" t="s">
        <v>34</v>
      </c>
      <c r="S47" s="8" t="s">
        <v>151</v>
      </c>
      <c r="T47" s="8" t="s">
        <v>80</v>
      </c>
      <c r="U47" s="9" t="s">
        <v>343</v>
      </c>
      <c r="V47" s="8" t="s">
        <v>69</v>
      </c>
    </row>
    <row r="48" spans="1:22">
      <c r="A48" s="3" t="s">
        <v>344</v>
      </c>
      <c r="B48" s="4" t="s">
        <v>251</v>
      </c>
      <c r="C48" s="4" t="s">
        <v>184</v>
      </c>
      <c r="D48" s="4" t="s">
        <v>345</v>
      </c>
      <c r="E48" s="4" t="s">
        <v>346</v>
      </c>
      <c r="F48" s="4" t="s">
        <v>254</v>
      </c>
      <c r="G48" s="4" t="s">
        <v>28</v>
      </c>
      <c r="H48" s="4" t="s">
        <v>347</v>
      </c>
      <c r="I48" s="4" t="s">
        <v>114</v>
      </c>
      <c r="J48" s="4" t="s">
        <v>106</v>
      </c>
      <c r="K48" s="4" t="s">
        <v>46</v>
      </c>
      <c r="L48" s="4" t="s">
        <v>189</v>
      </c>
      <c r="M48" s="4">
        <v>15</v>
      </c>
      <c r="N48" s="4">
        <v>700</v>
      </c>
      <c r="O48" s="4">
        <v>15</v>
      </c>
      <c r="P48" s="4">
        <v>8925</v>
      </c>
      <c r="Q48" s="4">
        <v>4</v>
      </c>
      <c r="R48" s="4" t="s">
        <v>88</v>
      </c>
      <c r="S48" s="4" t="s">
        <v>115</v>
      </c>
      <c r="T48" s="4" t="s">
        <v>348</v>
      </c>
      <c r="U48" s="6" t="s">
        <v>349</v>
      </c>
      <c r="V48" s="4" t="s">
        <v>38</v>
      </c>
    </row>
    <row r="49" spans="1:22">
      <c r="A49" s="7" t="s">
        <v>350</v>
      </c>
      <c r="B49" s="8" t="s">
        <v>251</v>
      </c>
      <c r="C49" s="8" t="s">
        <v>184</v>
      </c>
      <c r="D49" s="8" t="s">
        <v>351</v>
      </c>
      <c r="E49" s="8" t="s">
        <v>352</v>
      </c>
      <c r="F49" s="8" t="s">
        <v>254</v>
      </c>
      <c r="G49" s="8" t="s">
        <v>28</v>
      </c>
      <c r="H49" s="8" t="s">
        <v>353</v>
      </c>
      <c r="I49" s="8" t="s">
        <v>212</v>
      </c>
      <c r="J49" s="8" t="s">
        <v>45</v>
      </c>
      <c r="K49" s="8" t="s">
        <v>46</v>
      </c>
      <c r="L49" s="8" t="s">
        <v>189</v>
      </c>
      <c r="M49" s="8">
        <v>19</v>
      </c>
      <c r="N49" s="8">
        <v>700</v>
      </c>
      <c r="O49" s="8">
        <v>20</v>
      </c>
      <c r="P49" s="8">
        <v>10640</v>
      </c>
      <c r="Q49" s="8">
        <v>1</v>
      </c>
      <c r="R49" s="8" t="s">
        <v>34</v>
      </c>
      <c r="S49" s="8" t="s">
        <v>115</v>
      </c>
      <c r="T49" s="8" t="s">
        <v>256</v>
      </c>
      <c r="U49" s="9" t="s">
        <v>354</v>
      </c>
      <c r="V49" s="8" t="s">
        <v>38</v>
      </c>
    </row>
    <row r="50" spans="1:22">
      <c r="A50" s="3" t="s">
        <v>355</v>
      </c>
      <c r="B50" s="4" t="s">
        <v>71</v>
      </c>
      <c r="C50" s="4" t="s">
        <v>40</v>
      </c>
      <c r="D50" s="4" t="s">
        <v>356</v>
      </c>
      <c r="E50" s="4"/>
      <c r="F50" s="4" t="s">
        <v>217</v>
      </c>
      <c r="G50" s="4" t="s">
        <v>76</v>
      </c>
      <c r="H50" s="4" t="s">
        <v>357</v>
      </c>
      <c r="I50" s="4" t="s">
        <v>44</v>
      </c>
      <c r="J50" s="4" t="s">
        <v>45</v>
      </c>
      <c r="K50" s="4" t="s">
        <v>46</v>
      </c>
      <c r="L50" s="4" t="s">
        <v>47</v>
      </c>
      <c r="M50" s="4">
        <v>19</v>
      </c>
      <c r="N50" s="4">
        <v>12000</v>
      </c>
      <c r="O50" s="4">
        <v>0</v>
      </c>
      <c r="P50" s="4">
        <v>228000</v>
      </c>
      <c r="Q50" s="4">
        <v>1</v>
      </c>
      <c r="R50" s="4" t="s">
        <v>48</v>
      </c>
      <c r="S50" s="4" t="s">
        <v>61</v>
      </c>
      <c r="T50" s="4" t="s">
        <v>80</v>
      </c>
      <c r="U50" s="6" t="s">
        <v>358</v>
      </c>
      <c r="V50" s="4" t="s">
        <v>38</v>
      </c>
    </row>
    <row r="51" spans="1:22">
      <c r="A51" s="7" t="s">
        <v>359</v>
      </c>
      <c r="B51" s="8" t="s">
        <v>168</v>
      </c>
      <c r="C51" s="8" t="s">
        <v>72</v>
      </c>
      <c r="D51" s="8" t="s">
        <v>356</v>
      </c>
      <c r="E51" s="8" t="s">
        <v>360</v>
      </c>
      <c r="F51" s="8" t="s">
        <v>361</v>
      </c>
      <c r="G51" s="8" t="s">
        <v>28</v>
      </c>
      <c r="H51" s="8" t="s">
        <v>362</v>
      </c>
      <c r="I51" s="8" t="s">
        <v>114</v>
      </c>
      <c r="J51" s="8" t="s">
        <v>106</v>
      </c>
      <c r="K51" s="8" t="s">
        <v>46</v>
      </c>
      <c r="L51" s="8" t="s">
        <v>78</v>
      </c>
      <c r="M51" s="8">
        <v>6</v>
      </c>
      <c r="N51" s="8">
        <v>1200</v>
      </c>
      <c r="O51" s="8">
        <v>5</v>
      </c>
      <c r="P51" s="8">
        <v>6840</v>
      </c>
      <c r="Q51" s="8">
        <v>2</v>
      </c>
      <c r="R51" s="8" t="s">
        <v>34</v>
      </c>
      <c r="S51" s="8" t="s">
        <v>35</v>
      </c>
      <c r="T51" s="8" t="s">
        <v>175</v>
      </c>
      <c r="U51" s="9" t="s">
        <v>363</v>
      </c>
      <c r="V51" s="8" t="s">
        <v>64</v>
      </c>
    </row>
    <row r="52" spans="1:22">
      <c r="A52" s="3" t="s">
        <v>364</v>
      </c>
      <c r="B52" s="4" t="s">
        <v>53</v>
      </c>
      <c r="C52" s="4" t="s">
        <v>24</v>
      </c>
      <c r="D52" s="4" t="s">
        <v>365</v>
      </c>
      <c r="E52" s="4" t="s">
        <v>366</v>
      </c>
      <c r="F52" s="4" t="s">
        <v>367</v>
      </c>
      <c r="G52" s="4" t="s">
        <v>28</v>
      </c>
      <c r="H52" s="4" t="s">
        <v>368</v>
      </c>
      <c r="I52" s="4" t="s">
        <v>59</v>
      </c>
      <c r="J52" s="4" t="s">
        <v>31</v>
      </c>
      <c r="K52" s="4" t="s">
        <v>32</v>
      </c>
      <c r="L52" s="4" t="s">
        <v>33</v>
      </c>
      <c r="M52" s="4">
        <v>7</v>
      </c>
      <c r="N52" s="4">
        <v>2200</v>
      </c>
      <c r="O52" s="4">
        <v>15</v>
      </c>
      <c r="P52" s="4">
        <v>13090</v>
      </c>
      <c r="Q52" s="4">
        <v>1</v>
      </c>
      <c r="R52" s="4" t="s">
        <v>88</v>
      </c>
      <c r="S52" s="4" t="s">
        <v>61</v>
      </c>
      <c r="T52" s="4" t="s">
        <v>62</v>
      </c>
      <c r="U52" s="6" t="s">
        <v>369</v>
      </c>
      <c r="V52" s="4" t="s">
        <v>38</v>
      </c>
    </row>
    <row r="53" spans="1:22">
      <c r="A53" s="7" t="s">
        <v>370</v>
      </c>
      <c r="B53" s="8" t="s">
        <v>100</v>
      </c>
      <c r="C53" s="8" t="s">
        <v>118</v>
      </c>
      <c r="D53" s="8" t="s">
        <v>371</v>
      </c>
      <c r="E53" s="8" t="s">
        <v>372</v>
      </c>
      <c r="F53" s="8" t="s">
        <v>103</v>
      </c>
      <c r="G53" s="8" t="s">
        <v>28</v>
      </c>
      <c r="H53" s="8" t="s">
        <v>373</v>
      </c>
      <c r="I53" s="8" t="s">
        <v>212</v>
      </c>
      <c r="J53" s="8" t="s">
        <v>45</v>
      </c>
      <c r="K53" s="8" t="s">
        <v>122</v>
      </c>
      <c r="L53" s="8" t="s">
        <v>123</v>
      </c>
      <c r="M53" s="8">
        <v>8</v>
      </c>
      <c r="N53" s="8">
        <v>60</v>
      </c>
      <c r="O53" s="8">
        <v>10</v>
      </c>
      <c r="P53" s="8">
        <v>432</v>
      </c>
      <c r="Q53" s="8">
        <v>5</v>
      </c>
      <c r="R53" s="8" t="s">
        <v>79</v>
      </c>
      <c r="S53" s="8" t="s">
        <v>61</v>
      </c>
      <c r="T53" s="8" t="s">
        <v>144</v>
      </c>
      <c r="U53" s="9" t="s">
        <v>374</v>
      </c>
      <c r="V53" s="8" t="s">
        <v>69</v>
      </c>
    </row>
    <row r="54" spans="1:22">
      <c r="A54" s="3" t="s">
        <v>375</v>
      </c>
      <c r="B54" s="4" t="s">
        <v>221</v>
      </c>
      <c r="C54" s="4" t="s">
        <v>54</v>
      </c>
      <c r="D54" s="4" t="s">
        <v>376</v>
      </c>
      <c r="E54" s="4" t="s">
        <v>377</v>
      </c>
      <c r="F54" s="4" t="s">
        <v>225</v>
      </c>
      <c r="G54" s="4" t="s">
        <v>76</v>
      </c>
      <c r="H54" s="4" t="s">
        <v>378</v>
      </c>
      <c r="I54" s="4" t="s">
        <v>294</v>
      </c>
      <c r="J54" s="4" t="s">
        <v>295</v>
      </c>
      <c r="K54" s="4" t="s">
        <v>46</v>
      </c>
      <c r="L54" s="4" t="s">
        <v>60</v>
      </c>
      <c r="M54" s="4">
        <v>12</v>
      </c>
      <c r="N54" s="4">
        <v>55000</v>
      </c>
      <c r="O54" s="4">
        <v>5</v>
      </c>
      <c r="P54" s="4">
        <v>627000</v>
      </c>
      <c r="Q54" s="4">
        <v>2</v>
      </c>
      <c r="R54" s="4" t="s">
        <v>88</v>
      </c>
      <c r="S54" s="4" t="s">
        <v>49</v>
      </c>
      <c r="T54" s="4" t="s">
        <v>228</v>
      </c>
      <c r="U54" s="6" t="s">
        <v>379</v>
      </c>
      <c r="V54" s="4" t="s">
        <v>64</v>
      </c>
    </row>
    <row r="55" spans="1:22">
      <c r="A55" s="7" t="s">
        <v>380</v>
      </c>
      <c r="B55" s="8" t="s">
        <v>23</v>
      </c>
      <c r="C55" s="8" t="s">
        <v>184</v>
      </c>
      <c r="D55" s="8" t="s">
        <v>381</v>
      </c>
      <c r="E55" s="8" t="s">
        <v>382</v>
      </c>
      <c r="F55" s="8" t="s">
        <v>27</v>
      </c>
      <c r="G55" s="8" t="s">
        <v>28</v>
      </c>
      <c r="H55" s="8" t="s">
        <v>383</v>
      </c>
      <c r="I55" s="8" t="s">
        <v>212</v>
      </c>
      <c r="J55" s="8" t="s">
        <v>45</v>
      </c>
      <c r="K55" s="8" t="s">
        <v>46</v>
      </c>
      <c r="L55" s="8" t="s">
        <v>189</v>
      </c>
      <c r="M55" s="8">
        <v>3</v>
      </c>
      <c r="N55" s="8">
        <v>700</v>
      </c>
      <c r="O55" s="8">
        <v>0</v>
      </c>
      <c r="P55" s="8">
        <v>2100</v>
      </c>
      <c r="Q55" s="8">
        <v>3</v>
      </c>
      <c r="R55" s="8" t="s">
        <v>79</v>
      </c>
      <c r="S55" s="8" t="s">
        <v>151</v>
      </c>
      <c r="T55" s="8" t="s">
        <v>50</v>
      </c>
      <c r="U55" s="9" t="s">
        <v>384</v>
      </c>
      <c r="V55" s="8" t="s">
        <v>69</v>
      </c>
    </row>
    <row r="56" spans="1:22">
      <c r="A56" s="3" t="s">
        <v>385</v>
      </c>
      <c r="B56" s="4" t="s">
        <v>127</v>
      </c>
      <c r="C56" s="4" t="s">
        <v>118</v>
      </c>
      <c r="D56" s="4" t="s">
        <v>386</v>
      </c>
      <c r="E56" s="4" t="s">
        <v>387</v>
      </c>
      <c r="F56" s="4" t="s">
        <v>388</v>
      </c>
      <c r="G56" s="4" t="s">
        <v>76</v>
      </c>
      <c r="H56" s="4" t="s">
        <v>389</v>
      </c>
      <c r="I56" s="4" t="s">
        <v>138</v>
      </c>
      <c r="J56" s="4" t="s">
        <v>106</v>
      </c>
      <c r="K56" s="4" t="s">
        <v>122</v>
      </c>
      <c r="L56" s="4" t="s">
        <v>123</v>
      </c>
      <c r="M56" s="4">
        <v>19</v>
      </c>
      <c r="N56" s="4">
        <v>60</v>
      </c>
      <c r="O56" s="4">
        <v>15</v>
      </c>
      <c r="P56" s="4">
        <v>969</v>
      </c>
      <c r="Q56" s="4">
        <v>4</v>
      </c>
      <c r="R56" s="4" t="s">
        <v>79</v>
      </c>
      <c r="S56" s="4" t="s">
        <v>49</v>
      </c>
      <c r="T56" s="4" t="s">
        <v>132</v>
      </c>
      <c r="U56" s="6" t="s">
        <v>390</v>
      </c>
      <c r="V56" s="4" t="s">
        <v>69</v>
      </c>
    </row>
    <row r="57" spans="1:22">
      <c r="A57" s="7" t="s">
        <v>391</v>
      </c>
      <c r="B57" s="8" t="s">
        <v>327</v>
      </c>
      <c r="C57" s="8" t="s">
        <v>118</v>
      </c>
      <c r="D57" s="8" t="s">
        <v>392</v>
      </c>
      <c r="E57" s="8" t="s">
        <v>393</v>
      </c>
      <c r="F57" s="8" t="s">
        <v>394</v>
      </c>
      <c r="G57" s="8" t="s">
        <v>76</v>
      </c>
      <c r="H57" s="8" t="s">
        <v>395</v>
      </c>
      <c r="I57" s="8" t="s">
        <v>212</v>
      </c>
      <c r="J57" s="8" t="s">
        <v>45</v>
      </c>
      <c r="K57" s="8" t="s">
        <v>122</v>
      </c>
      <c r="L57" s="8" t="s">
        <v>123</v>
      </c>
      <c r="M57" s="8">
        <v>9</v>
      </c>
      <c r="N57" s="8">
        <v>60</v>
      </c>
      <c r="O57" s="8">
        <v>20</v>
      </c>
      <c r="P57" s="8">
        <v>432</v>
      </c>
      <c r="Q57" s="8">
        <v>1</v>
      </c>
      <c r="R57" s="8" t="s">
        <v>48</v>
      </c>
      <c r="S57" s="8" t="s">
        <v>115</v>
      </c>
      <c r="T57" s="8" t="s">
        <v>332</v>
      </c>
      <c r="U57" s="9" t="s">
        <v>396</v>
      </c>
      <c r="V57" s="8" t="s">
        <v>64</v>
      </c>
    </row>
    <row r="58" spans="1:22">
      <c r="A58" s="3" t="s">
        <v>397</v>
      </c>
      <c r="B58" s="4" t="s">
        <v>327</v>
      </c>
      <c r="C58" s="4" t="s">
        <v>184</v>
      </c>
      <c r="D58" s="4" t="s">
        <v>398</v>
      </c>
      <c r="E58" s="4" t="s">
        <v>399</v>
      </c>
      <c r="F58" s="4" t="s">
        <v>394</v>
      </c>
      <c r="G58" s="4" t="s">
        <v>76</v>
      </c>
      <c r="H58" s="4" t="s">
        <v>400</v>
      </c>
      <c r="I58" s="4" t="s">
        <v>59</v>
      </c>
      <c r="J58" s="4" t="s">
        <v>31</v>
      </c>
      <c r="K58" s="4" t="s">
        <v>46</v>
      </c>
      <c r="L58" s="4" t="s">
        <v>189</v>
      </c>
      <c r="M58" s="4">
        <v>6</v>
      </c>
      <c r="N58" s="4">
        <v>700</v>
      </c>
      <c r="O58" s="4">
        <v>0</v>
      </c>
      <c r="P58" s="4">
        <v>4200</v>
      </c>
      <c r="Q58" s="4">
        <v>4</v>
      </c>
      <c r="R58" s="4" t="s">
        <v>88</v>
      </c>
      <c r="S58" s="4" t="s">
        <v>49</v>
      </c>
      <c r="T58" s="4" t="s">
        <v>401</v>
      </c>
      <c r="U58" s="6" t="s">
        <v>402</v>
      </c>
      <c r="V58" s="4" t="s">
        <v>69</v>
      </c>
    </row>
    <row r="59" spans="1:22">
      <c r="A59" s="7" t="s">
        <v>403</v>
      </c>
      <c r="B59" s="8" t="s">
        <v>127</v>
      </c>
      <c r="C59" s="8" t="s">
        <v>259</v>
      </c>
      <c r="D59" s="8" t="s">
        <v>241</v>
      </c>
      <c r="E59" s="8" t="s">
        <v>404</v>
      </c>
      <c r="F59" s="8" t="s">
        <v>200</v>
      </c>
      <c r="G59" s="8" t="s">
        <v>76</v>
      </c>
      <c r="H59" s="8" t="s">
        <v>405</v>
      </c>
      <c r="I59" s="8" t="s">
        <v>44</v>
      </c>
      <c r="J59" s="8" t="s">
        <v>45</v>
      </c>
      <c r="K59" s="8" t="s">
        <v>122</v>
      </c>
      <c r="L59" s="8" t="s">
        <v>263</v>
      </c>
      <c r="M59" s="8">
        <v>18</v>
      </c>
      <c r="N59" s="8">
        <v>45</v>
      </c>
      <c r="O59" s="8">
        <v>5</v>
      </c>
      <c r="P59" s="8">
        <v>769.5</v>
      </c>
      <c r="Q59" s="8">
        <v>1</v>
      </c>
      <c r="R59" s="8" t="s">
        <v>79</v>
      </c>
      <c r="S59" s="8" t="s">
        <v>61</v>
      </c>
      <c r="T59" s="8" t="s">
        <v>132</v>
      </c>
      <c r="U59" s="9" t="s">
        <v>406</v>
      </c>
      <c r="V59" s="8" t="s">
        <v>64</v>
      </c>
    </row>
    <row r="60" spans="1:22">
      <c r="A60" s="3" t="s">
        <v>407</v>
      </c>
      <c r="B60" s="4" t="s">
        <v>83</v>
      </c>
      <c r="C60" s="4" t="s">
        <v>222</v>
      </c>
      <c r="D60" s="4" t="s">
        <v>408</v>
      </c>
      <c r="E60" s="4" t="s">
        <v>261</v>
      </c>
      <c r="F60" s="4" t="s">
        <v>180</v>
      </c>
      <c r="G60" s="4" t="s">
        <v>76</v>
      </c>
      <c r="H60" s="4" t="s">
        <v>409</v>
      </c>
      <c r="I60" s="4" t="s">
        <v>212</v>
      </c>
      <c r="J60" s="4" t="s">
        <v>45</v>
      </c>
      <c r="K60" s="4" t="s">
        <v>122</v>
      </c>
      <c r="L60" s="4" t="s">
        <v>227</v>
      </c>
      <c r="M60" s="4">
        <v>8</v>
      </c>
      <c r="N60" s="4">
        <v>20</v>
      </c>
      <c r="O60" s="4">
        <v>5</v>
      </c>
      <c r="P60" s="4">
        <v>152</v>
      </c>
      <c r="Q60" s="4">
        <v>1</v>
      </c>
      <c r="R60" s="4" t="s">
        <v>79</v>
      </c>
      <c r="S60" s="4" t="s">
        <v>35</v>
      </c>
      <c r="T60" s="4" t="s">
        <v>89</v>
      </c>
      <c r="U60" s="6" t="s">
        <v>410</v>
      </c>
      <c r="V60" s="4" t="s">
        <v>411</v>
      </c>
    </row>
    <row r="61" spans="1:22">
      <c r="A61" s="7" t="s">
        <v>412</v>
      </c>
      <c r="B61" s="8" t="s">
        <v>221</v>
      </c>
      <c r="C61" s="8" t="s">
        <v>184</v>
      </c>
      <c r="D61" s="8" t="s">
        <v>413</v>
      </c>
      <c r="E61" s="8" t="s">
        <v>414</v>
      </c>
      <c r="F61" s="8" t="s">
        <v>225</v>
      </c>
      <c r="G61" s="8" t="s">
        <v>76</v>
      </c>
      <c r="H61" s="8" t="s">
        <v>415</v>
      </c>
      <c r="I61" s="8" t="s">
        <v>212</v>
      </c>
      <c r="J61" s="8" t="s">
        <v>45</v>
      </c>
      <c r="K61" s="8" t="s">
        <v>46</v>
      </c>
      <c r="L61" s="8" t="s">
        <v>189</v>
      </c>
      <c r="M61" s="8">
        <v>8</v>
      </c>
      <c r="N61" s="8">
        <v>700</v>
      </c>
      <c r="O61" s="8">
        <v>10</v>
      </c>
      <c r="P61" s="8">
        <v>5040</v>
      </c>
      <c r="Q61" s="8">
        <v>1</v>
      </c>
      <c r="R61" s="8" t="s">
        <v>48</v>
      </c>
      <c r="S61" s="8" t="s">
        <v>61</v>
      </c>
      <c r="T61" s="10" t="s">
        <v>416</v>
      </c>
      <c r="U61" s="9" t="s">
        <v>417</v>
      </c>
      <c r="V61" s="8" t="s">
        <v>69</v>
      </c>
    </row>
    <row r="62" spans="1:22">
      <c r="A62" s="3" t="s">
        <v>418</v>
      </c>
      <c r="B62" s="4" t="s">
        <v>23</v>
      </c>
      <c r="C62" s="4" t="s">
        <v>222</v>
      </c>
      <c r="D62" s="4" t="s">
        <v>223</v>
      </c>
      <c r="E62" s="4" t="s">
        <v>356</v>
      </c>
      <c r="F62" s="4" t="s">
        <v>27</v>
      </c>
      <c r="G62" s="4" t="s">
        <v>28</v>
      </c>
      <c r="H62" s="4" t="s">
        <v>419</v>
      </c>
      <c r="I62" s="4" t="s">
        <v>44</v>
      </c>
      <c r="J62" s="4" t="s">
        <v>45</v>
      </c>
      <c r="K62" s="4" t="s">
        <v>122</v>
      </c>
      <c r="L62" s="4" t="s">
        <v>227</v>
      </c>
      <c r="M62" s="4">
        <v>7</v>
      </c>
      <c r="N62" s="4">
        <v>20</v>
      </c>
      <c r="O62" s="4">
        <v>15</v>
      </c>
      <c r="P62" s="4">
        <v>119</v>
      </c>
      <c r="Q62" s="4">
        <v>5</v>
      </c>
      <c r="R62" s="4" t="s">
        <v>79</v>
      </c>
      <c r="S62" s="4" t="s">
        <v>49</v>
      </c>
      <c r="T62" s="4" t="s">
        <v>50</v>
      </c>
      <c r="U62" s="6" t="s">
        <v>420</v>
      </c>
      <c r="V62" s="4" t="s">
        <v>38</v>
      </c>
    </row>
    <row r="63" spans="1:22">
      <c r="A63" s="7" t="s">
        <v>421</v>
      </c>
      <c r="B63" s="8" t="s">
        <v>100</v>
      </c>
      <c r="C63" s="8" t="s">
        <v>222</v>
      </c>
      <c r="D63" s="8" t="s">
        <v>422</v>
      </c>
      <c r="E63" s="8" t="s">
        <v>371</v>
      </c>
      <c r="F63" s="8" t="s">
        <v>103</v>
      </c>
      <c r="G63" s="8" t="s">
        <v>28</v>
      </c>
      <c r="H63" s="8" t="s">
        <v>423</v>
      </c>
      <c r="I63" s="8" t="s">
        <v>114</v>
      </c>
      <c r="J63" s="8" t="s">
        <v>106</v>
      </c>
      <c r="K63" s="8" t="s">
        <v>122</v>
      </c>
      <c r="L63" s="8" t="s">
        <v>227</v>
      </c>
      <c r="M63" s="8">
        <v>16</v>
      </c>
      <c r="N63" s="8">
        <v>20</v>
      </c>
      <c r="O63" s="8">
        <v>0</v>
      </c>
      <c r="P63" s="8">
        <v>320</v>
      </c>
      <c r="Q63" s="8">
        <v>5</v>
      </c>
      <c r="R63" s="8" t="s">
        <v>48</v>
      </c>
      <c r="S63" s="8" t="s">
        <v>61</v>
      </c>
      <c r="T63" s="8" t="s">
        <v>144</v>
      </c>
      <c r="U63" s="9" t="s">
        <v>424</v>
      </c>
      <c r="V63" s="8" t="s">
        <v>64</v>
      </c>
    </row>
    <row r="64" spans="1:22">
      <c r="A64" s="3" t="s">
        <v>425</v>
      </c>
      <c r="B64" s="4" t="s">
        <v>53</v>
      </c>
      <c r="C64" s="4" t="s">
        <v>259</v>
      </c>
      <c r="D64" s="4" t="s">
        <v>426</v>
      </c>
      <c r="E64" s="4" t="s">
        <v>427</v>
      </c>
      <c r="F64" s="4" t="s">
        <v>163</v>
      </c>
      <c r="G64" s="4" t="s">
        <v>28</v>
      </c>
      <c r="H64" s="4" t="s">
        <v>428</v>
      </c>
      <c r="I64" s="4" t="s">
        <v>105</v>
      </c>
      <c r="J64" s="4" t="s">
        <v>106</v>
      </c>
      <c r="K64" s="4" t="s">
        <v>122</v>
      </c>
      <c r="L64" s="4" t="s">
        <v>263</v>
      </c>
      <c r="M64" s="4">
        <v>15</v>
      </c>
      <c r="N64" s="4">
        <v>45</v>
      </c>
      <c r="O64" s="4">
        <v>0</v>
      </c>
      <c r="P64" s="4">
        <v>675</v>
      </c>
      <c r="Q64" s="4">
        <v>4</v>
      </c>
      <c r="R64" s="4" t="s">
        <v>34</v>
      </c>
      <c r="S64" s="4" t="s">
        <v>61</v>
      </c>
      <c r="T64" s="4" t="s">
        <v>62</v>
      </c>
      <c r="U64" s="6" t="s">
        <v>429</v>
      </c>
      <c r="V64" s="4" t="s">
        <v>69</v>
      </c>
    </row>
    <row r="65" spans="1:22">
      <c r="A65" s="7" t="s">
        <v>430</v>
      </c>
      <c r="B65" s="8" t="s">
        <v>251</v>
      </c>
      <c r="C65" s="8" t="s">
        <v>184</v>
      </c>
      <c r="D65" s="8" t="s">
        <v>431</v>
      </c>
      <c r="E65" s="8" t="s">
        <v>413</v>
      </c>
      <c r="F65" s="8" t="s">
        <v>254</v>
      </c>
      <c r="G65" s="8" t="s">
        <v>28</v>
      </c>
      <c r="H65" s="8" t="s">
        <v>432</v>
      </c>
      <c r="I65" s="8" t="s">
        <v>138</v>
      </c>
      <c r="J65" s="8" t="s">
        <v>106</v>
      </c>
      <c r="K65" s="8" t="s">
        <v>46</v>
      </c>
      <c r="L65" s="8" t="s">
        <v>189</v>
      </c>
      <c r="M65" s="8">
        <v>15</v>
      </c>
      <c r="N65" s="8">
        <v>700</v>
      </c>
      <c r="O65" s="8">
        <v>10</v>
      </c>
      <c r="P65" s="8">
        <v>9450</v>
      </c>
      <c r="Q65" s="8">
        <v>3</v>
      </c>
      <c r="R65" s="8" t="s">
        <v>48</v>
      </c>
      <c r="S65" s="8" t="s">
        <v>151</v>
      </c>
      <c r="T65" s="8" t="s">
        <v>256</v>
      </c>
      <c r="U65" s="9" t="s">
        <v>433</v>
      </c>
      <c r="V65" s="8" t="s">
        <v>38</v>
      </c>
    </row>
    <row r="66" spans="1:22">
      <c r="A66" s="3" t="s">
        <v>434</v>
      </c>
      <c r="B66" s="4" t="s">
        <v>53</v>
      </c>
      <c r="C66" s="4" t="s">
        <v>259</v>
      </c>
      <c r="D66" s="4" t="s">
        <v>435</v>
      </c>
      <c r="E66" s="4" t="s">
        <v>436</v>
      </c>
      <c r="F66" s="4" t="s">
        <v>163</v>
      </c>
      <c r="G66" s="4" t="s">
        <v>28</v>
      </c>
      <c r="H66" s="4" t="s">
        <v>437</v>
      </c>
      <c r="I66" s="4" t="s">
        <v>294</v>
      </c>
      <c r="J66" s="4" t="s">
        <v>295</v>
      </c>
      <c r="K66" s="4" t="s">
        <v>122</v>
      </c>
      <c r="L66" s="4" t="s">
        <v>263</v>
      </c>
      <c r="M66" s="4">
        <v>3</v>
      </c>
      <c r="N66" s="4">
        <v>45</v>
      </c>
      <c r="O66" s="4">
        <v>15</v>
      </c>
      <c r="P66" s="4">
        <v>114.75</v>
      </c>
      <c r="Q66" s="4">
        <v>2</v>
      </c>
      <c r="R66" s="4" t="s">
        <v>88</v>
      </c>
      <c r="S66" s="4" t="s">
        <v>115</v>
      </c>
      <c r="T66" s="4" t="s">
        <v>62</v>
      </c>
      <c r="U66" s="6" t="s">
        <v>438</v>
      </c>
      <c r="V66" s="4" t="s">
        <v>64</v>
      </c>
    </row>
    <row r="67" spans="1:22">
      <c r="A67" s="7" t="s">
        <v>439</v>
      </c>
      <c r="B67" s="8" t="s">
        <v>100</v>
      </c>
      <c r="C67" s="8" t="s">
        <v>24</v>
      </c>
      <c r="D67" s="8" t="s">
        <v>440</v>
      </c>
      <c r="E67" s="8" t="s">
        <v>441</v>
      </c>
      <c r="F67" s="8" t="s">
        <v>103</v>
      </c>
      <c r="G67" s="8" t="s">
        <v>28</v>
      </c>
      <c r="H67" s="8" t="s">
        <v>442</v>
      </c>
      <c r="I67" s="8" t="s">
        <v>294</v>
      </c>
      <c r="J67" s="8" t="s">
        <v>295</v>
      </c>
      <c r="K67" s="8" t="s">
        <v>32</v>
      </c>
      <c r="L67" s="8" t="s">
        <v>33</v>
      </c>
      <c r="M67" s="8">
        <v>7</v>
      </c>
      <c r="N67" s="8">
        <v>2200</v>
      </c>
      <c r="O67" s="8">
        <v>15</v>
      </c>
      <c r="P67" s="8">
        <v>13090</v>
      </c>
      <c r="Q67" s="8">
        <v>5</v>
      </c>
      <c r="R67" s="8" t="s">
        <v>88</v>
      </c>
      <c r="S67" s="8" t="s">
        <v>115</v>
      </c>
      <c r="T67" s="8" t="s">
        <v>144</v>
      </c>
      <c r="U67" s="9" t="s">
        <v>443</v>
      </c>
      <c r="V67" s="8" t="s">
        <v>38</v>
      </c>
    </row>
    <row r="68" spans="1:22">
      <c r="A68" s="3" t="s">
        <v>444</v>
      </c>
      <c r="B68" s="4" t="s">
        <v>23</v>
      </c>
      <c r="C68" s="4" t="s">
        <v>259</v>
      </c>
      <c r="D68" s="4" t="s">
        <v>445</v>
      </c>
      <c r="E68" s="4" t="s">
        <v>446</v>
      </c>
      <c r="F68" s="4" t="s">
        <v>27</v>
      </c>
      <c r="G68" s="4" t="s">
        <v>28</v>
      </c>
      <c r="H68" s="4" t="s">
        <v>447</v>
      </c>
      <c r="I68" s="4" t="s">
        <v>44</v>
      </c>
      <c r="J68" s="4" t="s">
        <v>45</v>
      </c>
      <c r="K68" s="4" t="s">
        <v>122</v>
      </c>
      <c r="L68" s="4" t="s">
        <v>263</v>
      </c>
      <c r="M68" s="4">
        <v>19</v>
      </c>
      <c r="N68" s="4">
        <v>45</v>
      </c>
      <c r="O68" s="4">
        <v>10</v>
      </c>
      <c r="P68" s="4">
        <v>769.5</v>
      </c>
      <c r="Q68" s="4">
        <v>5</v>
      </c>
      <c r="R68" s="4" t="s">
        <v>79</v>
      </c>
      <c r="S68" s="4" t="s">
        <v>115</v>
      </c>
      <c r="T68" s="4" t="s">
        <v>50</v>
      </c>
      <c r="U68" s="6" t="s">
        <v>448</v>
      </c>
      <c r="V68" s="4" t="s">
        <v>69</v>
      </c>
    </row>
    <row r="69" spans="1:22">
      <c r="A69" s="7" t="s">
        <v>449</v>
      </c>
      <c r="B69" s="8" t="s">
        <v>251</v>
      </c>
      <c r="C69" s="8" t="s">
        <v>92</v>
      </c>
      <c r="D69" s="8" t="s">
        <v>450</v>
      </c>
      <c r="E69" s="8" t="s">
        <v>323</v>
      </c>
      <c r="F69" s="8" t="s">
        <v>254</v>
      </c>
      <c r="G69" s="8" t="s">
        <v>28</v>
      </c>
      <c r="H69" s="8" t="s">
        <v>451</v>
      </c>
      <c r="I69" s="8" t="s">
        <v>30</v>
      </c>
      <c r="J69" s="8" t="s">
        <v>31</v>
      </c>
      <c r="K69" s="8" t="s">
        <v>32</v>
      </c>
      <c r="L69" s="8" t="s">
        <v>97</v>
      </c>
      <c r="M69" s="8">
        <v>7</v>
      </c>
      <c r="N69" s="8">
        <v>3500</v>
      </c>
      <c r="O69" s="8">
        <v>15</v>
      </c>
      <c r="P69" s="8">
        <v>20825</v>
      </c>
      <c r="Q69" s="8">
        <v>1</v>
      </c>
      <c r="R69" s="8" t="s">
        <v>34</v>
      </c>
      <c r="S69" s="8" t="s">
        <v>151</v>
      </c>
      <c r="T69" s="8" t="s">
        <v>256</v>
      </c>
      <c r="U69" s="9" t="s">
        <v>452</v>
      </c>
      <c r="V69" s="8" t="s">
        <v>64</v>
      </c>
    </row>
    <row r="70" spans="1:22">
      <c r="A70" s="3" t="s">
        <v>453</v>
      </c>
      <c r="B70" s="4" t="s">
        <v>53</v>
      </c>
      <c r="C70" s="4" t="s">
        <v>169</v>
      </c>
      <c r="D70" s="4" t="s">
        <v>454</v>
      </c>
      <c r="E70" s="4" t="s">
        <v>455</v>
      </c>
      <c r="F70" s="4" t="s">
        <v>163</v>
      </c>
      <c r="G70" s="4" t="s">
        <v>28</v>
      </c>
      <c r="H70" s="4" t="s">
        <v>456</v>
      </c>
      <c r="I70" s="4" t="s">
        <v>212</v>
      </c>
      <c r="J70" s="4" t="s">
        <v>45</v>
      </c>
      <c r="K70" s="4" t="s">
        <v>32</v>
      </c>
      <c r="L70" s="4" t="s">
        <v>174</v>
      </c>
      <c r="M70" s="4">
        <v>7</v>
      </c>
      <c r="N70" s="4">
        <v>8500</v>
      </c>
      <c r="O70" s="4">
        <v>20</v>
      </c>
      <c r="P70" s="4">
        <v>47600</v>
      </c>
      <c r="Q70" s="4">
        <v>4</v>
      </c>
      <c r="R70" s="4" t="s">
        <v>48</v>
      </c>
      <c r="S70" s="4" t="s">
        <v>115</v>
      </c>
      <c r="T70" s="4" t="s">
        <v>62</v>
      </c>
      <c r="U70" s="6" t="s">
        <v>457</v>
      </c>
      <c r="V70" s="4" t="s">
        <v>38</v>
      </c>
    </row>
    <row r="71" spans="1:22">
      <c r="A71" s="7" t="s">
        <v>458</v>
      </c>
      <c r="B71" s="8" t="s">
        <v>23</v>
      </c>
      <c r="C71" s="8" t="s">
        <v>54</v>
      </c>
      <c r="D71" s="8" t="s">
        <v>366</v>
      </c>
      <c r="E71" s="8" t="s">
        <v>459</v>
      </c>
      <c r="F71" s="8" t="s">
        <v>27</v>
      </c>
      <c r="G71" s="8" t="s">
        <v>28</v>
      </c>
      <c r="H71" s="8" t="s">
        <v>460</v>
      </c>
      <c r="I71" s="8" t="s">
        <v>59</v>
      </c>
      <c r="J71" s="8" t="s">
        <v>31</v>
      </c>
      <c r="K71" s="8" t="s">
        <v>46</v>
      </c>
      <c r="L71" s="8" t="s">
        <v>60</v>
      </c>
      <c r="M71" s="8">
        <v>16</v>
      </c>
      <c r="N71" s="8">
        <v>55000</v>
      </c>
      <c r="O71" s="8">
        <v>10</v>
      </c>
      <c r="P71" s="8">
        <v>792000</v>
      </c>
      <c r="Q71" s="8">
        <v>1</v>
      </c>
      <c r="R71" s="8" t="s">
        <v>79</v>
      </c>
      <c r="S71" s="8" t="s">
        <v>61</v>
      </c>
      <c r="T71" s="8" t="s">
        <v>50</v>
      </c>
      <c r="U71" s="9" t="s">
        <v>461</v>
      </c>
      <c r="V71" s="8" t="s">
        <v>38</v>
      </c>
    </row>
    <row r="72" spans="1:22">
      <c r="A72" s="3" t="s">
        <v>462</v>
      </c>
      <c r="B72" s="4" t="s">
        <v>168</v>
      </c>
      <c r="C72" s="4" t="s">
        <v>40</v>
      </c>
      <c r="D72" s="4" t="s">
        <v>463</v>
      </c>
      <c r="E72" s="4" t="s">
        <v>464</v>
      </c>
      <c r="F72" s="4" t="s">
        <v>361</v>
      </c>
      <c r="G72" s="4" t="s">
        <v>28</v>
      </c>
      <c r="H72" s="4" t="s">
        <v>465</v>
      </c>
      <c r="I72" s="4" t="s">
        <v>105</v>
      </c>
      <c r="J72" s="4" t="s">
        <v>106</v>
      </c>
      <c r="K72" s="4" t="s">
        <v>46</v>
      </c>
      <c r="L72" s="4" t="s">
        <v>47</v>
      </c>
      <c r="M72" s="4">
        <v>2</v>
      </c>
      <c r="N72" s="4">
        <v>12000</v>
      </c>
      <c r="O72" s="4">
        <v>20</v>
      </c>
      <c r="P72" s="4">
        <v>19200</v>
      </c>
      <c r="Q72" s="4">
        <v>1</v>
      </c>
      <c r="R72" s="4" t="s">
        <v>34</v>
      </c>
      <c r="S72" s="4" t="s">
        <v>151</v>
      </c>
      <c r="T72" s="5" t="s">
        <v>466</v>
      </c>
      <c r="U72" s="6" t="s">
        <v>467</v>
      </c>
      <c r="V72" s="4" t="s">
        <v>64</v>
      </c>
    </row>
    <row r="73" spans="1:22">
      <c r="A73" s="7" t="s">
        <v>468</v>
      </c>
      <c r="B73" s="8" t="s">
        <v>127</v>
      </c>
      <c r="C73" s="8" t="s">
        <v>259</v>
      </c>
      <c r="D73" s="8" t="s">
        <v>469</v>
      </c>
      <c r="E73" s="8" t="s">
        <v>446</v>
      </c>
      <c r="F73" s="8" t="s">
        <v>200</v>
      </c>
      <c r="G73" s="8" t="s">
        <v>76</v>
      </c>
      <c r="H73" s="8" t="s">
        <v>470</v>
      </c>
      <c r="I73" s="8" t="s">
        <v>59</v>
      </c>
      <c r="J73" s="8" t="s">
        <v>31</v>
      </c>
      <c r="K73" s="8" t="s">
        <v>122</v>
      </c>
      <c r="L73" s="8" t="s">
        <v>263</v>
      </c>
      <c r="M73" s="8">
        <v>4</v>
      </c>
      <c r="N73" s="8">
        <v>45</v>
      </c>
      <c r="O73" s="8">
        <v>5</v>
      </c>
      <c r="P73" s="8">
        <v>171</v>
      </c>
      <c r="Q73" s="8">
        <v>1</v>
      </c>
      <c r="R73" s="8" t="s">
        <v>79</v>
      </c>
      <c r="S73" s="8" t="s">
        <v>49</v>
      </c>
      <c r="T73" s="8" t="s">
        <v>132</v>
      </c>
      <c r="U73" s="9" t="s">
        <v>471</v>
      </c>
      <c r="V73" s="8" t="s">
        <v>64</v>
      </c>
    </row>
    <row r="74" spans="1:22">
      <c r="A74" s="3" t="s">
        <v>472</v>
      </c>
      <c r="B74" s="4" t="s">
        <v>23</v>
      </c>
      <c r="C74" s="4" t="s">
        <v>72</v>
      </c>
      <c r="D74" s="4" t="s">
        <v>473</v>
      </c>
      <c r="E74" s="4" t="s">
        <v>474</v>
      </c>
      <c r="F74" s="4" t="s">
        <v>27</v>
      </c>
      <c r="G74" s="4" t="s">
        <v>28</v>
      </c>
      <c r="H74" s="4" t="s">
        <v>475</v>
      </c>
      <c r="I74" s="4" t="s">
        <v>212</v>
      </c>
      <c r="J74" s="4" t="s">
        <v>45</v>
      </c>
      <c r="K74" s="4" t="s">
        <v>46</v>
      </c>
      <c r="L74" s="4" t="s">
        <v>78</v>
      </c>
      <c r="M74" s="4">
        <v>1</v>
      </c>
      <c r="N74" s="4">
        <v>1200</v>
      </c>
      <c r="O74" s="4">
        <v>5</v>
      </c>
      <c r="P74" s="4">
        <v>1140</v>
      </c>
      <c r="Q74" s="4">
        <v>3</v>
      </c>
      <c r="R74" s="4" t="s">
        <v>88</v>
      </c>
      <c r="S74" s="4" t="s">
        <v>61</v>
      </c>
      <c r="T74" s="4" t="s">
        <v>50</v>
      </c>
      <c r="U74" s="6" t="s">
        <v>476</v>
      </c>
      <c r="V74" s="4" t="s">
        <v>69</v>
      </c>
    </row>
    <row r="75" spans="1:22">
      <c r="A75" s="7" t="s">
        <v>477</v>
      </c>
      <c r="B75" s="8" t="s">
        <v>53</v>
      </c>
      <c r="C75" s="8" t="s">
        <v>24</v>
      </c>
      <c r="D75" s="8" t="s">
        <v>478</v>
      </c>
      <c r="E75" s="8" t="s">
        <v>479</v>
      </c>
      <c r="F75" s="8" t="s">
        <v>163</v>
      </c>
      <c r="G75" s="8" t="s">
        <v>28</v>
      </c>
      <c r="H75" s="8" t="s">
        <v>480</v>
      </c>
      <c r="I75" s="8"/>
      <c r="J75" s="8" t="s">
        <v>31</v>
      </c>
      <c r="K75" s="8" t="s">
        <v>32</v>
      </c>
      <c r="L75" s="8" t="s">
        <v>33</v>
      </c>
      <c r="M75" s="8">
        <v>1</v>
      </c>
      <c r="N75" s="8">
        <v>2200</v>
      </c>
      <c r="O75" s="8">
        <v>15</v>
      </c>
      <c r="P75" s="8">
        <v>1870</v>
      </c>
      <c r="Q75" s="8">
        <v>4</v>
      </c>
      <c r="R75" s="8" t="s">
        <v>79</v>
      </c>
      <c r="S75" s="8" t="s">
        <v>61</v>
      </c>
      <c r="T75" s="8" t="s">
        <v>62</v>
      </c>
      <c r="U75" s="9" t="s">
        <v>481</v>
      </c>
      <c r="V75" s="8" t="s">
        <v>38</v>
      </c>
    </row>
    <row r="76" spans="1:22">
      <c r="A76" s="3" t="s">
        <v>482</v>
      </c>
      <c r="B76" s="4" t="s">
        <v>127</v>
      </c>
      <c r="C76" s="4" t="s">
        <v>72</v>
      </c>
      <c r="D76" s="4" t="s">
        <v>483</v>
      </c>
      <c r="E76" s="4" t="s">
        <v>484</v>
      </c>
      <c r="F76" s="4" t="s">
        <v>200</v>
      </c>
      <c r="G76" s="4" t="s">
        <v>76</v>
      </c>
      <c r="H76" s="4" t="s">
        <v>485</v>
      </c>
      <c r="I76" s="4" t="s">
        <v>114</v>
      </c>
      <c r="J76" s="4" t="s">
        <v>106</v>
      </c>
      <c r="K76" s="4" t="s">
        <v>46</v>
      </c>
      <c r="L76" s="4" t="s">
        <v>78</v>
      </c>
      <c r="M76" s="4">
        <v>3</v>
      </c>
      <c r="N76" s="4">
        <v>1200</v>
      </c>
      <c r="O76" s="4">
        <v>10</v>
      </c>
      <c r="P76" s="4">
        <v>3240</v>
      </c>
      <c r="Q76" s="4">
        <v>5</v>
      </c>
      <c r="R76" s="4" t="s">
        <v>34</v>
      </c>
      <c r="S76" s="4" t="s">
        <v>49</v>
      </c>
      <c r="T76" s="4" t="s">
        <v>132</v>
      </c>
      <c r="U76" s="6" t="s">
        <v>486</v>
      </c>
      <c r="V76" s="4" t="s">
        <v>38</v>
      </c>
    </row>
    <row r="77" spans="1:22">
      <c r="A77" s="7" t="s">
        <v>487</v>
      </c>
      <c r="B77" s="8" t="s">
        <v>23</v>
      </c>
      <c r="C77" s="8" t="s">
        <v>92</v>
      </c>
      <c r="D77" s="8" t="s">
        <v>488</v>
      </c>
      <c r="E77" s="8" t="s">
        <v>489</v>
      </c>
      <c r="F77" s="8" t="s">
        <v>27</v>
      </c>
      <c r="G77" s="8" t="s">
        <v>28</v>
      </c>
      <c r="H77" s="8" t="s">
        <v>490</v>
      </c>
      <c r="I77" s="8" t="s">
        <v>59</v>
      </c>
      <c r="J77" s="8" t="s">
        <v>31</v>
      </c>
      <c r="K77" s="8" t="s">
        <v>32</v>
      </c>
      <c r="L77" s="8" t="s">
        <v>97</v>
      </c>
      <c r="M77" s="8">
        <v>10</v>
      </c>
      <c r="N77" s="8">
        <v>3500</v>
      </c>
      <c r="O77" s="8">
        <v>20</v>
      </c>
      <c r="P77" s="8">
        <v>28000</v>
      </c>
      <c r="Q77" s="8">
        <v>5</v>
      </c>
      <c r="R77" s="8" t="s">
        <v>79</v>
      </c>
      <c r="S77" s="8" t="s">
        <v>35</v>
      </c>
      <c r="T77" s="8" t="s">
        <v>50</v>
      </c>
      <c r="U77" s="9" t="s">
        <v>491</v>
      </c>
      <c r="V77" s="8" t="s">
        <v>38</v>
      </c>
    </row>
    <row r="78" spans="1:22">
      <c r="A78" s="3" t="s">
        <v>492</v>
      </c>
      <c r="B78" s="4" t="s">
        <v>83</v>
      </c>
      <c r="C78" s="4" t="s">
        <v>184</v>
      </c>
      <c r="D78" s="4" t="s">
        <v>493</v>
      </c>
      <c r="E78" s="4" t="s">
        <v>404</v>
      </c>
      <c r="F78" s="4" t="s">
        <v>180</v>
      </c>
      <c r="G78" s="4" t="s">
        <v>76</v>
      </c>
      <c r="H78" s="4" t="s">
        <v>494</v>
      </c>
      <c r="I78" s="4" t="s">
        <v>44</v>
      </c>
      <c r="J78" s="4" t="s">
        <v>45</v>
      </c>
      <c r="K78" s="4" t="s">
        <v>46</v>
      </c>
      <c r="L78" s="4" t="s">
        <v>189</v>
      </c>
      <c r="M78" s="4">
        <v>18</v>
      </c>
      <c r="N78" s="4">
        <v>700</v>
      </c>
      <c r="O78" s="4">
        <v>5</v>
      </c>
      <c r="P78" s="4">
        <v>11970</v>
      </c>
      <c r="Q78" s="4">
        <v>3</v>
      </c>
      <c r="R78" s="4" t="s">
        <v>79</v>
      </c>
      <c r="S78" s="4" t="s">
        <v>115</v>
      </c>
      <c r="T78" s="4" t="s">
        <v>89</v>
      </c>
      <c r="U78" s="6" t="s">
        <v>495</v>
      </c>
      <c r="V78" s="4" t="s">
        <v>69</v>
      </c>
    </row>
    <row r="79" spans="1:22">
      <c r="A79" s="7" t="s">
        <v>496</v>
      </c>
      <c r="B79" s="8" t="s">
        <v>221</v>
      </c>
      <c r="C79" s="8" t="s">
        <v>184</v>
      </c>
      <c r="D79" s="8" t="s">
        <v>497</v>
      </c>
      <c r="E79" s="8" t="s">
        <v>498</v>
      </c>
      <c r="F79" s="8" t="s">
        <v>225</v>
      </c>
      <c r="G79" s="8" t="s">
        <v>76</v>
      </c>
      <c r="H79" s="8" t="s">
        <v>499</v>
      </c>
      <c r="I79" s="8" t="s">
        <v>59</v>
      </c>
      <c r="J79" s="8" t="s">
        <v>31</v>
      </c>
      <c r="K79" s="8" t="s">
        <v>46</v>
      </c>
      <c r="L79" s="8" t="s">
        <v>189</v>
      </c>
      <c r="M79" s="8">
        <v>12</v>
      </c>
      <c r="N79" s="8">
        <v>700</v>
      </c>
      <c r="O79" s="8">
        <v>15</v>
      </c>
      <c r="P79" s="8">
        <v>7140</v>
      </c>
      <c r="Q79" s="8">
        <v>2</v>
      </c>
      <c r="R79" s="8" t="s">
        <v>88</v>
      </c>
      <c r="S79" s="8" t="s">
        <v>49</v>
      </c>
      <c r="T79" s="8" t="s">
        <v>228</v>
      </c>
      <c r="U79" s="9" t="s">
        <v>500</v>
      </c>
      <c r="V79" s="8" t="s">
        <v>38</v>
      </c>
    </row>
    <row r="80" spans="1:22">
      <c r="A80" s="3" t="s">
        <v>501</v>
      </c>
      <c r="B80" s="4" t="s">
        <v>71</v>
      </c>
      <c r="C80" s="4" t="s">
        <v>72</v>
      </c>
      <c r="D80" s="4" t="s">
        <v>502</v>
      </c>
      <c r="E80" s="4" t="s">
        <v>503</v>
      </c>
      <c r="F80" s="4" t="s">
        <v>217</v>
      </c>
      <c r="G80" s="4" t="s">
        <v>76</v>
      </c>
      <c r="H80" s="4" t="s">
        <v>504</v>
      </c>
      <c r="I80" s="4" t="s">
        <v>105</v>
      </c>
      <c r="J80" s="4" t="s">
        <v>106</v>
      </c>
      <c r="K80" s="4" t="s">
        <v>46</v>
      </c>
      <c r="L80" s="4" t="s">
        <v>78</v>
      </c>
      <c r="M80" s="4">
        <v>8</v>
      </c>
      <c r="N80" s="4">
        <v>1200</v>
      </c>
      <c r="O80" s="4">
        <v>0</v>
      </c>
      <c r="P80" s="4">
        <v>9600</v>
      </c>
      <c r="Q80" s="4">
        <v>4</v>
      </c>
      <c r="R80" s="4" t="s">
        <v>79</v>
      </c>
      <c r="S80" s="4" t="s">
        <v>49</v>
      </c>
      <c r="T80" s="4" t="s">
        <v>80</v>
      </c>
      <c r="U80" s="6" t="s">
        <v>505</v>
      </c>
      <c r="V80" s="4" t="s">
        <v>64</v>
      </c>
    </row>
    <row r="81" spans="1:22">
      <c r="A81" s="7" t="s">
        <v>506</v>
      </c>
      <c r="B81" s="8" t="s">
        <v>127</v>
      </c>
      <c r="C81" s="8" t="s">
        <v>118</v>
      </c>
      <c r="D81" s="8" t="s">
        <v>507</v>
      </c>
      <c r="E81" s="8" t="s">
        <v>508</v>
      </c>
      <c r="F81" s="8" t="s">
        <v>200</v>
      </c>
      <c r="G81" s="8" t="s">
        <v>76</v>
      </c>
      <c r="H81" s="8" t="s">
        <v>509</v>
      </c>
      <c r="I81" s="8" t="s">
        <v>114</v>
      </c>
      <c r="J81" s="8" t="s">
        <v>106</v>
      </c>
      <c r="K81" s="8" t="s">
        <v>122</v>
      </c>
      <c r="L81" s="8" t="s">
        <v>123</v>
      </c>
      <c r="M81" s="8">
        <v>2</v>
      </c>
      <c r="N81" s="8">
        <v>60</v>
      </c>
      <c r="O81" s="8">
        <v>0</v>
      </c>
      <c r="P81" s="8">
        <v>120</v>
      </c>
      <c r="Q81" s="8">
        <v>2</v>
      </c>
      <c r="R81" s="8" t="s">
        <v>88</v>
      </c>
      <c r="S81" s="8" t="s">
        <v>49</v>
      </c>
      <c r="T81" s="8" t="s">
        <v>132</v>
      </c>
      <c r="U81" s="9" t="s">
        <v>510</v>
      </c>
      <c r="V81" s="8" t="s">
        <v>38</v>
      </c>
    </row>
    <row r="82" spans="1:22">
      <c r="A82" s="3" t="s">
        <v>511</v>
      </c>
      <c r="B82" s="4" t="s">
        <v>327</v>
      </c>
      <c r="C82" s="4" t="s">
        <v>259</v>
      </c>
      <c r="D82" s="4" t="s">
        <v>512</v>
      </c>
      <c r="E82" s="4" t="s">
        <v>513</v>
      </c>
      <c r="F82" s="4" t="s">
        <v>394</v>
      </c>
      <c r="G82" s="4" t="s">
        <v>76</v>
      </c>
      <c r="H82" s="4" t="s">
        <v>514</v>
      </c>
      <c r="I82" s="4" t="s">
        <v>114</v>
      </c>
      <c r="J82" s="4" t="s">
        <v>106</v>
      </c>
      <c r="K82" s="4" t="s">
        <v>122</v>
      </c>
      <c r="L82" s="4" t="s">
        <v>263</v>
      </c>
      <c r="M82" s="4">
        <v>10</v>
      </c>
      <c r="N82" s="4">
        <v>45</v>
      </c>
      <c r="O82" s="4">
        <v>15</v>
      </c>
      <c r="P82" s="4">
        <v>382.5</v>
      </c>
      <c r="Q82" s="4">
        <v>3</v>
      </c>
      <c r="R82" s="4" t="s">
        <v>48</v>
      </c>
      <c r="S82" s="4" t="s">
        <v>35</v>
      </c>
      <c r="T82" s="4" t="s">
        <v>332</v>
      </c>
      <c r="U82" s="6" t="s">
        <v>515</v>
      </c>
      <c r="V82" s="4" t="s">
        <v>69</v>
      </c>
    </row>
    <row r="83" spans="1:22">
      <c r="A83" s="7" t="s">
        <v>516</v>
      </c>
      <c r="B83" s="8" t="s">
        <v>221</v>
      </c>
      <c r="C83" s="8" t="s">
        <v>92</v>
      </c>
      <c r="D83" s="8" t="s">
        <v>517</v>
      </c>
      <c r="E83" s="8" t="s">
        <v>518</v>
      </c>
      <c r="F83" s="8" t="s">
        <v>225</v>
      </c>
      <c r="G83" s="8" t="s">
        <v>76</v>
      </c>
      <c r="H83" s="8" t="s">
        <v>519</v>
      </c>
      <c r="I83" s="8" t="s">
        <v>294</v>
      </c>
      <c r="J83" s="8" t="s">
        <v>295</v>
      </c>
      <c r="K83" s="8" t="s">
        <v>32</v>
      </c>
      <c r="L83" s="8" t="s">
        <v>97</v>
      </c>
      <c r="M83" s="8">
        <v>12</v>
      </c>
      <c r="N83" s="8">
        <v>3500</v>
      </c>
      <c r="O83" s="8">
        <v>5</v>
      </c>
      <c r="P83" s="8">
        <v>39900</v>
      </c>
      <c r="Q83" s="8">
        <v>3</v>
      </c>
      <c r="R83" s="8" t="s">
        <v>48</v>
      </c>
      <c r="S83" s="8" t="s">
        <v>61</v>
      </c>
      <c r="T83" s="8" t="s">
        <v>228</v>
      </c>
      <c r="U83" s="9" t="s">
        <v>520</v>
      </c>
      <c r="V83" s="8" t="s">
        <v>64</v>
      </c>
    </row>
    <row r="84" spans="1:22">
      <c r="A84" s="3" t="s">
        <v>521</v>
      </c>
      <c r="B84" s="4" t="s">
        <v>127</v>
      </c>
      <c r="C84" s="4" t="s">
        <v>118</v>
      </c>
      <c r="D84" s="4" t="s">
        <v>128</v>
      </c>
      <c r="E84" s="4" t="s">
        <v>73</v>
      </c>
      <c r="F84" s="4" t="s">
        <v>200</v>
      </c>
      <c r="G84" s="4" t="s">
        <v>76</v>
      </c>
      <c r="H84" s="4" t="s">
        <v>522</v>
      </c>
      <c r="I84" s="4" t="s">
        <v>105</v>
      </c>
      <c r="J84" s="4" t="s">
        <v>106</v>
      </c>
      <c r="K84" s="4" t="s">
        <v>122</v>
      </c>
      <c r="L84" s="4" t="s">
        <v>123</v>
      </c>
      <c r="M84" s="4">
        <v>2</v>
      </c>
      <c r="N84" s="4">
        <v>60</v>
      </c>
      <c r="O84" s="4">
        <v>15</v>
      </c>
      <c r="P84" s="4">
        <v>102</v>
      </c>
      <c r="Q84" s="4">
        <v>1</v>
      </c>
      <c r="R84" s="4" t="s">
        <v>88</v>
      </c>
      <c r="S84" s="4" t="s">
        <v>115</v>
      </c>
      <c r="T84" s="4" t="s">
        <v>132</v>
      </c>
      <c r="U84" s="6" t="s">
        <v>523</v>
      </c>
      <c r="V84" s="4" t="s">
        <v>38</v>
      </c>
    </row>
    <row r="85" spans="1:22">
      <c r="A85" s="7" t="s">
        <v>524</v>
      </c>
      <c r="B85" s="8" t="s">
        <v>127</v>
      </c>
      <c r="C85" s="8" t="s">
        <v>72</v>
      </c>
      <c r="D85" s="8" t="s">
        <v>525</v>
      </c>
      <c r="E85" s="8" t="s">
        <v>526</v>
      </c>
      <c r="F85" s="8" t="s">
        <v>200</v>
      </c>
      <c r="G85" s="8" t="s">
        <v>76</v>
      </c>
      <c r="H85" s="8" t="s">
        <v>527</v>
      </c>
      <c r="I85" s="8" t="s">
        <v>30</v>
      </c>
      <c r="J85" s="8" t="s">
        <v>31</v>
      </c>
      <c r="K85" s="8" t="s">
        <v>46</v>
      </c>
      <c r="L85" s="8" t="s">
        <v>78</v>
      </c>
      <c r="M85" s="8">
        <v>18</v>
      </c>
      <c r="N85" s="8">
        <v>1200</v>
      </c>
      <c r="O85" s="8">
        <v>15</v>
      </c>
      <c r="P85" s="8">
        <v>18360</v>
      </c>
      <c r="Q85" s="8">
        <v>3</v>
      </c>
      <c r="R85" s="8" t="s">
        <v>79</v>
      </c>
      <c r="S85" s="8" t="s">
        <v>115</v>
      </c>
      <c r="T85" s="8" t="s">
        <v>132</v>
      </c>
      <c r="U85" s="9" t="s">
        <v>528</v>
      </c>
      <c r="V85" s="8" t="s">
        <v>64</v>
      </c>
    </row>
    <row r="86" spans="1:22">
      <c r="A86" s="3" t="s">
        <v>529</v>
      </c>
      <c r="B86" s="4" t="s">
        <v>23</v>
      </c>
      <c r="C86" s="4" t="s">
        <v>40</v>
      </c>
      <c r="D86" s="4" t="s">
        <v>530</v>
      </c>
      <c r="E86" s="4" t="s">
        <v>531</v>
      </c>
      <c r="F86" s="4" t="s">
        <v>27</v>
      </c>
      <c r="G86" s="4" t="s">
        <v>28</v>
      </c>
      <c r="H86" s="4" t="s">
        <v>532</v>
      </c>
      <c r="I86" s="4" t="s">
        <v>105</v>
      </c>
      <c r="J86" s="4" t="s">
        <v>106</v>
      </c>
      <c r="K86" s="4" t="s">
        <v>46</v>
      </c>
      <c r="L86" s="4" t="s">
        <v>47</v>
      </c>
      <c r="M86" s="4">
        <v>18</v>
      </c>
      <c r="N86" s="4">
        <v>12000</v>
      </c>
      <c r="O86" s="4">
        <v>15</v>
      </c>
      <c r="P86" s="4">
        <v>183600</v>
      </c>
      <c r="Q86" s="4">
        <v>2</v>
      </c>
      <c r="R86" s="4" t="s">
        <v>34</v>
      </c>
      <c r="S86" s="4" t="s">
        <v>49</v>
      </c>
      <c r="T86" s="4" t="s">
        <v>50</v>
      </c>
      <c r="U86" s="6" t="s">
        <v>533</v>
      </c>
      <c r="V86" s="4" t="s">
        <v>38</v>
      </c>
    </row>
    <row r="87" spans="1:22">
      <c r="A87" s="7" t="s">
        <v>534</v>
      </c>
      <c r="B87" s="8" t="s">
        <v>83</v>
      </c>
      <c r="C87" s="8" t="s">
        <v>222</v>
      </c>
      <c r="D87" s="8" t="s">
        <v>531</v>
      </c>
      <c r="E87" s="8" t="s">
        <v>535</v>
      </c>
      <c r="F87" s="8" t="s">
        <v>180</v>
      </c>
      <c r="G87" s="8" t="s">
        <v>76</v>
      </c>
      <c r="H87" s="8" t="s">
        <v>536</v>
      </c>
      <c r="I87" s="8" t="s">
        <v>138</v>
      </c>
      <c r="J87" s="8" t="s">
        <v>106</v>
      </c>
      <c r="K87" s="8" t="s">
        <v>122</v>
      </c>
      <c r="L87" s="8" t="s">
        <v>227</v>
      </c>
      <c r="M87" s="8">
        <v>7</v>
      </c>
      <c r="N87" s="8">
        <v>20</v>
      </c>
      <c r="O87" s="8">
        <v>0</v>
      </c>
      <c r="P87" s="8">
        <v>140</v>
      </c>
      <c r="Q87" s="8">
        <v>2</v>
      </c>
      <c r="R87" s="8" t="s">
        <v>79</v>
      </c>
      <c r="S87" s="8" t="s">
        <v>35</v>
      </c>
      <c r="T87" s="8" t="s">
        <v>89</v>
      </c>
      <c r="U87" s="9" t="s">
        <v>537</v>
      </c>
      <c r="V87" s="8" t="s">
        <v>69</v>
      </c>
    </row>
    <row r="88" spans="1:22">
      <c r="A88" s="3" t="s">
        <v>538</v>
      </c>
      <c r="B88" s="4" t="s">
        <v>251</v>
      </c>
      <c r="C88" s="4" t="s">
        <v>92</v>
      </c>
      <c r="D88" s="4" t="s">
        <v>459</v>
      </c>
      <c r="E88" s="4" t="s">
        <v>539</v>
      </c>
      <c r="F88" s="4" t="s">
        <v>254</v>
      </c>
      <c r="G88" s="4" t="s">
        <v>28</v>
      </c>
      <c r="H88" s="4" t="s">
        <v>540</v>
      </c>
      <c r="I88" s="4" t="s">
        <v>114</v>
      </c>
      <c r="J88" s="4" t="s">
        <v>106</v>
      </c>
      <c r="K88" s="4" t="s">
        <v>32</v>
      </c>
      <c r="L88" s="4" t="s">
        <v>97</v>
      </c>
      <c r="M88" s="4">
        <v>20</v>
      </c>
      <c r="N88" s="4">
        <v>3500</v>
      </c>
      <c r="O88" s="4">
        <v>20</v>
      </c>
      <c r="P88" s="4">
        <v>56000</v>
      </c>
      <c r="Q88" s="4">
        <v>4</v>
      </c>
      <c r="R88" s="4" t="s">
        <v>79</v>
      </c>
      <c r="S88" s="4" t="s">
        <v>115</v>
      </c>
      <c r="T88" s="4" t="s">
        <v>256</v>
      </c>
      <c r="U88" s="6" t="s">
        <v>541</v>
      </c>
      <c r="V88" s="4" t="s">
        <v>64</v>
      </c>
    </row>
    <row r="89" spans="1:22">
      <c r="A89" s="7" t="s">
        <v>542</v>
      </c>
      <c r="B89" s="8" t="s">
        <v>100</v>
      </c>
      <c r="C89" s="8" t="s">
        <v>169</v>
      </c>
      <c r="D89" s="8" t="s">
        <v>543</v>
      </c>
      <c r="E89" s="8" t="s">
        <v>544</v>
      </c>
      <c r="F89" s="8" t="s">
        <v>103</v>
      </c>
      <c r="G89" s="8" t="s">
        <v>28</v>
      </c>
      <c r="H89" s="8" t="s">
        <v>545</v>
      </c>
      <c r="I89" s="8" t="s">
        <v>138</v>
      </c>
      <c r="J89" s="8" t="s">
        <v>106</v>
      </c>
      <c r="K89" s="8" t="s">
        <v>32</v>
      </c>
      <c r="L89" s="8" t="s">
        <v>174</v>
      </c>
      <c r="M89" s="8">
        <v>8</v>
      </c>
      <c r="N89" s="8">
        <v>8500</v>
      </c>
      <c r="O89" s="8">
        <v>20</v>
      </c>
      <c r="P89" s="8">
        <v>54400</v>
      </c>
      <c r="Q89" s="8">
        <v>3</v>
      </c>
      <c r="R89" s="8" t="s">
        <v>79</v>
      </c>
      <c r="S89" s="8" t="s">
        <v>115</v>
      </c>
      <c r="T89" s="8" t="s">
        <v>144</v>
      </c>
      <c r="U89" s="9" t="s">
        <v>546</v>
      </c>
      <c r="V89" s="8" t="s">
        <v>64</v>
      </c>
    </row>
    <row r="90" spans="1:22">
      <c r="A90" s="3" t="s">
        <v>547</v>
      </c>
      <c r="B90" s="4" t="s">
        <v>327</v>
      </c>
      <c r="C90" s="4" t="s">
        <v>40</v>
      </c>
      <c r="D90" s="4" t="s">
        <v>548</v>
      </c>
      <c r="E90" s="4" t="s">
        <v>549</v>
      </c>
      <c r="F90" s="4" t="s">
        <v>394</v>
      </c>
      <c r="G90" s="4" t="s">
        <v>76</v>
      </c>
      <c r="H90" s="4" t="s">
        <v>550</v>
      </c>
      <c r="I90" s="4" t="s">
        <v>138</v>
      </c>
      <c r="J90" s="4" t="s">
        <v>551</v>
      </c>
      <c r="K90" s="4" t="s">
        <v>46</v>
      </c>
      <c r="L90" s="4" t="s">
        <v>47</v>
      </c>
      <c r="M90" s="4">
        <v>6</v>
      </c>
      <c r="N90" s="4">
        <v>12000</v>
      </c>
      <c r="O90" s="4">
        <v>5</v>
      </c>
      <c r="P90" s="4">
        <v>68400</v>
      </c>
      <c r="Q90" s="4">
        <v>4</v>
      </c>
      <c r="R90" s="4" t="s">
        <v>48</v>
      </c>
      <c r="S90" s="4" t="s">
        <v>35</v>
      </c>
      <c r="T90" s="4" t="s">
        <v>332</v>
      </c>
      <c r="U90" s="6" t="s">
        <v>552</v>
      </c>
      <c r="V90" s="4" t="s">
        <v>38</v>
      </c>
    </row>
    <row r="91" spans="1:22">
      <c r="A91" s="7" t="s">
        <v>553</v>
      </c>
      <c r="B91" s="8" t="s">
        <v>23</v>
      </c>
      <c r="C91" s="8" t="s">
        <v>169</v>
      </c>
      <c r="D91" s="8" t="s">
        <v>554</v>
      </c>
      <c r="E91" s="8" t="s">
        <v>404</v>
      </c>
      <c r="F91" s="8" t="s">
        <v>27</v>
      </c>
      <c r="G91" s="8" t="s">
        <v>28</v>
      </c>
      <c r="H91" s="8" t="s">
        <v>555</v>
      </c>
      <c r="I91" s="8" t="s">
        <v>114</v>
      </c>
      <c r="J91" s="8" t="s">
        <v>106</v>
      </c>
      <c r="K91" s="8" t="s">
        <v>32</v>
      </c>
      <c r="L91" s="8" t="s">
        <v>174</v>
      </c>
      <c r="M91" s="8">
        <v>15</v>
      </c>
      <c r="N91" s="8">
        <v>8500</v>
      </c>
      <c r="O91" s="8">
        <v>0</v>
      </c>
      <c r="P91" s="8">
        <v>127500</v>
      </c>
      <c r="Q91" s="8">
        <v>4</v>
      </c>
      <c r="R91" s="8" t="s">
        <v>48</v>
      </c>
      <c r="S91" s="8" t="s">
        <v>35</v>
      </c>
      <c r="T91" s="8" t="s">
        <v>50</v>
      </c>
      <c r="U91" s="9" t="s">
        <v>556</v>
      </c>
      <c r="V91" s="8" t="s">
        <v>69</v>
      </c>
    </row>
    <row r="92" spans="1:22">
      <c r="A92" s="3" t="s">
        <v>557</v>
      </c>
      <c r="B92" s="4" t="s">
        <v>53</v>
      </c>
      <c r="C92" s="4" t="s">
        <v>72</v>
      </c>
      <c r="D92" s="4" t="s">
        <v>558</v>
      </c>
      <c r="E92" s="4" t="s">
        <v>377</v>
      </c>
      <c r="F92" s="4" t="s">
        <v>163</v>
      </c>
      <c r="G92" s="4" t="s">
        <v>28</v>
      </c>
      <c r="H92" s="4" t="s">
        <v>559</v>
      </c>
      <c r="I92" s="4" t="s">
        <v>212</v>
      </c>
      <c r="J92" s="4" t="s">
        <v>45</v>
      </c>
      <c r="K92" s="4" t="s">
        <v>46</v>
      </c>
      <c r="L92" s="4" t="s">
        <v>78</v>
      </c>
      <c r="M92" s="4">
        <v>5</v>
      </c>
      <c r="N92" s="4">
        <v>1200</v>
      </c>
      <c r="O92" s="4">
        <v>15</v>
      </c>
      <c r="P92" s="4">
        <v>5100</v>
      </c>
      <c r="Q92" s="4">
        <v>1</v>
      </c>
      <c r="R92" s="4" t="s">
        <v>48</v>
      </c>
      <c r="S92" s="4" t="s">
        <v>35</v>
      </c>
      <c r="T92" s="4" t="s">
        <v>62</v>
      </c>
      <c r="U92" s="6" t="s">
        <v>560</v>
      </c>
      <c r="V92" s="4" t="s">
        <v>69</v>
      </c>
    </row>
    <row r="93" spans="1:22">
      <c r="A93" s="7" t="s">
        <v>561</v>
      </c>
      <c r="B93" s="8" t="s">
        <v>53</v>
      </c>
      <c r="C93" s="8" t="s">
        <v>222</v>
      </c>
      <c r="D93" s="8" t="s">
        <v>562</v>
      </c>
      <c r="E93" s="8" t="s">
        <v>563</v>
      </c>
      <c r="F93" s="8" t="s">
        <v>163</v>
      </c>
      <c r="G93" s="8" t="s">
        <v>28</v>
      </c>
      <c r="H93" s="8" t="s">
        <v>564</v>
      </c>
      <c r="I93" s="8" t="s">
        <v>30</v>
      </c>
      <c r="J93" s="8" t="s">
        <v>31</v>
      </c>
      <c r="K93" s="8" t="s">
        <v>122</v>
      </c>
      <c r="L93" s="8" t="s">
        <v>227</v>
      </c>
      <c r="M93" s="8">
        <v>4</v>
      </c>
      <c r="N93" s="8">
        <v>20</v>
      </c>
      <c r="O93" s="8">
        <v>0</v>
      </c>
      <c r="P93" s="8">
        <v>80</v>
      </c>
      <c r="Q93" s="8">
        <v>4</v>
      </c>
      <c r="R93" s="8" t="s">
        <v>48</v>
      </c>
      <c r="S93" s="8" t="s">
        <v>49</v>
      </c>
      <c r="T93" s="8" t="s">
        <v>62</v>
      </c>
      <c r="U93" s="9" t="s">
        <v>565</v>
      </c>
      <c r="V93" s="8" t="s">
        <v>38</v>
      </c>
    </row>
    <row r="94" spans="1:22">
      <c r="A94" s="3" t="s">
        <v>566</v>
      </c>
      <c r="B94" s="4" t="s">
        <v>23</v>
      </c>
      <c r="C94" s="4" t="s">
        <v>222</v>
      </c>
      <c r="D94" s="4" t="s">
        <v>567</v>
      </c>
      <c r="E94" s="4" t="s">
        <v>568</v>
      </c>
      <c r="F94" s="4" t="s">
        <v>27</v>
      </c>
      <c r="G94" s="4" t="s">
        <v>28</v>
      </c>
      <c r="H94" s="4" t="s">
        <v>569</v>
      </c>
      <c r="I94" s="4" t="s">
        <v>59</v>
      </c>
      <c r="J94" s="4" t="s">
        <v>31</v>
      </c>
      <c r="K94" s="4" t="s">
        <v>122</v>
      </c>
      <c r="L94" s="4" t="s">
        <v>227</v>
      </c>
      <c r="M94" s="4">
        <v>10</v>
      </c>
      <c r="N94" s="4">
        <v>20</v>
      </c>
      <c r="O94" s="4">
        <v>0</v>
      </c>
      <c r="P94" s="4">
        <v>200</v>
      </c>
      <c r="Q94" s="4">
        <v>3</v>
      </c>
      <c r="R94" s="4" t="s">
        <v>34</v>
      </c>
      <c r="S94" s="4" t="s">
        <v>151</v>
      </c>
      <c r="T94" s="4" t="s">
        <v>50</v>
      </c>
      <c r="U94" s="6" t="s">
        <v>570</v>
      </c>
      <c r="V94" s="4" t="s">
        <v>64</v>
      </c>
    </row>
    <row r="95" spans="1:22">
      <c r="A95" s="7" t="s">
        <v>571</v>
      </c>
      <c r="B95" s="8" t="s">
        <v>168</v>
      </c>
      <c r="C95" s="8" t="s">
        <v>24</v>
      </c>
      <c r="D95" s="8" t="s">
        <v>572</v>
      </c>
      <c r="E95" s="8" t="s">
        <v>573</v>
      </c>
      <c r="F95" s="8" t="s">
        <v>361</v>
      </c>
      <c r="G95" s="8" t="s">
        <v>28</v>
      </c>
      <c r="H95" s="8" t="s">
        <v>574</v>
      </c>
      <c r="I95" s="8" t="s">
        <v>44</v>
      </c>
      <c r="J95" s="8" t="s">
        <v>45</v>
      </c>
      <c r="K95" s="8" t="s">
        <v>32</v>
      </c>
      <c r="L95" s="8" t="s">
        <v>33</v>
      </c>
      <c r="M95" s="8">
        <v>18</v>
      </c>
      <c r="N95" s="8">
        <v>2200</v>
      </c>
      <c r="O95" s="8">
        <v>10</v>
      </c>
      <c r="P95" s="8">
        <v>35640</v>
      </c>
      <c r="Q95" s="8">
        <v>3</v>
      </c>
      <c r="R95" s="8" t="s">
        <v>34</v>
      </c>
      <c r="S95" s="8" t="s">
        <v>35</v>
      </c>
      <c r="T95" s="8" t="s">
        <v>175</v>
      </c>
      <c r="U95" s="9" t="s">
        <v>575</v>
      </c>
      <c r="V95" s="8" t="s">
        <v>69</v>
      </c>
    </row>
    <row r="96" spans="1:22">
      <c r="A96" s="3" t="s">
        <v>576</v>
      </c>
      <c r="B96" s="4" t="s">
        <v>327</v>
      </c>
      <c r="C96" s="4" t="s">
        <v>92</v>
      </c>
      <c r="D96" s="4" t="s">
        <v>577</v>
      </c>
      <c r="E96" s="4" t="s">
        <v>578</v>
      </c>
      <c r="F96" s="4" t="s">
        <v>394</v>
      </c>
      <c r="G96" s="4" t="s">
        <v>76</v>
      </c>
      <c r="H96" s="4" t="s">
        <v>579</v>
      </c>
      <c r="I96" s="4" t="s">
        <v>44</v>
      </c>
      <c r="J96" s="4" t="s">
        <v>45</v>
      </c>
      <c r="K96" s="4" t="s">
        <v>32</v>
      </c>
      <c r="L96" s="4" t="s">
        <v>97</v>
      </c>
      <c r="M96" s="4">
        <v>7</v>
      </c>
      <c r="N96" s="4">
        <v>3500</v>
      </c>
      <c r="O96" s="4">
        <v>15</v>
      </c>
      <c r="P96" s="4">
        <v>20825</v>
      </c>
      <c r="Q96" s="4">
        <v>3</v>
      </c>
      <c r="R96" s="4" t="s">
        <v>48</v>
      </c>
      <c r="S96" s="4" t="s">
        <v>49</v>
      </c>
      <c r="T96" s="4" t="s">
        <v>332</v>
      </c>
      <c r="U96" s="6" t="s">
        <v>580</v>
      </c>
      <c r="V96" s="4" t="s">
        <v>38</v>
      </c>
    </row>
    <row r="97" spans="1:22">
      <c r="A97" s="7" t="s">
        <v>581</v>
      </c>
      <c r="B97" s="8" t="s">
        <v>100</v>
      </c>
      <c r="C97" s="8" t="s">
        <v>169</v>
      </c>
      <c r="D97" s="8" t="s">
        <v>582</v>
      </c>
      <c r="E97" s="8" t="s">
        <v>583</v>
      </c>
      <c r="F97" s="8" t="s">
        <v>103</v>
      </c>
      <c r="G97" s="8" t="s">
        <v>28</v>
      </c>
      <c r="H97" s="8" t="s">
        <v>584</v>
      </c>
      <c r="I97" s="8" t="s">
        <v>294</v>
      </c>
      <c r="J97" s="8" t="s">
        <v>295</v>
      </c>
      <c r="K97" s="8" t="s">
        <v>32</v>
      </c>
      <c r="L97" s="8" t="s">
        <v>174</v>
      </c>
      <c r="M97" s="8">
        <v>19</v>
      </c>
      <c r="N97" s="8">
        <v>8500</v>
      </c>
      <c r="O97" s="8">
        <v>15</v>
      </c>
      <c r="P97" s="8">
        <v>137275</v>
      </c>
      <c r="Q97" s="8">
        <v>4</v>
      </c>
      <c r="R97" s="8" t="s">
        <v>79</v>
      </c>
      <c r="S97" s="8" t="s">
        <v>151</v>
      </c>
      <c r="T97" s="8" t="s">
        <v>144</v>
      </c>
      <c r="U97" s="9" t="s">
        <v>585</v>
      </c>
      <c r="V97" s="8" t="s">
        <v>64</v>
      </c>
    </row>
    <row r="98" spans="1:22">
      <c r="A98" s="3" t="s">
        <v>586</v>
      </c>
      <c r="B98" s="4" t="s">
        <v>251</v>
      </c>
      <c r="C98" s="4" t="s">
        <v>40</v>
      </c>
      <c r="D98" s="4" t="s">
        <v>587</v>
      </c>
      <c r="E98" s="4" t="s">
        <v>588</v>
      </c>
      <c r="F98" s="4" t="s">
        <v>254</v>
      </c>
      <c r="G98" s="4" t="s">
        <v>28</v>
      </c>
      <c r="H98" s="4" t="s">
        <v>589</v>
      </c>
      <c r="I98" s="4" t="s">
        <v>138</v>
      </c>
      <c r="J98" s="4" t="s">
        <v>106</v>
      </c>
      <c r="K98" s="4" t="s">
        <v>46</v>
      </c>
      <c r="L98" s="4" t="s">
        <v>47</v>
      </c>
      <c r="M98" s="4">
        <v>13</v>
      </c>
      <c r="N98" s="4">
        <v>12000</v>
      </c>
      <c r="O98" s="4">
        <v>15</v>
      </c>
      <c r="P98" s="4">
        <v>132600</v>
      </c>
      <c r="Q98" s="4">
        <v>4</v>
      </c>
      <c r="R98" s="4" t="s">
        <v>34</v>
      </c>
      <c r="S98" s="4" t="s">
        <v>49</v>
      </c>
      <c r="T98" s="4" t="s">
        <v>256</v>
      </c>
      <c r="U98" s="6" t="s">
        <v>590</v>
      </c>
      <c r="V98" s="4" t="s">
        <v>38</v>
      </c>
    </row>
    <row r="99" spans="1:22">
      <c r="A99" s="7" t="s">
        <v>591</v>
      </c>
      <c r="B99" s="8" t="s">
        <v>327</v>
      </c>
      <c r="C99" s="8" t="s">
        <v>222</v>
      </c>
      <c r="D99" s="8" t="s">
        <v>592</v>
      </c>
      <c r="E99" s="8" t="s">
        <v>398</v>
      </c>
      <c r="F99" s="8" t="s">
        <v>394</v>
      </c>
      <c r="G99" s="8" t="s">
        <v>76</v>
      </c>
      <c r="H99" s="8" t="s">
        <v>593</v>
      </c>
      <c r="I99" s="8" t="s">
        <v>114</v>
      </c>
      <c r="J99" s="8" t="s">
        <v>106</v>
      </c>
      <c r="K99" s="8" t="s">
        <v>122</v>
      </c>
      <c r="L99" s="8" t="s">
        <v>227</v>
      </c>
      <c r="M99" s="8">
        <v>7</v>
      </c>
      <c r="N99" s="8">
        <v>20</v>
      </c>
      <c r="O99" s="8">
        <v>0</v>
      </c>
      <c r="P99" s="8">
        <v>140</v>
      </c>
      <c r="Q99" s="8">
        <v>1</v>
      </c>
      <c r="R99" s="8" t="s">
        <v>79</v>
      </c>
      <c r="S99" s="8" t="s">
        <v>151</v>
      </c>
      <c r="T99" s="8" t="s">
        <v>332</v>
      </c>
      <c r="U99" s="9" t="s">
        <v>594</v>
      </c>
      <c r="V99" s="8" t="s">
        <v>69</v>
      </c>
    </row>
    <row r="100" spans="1:22">
      <c r="A100" s="3" t="s">
        <v>595</v>
      </c>
      <c r="B100" s="4" t="s">
        <v>168</v>
      </c>
      <c r="C100" s="4" t="s">
        <v>184</v>
      </c>
      <c r="D100" s="4" t="s">
        <v>596</v>
      </c>
      <c r="E100" s="4" t="s">
        <v>597</v>
      </c>
      <c r="F100" s="4" t="s">
        <v>361</v>
      </c>
      <c r="G100" s="4" t="s">
        <v>28</v>
      </c>
      <c r="H100" s="4" t="s">
        <v>598</v>
      </c>
      <c r="I100" s="4" t="s">
        <v>44</v>
      </c>
      <c r="J100" s="4" t="s">
        <v>45</v>
      </c>
      <c r="K100" s="4" t="s">
        <v>46</v>
      </c>
      <c r="L100" s="4" t="s">
        <v>189</v>
      </c>
      <c r="M100" s="4">
        <v>5</v>
      </c>
      <c r="N100" s="4">
        <v>700</v>
      </c>
      <c r="O100" s="4">
        <v>15</v>
      </c>
      <c r="P100" s="4">
        <v>999999</v>
      </c>
      <c r="Q100" s="4">
        <v>4</v>
      </c>
      <c r="R100" s="4" t="s">
        <v>79</v>
      </c>
      <c r="S100" s="4" t="s">
        <v>35</v>
      </c>
      <c r="T100" s="4" t="s">
        <v>175</v>
      </c>
      <c r="U100" s="6" t="s">
        <v>599</v>
      </c>
      <c r="V100" s="4" t="s">
        <v>64</v>
      </c>
    </row>
    <row r="101" spans="1:22">
      <c r="A101" s="7" t="s">
        <v>600</v>
      </c>
      <c r="B101" s="8" t="s">
        <v>83</v>
      </c>
      <c r="C101" s="8" t="s">
        <v>259</v>
      </c>
      <c r="D101" s="8" t="s">
        <v>583</v>
      </c>
      <c r="E101" s="8" t="s">
        <v>601</v>
      </c>
      <c r="F101" s="8" t="s">
        <v>180</v>
      </c>
      <c r="G101" s="8" t="s">
        <v>76</v>
      </c>
      <c r="H101" s="8" t="s">
        <v>602</v>
      </c>
      <c r="I101" s="8" t="s">
        <v>59</v>
      </c>
      <c r="J101" s="8" t="s">
        <v>31</v>
      </c>
      <c r="K101" s="8" t="s">
        <v>122</v>
      </c>
      <c r="L101" s="8" t="s">
        <v>263</v>
      </c>
      <c r="M101" s="8">
        <v>9</v>
      </c>
      <c r="N101" s="8">
        <v>45</v>
      </c>
      <c r="O101" s="8">
        <v>5</v>
      </c>
      <c r="P101" s="8">
        <v>384.75</v>
      </c>
      <c r="Q101" s="8">
        <v>3</v>
      </c>
      <c r="R101" s="8" t="s">
        <v>34</v>
      </c>
      <c r="S101" s="8" t="s">
        <v>35</v>
      </c>
      <c r="T101" s="8" t="s">
        <v>89</v>
      </c>
      <c r="U101" s="9" t="s">
        <v>603</v>
      </c>
      <c r="V101" s="8" t="s">
        <v>38</v>
      </c>
    </row>
    <row r="102" spans="1:22">
      <c r="A102" s="3" t="s">
        <v>604</v>
      </c>
      <c r="B102" s="4" t="s">
        <v>127</v>
      </c>
      <c r="C102" s="4" t="s">
        <v>118</v>
      </c>
      <c r="D102" s="4" t="s">
        <v>605</v>
      </c>
      <c r="E102" s="4" t="s">
        <v>606</v>
      </c>
      <c r="F102" s="4" t="s">
        <v>200</v>
      </c>
      <c r="G102" s="4" t="s">
        <v>76</v>
      </c>
      <c r="H102" s="4" t="s">
        <v>607</v>
      </c>
      <c r="I102" s="4" t="s">
        <v>294</v>
      </c>
      <c r="J102" s="4" t="s">
        <v>295</v>
      </c>
      <c r="K102" s="4" t="s">
        <v>122</v>
      </c>
      <c r="L102" s="4" t="s">
        <v>123</v>
      </c>
      <c r="M102" s="4">
        <v>19</v>
      </c>
      <c r="N102" s="4">
        <v>60</v>
      </c>
      <c r="O102" s="4">
        <v>10</v>
      </c>
      <c r="P102" s="4">
        <v>1026</v>
      </c>
      <c r="Q102" s="4">
        <v>5</v>
      </c>
      <c r="R102" s="4" t="s">
        <v>48</v>
      </c>
      <c r="S102" s="4" t="s">
        <v>115</v>
      </c>
      <c r="T102" s="4" t="s">
        <v>132</v>
      </c>
      <c r="U102" s="6" t="s">
        <v>608</v>
      </c>
      <c r="V102" s="4" t="s">
        <v>38</v>
      </c>
    </row>
    <row r="103" spans="1:22">
      <c r="A103" s="7" t="s">
        <v>609</v>
      </c>
      <c r="B103" s="8" t="s">
        <v>327</v>
      </c>
      <c r="C103" s="8" t="s">
        <v>184</v>
      </c>
      <c r="D103" s="8" t="s">
        <v>610</v>
      </c>
      <c r="E103" s="8" t="s">
        <v>611</v>
      </c>
      <c r="F103" s="8" t="s">
        <v>394</v>
      </c>
      <c r="G103" s="8" t="s">
        <v>76</v>
      </c>
      <c r="H103" s="8" t="s">
        <v>612</v>
      </c>
      <c r="I103" s="8" t="s">
        <v>138</v>
      </c>
      <c r="J103" s="8" t="s">
        <v>106</v>
      </c>
      <c r="K103" s="8" t="s">
        <v>46</v>
      </c>
      <c r="L103" s="8" t="s">
        <v>189</v>
      </c>
      <c r="M103" s="8">
        <v>4</v>
      </c>
      <c r="N103" s="8">
        <v>700</v>
      </c>
      <c r="O103" s="8">
        <v>5</v>
      </c>
      <c r="P103" s="8">
        <v>2660</v>
      </c>
      <c r="Q103" s="8">
        <v>3</v>
      </c>
      <c r="R103" s="8" t="s">
        <v>48</v>
      </c>
      <c r="S103" s="8" t="s">
        <v>61</v>
      </c>
      <c r="T103" s="8" t="s">
        <v>332</v>
      </c>
      <c r="U103" s="9" t="s">
        <v>613</v>
      </c>
      <c r="V103" s="8" t="s">
        <v>38</v>
      </c>
    </row>
    <row r="104" spans="1:22">
      <c r="A104" s="3" t="s">
        <v>614</v>
      </c>
      <c r="B104" s="4" t="s">
        <v>327</v>
      </c>
      <c r="C104" s="4" t="s">
        <v>92</v>
      </c>
      <c r="D104" s="4" t="s">
        <v>583</v>
      </c>
      <c r="E104" s="4" t="s">
        <v>615</v>
      </c>
      <c r="F104" s="4" t="s">
        <v>394</v>
      </c>
      <c r="G104" s="4" t="s">
        <v>76</v>
      </c>
      <c r="H104" s="4" t="s">
        <v>616</v>
      </c>
      <c r="I104" s="4" t="s">
        <v>114</v>
      </c>
      <c r="J104" s="4" t="s">
        <v>106</v>
      </c>
      <c r="K104" s="4" t="s">
        <v>32</v>
      </c>
      <c r="L104" s="4" t="s">
        <v>97</v>
      </c>
      <c r="M104" s="4">
        <v>16</v>
      </c>
      <c r="N104" s="4">
        <v>3500</v>
      </c>
      <c r="O104" s="4">
        <v>0</v>
      </c>
      <c r="P104" s="4">
        <v>56000</v>
      </c>
      <c r="Q104" s="4">
        <v>2</v>
      </c>
      <c r="R104" s="4" t="s">
        <v>79</v>
      </c>
      <c r="S104" s="4" t="s">
        <v>49</v>
      </c>
      <c r="T104" s="4" t="s">
        <v>332</v>
      </c>
      <c r="U104" s="6" t="s">
        <v>617</v>
      </c>
      <c r="V104" s="4" t="s">
        <v>38</v>
      </c>
    </row>
    <row r="105" spans="1:22">
      <c r="A105" s="7" t="s">
        <v>618</v>
      </c>
      <c r="B105" s="8" t="s">
        <v>251</v>
      </c>
      <c r="C105" s="8" t="s">
        <v>259</v>
      </c>
      <c r="D105" s="8" t="s">
        <v>619</v>
      </c>
      <c r="E105" s="8" t="s">
        <v>620</v>
      </c>
      <c r="F105" s="8" t="s">
        <v>254</v>
      </c>
      <c r="G105" s="8" t="s">
        <v>28</v>
      </c>
      <c r="H105" s="8" t="s">
        <v>621</v>
      </c>
      <c r="I105" s="8" t="s">
        <v>59</v>
      </c>
      <c r="J105" s="8" t="s">
        <v>31</v>
      </c>
      <c r="K105" s="8" t="s">
        <v>122</v>
      </c>
      <c r="L105" s="8" t="s">
        <v>263</v>
      </c>
      <c r="M105" s="8">
        <v>5</v>
      </c>
      <c r="N105" s="8">
        <v>45</v>
      </c>
      <c r="O105" s="8">
        <v>20</v>
      </c>
      <c r="P105" s="8">
        <v>180</v>
      </c>
      <c r="Q105" s="8">
        <v>3</v>
      </c>
      <c r="R105" s="8" t="s">
        <v>79</v>
      </c>
      <c r="S105" s="8" t="s">
        <v>35</v>
      </c>
      <c r="T105" s="8" t="s">
        <v>256</v>
      </c>
      <c r="U105" s="9" t="s">
        <v>622</v>
      </c>
      <c r="V105" s="8" t="s">
        <v>38</v>
      </c>
    </row>
    <row r="106" spans="1:22">
      <c r="A106" s="3" t="s">
        <v>623</v>
      </c>
      <c r="B106" s="4" t="s">
        <v>83</v>
      </c>
      <c r="C106" s="4" t="s">
        <v>222</v>
      </c>
      <c r="D106" s="4" t="s">
        <v>624</v>
      </c>
      <c r="E106" s="4" t="s">
        <v>525</v>
      </c>
      <c r="F106" s="4" t="s">
        <v>180</v>
      </c>
      <c r="G106" s="4" t="s">
        <v>76</v>
      </c>
      <c r="H106" s="4" t="s">
        <v>625</v>
      </c>
      <c r="I106" s="4" t="s">
        <v>105</v>
      </c>
      <c r="J106" s="4" t="s">
        <v>106</v>
      </c>
      <c r="K106" s="4" t="s">
        <v>122</v>
      </c>
      <c r="L106" s="4" t="s">
        <v>227</v>
      </c>
      <c r="M106" s="4">
        <v>9</v>
      </c>
      <c r="N106" s="4">
        <v>20</v>
      </c>
      <c r="O106" s="4">
        <v>10</v>
      </c>
      <c r="P106" s="4">
        <v>162</v>
      </c>
      <c r="Q106" s="4">
        <v>4</v>
      </c>
      <c r="R106" s="4" t="s">
        <v>79</v>
      </c>
      <c r="S106" s="4" t="s">
        <v>35</v>
      </c>
      <c r="T106" s="4" t="s">
        <v>89</v>
      </c>
      <c r="U106" s="6" t="s">
        <v>626</v>
      </c>
      <c r="V106" s="4" t="s">
        <v>64</v>
      </c>
    </row>
    <row r="107" spans="1:22">
      <c r="A107" s="7" t="s">
        <v>627</v>
      </c>
      <c r="B107" s="8" t="s">
        <v>53</v>
      </c>
      <c r="C107" s="8" t="s">
        <v>72</v>
      </c>
      <c r="D107" s="8" t="s">
        <v>628</v>
      </c>
      <c r="E107" s="8" t="s">
        <v>431</v>
      </c>
      <c r="F107" s="8" t="s">
        <v>163</v>
      </c>
      <c r="G107" s="8" t="s">
        <v>28</v>
      </c>
      <c r="H107" s="8" t="s">
        <v>629</v>
      </c>
      <c r="I107" s="8" t="s">
        <v>44</v>
      </c>
      <c r="J107" s="8" t="s">
        <v>45</v>
      </c>
      <c r="K107" s="8" t="s">
        <v>46</v>
      </c>
      <c r="L107" s="8" t="s">
        <v>78</v>
      </c>
      <c r="M107" s="8">
        <v>9</v>
      </c>
      <c r="N107" s="8">
        <v>1200</v>
      </c>
      <c r="O107" s="8">
        <v>5</v>
      </c>
      <c r="P107" s="8">
        <v>10260</v>
      </c>
      <c r="Q107" s="8">
        <v>3</v>
      </c>
      <c r="R107" s="8" t="s">
        <v>88</v>
      </c>
      <c r="S107" s="8" t="s">
        <v>35</v>
      </c>
      <c r="T107" s="8" t="s">
        <v>62</v>
      </c>
      <c r="U107" s="9" t="s">
        <v>630</v>
      </c>
      <c r="V107" s="8" t="s">
        <v>64</v>
      </c>
    </row>
    <row r="108" spans="1:22">
      <c r="A108" s="3" t="s">
        <v>631</v>
      </c>
      <c r="B108" s="4" t="s">
        <v>100</v>
      </c>
      <c r="C108" s="4" t="s">
        <v>92</v>
      </c>
      <c r="D108" s="4" t="s">
        <v>387</v>
      </c>
      <c r="E108" s="4" t="s">
        <v>632</v>
      </c>
      <c r="F108" s="4" t="s">
        <v>103</v>
      </c>
      <c r="G108" s="4" t="s">
        <v>28</v>
      </c>
      <c r="H108" s="4" t="s">
        <v>633</v>
      </c>
      <c r="I108" s="4" t="s">
        <v>44</v>
      </c>
      <c r="J108" s="4" t="s">
        <v>45</v>
      </c>
      <c r="K108" s="4" t="s">
        <v>32</v>
      </c>
      <c r="L108" s="4" t="s">
        <v>97</v>
      </c>
      <c r="M108" s="4">
        <v>3</v>
      </c>
      <c r="N108" s="4">
        <v>3500</v>
      </c>
      <c r="O108" s="4">
        <v>10</v>
      </c>
      <c r="P108" s="4">
        <v>9450</v>
      </c>
      <c r="Q108" s="4">
        <v>2</v>
      </c>
      <c r="R108" s="4" t="s">
        <v>79</v>
      </c>
      <c r="S108" s="4" t="s">
        <v>151</v>
      </c>
      <c r="T108" s="4" t="s">
        <v>144</v>
      </c>
      <c r="U108" s="6" t="s">
        <v>634</v>
      </c>
      <c r="V108" s="4" t="s">
        <v>69</v>
      </c>
    </row>
    <row r="109" spans="1:22">
      <c r="A109" s="7" t="s">
        <v>635</v>
      </c>
      <c r="B109" s="8" t="s">
        <v>221</v>
      </c>
      <c r="C109" s="8" t="s">
        <v>72</v>
      </c>
      <c r="D109" s="8" t="s">
        <v>241</v>
      </c>
      <c r="E109" s="8" t="s">
        <v>636</v>
      </c>
      <c r="F109" s="8" t="s">
        <v>225</v>
      </c>
      <c r="G109" s="8" t="s">
        <v>76</v>
      </c>
      <c r="H109" s="8" t="s">
        <v>637</v>
      </c>
      <c r="I109" s="8" t="s">
        <v>105</v>
      </c>
      <c r="J109" s="8" t="s">
        <v>106</v>
      </c>
      <c r="K109" s="8" t="s">
        <v>46</v>
      </c>
      <c r="L109" s="8" t="s">
        <v>78</v>
      </c>
      <c r="M109" s="8">
        <v>6</v>
      </c>
      <c r="N109" s="8">
        <v>1200</v>
      </c>
      <c r="O109" s="8">
        <v>15</v>
      </c>
      <c r="P109" s="8">
        <v>6120</v>
      </c>
      <c r="Q109" s="8">
        <v>4</v>
      </c>
      <c r="R109" s="8" t="s">
        <v>88</v>
      </c>
      <c r="S109" s="8" t="s">
        <v>35</v>
      </c>
      <c r="T109" s="8" t="s">
        <v>228</v>
      </c>
      <c r="U109" s="9" t="s">
        <v>638</v>
      </c>
      <c r="V109" s="8" t="s">
        <v>69</v>
      </c>
    </row>
    <row r="110" spans="1:22">
      <c r="A110" s="3" t="s">
        <v>639</v>
      </c>
      <c r="B110" s="4" t="s">
        <v>83</v>
      </c>
      <c r="C110" s="4" t="s">
        <v>72</v>
      </c>
      <c r="D110" s="4" t="s">
        <v>640</v>
      </c>
      <c r="E110" s="4" t="s">
        <v>641</v>
      </c>
      <c r="F110" s="4" t="s">
        <v>180</v>
      </c>
      <c r="G110" s="4" t="s">
        <v>76</v>
      </c>
      <c r="H110" s="4" t="s">
        <v>642</v>
      </c>
      <c r="I110" s="4" t="s">
        <v>212</v>
      </c>
      <c r="J110" s="4" t="s">
        <v>45</v>
      </c>
      <c r="K110" s="4" t="s">
        <v>46</v>
      </c>
      <c r="L110" s="4" t="s">
        <v>78</v>
      </c>
      <c r="M110" s="4">
        <v>17</v>
      </c>
      <c r="N110" s="4">
        <v>1200</v>
      </c>
      <c r="O110" s="4">
        <v>15</v>
      </c>
      <c r="P110" s="4">
        <v>17340</v>
      </c>
      <c r="Q110" s="4">
        <v>1</v>
      </c>
      <c r="R110" s="4" t="s">
        <v>34</v>
      </c>
      <c r="S110" s="4" t="s">
        <v>61</v>
      </c>
      <c r="T110" s="4" t="s">
        <v>89</v>
      </c>
      <c r="U110" s="6" t="s">
        <v>643</v>
      </c>
      <c r="V110" s="4" t="s">
        <v>38</v>
      </c>
    </row>
    <row r="111" spans="1:22">
      <c r="A111" s="7" t="s">
        <v>644</v>
      </c>
      <c r="B111" s="8" t="s">
        <v>221</v>
      </c>
      <c r="C111" s="8" t="s">
        <v>169</v>
      </c>
      <c r="D111" s="8" t="s">
        <v>645</v>
      </c>
      <c r="E111" s="8" t="s">
        <v>287</v>
      </c>
      <c r="F111" s="8" t="s">
        <v>225</v>
      </c>
      <c r="G111" s="8" t="s">
        <v>76</v>
      </c>
      <c r="H111" s="8" t="s">
        <v>646</v>
      </c>
      <c r="I111" s="8" t="s">
        <v>59</v>
      </c>
      <c r="J111" s="8" t="s">
        <v>31</v>
      </c>
      <c r="K111" s="8" t="s">
        <v>32</v>
      </c>
      <c r="L111" s="8" t="s">
        <v>174</v>
      </c>
      <c r="M111" s="8">
        <v>15</v>
      </c>
      <c r="N111" s="8">
        <v>8500</v>
      </c>
      <c r="O111" s="8">
        <v>0</v>
      </c>
      <c r="P111" s="8">
        <v>127500</v>
      </c>
      <c r="Q111" s="8">
        <v>3</v>
      </c>
      <c r="R111" s="8" t="s">
        <v>34</v>
      </c>
      <c r="S111" s="8" t="s">
        <v>115</v>
      </c>
      <c r="T111" s="8" t="s">
        <v>228</v>
      </c>
      <c r="U111" s="9" t="s">
        <v>647</v>
      </c>
      <c r="V111" s="8" t="s">
        <v>64</v>
      </c>
    </row>
    <row r="112" spans="1:22">
      <c r="A112" s="3" t="s">
        <v>648</v>
      </c>
      <c r="B112" s="4" t="s">
        <v>127</v>
      </c>
      <c r="C112" s="4" t="s">
        <v>72</v>
      </c>
      <c r="D112" s="4" t="s">
        <v>101</v>
      </c>
      <c r="E112" s="4" t="s">
        <v>102</v>
      </c>
      <c r="F112" s="4" t="s">
        <v>200</v>
      </c>
      <c r="G112" s="4" t="s">
        <v>76</v>
      </c>
      <c r="H112" s="4" t="s">
        <v>649</v>
      </c>
      <c r="I112" s="4" t="s">
        <v>30</v>
      </c>
      <c r="J112" s="4" t="s">
        <v>31</v>
      </c>
      <c r="K112" s="4" t="s">
        <v>46</v>
      </c>
      <c r="L112" s="4" t="s">
        <v>78</v>
      </c>
      <c r="M112" s="4">
        <v>1</v>
      </c>
      <c r="N112" s="4">
        <v>1200</v>
      </c>
      <c r="O112" s="4">
        <v>20</v>
      </c>
      <c r="P112" s="4">
        <v>960</v>
      </c>
      <c r="Q112" s="4">
        <v>1</v>
      </c>
      <c r="R112" s="4" t="s">
        <v>88</v>
      </c>
      <c r="S112" s="4" t="s">
        <v>115</v>
      </c>
      <c r="T112" s="4" t="s">
        <v>132</v>
      </c>
      <c r="U112" s="6" t="s">
        <v>650</v>
      </c>
      <c r="V112" s="4" t="s">
        <v>64</v>
      </c>
    </row>
    <row r="113" spans="1:22">
      <c r="A113" s="7" t="s">
        <v>651</v>
      </c>
      <c r="B113" s="8" t="s">
        <v>127</v>
      </c>
      <c r="C113" s="8" t="s">
        <v>169</v>
      </c>
      <c r="D113" s="8" t="s">
        <v>652</v>
      </c>
      <c r="E113" s="8" t="s">
        <v>539</v>
      </c>
      <c r="F113" s="8" t="s">
        <v>200</v>
      </c>
      <c r="G113" s="8" t="s">
        <v>76</v>
      </c>
      <c r="H113" s="8" t="s">
        <v>653</v>
      </c>
      <c r="I113" s="8" t="s">
        <v>294</v>
      </c>
      <c r="J113" s="8" t="s">
        <v>295</v>
      </c>
      <c r="K113" s="8" t="s">
        <v>32</v>
      </c>
      <c r="L113" s="8" t="s">
        <v>174</v>
      </c>
      <c r="M113" s="8">
        <v>5</v>
      </c>
      <c r="N113" s="8">
        <v>8500</v>
      </c>
      <c r="O113" s="8">
        <v>10</v>
      </c>
      <c r="P113" s="8">
        <v>38250</v>
      </c>
      <c r="Q113" s="8">
        <v>1</v>
      </c>
      <c r="R113" s="8" t="s">
        <v>79</v>
      </c>
      <c r="S113" s="8" t="s">
        <v>61</v>
      </c>
      <c r="T113" s="8" t="s">
        <v>132</v>
      </c>
      <c r="U113" s="9" t="s">
        <v>654</v>
      </c>
      <c r="V113" s="8" t="s">
        <v>38</v>
      </c>
    </row>
    <row r="114" spans="1:22">
      <c r="A114" s="3" t="s">
        <v>655</v>
      </c>
      <c r="B114" s="4" t="s">
        <v>53</v>
      </c>
      <c r="C114" s="4" t="s">
        <v>259</v>
      </c>
      <c r="D114" s="4" t="s">
        <v>656</v>
      </c>
      <c r="E114" s="4" t="s">
        <v>657</v>
      </c>
      <c r="F114" s="4" t="s">
        <v>163</v>
      </c>
      <c r="G114" s="4" t="s">
        <v>28</v>
      </c>
      <c r="H114" s="4" t="s">
        <v>658</v>
      </c>
      <c r="I114" s="4" t="s">
        <v>30</v>
      </c>
      <c r="J114" s="4" t="s">
        <v>31</v>
      </c>
      <c r="K114" s="4" t="s">
        <v>122</v>
      </c>
      <c r="L114" s="4" t="s">
        <v>263</v>
      </c>
      <c r="M114" s="4">
        <v>12</v>
      </c>
      <c r="N114" s="4">
        <v>45</v>
      </c>
      <c r="O114" s="4">
        <v>5</v>
      </c>
      <c r="P114" s="4">
        <v>513</v>
      </c>
      <c r="Q114" s="4">
        <v>2</v>
      </c>
      <c r="R114" s="4" t="s">
        <v>48</v>
      </c>
      <c r="S114" s="4" t="s">
        <v>35</v>
      </c>
      <c r="T114" s="4" t="s">
        <v>62</v>
      </c>
      <c r="U114" s="6" t="s">
        <v>659</v>
      </c>
      <c r="V114" s="4" t="s">
        <v>69</v>
      </c>
    </row>
    <row r="115" spans="1:22">
      <c r="A115" s="7" t="s">
        <v>660</v>
      </c>
      <c r="B115" s="8" t="s">
        <v>221</v>
      </c>
      <c r="C115" s="8" t="s">
        <v>118</v>
      </c>
      <c r="D115" s="8" t="s">
        <v>341</v>
      </c>
      <c r="E115" s="8" t="s">
        <v>661</v>
      </c>
      <c r="F115" s="8" t="s">
        <v>225</v>
      </c>
      <c r="G115" s="8" t="s">
        <v>76</v>
      </c>
      <c r="H115" s="8" t="s">
        <v>662</v>
      </c>
      <c r="I115" s="8" t="s">
        <v>114</v>
      </c>
      <c r="J115" s="8" t="s">
        <v>106</v>
      </c>
      <c r="K115" s="8" t="s">
        <v>122</v>
      </c>
      <c r="L115" s="8" t="s">
        <v>123</v>
      </c>
      <c r="M115" s="8">
        <v>5</v>
      </c>
      <c r="N115" s="8">
        <v>60</v>
      </c>
      <c r="O115" s="8">
        <v>5</v>
      </c>
      <c r="P115" s="8">
        <v>285</v>
      </c>
      <c r="Q115" s="8">
        <v>2</v>
      </c>
      <c r="R115" s="8" t="s">
        <v>34</v>
      </c>
      <c r="S115" s="8" t="s">
        <v>61</v>
      </c>
      <c r="T115" s="8" t="s">
        <v>228</v>
      </c>
      <c r="U115" s="9" t="s">
        <v>663</v>
      </c>
      <c r="V115" s="8" t="s">
        <v>38</v>
      </c>
    </row>
    <row r="116" spans="1:22">
      <c r="A116" s="3" t="s">
        <v>664</v>
      </c>
      <c r="B116" s="4" t="s">
        <v>53</v>
      </c>
      <c r="C116" s="4" t="s">
        <v>184</v>
      </c>
      <c r="D116" s="4" t="s">
        <v>665</v>
      </c>
      <c r="E116" s="4" t="s">
        <v>666</v>
      </c>
      <c r="F116" s="4" t="s">
        <v>163</v>
      </c>
      <c r="G116" s="4" t="s">
        <v>28</v>
      </c>
      <c r="H116" s="4" t="s">
        <v>667</v>
      </c>
      <c r="I116" s="4" t="s">
        <v>294</v>
      </c>
      <c r="J116" s="4" t="s">
        <v>295</v>
      </c>
      <c r="K116" s="4" t="s">
        <v>46</v>
      </c>
      <c r="L116" s="4" t="s">
        <v>189</v>
      </c>
      <c r="M116" s="4">
        <v>3</v>
      </c>
      <c r="N116" s="4">
        <v>700</v>
      </c>
      <c r="O116" s="4">
        <v>0</v>
      </c>
      <c r="P116" s="4">
        <v>2100</v>
      </c>
      <c r="Q116" s="4">
        <v>4</v>
      </c>
      <c r="R116" s="4" t="s">
        <v>79</v>
      </c>
      <c r="S116" s="4" t="s">
        <v>61</v>
      </c>
      <c r="T116" s="4" t="s">
        <v>62</v>
      </c>
      <c r="U116" s="6" t="s">
        <v>668</v>
      </c>
      <c r="V116" s="4" t="s">
        <v>38</v>
      </c>
    </row>
    <row r="117" spans="1:22">
      <c r="A117" s="7" t="s">
        <v>669</v>
      </c>
      <c r="B117" s="8" t="s">
        <v>168</v>
      </c>
      <c r="C117" s="8" t="s">
        <v>222</v>
      </c>
      <c r="D117" s="8" t="s">
        <v>335</v>
      </c>
      <c r="E117" s="8" t="s">
        <v>606</v>
      </c>
      <c r="F117" s="8" t="s">
        <v>361</v>
      </c>
      <c r="G117" s="8" t="s">
        <v>28</v>
      </c>
      <c r="H117" s="8" t="s">
        <v>670</v>
      </c>
      <c r="I117" s="8" t="s">
        <v>44</v>
      </c>
      <c r="J117" s="8" t="s">
        <v>45</v>
      </c>
      <c r="K117" s="8" t="s">
        <v>122</v>
      </c>
      <c r="L117" s="8" t="s">
        <v>227</v>
      </c>
      <c r="M117" s="8">
        <v>6</v>
      </c>
      <c r="N117" s="8">
        <v>20</v>
      </c>
      <c r="O117" s="8">
        <v>15</v>
      </c>
      <c r="P117" s="8">
        <v>102</v>
      </c>
      <c r="Q117" s="8">
        <v>5</v>
      </c>
      <c r="R117" s="8" t="s">
        <v>79</v>
      </c>
      <c r="S117" s="8" t="s">
        <v>151</v>
      </c>
      <c r="T117" s="8" t="s">
        <v>175</v>
      </c>
      <c r="U117" s="9" t="s">
        <v>671</v>
      </c>
      <c r="V117" s="8" t="s">
        <v>38</v>
      </c>
    </row>
    <row r="118" spans="1:22">
      <c r="A118" s="3" t="s">
        <v>672</v>
      </c>
      <c r="B118" s="4" t="s">
        <v>100</v>
      </c>
      <c r="C118" s="4" t="s">
        <v>184</v>
      </c>
      <c r="D118" s="4" t="s">
        <v>673</v>
      </c>
      <c r="E118" s="4" t="s">
        <v>674</v>
      </c>
      <c r="F118" s="4" t="s">
        <v>103</v>
      </c>
      <c r="G118" s="4" t="s">
        <v>28</v>
      </c>
      <c r="H118" s="4" t="s">
        <v>675</v>
      </c>
      <c r="I118" s="4" t="s">
        <v>59</v>
      </c>
      <c r="J118" s="4" t="s">
        <v>31</v>
      </c>
      <c r="K118" s="4" t="s">
        <v>46</v>
      </c>
      <c r="L118" s="4" t="s">
        <v>189</v>
      </c>
      <c r="M118" s="4">
        <v>2</v>
      </c>
      <c r="N118" s="4">
        <v>700</v>
      </c>
      <c r="O118" s="4">
        <v>15</v>
      </c>
      <c r="P118" s="4">
        <v>1190</v>
      </c>
      <c r="Q118" s="4">
        <v>4</v>
      </c>
      <c r="R118" s="4" t="s">
        <v>34</v>
      </c>
      <c r="S118" s="4" t="s">
        <v>151</v>
      </c>
      <c r="T118" s="4" t="s">
        <v>144</v>
      </c>
      <c r="U118" s="6" t="s">
        <v>676</v>
      </c>
      <c r="V118" s="4" t="s">
        <v>64</v>
      </c>
    </row>
    <row r="119" spans="1:22">
      <c r="A119" s="7" t="s">
        <v>677</v>
      </c>
      <c r="B119" s="8" t="s">
        <v>327</v>
      </c>
      <c r="C119" s="8" t="s">
        <v>259</v>
      </c>
      <c r="D119" s="8" t="s">
        <v>678</v>
      </c>
      <c r="E119" s="8" t="s">
        <v>679</v>
      </c>
      <c r="F119" s="8" t="s">
        <v>394</v>
      </c>
      <c r="G119" s="8" t="s">
        <v>76</v>
      </c>
      <c r="H119" s="8" t="s">
        <v>680</v>
      </c>
      <c r="I119" s="8" t="s">
        <v>114</v>
      </c>
      <c r="J119" s="8" t="s">
        <v>106</v>
      </c>
      <c r="K119" s="8" t="s">
        <v>122</v>
      </c>
      <c r="L119" s="8" t="s">
        <v>263</v>
      </c>
      <c r="M119" s="8">
        <v>16</v>
      </c>
      <c r="N119" s="8">
        <v>45</v>
      </c>
      <c r="O119" s="8">
        <v>0</v>
      </c>
      <c r="P119" s="8">
        <v>720</v>
      </c>
      <c r="Q119" s="8">
        <v>1</v>
      </c>
      <c r="R119" s="8" t="s">
        <v>48</v>
      </c>
      <c r="S119" s="8" t="s">
        <v>61</v>
      </c>
      <c r="T119" s="8" t="s">
        <v>332</v>
      </c>
      <c r="U119" s="9" t="s">
        <v>681</v>
      </c>
      <c r="V119" s="8" t="s">
        <v>38</v>
      </c>
    </row>
    <row r="120" spans="1:22">
      <c r="A120" s="3" t="s">
        <v>682</v>
      </c>
      <c r="B120" s="4" t="s">
        <v>71</v>
      </c>
      <c r="C120" s="4" t="s">
        <v>72</v>
      </c>
      <c r="D120" s="4" t="s">
        <v>683</v>
      </c>
      <c r="E120" s="4" t="s">
        <v>684</v>
      </c>
      <c r="F120" s="4" t="s">
        <v>217</v>
      </c>
      <c r="G120" s="4" t="s">
        <v>76</v>
      </c>
      <c r="H120" s="4" t="s">
        <v>685</v>
      </c>
      <c r="I120" s="4" t="s">
        <v>138</v>
      </c>
      <c r="J120" s="4" t="s">
        <v>106</v>
      </c>
      <c r="K120" s="4" t="s">
        <v>46</v>
      </c>
      <c r="L120" s="4" t="s">
        <v>78</v>
      </c>
      <c r="M120" s="4" t="s">
        <v>686</v>
      </c>
      <c r="N120" s="4">
        <v>1200</v>
      </c>
      <c r="O120" s="4">
        <v>15</v>
      </c>
      <c r="P120" s="4">
        <v>7140</v>
      </c>
      <c r="Q120" s="4">
        <v>4</v>
      </c>
      <c r="R120" s="4" t="s">
        <v>88</v>
      </c>
      <c r="S120" s="4" t="s">
        <v>151</v>
      </c>
      <c r="T120" s="4" t="s">
        <v>80</v>
      </c>
      <c r="U120" s="6" t="s">
        <v>687</v>
      </c>
      <c r="V120" s="4" t="s">
        <v>64</v>
      </c>
    </row>
    <row r="121" spans="1:22">
      <c r="A121" s="7" t="s">
        <v>688</v>
      </c>
      <c r="B121" s="8" t="s">
        <v>100</v>
      </c>
      <c r="C121" s="8" t="s">
        <v>40</v>
      </c>
      <c r="D121" s="8" t="s">
        <v>376</v>
      </c>
      <c r="E121" s="8" t="s">
        <v>469</v>
      </c>
      <c r="F121" s="8" t="s">
        <v>103</v>
      </c>
      <c r="G121" s="8" t="s">
        <v>28</v>
      </c>
      <c r="H121" s="8" t="s">
        <v>689</v>
      </c>
      <c r="I121" s="8" t="s">
        <v>212</v>
      </c>
      <c r="J121" s="8" t="s">
        <v>45</v>
      </c>
      <c r="K121" s="8" t="s">
        <v>46</v>
      </c>
      <c r="L121" s="8" t="s">
        <v>47</v>
      </c>
      <c r="M121" s="8">
        <v>14</v>
      </c>
      <c r="N121" s="8">
        <v>12000</v>
      </c>
      <c r="O121" s="8">
        <v>15</v>
      </c>
      <c r="P121" s="8">
        <v>142800</v>
      </c>
      <c r="Q121" s="8">
        <v>2</v>
      </c>
      <c r="R121" s="8" t="s">
        <v>48</v>
      </c>
      <c r="S121" s="8" t="s">
        <v>61</v>
      </c>
      <c r="T121" s="8" t="s">
        <v>144</v>
      </c>
      <c r="U121" s="9" t="s">
        <v>690</v>
      </c>
      <c r="V121" s="8" t="s">
        <v>64</v>
      </c>
    </row>
    <row r="122" spans="1:22">
      <c r="A122" s="3" t="s">
        <v>691</v>
      </c>
      <c r="B122" s="4" t="s">
        <v>127</v>
      </c>
      <c r="C122" s="4" t="s">
        <v>169</v>
      </c>
      <c r="D122" s="4" t="s">
        <v>454</v>
      </c>
      <c r="E122" s="4" t="s">
        <v>692</v>
      </c>
      <c r="F122" s="4" t="s">
        <v>200</v>
      </c>
      <c r="G122" s="4" t="s">
        <v>76</v>
      </c>
      <c r="H122" s="4" t="s">
        <v>693</v>
      </c>
      <c r="I122" s="4" t="s">
        <v>114</v>
      </c>
      <c r="J122" s="4" t="s">
        <v>106</v>
      </c>
      <c r="K122" s="4" t="s">
        <v>32</v>
      </c>
      <c r="L122" s="4" t="s">
        <v>174</v>
      </c>
      <c r="M122" s="4">
        <v>8</v>
      </c>
      <c r="N122" s="4">
        <v>8500</v>
      </c>
      <c r="O122" s="4">
        <v>20</v>
      </c>
      <c r="P122" s="4">
        <v>54400</v>
      </c>
      <c r="Q122" s="4">
        <v>3</v>
      </c>
      <c r="R122" s="4" t="s">
        <v>79</v>
      </c>
      <c r="S122" s="4" t="s">
        <v>49</v>
      </c>
      <c r="T122" s="4" t="s">
        <v>132</v>
      </c>
      <c r="U122" s="6" t="s">
        <v>694</v>
      </c>
      <c r="V122" s="4" t="s">
        <v>38</v>
      </c>
    </row>
    <row r="123" spans="1:22">
      <c r="A123" s="7" t="s">
        <v>695</v>
      </c>
      <c r="B123" s="8" t="s">
        <v>83</v>
      </c>
      <c r="C123" s="8" t="s">
        <v>259</v>
      </c>
      <c r="D123" s="8" t="s">
        <v>110</v>
      </c>
      <c r="E123" s="8" t="s">
        <v>313</v>
      </c>
      <c r="F123" s="8" t="s">
        <v>180</v>
      </c>
      <c r="G123" s="8" t="s">
        <v>76</v>
      </c>
      <c r="H123" s="8" t="s">
        <v>696</v>
      </c>
      <c r="I123" s="8" t="s">
        <v>59</v>
      </c>
      <c r="J123" s="8" t="s">
        <v>31</v>
      </c>
      <c r="K123" s="8" t="s">
        <v>122</v>
      </c>
      <c r="L123" s="8" t="s">
        <v>263</v>
      </c>
      <c r="M123" s="8">
        <v>3</v>
      </c>
      <c r="N123" s="8">
        <v>45</v>
      </c>
      <c r="O123" s="8">
        <v>0</v>
      </c>
      <c r="P123" s="8">
        <v>135</v>
      </c>
      <c r="Q123" s="8">
        <v>4</v>
      </c>
      <c r="R123" s="8" t="s">
        <v>88</v>
      </c>
      <c r="S123" s="8" t="s">
        <v>61</v>
      </c>
      <c r="T123" s="8" t="s">
        <v>89</v>
      </c>
      <c r="U123" s="9" t="s">
        <v>697</v>
      </c>
      <c r="V123" s="8" t="s">
        <v>69</v>
      </c>
    </row>
    <row r="124" spans="1:22">
      <c r="A124" s="3" t="s">
        <v>698</v>
      </c>
      <c r="B124" s="4" t="s">
        <v>327</v>
      </c>
      <c r="C124" s="4" t="s">
        <v>184</v>
      </c>
      <c r="D124" s="4" t="s">
        <v>464</v>
      </c>
      <c r="E124" s="4" t="s">
        <v>84</v>
      </c>
      <c r="F124" s="4" t="s">
        <v>394</v>
      </c>
      <c r="G124" s="4" t="s">
        <v>76</v>
      </c>
      <c r="H124" s="4" t="s">
        <v>699</v>
      </c>
      <c r="I124" s="4" t="s">
        <v>212</v>
      </c>
      <c r="J124" s="4" t="s">
        <v>45</v>
      </c>
      <c r="K124" s="4" t="s">
        <v>46</v>
      </c>
      <c r="L124" s="4" t="s">
        <v>189</v>
      </c>
      <c r="M124" s="4">
        <v>13</v>
      </c>
      <c r="N124" s="4">
        <v>700</v>
      </c>
      <c r="O124" s="4">
        <v>5</v>
      </c>
      <c r="P124" s="4">
        <v>8645</v>
      </c>
      <c r="Q124" s="4">
        <v>3</v>
      </c>
      <c r="R124" s="4" t="s">
        <v>79</v>
      </c>
      <c r="S124" s="4" t="s">
        <v>115</v>
      </c>
      <c r="T124" s="4" t="s">
        <v>332</v>
      </c>
      <c r="U124" s="6" t="s">
        <v>700</v>
      </c>
      <c r="V124" s="4" t="s">
        <v>64</v>
      </c>
    </row>
    <row r="125" spans="1:22">
      <c r="A125" s="7" t="s">
        <v>701</v>
      </c>
      <c r="B125" s="8" t="s">
        <v>168</v>
      </c>
      <c r="C125" s="8" t="s">
        <v>72</v>
      </c>
      <c r="D125" s="8" t="s">
        <v>702</v>
      </c>
      <c r="E125" s="8" t="s">
        <v>703</v>
      </c>
      <c r="F125" s="8" t="s">
        <v>361</v>
      </c>
      <c r="G125" s="8" t="s">
        <v>28</v>
      </c>
      <c r="H125" s="8" t="s">
        <v>704</v>
      </c>
      <c r="I125" s="8" t="s">
        <v>105</v>
      </c>
      <c r="J125" s="8" t="s">
        <v>106</v>
      </c>
      <c r="K125" s="8" t="s">
        <v>46</v>
      </c>
      <c r="L125" s="8" t="s">
        <v>78</v>
      </c>
      <c r="M125" s="8">
        <v>14</v>
      </c>
      <c r="N125" s="8">
        <v>1200</v>
      </c>
      <c r="O125" s="8">
        <v>20</v>
      </c>
      <c r="P125" s="8">
        <v>13440</v>
      </c>
      <c r="Q125" s="8">
        <v>5</v>
      </c>
      <c r="R125" s="8" t="s">
        <v>48</v>
      </c>
      <c r="S125" s="8" t="s">
        <v>61</v>
      </c>
      <c r="T125" s="8" t="s">
        <v>175</v>
      </c>
      <c r="U125" s="9" t="s">
        <v>705</v>
      </c>
      <c r="V125" s="8" t="s">
        <v>38</v>
      </c>
    </row>
    <row r="126" spans="1:22">
      <c r="A126" s="3" t="s">
        <v>706</v>
      </c>
      <c r="B126" s="4" t="s">
        <v>100</v>
      </c>
      <c r="C126" s="4" t="s">
        <v>259</v>
      </c>
      <c r="D126" s="4" t="s">
        <v>597</v>
      </c>
      <c r="E126" s="4" t="s">
        <v>707</v>
      </c>
      <c r="F126" s="4" t="s">
        <v>103</v>
      </c>
      <c r="G126" s="4" t="s">
        <v>28</v>
      </c>
      <c r="H126" s="4" t="s">
        <v>708</v>
      </c>
      <c r="I126" s="4" t="s">
        <v>44</v>
      </c>
      <c r="J126" s="4" t="s">
        <v>45</v>
      </c>
      <c r="K126" s="4" t="s">
        <v>122</v>
      </c>
      <c r="L126" s="4" t="s">
        <v>263</v>
      </c>
      <c r="M126" s="4">
        <v>2</v>
      </c>
      <c r="N126" s="4">
        <v>45</v>
      </c>
      <c r="O126" s="4">
        <v>5</v>
      </c>
      <c r="P126" s="4">
        <v>85.5</v>
      </c>
      <c r="Q126" s="4">
        <v>3</v>
      </c>
      <c r="R126" s="4" t="s">
        <v>88</v>
      </c>
      <c r="S126" s="4" t="s">
        <v>35</v>
      </c>
      <c r="T126" s="4" t="s">
        <v>144</v>
      </c>
      <c r="U126" s="6" t="s">
        <v>709</v>
      </c>
      <c r="V126" s="4" t="s">
        <v>69</v>
      </c>
    </row>
    <row r="127" spans="1:22">
      <c r="A127" s="7" t="s">
        <v>710</v>
      </c>
      <c r="B127" s="8" t="s">
        <v>168</v>
      </c>
      <c r="C127" s="8" t="s">
        <v>72</v>
      </c>
      <c r="D127" s="8" t="s">
        <v>711</v>
      </c>
      <c r="E127" s="8" t="s">
        <v>712</v>
      </c>
      <c r="F127" s="8" t="s">
        <v>361</v>
      </c>
      <c r="G127" s="8" t="s">
        <v>28</v>
      </c>
      <c r="H127" s="8" t="s">
        <v>713</v>
      </c>
      <c r="I127" s="8" t="s">
        <v>59</v>
      </c>
      <c r="J127" s="8" t="s">
        <v>31</v>
      </c>
      <c r="K127" s="8" t="s">
        <v>46</v>
      </c>
      <c r="L127" s="8" t="s">
        <v>78</v>
      </c>
      <c r="M127" s="8">
        <v>2</v>
      </c>
      <c r="N127" s="8">
        <v>1200</v>
      </c>
      <c r="O127" s="8">
        <v>20</v>
      </c>
      <c r="P127" s="8">
        <v>1920</v>
      </c>
      <c r="Q127" s="8">
        <v>3</v>
      </c>
      <c r="R127" s="8" t="s">
        <v>79</v>
      </c>
      <c r="S127" s="8" t="s">
        <v>115</v>
      </c>
      <c r="T127" s="8" t="s">
        <v>175</v>
      </c>
      <c r="U127" s="9" t="s">
        <v>714</v>
      </c>
      <c r="V127" s="8" t="s">
        <v>38</v>
      </c>
    </row>
    <row r="128" spans="1:22">
      <c r="A128" s="3" t="s">
        <v>715</v>
      </c>
      <c r="B128" s="4" t="s">
        <v>127</v>
      </c>
      <c r="C128" s="4" t="s">
        <v>54</v>
      </c>
      <c r="D128" s="4" t="s">
        <v>224</v>
      </c>
      <c r="E128" s="4" t="s">
        <v>716</v>
      </c>
      <c r="F128" s="4" t="s">
        <v>200</v>
      </c>
      <c r="G128" s="4" t="s">
        <v>76</v>
      </c>
      <c r="H128" s="4" t="s">
        <v>717</v>
      </c>
      <c r="I128" s="4" t="s">
        <v>59</v>
      </c>
      <c r="J128" s="4" t="s">
        <v>31</v>
      </c>
      <c r="K128" s="4" t="s">
        <v>46</v>
      </c>
      <c r="L128" s="4" t="s">
        <v>60</v>
      </c>
      <c r="M128" s="4">
        <v>10</v>
      </c>
      <c r="N128" s="4">
        <v>55000</v>
      </c>
      <c r="O128" s="4">
        <v>5</v>
      </c>
      <c r="P128" s="4">
        <v>522500</v>
      </c>
      <c r="Q128" s="4">
        <v>5</v>
      </c>
      <c r="R128" s="4" t="s">
        <v>88</v>
      </c>
      <c r="S128" s="4" t="s">
        <v>61</v>
      </c>
      <c r="T128" s="4" t="s">
        <v>132</v>
      </c>
      <c r="U128" s="6" t="s">
        <v>718</v>
      </c>
      <c r="V128" s="4" t="s">
        <v>64</v>
      </c>
    </row>
    <row r="129" spans="1:22">
      <c r="A129" s="7" t="s">
        <v>719</v>
      </c>
      <c r="B129" s="8" t="s">
        <v>251</v>
      </c>
      <c r="C129" s="8" t="s">
        <v>92</v>
      </c>
      <c r="D129" s="8" t="s">
        <v>720</v>
      </c>
      <c r="E129" s="8" t="s">
        <v>382</v>
      </c>
      <c r="F129" s="8" t="s">
        <v>254</v>
      </c>
      <c r="G129" s="8" t="s">
        <v>28</v>
      </c>
      <c r="H129" s="8" t="s">
        <v>721</v>
      </c>
      <c r="I129" s="8" t="s">
        <v>212</v>
      </c>
      <c r="J129" s="8" t="s">
        <v>45</v>
      </c>
      <c r="K129" s="8" t="s">
        <v>32</v>
      </c>
      <c r="L129" s="8" t="s">
        <v>97</v>
      </c>
      <c r="M129" s="8">
        <v>15</v>
      </c>
      <c r="N129" s="8">
        <v>3500</v>
      </c>
      <c r="O129" s="8">
        <v>10</v>
      </c>
      <c r="P129" s="8">
        <v>47250</v>
      </c>
      <c r="Q129" s="8">
        <v>3</v>
      </c>
      <c r="R129" s="8" t="s">
        <v>48</v>
      </c>
      <c r="S129" s="8" t="s">
        <v>115</v>
      </c>
      <c r="T129" s="8" t="s">
        <v>256</v>
      </c>
      <c r="U129" s="9" t="s">
        <v>722</v>
      </c>
      <c r="V129" s="8" t="s">
        <v>38</v>
      </c>
    </row>
    <row r="130" spans="1:22">
      <c r="A130" s="3" t="s">
        <v>723</v>
      </c>
      <c r="B130" s="4" t="s">
        <v>100</v>
      </c>
      <c r="C130" s="4" t="s">
        <v>24</v>
      </c>
      <c r="D130" s="4" t="s">
        <v>562</v>
      </c>
      <c r="E130" s="4" t="s">
        <v>724</v>
      </c>
      <c r="F130" s="4" t="s">
        <v>103</v>
      </c>
      <c r="G130" s="4" t="s">
        <v>28</v>
      </c>
      <c r="H130" s="4" t="s">
        <v>725</v>
      </c>
      <c r="I130" s="4" t="s">
        <v>59</v>
      </c>
      <c r="J130" s="4" t="s">
        <v>31</v>
      </c>
      <c r="K130" s="4" t="s">
        <v>32</v>
      </c>
      <c r="L130" s="4" t="s">
        <v>33</v>
      </c>
      <c r="M130" s="4">
        <v>10</v>
      </c>
      <c r="N130" s="4">
        <v>2200</v>
      </c>
      <c r="O130" s="4">
        <v>15</v>
      </c>
      <c r="P130" s="4">
        <v>18700</v>
      </c>
      <c r="Q130" s="4">
        <v>4</v>
      </c>
      <c r="R130" s="4" t="s">
        <v>79</v>
      </c>
      <c r="S130" s="4" t="s">
        <v>49</v>
      </c>
      <c r="T130" s="4" t="s">
        <v>144</v>
      </c>
      <c r="U130" s="6" t="s">
        <v>726</v>
      </c>
      <c r="V130" s="4" t="s">
        <v>64</v>
      </c>
    </row>
    <row r="131" spans="1:22">
      <c r="A131" s="7" t="s">
        <v>727</v>
      </c>
      <c r="B131" s="8" t="s">
        <v>251</v>
      </c>
      <c r="C131" s="8" t="s">
        <v>92</v>
      </c>
      <c r="D131" s="8" t="s">
        <v>260</v>
      </c>
      <c r="E131" s="8" t="s">
        <v>231</v>
      </c>
      <c r="F131" s="8" t="s">
        <v>254</v>
      </c>
      <c r="G131" s="8" t="s">
        <v>28</v>
      </c>
      <c r="H131" s="8" t="s">
        <v>728</v>
      </c>
      <c r="I131" s="8" t="s">
        <v>114</v>
      </c>
      <c r="J131" s="8" t="s">
        <v>106</v>
      </c>
      <c r="K131" s="8" t="s">
        <v>32</v>
      </c>
      <c r="L131" s="8" t="s">
        <v>97</v>
      </c>
      <c r="M131" s="8">
        <v>11</v>
      </c>
      <c r="N131" s="8">
        <v>3500</v>
      </c>
      <c r="O131" s="8">
        <v>5</v>
      </c>
      <c r="P131" s="8">
        <v>36575</v>
      </c>
      <c r="Q131" s="8">
        <v>5</v>
      </c>
      <c r="R131" s="8" t="s">
        <v>34</v>
      </c>
      <c r="S131" s="8" t="s">
        <v>35</v>
      </c>
      <c r="T131" s="8" t="s">
        <v>256</v>
      </c>
      <c r="U131" s="9" t="s">
        <v>729</v>
      </c>
      <c r="V131" s="8" t="s">
        <v>69</v>
      </c>
    </row>
    <row r="132" spans="1:22">
      <c r="A132" s="3" t="s">
        <v>730</v>
      </c>
      <c r="B132" s="4" t="s">
        <v>168</v>
      </c>
      <c r="C132" s="4" t="s">
        <v>72</v>
      </c>
      <c r="D132" s="4" t="s">
        <v>731</v>
      </c>
      <c r="E132" s="4" t="s">
        <v>732</v>
      </c>
      <c r="F132" s="4" t="s">
        <v>361</v>
      </c>
      <c r="G132" s="4" t="s">
        <v>28</v>
      </c>
      <c r="H132" s="4" t="s">
        <v>733</v>
      </c>
      <c r="I132" s="4" t="s">
        <v>59</v>
      </c>
      <c r="J132" s="4" t="s">
        <v>31</v>
      </c>
      <c r="K132" s="4" t="s">
        <v>46</v>
      </c>
      <c r="L132" s="4" t="s">
        <v>78</v>
      </c>
      <c r="M132" s="4">
        <v>14</v>
      </c>
      <c r="N132" s="4">
        <v>1200</v>
      </c>
      <c r="O132" s="4">
        <v>0</v>
      </c>
      <c r="P132" s="4">
        <v>16800</v>
      </c>
      <c r="Q132" s="4">
        <v>5</v>
      </c>
      <c r="R132" s="4" t="s">
        <v>34</v>
      </c>
      <c r="S132" s="4" t="s">
        <v>49</v>
      </c>
      <c r="T132" s="4" t="s">
        <v>175</v>
      </c>
      <c r="U132" s="6" t="s">
        <v>734</v>
      </c>
      <c r="V132" s="4" t="s">
        <v>69</v>
      </c>
    </row>
    <row r="133" spans="1:22">
      <c r="A133" s="7" t="s">
        <v>735</v>
      </c>
      <c r="B133" s="8" t="s">
        <v>100</v>
      </c>
      <c r="C133" s="8" t="s">
        <v>222</v>
      </c>
      <c r="D133" s="8" t="s">
        <v>736</v>
      </c>
      <c r="E133" s="8" t="s">
        <v>170</v>
      </c>
      <c r="F133" s="8" t="s">
        <v>103</v>
      </c>
      <c r="G133" s="8" t="s">
        <v>28</v>
      </c>
      <c r="H133" s="8" t="s">
        <v>737</v>
      </c>
      <c r="I133" s="8" t="s">
        <v>44</v>
      </c>
      <c r="J133" s="8" t="s">
        <v>45</v>
      </c>
      <c r="K133" s="8" t="s">
        <v>122</v>
      </c>
      <c r="L133" s="8" t="s">
        <v>227</v>
      </c>
      <c r="M133" s="8">
        <v>11</v>
      </c>
      <c r="N133" s="8">
        <v>20</v>
      </c>
      <c r="O133" s="8">
        <v>20</v>
      </c>
      <c r="P133" s="8">
        <v>176</v>
      </c>
      <c r="Q133" s="8">
        <v>4</v>
      </c>
      <c r="R133" s="8" t="s">
        <v>48</v>
      </c>
      <c r="S133" s="8" t="s">
        <v>35</v>
      </c>
      <c r="T133" s="8" t="s">
        <v>144</v>
      </c>
      <c r="U133" s="9" t="s">
        <v>738</v>
      </c>
      <c r="V133" s="8" t="s">
        <v>38</v>
      </c>
    </row>
    <row r="134" spans="1:22">
      <c r="A134" s="3" t="s">
        <v>739</v>
      </c>
      <c r="B134" s="4" t="s">
        <v>71</v>
      </c>
      <c r="C134" s="4" t="s">
        <v>40</v>
      </c>
      <c r="D134" s="4" t="s">
        <v>740</v>
      </c>
      <c r="E134" s="4" t="s">
        <v>657</v>
      </c>
      <c r="F134" s="4" t="s">
        <v>217</v>
      </c>
      <c r="G134" s="4" t="s">
        <v>76</v>
      </c>
      <c r="H134" s="4" t="s">
        <v>741</v>
      </c>
      <c r="I134" s="4" t="s">
        <v>114</v>
      </c>
      <c r="J134" s="4" t="s">
        <v>106</v>
      </c>
      <c r="K134" s="4" t="s">
        <v>46</v>
      </c>
      <c r="L134" s="4" t="s">
        <v>47</v>
      </c>
      <c r="M134" s="4">
        <v>6</v>
      </c>
      <c r="N134" s="4">
        <v>12000</v>
      </c>
      <c r="O134" s="4">
        <v>10</v>
      </c>
      <c r="P134" s="4">
        <v>64800</v>
      </c>
      <c r="Q134" s="4">
        <v>5</v>
      </c>
      <c r="R134" s="4" t="s">
        <v>88</v>
      </c>
      <c r="S134" s="4" t="s">
        <v>151</v>
      </c>
      <c r="T134" s="4" t="s">
        <v>80</v>
      </c>
      <c r="U134" s="6" t="s">
        <v>742</v>
      </c>
      <c r="V134" s="4" t="s">
        <v>38</v>
      </c>
    </row>
    <row r="135" spans="1:22">
      <c r="A135" s="7" t="s">
        <v>743</v>
      </c>
      <c r="B135" s="8" t="s">
        <v>71</v>
      </c>
      <c r="C135" s="8" t="s">
        <v>24</v>
      </c>
      <c r="D135" s="8" t="s">
        <v>652</v>
      </c>
      <c r="E135" s="8" t="s">
        <v>539</v>
      </c>
      <c r="F135" s="8" t="s">
        <v>217</v>
      </c>
      <c r="G135" s="8" t="s">
        <v>76</v>
      </c>
      <c r="H135" s="8" t="s">
        <v>744</v>
      </c>
      <c r="I135" s="8" t="s">
        <v>30</v>
      </c>
      <c r="J135" s="8" t="s">
        <v>31</v>
      </c>
      <c r="K135" s="8" t="s">
        <v>32</v>
      </c>
      <c r="L135" s="8" t="s">
        <v>33</v>
      </c>
      <c r="M135" s="8">
        <v>6</v>
      </c>
      <c r="N135" s="8">
        <v>2200</v>
      </c>
      <c r="O135" s="8">
        <v>5</v>
      </c>
      <c r="P135" s="8">
        <v>12540</v>
      </c>
      <c r="Q135" s="8">
        <v>4</v>
      </c>
      <c r="R135" s="8" t="s">
        <v>34</v>
      </c>
      <c r="S135" s="8" t="s">
        <v>49</v>
      </c>
      <c r="T135" s="8" t="s">
        <v>80</v>
      </c>
      <c r="U135" s="9" t="s">
        <v>745</v>
      </c>
      <c r="V135" s="8" t="s">
        <v>38</v>
      </c>
    </row>
    <row r="136" spans="1:22">
      <c r="A136" s="3" t="s">
        <v>746</v>
      </c>
      <c r="B136" s="4" t="s">
        <v>53</v>
      </c>
      <c r="C136" s="4" t="s">
        <v>92</v>
      </c>
      <c r="D136" s="4" t="s">
        <v>408</v>
      </c>
      <c r="E136" s="4" t="s">
        <v>488</v>
      </c>
      <c r="F136" s="4" t="s">
        <v>163</v>
      </c>
      <c r="G136" s="4" t="s">
        <v>28</v>
      </c>
      <c r="H136" s="4" t="s">
        <v>747</v>
      </c>
      <c r="I136" s="4" t="s">
        <v>44</v>
      </c>
      <c r="J136" s="4" t="s">
        <v>45</v>
      </c>
      <c r="K136" s="4" t="s">
        <v>32</v>
      </c>
      <c r="L136" s="4" t="s">
        <v>97</v>
      </c>
      <c r="M136" s="4">
        <v>3</v>
      </c>
      <c r="N136" s="4">
        <v>3500</v>
      </c>
      <c r="O136" s="4">
        <v>5</v>
      </c>
      <c r="P136" s="4">
        <v>9975</v>
      </c>
      <c r="Q136" s="4">
        <v>4</v>
      </c>
      <c r="R136" s="4" t="s">
        <v>48</v>
      </c>
      <c r="S136" s="4" t="s">
        <v>49</v>
      </c>
      <c r="T136" s="4" t="s">
        <v>62</v>
      </c>
      <c r="U136" s="6" t="s">
        <v>748</v>
      </c>
      <c r="V136" s="4" t="s">
        <v>64</v>
      </c>
    </row>
    <row r="137" spans="1:22">
      <c r="A137" s="7" t="s">
        <v>749</v>
      </c>
      <c r="B137" s="8" t="s">
        <v>71</v>
      </c>
      <c r="C137" s="8" t="s">
        <v>169</v>
      </c>
      <c r="D137" s="8" t="s">
        <v>750</v>
      </c>
      <c r="E137" s="8" t="s">
        <v>751</v>
      </c>
      <c r="F137" s="8" t="s">
        <v>217</v>
      </c>
      <c r="G137" s="8" t="s">
        <v>76</v>
      </c>
      <c r="H137" s="8" t="s">
        <v>752</v>
      </c>
      <c r="I137" s="8" t="s">
        <v>30</v>
      </c>
      <c r="J137" s="8" t="s">
        <v>31</v>
      </c>
      <c r="K137" s="8" t="s">
        <v>32</v>
      </c>
      <c r="L137" s="8" t="s">
        <v>174</v>
      </c>
      <c r="M137" s="8">
        <v>5</v>
      </c>
      <c r="N137" s="8">
        <v>8500</v>
      </c>
      <c r="O137" s="8">
        <v>20</v>
      </c>
      <c r="P137" s="8">
        <v>34000</v>
      </c>
      <c r="Q137" s="8">
        <v>5</v>
      </c>
      <c r="R137" s="8" t="s">
        <v>34</v>
      </c>
      <c r="S137" s="8" t="s">
        <v>61</v>
      </c>
      <c r="T137" s="8" t="s">
        <v>80</v>
      </c>
      <c r="U137" s="9" t="s">
        <v>753</v>
      </c>
      <c r="V137" s="8" t="s">
        <v>64</v>
      </c>
    </row>
    <row r="138" spans="1:22">
      <c r="A138" s="3" t="s">
        <v>754</v>
      </c>
      <c r="B138" s="4" t="s">
        <v>23</v>
      </c>
      <c r="C138" s="4" t="s">
        <v>92</v>
      </c>
      <c r="D138" s="4" t="s">
        <v>755</v>
      </c>
      <c r="E138" s="4" t="s">
        <v>756</v>
      </c>
      <c r="F138" s="4" t="s">
        <v>27</v>
      </c>
      <c r="G138" s="4" t="s">
        <v>28</v>
      </c>
      <c r="H138" s="4" t="s">
        <v>757</v>
      </c>
      <c r="I138" s="4" t="s">
        <v>59</v>
      </c>
      <c r="J138" s="4" t="s">
        <v>31</v>
      </c>
      <c r="K138" s="4" t="s">
        <v>32</v>
      </c>
      <c r="L138" s="4" t="s">
        <v>97</v>
      </c>
      <c r="M138" s="4">
        <v>14</v>
      </c>
      <c r="N138" s="4">
        <v>3500</v>
      </c>
      <c r="O138" s="4">
        <v>10</v>
      </c>
      <c r="P138" s="4">
        <v>44100</v>
      </c>
      <c r="Q138" s="4">
        <v>4</v>
      </c>
      <c r="R138" s="4" t="s">
        <v>88</v>
      </c>
      <c r="S138" s="4" t="s">
        <v>35</v>
      </c>
      <c r="T138" s="4" t="s">
        <v>50</v>
      </c>
      <c r="U138" s="6" t="s">
        <v>758</v>
      </c>
      <c r="V138" s="4" t="s">
        <v>69</v>
      </c>
    </row>
    <row r="139" spans="1:22">
      <c r="A139" s="7" t="s">
        <v>759</v>
      </c>
      <c r="B139" s="8" t="s">
        <v>327</v>
      </c>
      <c r="C139" s="8" t="s">
        <v>259</v>
      </c>
      <c r="D139" s="8" t="s">
        <v>760</v>
      </c>
      <c r="E139" s="8" t="s">
        <v>761</v>
      </c>
      <c r="F139" s="8" t="s">
        <v>394</v>
      </c>
      <c r="G139" s="8" t="s">
        <v>76</v>
      </c>
      <c r="H139" s="8" t="s">
        <v>762</v>
      </c>
      <c r="I139" s="8" t="s">
        <v>138</v>
      </c>
      <c r="J139" s="8" t="s">
        <v>106</v>
      </c>
      <c r="K139" s="8" t="s">
        <v>122</v>
      </c>
      <c r="L139" s="8" t="s">
        <v>263</v>
      </c>
      <c r="M139" s="8">
        <v>8</v>
      </c>
      <c r="N139" s="8">
        <v>45</v>
      </c>
      <c r="O139" s="8">
        <v>0</v>
      </c>
      <c r="P139" s="8">
        <v>360</v>
      </c>
      <c r="Q139" s="8">
        <v>1</v>
      </c>
      <c r="R139" s="8" t="s">
        <v>79</v>
      </c>
      <c r="S139" s="8" t="s">
        <v>151</v>
      </c>
      <c r="T139" s="8" t="s">
        <v>332</v>
      </c>
      <c r="U139" s="9" t="s">
        <v>763</v>
      </c>
      <c r="V139" s="8" t="s">
        <v>69</v>
      </c>
    </row>
    <row r="140" spans="1:22">
      <c r="A140" s="3" t="s">
        <v>764</v>
      </c>
      <c r="B140" s="4" t="s">
        <v>221</v>
      </c>
      <c r="C140" s="4" t="s">
        <v>259</v>
      </c>
      <c r="D140" s="4" t="s">
        <v>765</v>
      </c>
      <c r="E140" s="4" t="s">
        <v>766</v>
      </c>
      <c r="F140" s="4" t="s">
        <v>225</v>
      </c>
      <c r="G140" s="4" t="s">
        <v>76</v>
      </c>
      <c r="H140" s="4" t="s">
        <v>767</v>
      </c>
      <c r="I140" s="4" t="s">
        <v>44</v>
      </c>
      <c r="J140" s="4" t="s">
        <v>45</v>
      </c>
      <c r="K140" s="4" t="s">
        <v>122</v>
      </c>
      <c r="L140" s="4" t="s">
        <v>263</v>
      </c>
      <c r="M140" s="4">
        <v>11</v>
      </c>
      <c r="N140" s="4">
        <v>45</v>
      </c>
      <c r="O140" s="4">
        <v>5</v>
      </c>
      <c r="P140" s="4">
        <v>470.25</v>
      </c>
      <c r="Q140" s="4">
        <v>3</v>
      </c>
      <c r="R140" s="4" t="s">
        <v>79</v>
      </c>
      <c r="S140" s="4" t="s">
        <v>49</v>
      </c>
      <c r="T140" s="4" t="s">
        <v>228</v>
      </c>
      <c r="U140" s="6" t="s">
        <v>768</v>
      </c>
      <c r="V140" s="4" t="s">
        <v>38</v>
      </c>
    </row>
    <row r="141" spans="1:22">
      <c r="A141" s="7" t="s">
        <v>769</v>
      </c>
      <c r="B141" s="8" t="s">
        <v>83</v>
      </c>
      <c r="C141" s="8" t="s">
        <v>54</v>
      </c>
      <c r="D141" s="8" t="s">
        <v>770</v>
      </c>
      <c r="E141" s="8" t="s">
        <v>771</v>
      </c>
      <c r="F141" s="8" t="s">
        <v>180</v>
      </c>
      <c r="G141" s="8" t="s">
        <v>76</v>
      </c>
      <c r="H141" s="8" t="s">
        <v>772</v>
      </c>
      <c r="I141" s="8" t="s">
        <v>138</v>
      </c>
      <c r="J141" s="8" t="s">
        <v>106</v>
      </c>
      <c r="K141" s="8" t="s">
        <v>46</v>
      </c>
      <c r="L141" s="8" t="s">
        <v>60</v>
      </c>
      <c r="M141" s="8">
        <v>19</v>
      </c>
      <c r="N141" s="8">
        <v>55000</v>
      </c>
      <c r="O141" s="8">
        <v>0</v>
      </c>
      <c r="P141" s="8">
        <v>1045000</v>
      </c>
      <c r="Q141" s="8">
        <v>2</v>
      </c>
      <c r="R141" s="8" t="s">
        <v>79</v>
      </c>
      <c r="S141" s="8" t="s">
        <v>35</v>
      </c>
      <c r="T141" s="8" t="s">
        <v>89</v>
      </c>
      <c r="U141" s="9" t="s">
        <v>773</v>
      </c>
      <c r="V141" s="8" t="s">
        <v>69</v>
      </c>
    </row>
    <row r="142" spans="1:22">
      <c r="A142" s="3" t="s">
        <v>774</v>
      </c>
      <c r="B142" s="4" t="s">
        <v>53</v>
      </c>
      <c r="C142" s="4" t="s">
        <v>92</v>
      </c>
      <c r="D142" s="4" t="s">
        <v>775</v>
      </c>
      <c r="E142" s="4" t="s">
        <v>539</v>
      </c>
      <c r="F142" s="4" t="s">
        <v>163</v>
      </c>
      <c r="G142" s="4" t="s">
        <v>28</v>
      </c>
      <c r="H142" s="4" t="s">
        <v>776</v>
      </c>
      <c r="I142" s="4" t="s">
        <v>114</v>
      </c>
      <c r="J142" s="4" t="s">
        <v>106</v>
      </c>
      <c r="K142" s="4" t="s">
        <v>32</v>
      </c>
      <c r="L142" s="4" t="s">
        <v>97</v>
      </c>
      <c r="M142" s="4">
        <v>20</v>
      </c>
      <c r="N142" s="4">
        <v>3500</v>
      </c>
      <c r="O142" s="4">
        <v>20</v>
      </c>
      <c r="P142" s="4">
        <v>56000</v>
      </c>
      <c r="Q142" s="4">
        <v>4</v>
      </c>
      <c r="R142" s="4" t="s">
        <v>48</v>
      </c>
      <c r="S142" s="4" t="s">
        <v>49</v>
      </c>
      <c r="T142" s="4" t="s">
        <v>62</v>
      </c>
      <c r="U142" s="6" t="s">
        <v>777</v>
      </c>
      <c r="V142" s="4" t="s">
        <v>38</v>
      </c>
    </row>
    <row r="143" spans="1:22">
      <c r="A143" s="7" t="s">
        <v>778</v>
      </c>
      <c r="B143" s="8" t="s">
        <v>83</v>
      </c>
      <c r="C143" s="8" t="s">
        <v>24</v>
      </c>
      <c r="D143" s="8" t="s">
        <v>276</v>
      </c>
      <c r="E143" s="8" t="s">
        <v>779</v>
      </c>
      <c r="F143" s="8" t="s">
        <v>180</v>
      </c>
      <c r="G143" s="8" t="s">
        <v>76</v>
      </c>
      <c r="H143" s="8" t="s">
        <v>780</v>
      </c>
      <c r="I143" s="8" t="s">
        <v>114</v>
      </c>
      <c r="J143" s="8" t="s">
        <v>106</v>
      </c>
      <c r="K143" s="8" t="s">
        <v>32</v>
      </c>
      <c r="L143" s="8" t="s">
        <v>33</v>
      </c>
      <c r="M143" s="8">
        <v>17</v>
      </c>
      <c r="N143" s="8">
        <v>2200</v>
      </c>
      <c r="O143" s="8">
        <v>0</v>
      </c>
      <c r="P143" s="8">
        <v>37400</v>
      </c>
      <c r="Q143" s="8">
        <v>5</v>
      </c>
      <c r="R143" s="8" t="s">
        <v>48</v>
      </c>
      <c r="S143" s="8" t="s">
        <v>35</v>
      </c>
      <c r="T143" s="8" t="s">
        <v>89</v>
      </c>
      <c r="U143" s="9" t="s">
        <v>781</v>
      </c>
      <c r="V143" s="8" t="s">
        <v>64</v>
      </c>
    </row>
    <row r="144" spans="1:22">
      <c r="A144" s="3" t="s">
        <v>782</v>
      </c>
      <c r="B144" s="4" t="s">
        <v>83</v>
      </c>
      <c r="C144" s="4" t="s">
        <v>72</v>
      </c>
      <c r="D144" s="4" t="s">
        <v>770</v>
      </c>
      <c r="E144" s="4" t="s">
        <v>783</v>
      </c>
      <c r="F144" s="4" t="s">
        <v>180</v>
      </c>
      <c r="G144" s="4" t="s">
        <v>76</v>
      </c>
      <c r="H144" s="4" t="s">
        <v>784</v>
      </c>
      <c r="I144" s="4" t="s">
        <v>114</v>
      </c>
      <c r="J144" s="4" t="s">
        <v>106</v>
      </c>
      <c r="K144" s="4" t="s">
        <v>46</v>
      </c>
      <c r="L144" s="4" t="s">
        <v>78</v>
      </c>
      <c r="M144" s="4">
        <v>10</v>
      </c>
      <c r="N144" s="4">
        <v>1200</v>
      </c>
      <c r="O144" s="4">
        <v>5</v>
      </c>
      <c r="P144" s="4">
        <v>11400</v>
      </c>
      <c r="Q144" s="4">
        <v>2</v>
      </c>
      <c r="R144" s="4" t="s">
        <v>34</v>
      </c>
      <c r="S144" s="4" t="s">
        <v>49</v>
      </c>
      <c r="T144" s="4" t="s">
        <v>89</v>
      </c>
      <c r="U144" s="6" t="s">
        <v>785</v>
      </c>
      <c r="V144" s="4" t="s">
        <v>69</v>
      </c>
    </row>
    <row r="145" spans="1:22">
      <c r="A145" s="7" t="s">
        <v>786</v>
      </c>
      <c r="B145" s="8" t="s">
        <v>221</v>
      </c>
      <c r="C145" s="8" t="s">
        <v>118</v>
      </c>
      <c r="D145" s="8" t="s">
        <v>787</v>
      </c>
      <c r="E145" s="8" t="s">
        <v>788</v>
      </c>
      <c r="F145" s="8" t="s">
        <v>225</v>
      </c>
      <c r="G145" s="8" t="s">
        <v>76</v>
      </c>
      <c r="H145" s="8" t="s">
        <v>789</v>
      </c>
      <c r="I145" s="8" t="s">
        <v>30</v>
      </c>
      <c r="J145" s="8" t="s">
        <v>31</v>
      </c>
      <c r="K145" s="8" t="s">
        <v>122</v>
      </c>
      <c r="L145" s="8" t="s">
        <v>123</v>
      </c>
      <c r="M145" s="8">
        <v>3</v>
      </c>
      <c r="N145" s="8">
        <v>60</v>
      </c>
      <c r="O145" s="8">
        <v>0</v>
      </c>
      <c r="P145" s="8">
        <v>180</v>
      </c>
      <c r="Q145" s="8">
        <v>4</v>
      </c>
      <c r="R145" s="8" t="s">
        <v>48</v>
      </c>
      <c r="S145" s="8" t="s">
        <v>151</v>
      </c>
      <c r="T145" s="8" t="s">
        <v>228</v>
      </c>
      <c r="U145" s="9" t="s">
        <v>790</v>
      </c>
      <c r="V145" s="8" t="s">
        <v>38</v>
      </c>
    </row>
    <row r="146" spans="1:22">
      <c r="A146" s="3" t="s">
        <v>791</v>
      </c>
      <c r="B146" s="4" t="s">
        <v>53</v>
      </c>
      <c r="C146" s="4" t="s">
        <v>24</v>
      </c>
      <c r="D146" s="4" t="s">
        <v>792</v>
      </c>
      <c r="E146" s="4" t="s">
        <v>793</v>
      </c>
      <c r="F146" s="4" t="s">
        <v>163</v>
      </c>
      <c r="G146" s="4" t="s">
        <v>28</v>
      </c>
      <c r="H146" s="4" t="s">
        <v>794</v>
      </c>
      <c r="I146" s="4" t="s">
        <v>105</v>
      </c>
      <c r="J146" s="4" t="s">
        <v>106</v>
      </c>
      <c r="K146" s="4" t="s">
        <v>32</v>
      </c>
      <c r="L146" s="4" t="s">
        <v>33</v>
      </c>
      <c r="M146" s="4">
        <v>18</v>
      </c>
      <c r="N146" s="4">
        <v>2200</v>
      </c>
      <c r="O146" s="4">
        <v>10</v>
      </c>
      <c r="P146" s="4">
        <v>35640</v>
      </c>
      <c r="Q146" s="4">
        <v>1</v>
      </c>
      <c r="R146" s="4" t="s">
        <v>79</v>
      </c>
      <c r="S146" s="4" t="s">
        <v>151</v>
      </c>
      <c r="T146" s="4" t="s">
        <v>62</v>
      </c>
      <c r="U146" s="6" t="s">
        <v>795</v>
      </c>
      <c r="V146" s="4" t="s">
        <v>69</v>
      </c>
    </row>
    <row r="147" spans="1:22">
      <c r="A147" s="7" t="s">
        <v>796</v>
      </c>
      <c r="B147" s="8" t="s">
        <v>71</v>
      </c>
      <c r="C147" s="8" t="s">
        <v>118</v>
      </c>
      <c r="D147" s="8" t="s">
        <v>797</v>
      </c>
      <c r="E147" s="8" t="s">
        <v>798</v>
      </c>
      <c r="F147" s="8" t="s">
        <v>217</v>
      </c>
      <c r="G147" s="8" t="s">
        <v>76</v>
      </c>
      <c r="H147" s="8" t="s">
        <v>799</v>
      </c>
      <c r="I147" s="8" t="s">
        <v>44</v>
      </c>
      <c r="J147" s="8" t="s">
        <v>45</v>
      </c>
      <c r="K147" s="8" t="s">
        <v>122</v>
      </c>
      <c r="L147" s="8" t="s">
        <v>123</v>
      </c>
      <c r="M147" s="8">
        <v>18</v>
      </c>
      <c r="N147" s="8">
        <v>60</v>
      </c>
      <c r="O147" s="8">
        <v>5</v>
      </c>
      <c r="P147" s="8">
        <v>1026</v>
      </c>
      <c r="Q147" s="8">
        <v>3</v>
      </c>
      <c r="R147" s="8" t="s">
        <v>79</v>
      </c>
      <c r="S147" s="8" t="s">
        <v>49</v>
      </c>
      <c r="T147" s="8" t="s">
        <v>80</v>
      </c>
      <c r="U147" s="9" t="s">
        <v>800</v>
      </c>
      <c r="V147" s="8" t="s">
        <v>64</v>
      </c>
    </row>
    <row r="148" spans="1:22">
      <c r="A148" s="3" t="s">
        <v>801</v>
      </c>
      <c r="B148" s="4" t="s">
        <v>127</v>
      </c>
      <c r="C148" s="4" t="s">
        <v>54</v>
      </c>
      <c r="D148" s="4" t="s">
        <v>422</v>
      </c>
      <c r="E148" s="4" t="s">
        <v>377</v>
      </c>
      <c r="F148" s="4" t="s">
        <v>200</v>
      </c>
      <c r="G148" s="4" t="s">
        <v>76</v>
      </c>
      <c r="H148" s="4" t="s">
        <v>802</v>
      </c>
      <c r="I148" s="4" t="s">
        <v>114</v>
      </c>
      <c r="J148" s="4" t="s">
        <v>106</v>
      </c>
      <c r="K148" s="4" t="s">
        <v>46</v>
      </c>
      <c r="L148" s="4" t="s">
        <v>60</v>
      </c>
      <c r="M148" s="4">
        <v>11</v>
      </c>
      <c r="N148" s="4">
        <v>55000</v>
      </c>
      <c r="O148" s="4">
        <v>15</v>
      </c>
      <c r="P148" s="4">
        <v>514250</v>
      </c>
      <c r="Q148" s="4">
        <v>4</v>
      </c>
      <c r="R148" s="4" t="s">
        <v>88</v>
      </c>
      <c r="S148" s="4" t="s">
        <v>115</v>
      </c>
      <c r="T148" s="4" t="s">
        <v>132</v>
      </c>
      <c r="U148" s="6" t="s">
        <v>803</v>
      </c>
      <c r="V148" s="4" t="s">
        <v>69</v>
      </c>
    </row>
    <row r="149" spans="1:22">
      <c r="A149" s="7" t="s">
        <v>804</v>
      </c>
      <c r="B149" s="8" t="s">
        <v>251</v>
      </c>
      <c r="C149" s="8" t="s">
        <v>169</v>
      </c>
      <c r="D149" s="8" t="s">
        <v>474</v>
      </c>
      <c r="E149" s="8" t="s">
        <v>464</v>
      </c>
      <c r="F149" s="8" t="s">
        <v>254</v>
      </c>
      <c r="G149" s="8" t="s">
        <v>28</v>
      </c>
      <c r="H149" s="8" t="s">
        <v>805</v>
      </c>
      <c r="I149" s="8" t="s">
        <v>294</v>
      </c>
      <c r="J149" s="8" t="s">
        <v>295</v>
      </c>
      <c r="K149" s="8" t="s">
        <v>32</v>
      </c>
      <c r="L149" s="8" t="s">
        <v>174</v>
      </c>
      <c r="M149" s="8">
        <v>5</v>
      </c>
      <c r="N149" s="8">
        <v>8500</v>
      </c>
      <c r="O149" s="8">
        <v>5</v>
      </c>
      <c r="P149" s="8">
        <v>40375</v>
      </c>
      <c r="Q149" s="8">
        <v>4</v>
      </c>
      <c r="R149" s="8" t="s">
        <v>34</v>
      </c>
      <c r="S149" s="8" t="s">
        <v>151</v>
      </c>
      <c r="T149" s="8" t="s">
        <v>256</v>
      </c>
      <c r="U149" s="9" t="s">
        <v>806</v>
      </c>
      <c r="V149" s="8" t="s">
        <v>38</v>
      </c>
    </row>
    <row r="150" spans="1:22">
      <c r="A150" s="3" t="s">
        <v>192</v>
      </c>
      <c r="B150" s="4" t="s">
        <v>100</v>
      </c>
      <c r="C150" s="4" t="s">
        <v>184</v>
      </c>
      <c r="D150" s="4" t="s">
        <v>246</v>
      </c>
      <c r="E150" s="4" t="s">
        <v>128</v>
      </c>
      <c r="F150" s="4" t="s">
        <v>103</v>
      </c>
      <c r="G150" s="4" t="s">
        <v>28</v>
      </c>
      <c r="H150" s="4" t="s">
        <v>807</v>
      </c>
      <c r="I150" s="4" t="s">
        <v>212</v>
      </c>
      <c r="J150" s="4" t="s">
        <v>45</v>
      </c>
      <c r="K150" s="4" t="s">
        <v>46</v>
      </c>
      <c r="L150" s="4" t="s">
        <v>189</v>
      </c>
      <c r="M150" s="4">
        <v>16</v>
      </c>
      <c r="N150" s="4">
        <v>700</v>
      </c>
      <c r="O150" s="4">
        <v>15</v>
      </c>
      <c r="P150" s="4">
        <v>9520</v>
      </c>
      <c r="Q150" s="4">
        <v>4</v>
      </c>
      <c r="R150" s="4" t="s">
        <v>79</v>
      </c>
      <c r="S150" s="4" t="s">
        <v>61</v>
      </c>
      <c r="T150" s="4" t="s">
        <v>144</v>
      </c>
      <c r="U150" s="6" t="s">
        <v>808</v>
      </c>
      <c r="V150" s="4" t="s">
        <v>38</v>
      </c>
    </row>
    <row r="151" spans="1:22">
      <c r="A151" s="7" t="s">
        <v>809</v>
      </c>
      <c r="B151" s="8" t="s">
        <v>127</v>
      </c>
      <c r="C151" s="8" t="s">
        <v>184</v>
      </c>
      <c r="D151" s="8" t="s">
        <v>489</v>
      </c>
      <c r="E151" s="8" t="s">
        <v>267</v>
      </c>
      <c r="F151" s="8" t="s">
        <v>200</v>
      </c>
      <c r="G151" s="8" t="s">
        <v>76</v>
      </c>
      <c r="H151" s="8" t="s">
        <v>810</v>
      </c>
      <c r="I151" s="8" t="s">
        <v>114</v>
      </c>
      <c r="J151" s="8" t="s">
        <v>106</v>
      </c>
      <c r="K151" s="8" t="s">
        <v>46</v>
      </c>
      <c r="L151" s="8" t="s">
        <v>189</v>
      </c>
      <c r="M151" s="8">
        <v>6</v>
      </c>
      <c r="N151" s="8">
        <v>700</v>
      </c>
      <c r="O151" s="8">
        <v>10</v>
      </c>
      <c r="P151" s="8">
        <v>3780</v>
      </c>
      <c r="Q151" s="8">
        <v>4</v>
      </c>
      <c r="R151" s="8" t="s">
        <v>34</v>
      </c>
      <c r="S151" s="8" t="s">
        <v>49</v>
      </c>
      <c r="T151" s="8" t="s">
        <v>132</v>
      </c>
      <c r="U151" s="9" t="s">
        <v>811</v>
      </c>
      <c r="V151" s="8" t="s">
        <v>69</v>
      </c>
    </row>
    <row r="152" spans="1:22">
      <c r="A152" s="3" t="s">
        <v>812</v>
      </c>
      <c r="B152" s="4" t="s">
        <v>53</v>
      </c>
      <c r="C152" s="4" t="s">
        <v>92</v>
      </c>
      <c r="D152" s="4" t="s">
        <v>518</v>
      </c>
      <c r="E152" s="4" t="s">
        <v>615</v>
      </c>
      <c r="F152" s="4" t="s">
        <v>163</v>
      </c>
      <c r="G152" s="4" t="s">
        <v>28</v>
      </c>
      <c r="H152" s="4" t="s">
        <v>813</v>
      </c>
      <c r="I152" s="4" t="s">
        <v>44</v>
      </c>
      <c r="J152" s="4" t="s">
        <v>45</v>
      </c>
      <c r="K152" s="4" t="s">
        <v>32</v>
      </c>
      <c r="L152" s="4" t="s">
        <v>97</v>
      </c>
      <c r="M152" s="4">
        <v>20</v>
      </c>
      <c r="N152" s="4">
        <v>3500</v>
      </c>
      <c r="O152" s="4">
        <v>10</v>
      </c>
      <c r="P152" s="4">
        <v>63000</v>
      </c>
      <c r="Q152" s="4">
        <v>4</v>
      </c>
      <c r="R152" s="4" t="s">
        <v>88</v>
      </c>
      <c r="S152" s="4" t="s">
        <v>49</v>
      </c>
      <c r="T152" s="4" t="s">
        <v>62</v>
      </c>
      <c r="U152" s="6" t="s">
        <v>814</v>
      </c>
      <c r="V152" s="4" t="s">
        <v>64</v>
      </c>
    </row>
    <row r="153" spans="1:22">
      <c r="A153" s="7" t="s">
        <v>815</v>
      </c>
      <c r="B153" s="8" t="s">
        <v>23</v>
      </c>
      <c r="C153" s="8" t="s">
        <v>222</v>
      </c>
      <c r="D153" s="8" t="s">
        <v>816</v>
      </c>
      <c r="E153" s="8" t="s">
        <v>817</v>
      </c>
      <c r="F153" s="8" t="s">
        <v>27</v>
      </c>
      <c r="G153" s="8" t="s">
        <v>28</v>
      </c>
      <c r="H153" s="8" t="s">
        <v>818</v>
      </c>
      <c r="I153" s="8" t="s">
        <v>59</v>
      </c>
      <c r="J153" s="8" t="s">
        <v>31</v>
      </c>
      <c r="K153" s="8" t="s">
        <v>122</v>
      </c>
      <c r="L153" s="8" t="s">
        <v>227</v>
      </c>
      <c r="M153" s="8">
        <v>2</v>
      </c>
      <c r="N153" s="8">
        <v>20</v>
      </c>
      <c r="O153" s="8">
        <v>10</v>
      </c>
      <c r="P153" s="8">
        <v>36</v>
      </c>
      <c r="Q153" s="8">
        <v>1</v>
      </c>
      <c r="R153" s="8" t="s">
        <v>48</v>
      </c>
      <c r="S153" s="8" t="s">
        <v>115</v>
      </c>
      <c r="T153" s="8" t="s">
        <v>50</v>
      </c>
      <c r="U153" s="9" t="s">
        <v>819</v>
      </c>
      <c r="V153" s="8" t="s">
        <v>64</v>
      </c>
    </row>
    <row r="154" spans="1:22">
      <c r="A154" s="3" t="s">
        <v>820</v>
      </c>
      <c r="B154" s="4" t="s">
        <v>100</v>
      </c>
      <c r="C154" s="4" t="s">
        <v>24</v>
      </c>
      <c r="D154" s="4" t="s">
        <v>779</v>
      </c>
      <c r="E154" s="4" t="s">
        <v>821</v>
      </c>
      <c r="F154" s="4" t="s">
        <v>103</v>
      </c>
      <c r="G154" s="4" t="s">
        <v>28</v>
      </c>
      <c r="H154" s="4" t="s">
        <v>822</v>
      </c>
      <c r="I154" s="4" t="s">
        <v>114</v>
      </c>
      <c r="J154" s="4" t="s">
        <v>106</v>
      </c>
      <c r="K154" s="4" t="s">
        <v>32</v>
      </c>
      <c r="L154" s="4" t="s">
        <v>33</v>
      </c>
      <c r="M154" s="4">
        <v>16</v>
      </c>
      <c r="N154" s="4">
        <v>2200</v>
      </c>
      <c r="O154" s="4">
        <v>20</v>
      </c>
      <c r="P154" s="4">
        <v>28160</v>
      </c>
      <c r="Q154" s="4">
        <v>2</v>
      </c>
      <c r="R154" s="4" t="s">
        <v>88</v>
      </c>
      <c r="S154" s="4" t="s">
        <v>151</v>
      </c>
      <c r="T154" s="4" t="s">
        <v>144</v>
      </c>
      <c r="U154" s="6" t="s">
        <v>823</v>
      </c>
      <c r="V154" s="4" t="s">
        <v>64</v>
      </c>
    </row>
    <row r="155" spans="1:22">
      <c r="A155" s="7" t="s">
        <v>824</v>
      </c>
      <c r="B155" s="8" t="s">
        <v>221</v>
      </c>
      <c r="C155" s="8" t="s">
        <v>40</v>
      </c>
      <c r="D155" s="8" t="s">
        <v>148</v>
      </c>
      <c r="E155" s="8" t="s">
        <v>825</v>
      </c>
      <c r="F155" s="8" t="s">
        <v>225</v>
      </c>
      <c r="G155" s="8" t="s">
        <v>76</v>
      </c>
      <c r="H155" s="8" t="s">
        <v>826</v>
      </c>
      <c r="I155" s="8" t="s">
        <v>114</v>
      </c>
      <c r="J155" s="8" t="s">
        <v>106</v>
      </c>
      <c r="K155" s="8" t="s">
        <v>46</v>
      </c>
      <c r="L155" s="8" t="s">
        <v>47</v>
      </c>
      <c r="M155" s="8">
        <v>15</v>
      </c>
      <c r="N155" s="8">
        <v>12000</v>
      </c>
      <c r="O155" s="8">
        <v>0</v>
      </c>
      <c r="P155" s="8">
        <v>180000</v>
      </c>
      <c r="Q155" s="8">
        <v>1</v>
      </c>
      <c r="R155" s="8" t="s">
        <v>79</v>
      </c>
      <c r="S155" s="8" t="s">
        <v>61</v>
      </c>
      <c r="T155" s="8" t="s">
        <v>228</v>
      </c>
      <c r="U155" s="9" t="s">
        <v>827</v>
      </c>
      <c r="V155" s="8" t="s">
        <v>64</v>
      </c>
    </row>
    <row r="156" spans="1:22">
      <c r="A156" s="3" t="s">
        <v>828</v>
      </c>
      <c r="B156" s="4" t="s">
        <v>23</v>
      </c>
      <c r="C156" s="4" t="s">
        <v>118</v>
      </c>
      <c r="D156" s="4" t="s">
        <v>829</v>
      </c>
      <c r="E156" s="4" t="s">
        <v>830</v>
      </c>
      <c r="F156" s="4" t="s">
        <v>27</v>
      </c>
      <c r="G156" s="4" t="s">
        <v>28</v>
      </c>
      <c r="H156" s="4" t="s">
        <v>831</v>
      </c>
      <c r="I156" s="4" t="s">
        <v>44</v>
      </c>
      <c r="J156" s="4" t="s">
        <v>45</v>
      </c>
      <c r="K156" s="4" t="s">
        <v>122</v>
      </c>
      <c r="L156" s="4" t="s">
        <v>123</v>
      </c>
      <c r="M156" s="4">
        <v>14</v>
      </c>
      <c r="N156" s="4">
        <v>60</v>
      </c>
      <c r="O156" s="4">
        <v>15</v>
      </c>
      <c r="P156" s="4">
        <v>714</v>
      </c>
      <c r="Q156" s="4">
        <v>4</v>
      </c>
      <c r="R156" s="4" t="s">
        <v>88</v>
      </c>
      <c r="S156" s="4" t="s">
        <v>49</v>
      </c>
      <c r="T156" s="4" t="s">
        <v>50</v>
      </c>
      <c r="U156" s="6" t="s">
        <v>832</v>
      </c>
      <c r="V156" s="4" t="s">
        <v>38</v>
      </c>
    </row>
    <row r="157" spans="1:22">
      <c r="A157" s="7" t="s">
        <v>833</v>
      </c>
      <c r="B157" s="8" t="s">
        <v>53</v>
      </c>
      <c r="C157" s="8" t="s">
        <v>72</v>
      </c>
      <c r="D157" s="8" t="s">
        <v>834</v>
      </c>
      <c r="E157" s="8" t="s">
        <v>835</v>
      </c>
      <c r="F157" s="8" t="s">
        <v>163</v>
      </c>
      <c r="G157" s="8" t="s">
        <v>28</v>
      </c>
      <c r="H157" s="8" t="s">
        <v>836</v>
      </c>
      <c r="I157" s="8" t="s">
        <v>30</v>
      </c>
      <c r="J157" s="8" t="s">
        <v>31</v>
      </c>
      <c r="K157" s="8" t="s">
        <v>46</v>
      </c>
      <c r="L157" s="8" t="s">
        <v>78</v>
      </c>
      <c r="M157" s="8">
        <v>9</v>
      </c>
      <c r="N157" s="8">
        <v>1200</v>
      </c>
      <c r="O157" s="8">
        <v>5</v>
      </c>
      <c r="P157" s="8">
        <v>10260</v>
      </c>
      <c r="Q157" s="8">
        <v>5</v>
      </c>
      <c r="R157" s="8" t="s">
        <v>48</v>
      </c>
      <c r="S157" s="8" t="s">
        <v>61</v>
      </c>
      <c r="T157" s="8" t="s">
        <v>62</v>
      </c>
      <c r="U157" s="9" t="s">
        <v>837</v>
      </c>
      <c r="V157" s="8" t="s">
        <v>64</v>
      </c>
    </row>
    <row r="158" spans="1:22">
      <c r="A158" s="3" t="s">
        <v>838</v>
      </c>
      <c r="B158" s="4" t="s">
        <v>221</v>
      </c>
      <c r="C158" s="4" t="s">
        <v>72</v>
      </c>
      <c r="D158" s="4" t="s">
        <v>821</v>
      </c>
      <c r="E158" s="4" t="s">
        <v>839</v>
      </c>
      <c r="F158" s="4" t="s">
        <v>225</v>
      </c>
      <c r="G158" s="4" t="s">
        <v>76</v>
      </c>
      <c r="H158" s="4" t="s">
        <v>840</v>
      </c>
      <c r="I158" s="4" t="s">
        <v>294</v>
      </c>
      <c r="J158" s="4" t="s">
        <v>295</v>
      </c>
      <c r="K158" s="4" t="s">
        <v>46</v>
      </c>
      <c r="L158" s="4" t="s">
        <v>78</v>
      </c>
      <c r="M158" s="4">
        <v>3</v>
      </c>
      <c r="N158" s="4">
        <v>1200</v>
      </c>
      <c r="O158" s="4">
        <v>10</v>
      </c>
      <c r="P158" s="4">
        <v>3240</v>
      </c>
      <c r="Q158" s="4">
        <v>2</v>
      </c>
      <c r="R158" s="4" t="s">
        <v>79</v>
      </c>
      <c r="S158" s="4" t="s">
        <v>151</v>
      </c>
      <c r="T158" s="4" t="s">
        <v>228</v>
      </c>
      <c r="U158" s="6" t="s">
        <v>841</v>
      </c>
      <c r="V158" s="4" t="s">
        <v>69</v>
      </c>
    </row>
    <row r="159" spans="1:22">
      <c r="A159" s="7" t="s">
        <v>842</v>
      </c>
      <c r="B159" s="8" t="s">
        <v>327</v>
      </c>
      <c r="C159" s="8" t="s">
        <v>118</v>
      </c>
      <c r="D159" s="8" t="s">
        <v>459</v>
      </c>
      <c r="E159" s="8" t="s">
        <v>577</v>
      </c>
      <c r="F159" s="8" t="s">
        <v>394</v>
      </c>
      <c r="G159" s="8" t="s">
        <v>76</v>
      </c>
      <c r="H159" s="8" t="s">
        <v>843</v>
      </c>
      <c r="I159" s="8" t="s">
        <v>30</v>
      </c>
      <c r="J159" s="8" t="s">
        <v>31</v>
      </c>
      <c r="K159" s="8" t="s">
        <v>122</v>
      </c>
      <c r="L159" s="8" t="s">
        <v>123</v>
      </c>
      <c r="M159" s="8">
        <v>2</v>
      </c>
      <c r="N159" s="8">
        <v>60</v>
      </c>
      <c r="O159" s="8">
        <v>10</v>
      </c>
      <c r="P159" s="8">
        <v>108</v>
      </c>
      <c r="Q159" s="8">
        <v>2</v>
      </c>
      <c r="R159" s="8" t="s">
        <v>88</v>
      </c>
      <c r="S159" s="8" t="s">
        <v>61</v>
      </c>
      <c r="T159" s="8" t="s">
        <v>332</v>
      </c>
      <c r="U159" s="9" t="s">
        <v>844</v>
      </c>
      <c r="V159" s="8" t="s">
        <v>38</v>
      </c>
    </row>
    <row r="160" spans="1:22">
      <c r="A160" s="3" t="s">
        <v>845</v>
      </c>
      <c r="B160" s="4" t="s">
        <v>71</v>
      </c>
      <c r="C160" s="4" t="s">
        <v>92</v>
      </c>
      <c r="D160" s="4" t="s">
        <v>426</v>
      </c>
      <c r="E160" s="4" t="s">
        <v>846</v>
      </c>
      <c r="F160" s="4" t="s">
        <v>217</v>
      </c>
      <c r="G160" s="4" t="s">
        <v>76</v>
      </c>
      <c r="H160" s="4" t="s">
        <v>847</v>
      </c>
      <c r="I160" s="4" t="s">
        <v>44</v>
      </c>
      <c r="J160" s="4" t="s">
        <v>45</v>
      </c>
      <c r="K160" s="4" t="s">
        <v>32</v>
      </c>
      <c r="L160" s="4" t="s">
        <v>97</v>
      </c>
      <c r="M160" s="4">
        <v>9</v>
      </c>
      <c r="N160" s="4">
        <v>3500</v>
      </c>
      <c r="O160" s="4">
        <v>20</v>
      </c>
      <c r="P160" s="4">
        <v>25200</v>
      </c>
      <c r="Q160" s="4">
        <v>1</v>
      </c>
      <c r="R160" s="4" t="s">
        <v>48</v>
      </c>
      <c r="S160" s="4" t="s">
        <v>35</v>
      </c>
      <c r="T160" s="4" t="s">
        <v>80</v>
      </c>
      <c r="U160" s="6" t="s">
        <v>848</v>
      </c>
      <c r="V160" s="4" t="s">
        <v>38</v>
      </c>
    </row>
    <row r="161" spans="1:22">
      <c r="A161" s="7" t="s">
        <v>849</v>
      </c>
      <c r="B161" s="8" t="s">
        <v>221</v>
      </c>
      <c r="C161" s="8" t="s">
        <v>54</v>
      </c>
      <c r="D161" s="8" t="s">
        <v>241</v>
      </c>
      <c r="E161" s="8" t="s">
        <v>543</v>
      </c>
      <c r="F161" s="8" t="s">
        <v>225</v>
      </c>
      <c r="G161" s="8" t="s">
        <v>76</v>
      </c>
      <c r="H161" s="8" t="s">
        <v>850</v>
      </c>
      <c r="I161" s="8" t="s">
        <v>212</v>
      </c>
      <c r="J161" s="8" t="s">
        <v>45</v>
      </c>
      <c r="K161" s="8" t="s">
        <v>46</v>
      </c>
      <c r="L161" s="8" t="s">
        <v>60</v>
      </c>
      <c r="M161" s="8">
        <v>4</v>
      </c>
      <c r="N161" s="8">
        <v>55000</v>
      </c>
      <c r="O161" s="8">
        <v>5</v>
      </c>
      <c r="P161" s="8">
        <v>209000</v>
      </c>
      <c r="Q161" s="8">
        <v>2</v>
      </c>
      <c r="R161" s="8" t="s">
        <v>34</v>
      </c>
      <c r="S161" s="8" t="s">
        <v>151</v>
      </c>
      <c r="T161" s="8" t="s">
        <v>228</v>
      </c>
      <c r="U161" s="9" t="s">
        <v>851</v>
      </c>
      <c r="V161" s="8" t="s">
        <v>64</v>
      </c>
    </row>
    <row r="162" spans="1:22">
      <c r="A162" s="3" t="s">
        <v>852</v>
      </c>
      <c r="B162" s="4" t="s">
        <v>327</v>
      </c>
      <c r="C162" s="4" t="s">
        <v>184</v>
      </c>
      <c r="D162" s="4" t="s">
        <v>488</v>
      </c>
      <c r="E162" s="4" t="s">
        <v>266</v>
      </c>
      <c r="F162" s="4" t="s">
        <v>853</v>
      </c>
      <c r="G162" s="4" t="s">
        <v>76</v>
      </c>
      <c r="H162" s="4" t="s">
        <v>854</v>
      </c>
      <c r="I162" s="4" t="s">
        <v>44</v>
      </c>
      <c r="J162" s="4" t="s">
        <v>45</v>
      </c>
      <c r="K162" s="4" t="s">
        <v>46</v>
      </c>
      <c r="L162" s="4" t="s">
        <v>189</v>
      </c>
      <c r="M162" s="4">
        <v>11</v>
      </c>
      <c r="N162" s="4">
        <v>700</v>
      </c>
      <c r="O162" s="4">
        <v>20</v>
      </c>
      <c r="P162" s="4">
        <v>6160</v>
      </c>
      <c r="Q162" s="4">
        <v>4</v>
      </c>
      <c r="R162" s="4" t="s">
        <v>34</v>
      </c>
      <c r="S162" s="4" t="s">
        <v>151</v>
      </c>
      <c r="T162" s="4" t="s">
        <v>332</v>
      </c>
      <c r="U162" s="6" t="s">
        <v>855</v>
      </c>
      <c r="V162" s="4" t="s">
        <v>69</v>
      </c>
    </row>
    <row r="163" spans="1:22">
      <c r="A163" s="7" t="s">
        <v>856</v>
      </c>
      <c r="B163" s="8" t="s">
        <v>168</v>
      </c>
      <c r="C163" s="8" t="s">
        <v>72</v>
      </c>
      <c r="D163" s="8" t="s">
        <v>286</v>
      </c>
      <c r="E163" s="8" t="s">
        <v>816</v>
      </c>
      <c r="F163" s="8" t="s">
        <v>361</v>
      </c>
      <c r="G163" s="8" t="s">
        <v>28</v>
      </c>
      <c r="H163" s="8" t="s">
        <v>857</v>
      </c>
      <c r="I163" s="8" t="s">
        <v>294</v>
      </c>
      <c r="J163" s="8" t="s">
        <v>295</v>
      </c>
      <c r="K163" s="8" t="s">
        <v>46</v>
      </c>
      <c r="L163" s="8" t="s">
        <v>78</v>
      </c>
      <c r="M163" s="8">
        <v>16</v>
      </c>
      <c r="N163" s="8">
        <v>1200</v>
      </c>
      <c r="O163" s="8">
        <v>5</v>
      </c>
      <c r="P163" s="8">
        <v>18240</v>
      </c>
      <c r="Q163" s="8">
        <v>1</v>
      </c>
      <c r="R163" s="8" t="s">
        <v>79</v>
      </c>
      <c r="S163" s="8" t="s">
        <v>35</v>
      </c>
      <c r="T163" s="8" t="s">
        <v>175</v>
      </c>
      <c r="U163" s="9" t="s">
        <v>858</v>
      </c>
      <c r="V163" s="8" t="s">
        <v>64</v>
      </c>
    </row>
    <row r="164" spans="1:22">
      <c r="A164" s="3" t="s">
        <v>859</v>
      </c>
      <c r="B164" s="4" t="s">
        <v>168</v>
      </c>
      <c r="C164" s="4" t="s">
        <v>72</v>
      </c>
      <c r="D164" s="4" t="s">
        <v>548</v>
      </c>
      <c r="E164" s="4" t="s">
        <v>860</v>
      </c>
      <c r="F164" s="4" t="s">
        <v>361</v>
      </c>
      <c r="G164" s="4" t="s">
        <v>28</v>
      </c>
      <c r="H164" s="4" t="s">
        <v>861</v>
      </c>
      <c r="I164" s="4" t="s">
        <v>114</v>
      </c>
      <c r="J164" s="4" t="s">
        <v>106</v>
      </c>
      <c r="K164" s="4" t="s">
        <v>46</v>
      </c>
      <c r="L164" s="4" t="s">
        <v>78</v>
      </c>
      <c r="M164" s="4">
        <v>1</v>
      </c>
      <c r="N164" s="4">
        <v>1200</v>
      </c>
      <c r="O164" s="4">
        <v>5</v>
      </c>
      <c r="P164" s="4">
        <v>1140</v>
      </c>
      <c r="Q164" s="4">
        <v>4</v>
      </c>
      <c r="R164" s="4" t="s">
        <v>79</v>
      </c>
      <c r="S164" s="4" t="s">
        <v>35</v>
      </c>
      <c r="T164" s="4" t="s">
        <v>175</v>
      </c>
      <c r="U164" s="6" t="s">
        <v>862</v>
      </c>
      <c r="V164" s="4" t="s">
        <v>38</v>
      </c>
    </row>
    <row r="165" spans="1:22">
      <c r="A165" s="7" t="s">
        <v>863</v>
      </c>
      <c r="B165" s="8" t="s">
        <v>327</v>
      </c>
      <c r="C165" s="8" t="s">
        <v>118</v>
      </c>
      <c r="D165" s="8" t="s">
        <v>864</v>
      </c>
      <c r="E165" s="8" t="s">
        <v>865</v>
      </c>
      <c r="F165" s="8" t="s">
        <v>853</v>
      </c>
      <c r="G165" s="8" t="s">
        <v>76</v>
      </c>
      <c r="H165" s="8" t="s">
        <v>866</v>
      </c>
      <c r="I165" s="8" t="s">
        <v>212</v>
      </c>
      <c r="J165" s="8" t="s">
        <v>45</v>
      </c>
      <c r="K165" s="8" t="s">
        <v>122</v>
      </c>
      <c r="L165" s="8" t="s">
        <v>123</v>
      </c>
      <c r="M165" s="8">
        <v>7</v>
      </c>
      <c r="N165" s="8">
        <v>60</v>
      </c>
      <c r="O165" s="8">
        <v>0</v>
      </c>
      <c r="P165" s="8">
        <v>420</v>
      </c>
      <c r="Q165" s="8">
        <v>2</v>
      </c>
      <c r="R165" s="8" t="s">
        <v>88</v>
      </c>
      <c r="S165" s="8" t="s">
        <v>151</v>
      </c>
      <c r="T165" s="8" t="s">
        <v>332</v>
      </c>
      <c r="U165" s="9" t="s">
        <v>867</v>
      </c>
      <c r="V165" s="8" t="s">
        <v>38</v>
      </c>
    </row>
    <row r="166" spans="1:22">
      <c r="A166" s="3" t="s">
        <v>868</v>
      </c>
      <c r="B166" s="4" t="s">
        <v>168</v>
      </c>
      <c r="C166" s="4" t="s">
        <v>24</v>
      </c>
      <c r="D166" s="4" t="s">
        <v>205</v>
      </c>
      <c r="E166" s="4" t="s">
        <v>513</v>
      </c>
      <c r="F166" s="4" t="s">
        <v>361</v>
      </c>
      <c r="G166" s="4" t="s">
        <v>28</v>
      </c>
      <c r="H166" s="4" t="s">
        <v>869</v>
      </c>
      <c r="I166" s="4" t="s">
        <v>114</v>
      </c>
      <c r="J166" s="4" t="s">
        <v>106</v>
      </c>
      <c r="K166" s="4" t="s">
        <v>32</v>
      </c>
      <c r="L166" s="4" t="s">
        <v>33</v>
      </c>
      <c r="M166" s="4">
        <v>14</v>
      </c>
      <c r="N166" s="4">
        <v>2200</v>
      </c>
      <c r="O166" s="4">
        <v>0</v>
      </c>
      <c r="P166" s="4">
        <v>30800</v>
      </c>
      <c r="Q166" s="4">
        <v>2</v>
      </c>
      <c r="R166" s="4" t="s">
        <v>88</v>
      </c>
      <c r="S166" s="4" t="s">
        <v>35</v>
      </c>
      <c r="T166" s="4" t="s">
        <v>175</v>
      </c>
      <c r="U166" s="6" t="s">
        <v>870</v>
      </c>
      <c r="V166" s="4" t="s">
        <v>69</v>
      </c>
    </row>
    <row r="167" spans="1:22">
      <c r="A167" s="7" t="s">
        <v>871</v>
      </c>
      <c r="B167" s="8" t="s">
        <v>168</v>
      </c>
      <c r="C167" s="8" t="s">
        <v>92</v>
      </c>
      <c r="D167" s="8" t="s">
        <v>872</v>
      </c>
      <c r="E167" s="8" t="s">
        <v>488</v>
      </c>
      <c r="F167" s="8" t="s">
        <v>361</v>
      </c>
      <c r="G167" s="8" t="s">
        <v>28</v>
      </c>
      <c r="H167" s="8" t="s">
        <v>873</v>
      </c>
      <c r="I167" s="8" t="s">
        <v>138</v>
      </c>
      <c r="J167" s="8" t="s">
        <v>106</v>
      </c>
      <c r="K167" s="8" t="s">
        <v>32</v>
      </c>
      <c r="L167" s="8" t="s">
        <v>97</v>
      </c>
      <c r="M167" s="8">
        <v>15</v>
      </c>
      <c r="N167" s="8">
        <v>3500</v>
      </c>
      <c r="O167" s="8">
        <v>15</v>
      </c>
      <c r="P167" s="8">
        <v>44625</v>
      </c>
      <c r="Q167" s="8">
        <v>2</v>
      </c>
      <c r="R167" s="8" t="s">
        <v>88</v>
      </c>
      <c r="S167" s="8" t="s">
        <v>61</v>
      </c>
      <c r="T167" s="8" t="s">
        <v>175</v>
      </c>
      <c r="U167" s="9" t="s">
        <v>874</v>
      </c>
      <c r="V167" s="8" t="s">
        <v>64</v>
      </c>
    </row>
    <row r="168" spans="1:22">
      <c r="A168" s="3" t="s">
        <v>875</v>
      </c>
      <c r="B168" s="4" t="s">
        <v>127</v>
      </c>
      <c r="C168" s="4" t="s">
        <v>92</v>
      </c>
      <c r="D168" s="4" t="s">
        <v>876</v>
      </c>
      <c r="E168" s="4" t="s">
        <v>877</v>
      </c>
      <c r="F168" s="4" t="s">
        <v>200</v>
      </c>
      <c r="G168" s="4" t="s">
        <v>76</v>
      </c>
      <c r="H168" s="4" t="s">
        <v>878</v>
      </c>
      <c r="I168" s="4" t="s">
        <v>294</v>
      </c>
      <c r="J168" s="4" t="s">
        <v>295</v>
      </c>
      <c r="K168" s="4" t="s">
        <v>32</v>
      </c>
      <c r="L168" s="4" t="s">
        <v>97</v>
      </c>
      <c r="M168" s="4">
        <v>19</v>
      </c>
      <c r="N168" s="4">
        <v>3500</v>
      </c>
      <c r="O168" s="4">
        <v>5</v>
      </c>
      <c r="P168" s="4">
        <v>63175</v>
      </c>
      <c r="Q168" s="4">
        <v>2</v>
      </c>
      <c r="R168" s="4" t="s">
        <v>34</v>
      </c>
      <c r="S168" s="4" t="s">
        <v>115</v>
      </c>
      <c r="T168" s="4" t="s">
        <v>132</v>
      </c>
      <c r="U168" s="6" t="s">
        <v>879</v>
      </c>
      <c r="V168" s="4" t="s">
        <v>69</v>
      </c>
    </row>
    <row r="169" spans="1:22">
      <c r="A169" s="7" t="s">
        <v>880</v>
      </c>
      <c r="B169" s="8" t="s">
        <v>327</v>
      </c>
      <c r="C169" s="8" t="s">
        <v>54</v>
      </c>
      <c r="D169" s="8" t="s">
        <v>881</v>
      </c>
      <c r="E169" s="8" t="s">
        <v>640</v>
      </c>
      <c r="F169" s="8" t="s">
        <v>394</v>
      </c>
      <c r="G169" s="8" t="s">
        <v>76</v>
      </c>
      <c r="H169" s="8" t="s">
        <v>882</v>
      </c>
      <c r="I169" s="8" t="s">
        <v>59</v>
      </c>
      <c r="J169" s="8" t="s">
        <v>31</v>
      </c>
      <c r="K169" s="8" t="s">
        <v>46</v>
      </c>
      <c r="L169" s="8" t="s">
        <v>60</v>
      </c>
      <c r="M169" s="8">
        <v>12</v>
      </c>
      <c r="N169" s="8">
        <v>55000</v>
      </c>
      <c r="O169" s="8">
        <v>5</v>
      </c>
      <c r="P169" s="8">
        <v>627000</v>
      </c>
      <c r="Q169" s="8">
        <v>4</v>
      </c>
      <c r="R169" s="8" t="s">
        <v>79</v>
      </c>
      <c r="S169" s="8" t="s">
        <v>61</v>
      </c>
      <c r="T169" s="8" t="s">
        <v>332</v>
      </c>
      <c r="U169" s="9" t="s">
        <v>883</v>
      </c>
      <c r="V169" s="8" t="s">
        <v>69</v>
      </c>
    </row>
    <row r="170" spans="1:22">
      <c r="A170" s="3" t="s">
        <v>884</v>
      </c>
      <c r="B170" s="4" t="s">
        <v>53</v>
      </c>
      <c r="C170" s="4" t="s">
        <v>72</v>
      </c>
      <c r="D170" s="4" t="s">
        <v>587</v>
      </c>
      <c r="E170" s="4" t="s">
        <v>483</v>
      </c>
      <c r="F170" s="4" t="s">
        <v>163</v>
      </c>
      <c r="G170" s="4" t="s">
        <v>28</v>
      </c>
      <c r="H170" s="4" t="s">
        <v>885</v>
      </c>
      <c r="I170" s="4" t="s">
        <v>105</v>
      </c>
      <c r="J170" s="4" t="s">
        <v>106</v>
      </c>
      <c r="K170" s="4" t="s">
        <v>46</v>
      </c>
      <c r="L170" s="4" t="s">
        <v>78</v>
      </c>
      <c r="M170" s="4">
        <v>6</v>
      </c>
      <c r="N170" s="4">
        <v>1200</v>
      </c>
      <c r="O170" s="4">
        <v>10</v>
      </c>
      <c r="P170" s="4">
        <v>6480</v>
      </c>
      <c r="Q170" s="4">
        <v>5</v>
      </c>
      <c r="R170" s="4" t="s">
        <v>48</v>
      </c>
      <c r="S170" s="4" t="s">
        <v>115</v>
      </c>
      <c r="T170" s="4" t="s">
        <v>62</v>
      </c>
      <c r="U170" s="6" t="s">
        <v>886</v>
      </c>
      <c r="V170" s="4" t="s">
        <v>69</v>
      </c>
    </row>
    <row r="171" spans="1:22">
      <c r="A171" s="7" t="s">
        <v>887</v>
      </c>
      <c r="B171" s="8" t="s">
        <v>251</v>
      </c>
      <c r="C171" s="8" t="s">
        <v>169</v>
      </c>
      <c r="D171" s="8" t="s">
        <v>128</v>
      </c>
      <c r="E171" s="8" t="s">
        <v>247</v>
      </c>
      <c r="F171" s="8" t="s">
        <v>254</v>
      </c>
      <c r="G171" s="8" t="s">
        <v>28</v>
      </c>
      <c r="H171" s="8" t="s">
        <v>888</v>
      </c>
      <c r="I171" s="8" t="s">
        <v>30</v>
      </c>
      <c r="J171" s="8" t="s">
        <v>31</v>
      </c>
      <c r="K171" s="8" t="s">
        <v>32</v>
      </c>
      <c r="L171" s="8" t="s">
        <v>174</v>
      </c>
      <c r="M171" s="8">
        <v>1</v>
      </c>
      <c r="N171" s="8">
        <v>8500</v>
      </c>
      <c r="O171" s="8">
        <v>0</v>
      </c>
      <c r="P171" s="8">
        <v>8500</v>
      </c>
      <c r="Q171" s="8">
        <v>1</v>
      </c>
      <c r="R171" s="8" t="s">
        <v>88</v>
      </c>
      <c r="S171" s="8" t="s">
        <v>151</v>
      </c>
      <c r="T171" s="8" t="s">
        <v>256</v>
      </c>
      <c r="U171" s="9" t="s">
        <v>889</v>
      </c>
      <c r="V171" s="8" t="s">
        <v>69</v>
      </c>
    </row>
    <row r="172" spans="1:22">
      <c r="A172" s="3" t="s">
        <v>890</v>
      </c>
      <c r="B172" s="4" t="s">
        <v>127</v>
      </c>
      <c r="C172" s="4" t="s">
        <v>54</v>
      </c>
      <c r="D172" s="4" t="s">
        <v>891</v>
      </c>
      <c r="E172" s="4" t="s">
        <v>892</v>
      </c>
      <c r="F172" s="4" t="s">
        <v>200</v>
      </c>
      <c r="G172" s="4" t="s">
        <v>76</v>
      </c>
      <c r="H172" s="4" t="s">
        <v>893</v>
      </c>
      <c r="I172" s="4" t="s">
        <v>138</v>
      </c>
      <c r="J172" s="4" t="s">
        <v>106</v>
      </c>
      <c r="K172" s="4" t="s">
        <v>46</v>
      </c>
      <c r="L172" s="4" t="s">
        <v>60</v>
      </c>
      <c r="M172" s="4">
        <v>20</v>
      </c>
      <c r="N172" s="4">
        <v>55000</v>
      </c>
      <c r="O172" s="4">
        <v>10</v>
      </c>
      <c r="P172" s="4">
        <v>990000</v>
      </c>
      <c r="Q172" s="4">
        <v>5</v>
      </c>
      <c r="R172" s="4" t="s">
        <v>48</v>
      </c>
      <c r="S172" s="4" t="s">
        <v>151</v>
      </c>
      <c r="T172" s="4" t="s">
        <v>132</v>
      </c>
      <c r="U172" s="6" t="s">
        <v>894</v>
      </c>
      <c r="V172" s="4" t="s">
        <v>38</v>
      </c>
    </row>
    <row r="173" spans="1:22">
      <c r="A173" s="7" t="s">
        <v>895</v>
      </c>
      <c r="B173" s="8" t="s">
        <v>221</v>
      </c>
      <c r="C173" s="8" t="s">
        <v>72</v>
      </c>
      <c r="D173" s="8" t="s">
        <v>661</v>
      </c>
      <c r="E173" s="8" t="s">
        <v>896</v>
      </c>
      <c r="F173" s="8" t="s">
        <v>225</v>
      </c>
      <c r="G173" s="8" t="s">
        <v>76</v>
      </c>
      <c r="H173" s="8" t="s">
        <v>897</v>
      </c>
      <c r="I173" s="8" t="s">
        <v>138</v>
      </c>
      <c r="J173" s="8" t="s">
        <v>106</v>
      </c>
      <c r="K173" s="8" t="s">
        <v>46</v>
      </c>
      <c r="L173" s="8" t="s">
        <v>78</v>
      </c>
      <c r="M173" s="8">
        <v>8</v>
      </c>
      <c r="N173" s="8">
        <v>1200</v>
      </c>
      <c r="O173" s="8">
        <v>15</v>
      </c>
      <c r="P173" s="8">
        <v>8160</v>
      </c>
      <c r="Q173" s="8">
        <v>2</v>
      </c>
      <c r="R173" s="8" t="s">
        <v>88</v>
      </c>
      <c r="S173" s="8" t="s">
        <v>115</v>
      </c>
      <c r="T173" s="8" t="s">
        <v>228</v>
      </c>
      <c r="U173" s="9" t="s">
        <v>898</v>
      </c>
      <c r="V173" s="8" t="s">
        <v>69</v>
      </c>
    </row>
    <row r="174" spans="1:22">
      <c r="A174" s="3" t="s">
        <v>899</v>
      </c>
      <c r="B174" s="4" t="s">
        <v>23</v>
      </c>
      <c r="C174" s="4" t="s">
        <v>92</v>
      </c>
      <c r="D174" s="4" t="s">
        <v>900</v>
      </c>
      <c r="E174" s="4" t="s">
        <v>901</v>
      </c>
      <c r="F174" s="4" t="s">
        <v>27</v>
      </c>
      <c r="G174" s="4" t="s">
        <v>28</v>
      </c>
      <c r="H174" s="4" t="s">
        <v>902</v>
      </c>
      <c r="I174" s="4" t="s">
        <v>212</v>
      </c>
      <c r="J174" s="4" t="s">
        <v>45</v>
      </c>
      <c r="K174" s="4" t="s">
        <v>32</v>
      </c>
      <c r="L174" s="4" t="s">
        <v>97</v>
      </c>
      <c r="M174" s="4">
        <v>19</v>
      </c>
      <c r="N174" s="4">
        <v>3500</v>
      </c>
      <c r="O174" s="4">
        <v>5</v>
      </c>
      <c r="P174" s="4">
        <v>63175</v>
      </c>
      <c r="Q174" s="4">
        <v>4</v>
      </c>
      <c r="R174" s="4" t="s">
        <v>88</v>
      </c>
      <c r="S174" s="4" t="s">
        <v>49</v>
      </c>
      <c r="T174" s="4" t="s">
        <v>50</v>
      </c>
      <c r="U174" s="6" t="s">
        <v>903</v>
      </c>
      <c r="V174" s="4" t="s">
        <v>64</v>
      </c>
    </row>
    <row r="175" spans="1:22">
      <c r="A175" s="7" t="s">
        <v>904</v>
      </c>
      <c r="B175" s="8" t="s">
        <v>221</v>
      </c>
      <c r="C175" s="8" t="s">
        <v>259</v>
      </c>
      <c r="D175" s="8" t="s">
        <v>41</v>
      </c>
      <c r="E175" s="8" t="s">
        <v>606</v>
      </c>
      <c r="F175" s="8" t="s">
        <v>905</v>
      </c>
      <c r="G175" s="8" t="s">
        <v>76</v>
      </c>
      <c r="H175" s="8" t="s">
        <v>906</v>
      </c>
      <c r="I175" s="8" t="s">
        <v>212</v>
      </c>
      <c r="J175" s="8" t="s">
        <v>45</v>
      </c>
      <c r="K175" s="8" t="s">
        <v>122</v>
      </c>
      <c r="L175" s="8" t="s">
        <v>263</v>
      </c>
      <c r="M175" s="8">
        <v>6</v>
      </c>
      <c r="N175" s="8">
        <v>45</v>
      </c>
      <c r="O175" s="8">
        <v>20</v>
      </c>
      <c r="P175" s="8">
        <v>216</v>
      </c>
      <c r="Q175" s="8">
        <v>1</v>
      </c>
      <c r="R175" s="8" t="s">
        <v>79</v>
      </c>
      <c r="S175" s="8" t="s">
        <v>49</v>
      </c>
      <c r="T175" s="8" t="s">
        <v>907</v>
      </c>
      <c r="U175" s="9" t="s">
        <v>908</v>
      </c>
      <c r="V175" s="8" t="s">
        <v>64</v>
      </c>
    </row>
    <row r="176" spans="1:22">
      <c r="A176" s="3" t="s">
        <v>909</v>
      </c>
      <c r="B176" s="4" t="s">
        <v>251</v>
      </c>
      <c r="C176" s="4" t="s">
        <v>259</v>
      </c>
      <c r="D176" s="4" t="s">
        <v>910</v>
      </c>
      <c r="E176" s="4" t="s">
        <v>119</v>
      </c>
      <c r="F176" s="4" t="s">
        <v>254</v>
      </c>
      <c r="G176" s="4" t="s">
        <v>28</v>
      </c>
      <c r="H176" s="4" t="s">
        <v>911</v>
      </c>
      <c r="I176" s="4" t="s">
        <v>114</v>
      </c>
      <c r="J176" s="4" t="s">
        <v>106</v>
      </c>
      <c r="K176" s="4" t="s">
        <v>122</v>
      </c>
      <c r="L176" s="4" t="s">
        <v>263</v>
      </c>
      <c r="M176" s="4">
        <v>17</v>
      </c>
      <c r="N176" s="4">
        <v>45</v>
      </c>
      <c r="O176" s="4">
        <v>15</v>
      </c>
      <c r="P176" s="4">
        <v>650.25</v>
      </c>
      <c r="Q176" s="4">
        <v>5</v>
      </c>
      <c r="R176" s="4" t="s">
        <v>34</v>
      </c>
      <c r="S176" s="4" t="s">
        <v>115</v>
      </c>
      <c r="T176" s="4" t="s">
        <v>256</v>
      </c>
      <c r="U176" s="6" t="s">
        <v>912</v>
      </c>
      <c r="V176" s="4" t="s">
        <v>64</v>
      </c>
    </row>
    <row r="177" spans="1:22">
      <c r="A177" s="7" t="s">
        <v>913</v>
      </c>
      <c r="B177" s="8" t="s">
        <v>23</v>
      </c>
      <c r="C177" s="8" t="s">
        <v>222</v>
      </c>
      <c r="D177" s="8" t="s">
        <v>276</v>
      </c>
      <c r="E177" s="8" t="s">
        <v>914</v>
      </c>
      <c r="F177" s="8" t="s">
        <v>27</v>
      </c>
      <c r="G177" s="8" t="s">
        <v>28</v>
      </c>
      <c r="H177" s="8" t="s">
        <v>915</v>
      </c>
      <c r="I177" s="8" t="s">
        <v>114</v>
      </c>
      <c r="J177" s="8" t="s">
        <v>106</v>
      </c>
      <c r="K177" s="8" t="s">
        <v>122</v>
      </c>
      <c r="L177" s="8" t="s">
        <v>227</v>
      </c>
      <c r="M177" s="8">
        <v>19</v>
      </c>
      <c r="N177" s="8">
        <v>20</v>
      </c>
      <c r="O177" s="8">
        <v>5</v>
      </c>
      <c r="P177" s="8">
        <v>361</v>
      </c>
      <c r="Q177" s="8">
        <v>4</v>
      </c>
      <c r="R177" s="8" t="s">
        <v>34</v>
      </c>
      <c r="S177" s="8" t="s">
        <v>35</v>
      </c>
      <c r="T177" s="8" t="s">
        <v>50</v>
      </c>
      <c r="U177" s="9" t="s">
        <v>916</v>
      </c>
      <c r="V177" s="8" t="s">
        <v>64</v>
      </c>
    </row>
    <row r="178" spans="1:22">
      <c r="A178" s="3" t="s">
        <v>917</v>
      </c>
      <c r="B178" s="4" t="s">
        <v>251</v>
      </c>
      <c r="C178" s="4" t="s">
        <v>222</v>
      </c>
      <c r="D178" s="4" t="s">
        <v>918</v>
      </c>
      <c r="E178" s="4" t="s">
        <v>352</v>
      </c>
      <c r="F178" s="4" t="s">
        <v>919</v>
      </c>
      <c r="G178" s="4" t="s">
        <v>28</v>
      </c>
      <c r="H178" s="4" t="s">
        <v>920</v>
      </c>
      <c r="I178" s="4" t="s">
        <v>138</v>
      </c>
      <c r="J178" s="4" t="s">
        <v>106</v>
      </c>
      <c r="K178" s="4" t="s">
        <v>122</v>
      </c>
      <c r="L178" s="4" t="s">
        <v>227</v>
      </c>
      <c r="M178" s="4">
        <v>11</v>
      </c>
      <c r="N178" s="4">
        <v>20</v>
      </c>
      <c r="O178" s="4">
        <v>0</v>
      </c>
      <c r="P178" s="4">
        <v>220</v>
      </c>
      <c r="Q178" s="4">
        <v>3</v>
      </c>
      <c r="R178" s="4" t="s">
        <v>48</v>
      </c>
      <c r="S178" s="4" t="s">
        <v>49</v>
      </c>
      <c r="T178" s="4" t="s">
        <v>256</v>
      </c>
      <c r="U178" s="6" t="s">
        <v>921</v>
      </c>
      <c r="V178" s="4" t="s">
        <v>38</v>
      </c>
    </row>
    <row r="179" spans="1:22">
      <c r="A179" s="7" t="s">
        <v>922</v>
      </c>
      <c r="B179" s="8" t="s">
        <v>168</v>
      </c>
      <c r="C179" s="8" t="s">
        <v>118</v>
      </c>
      <c r="D179" s="8" t="s">
        <v>323</v>
      </c>
      <c r="E179" s="8" t="s">
        <v>923</v>
      </c>
      <c r="F179" s="8" t="s">
        <v>361</v>
      </c>
      <c r="G179" s="8" t="s">
        <v>28</v>
      </c>
      <c r="H179" s="8" t="s">
        <v>924</v>
      </c>
      <c r="I179" s="8" t="s">
        <v>44</v>
      </c>
      <c r="J179" s="8" t="s">
        <v>45</v>
      </c>
      <c r="K179" s="8" t="s">
        <v>122</v>
      </c>
      <c r="L179" s="8" t="s">
        <v>123</v>
      </c>
      <c r="M179" s="8">
        <v>12</v>
      </c>
      <c r="N179" s="8">
        <v>60</v>
      </c>
      <c r="O179" s="8">
        <v>0</v>
      </c>
      <c r="P179" s="8">
        <v>720</v>
      </c>
      <c r="Q179" s="8">
        <v>2</v>
      </c>
      <c r="R179" s="8" t="s">
        <v>48</v>
      </c>
      <c r="S179" s="8" t="s">
        <v>49</v>
      </c>
      <c r="T179" s="8" t="s">
        <v>175</v>
      </c>
      <c r="U179" s="9" t="s">
        <v>925</v>
      </c>
      <c r="V179" s="8" t="s">
        <v>38</v>
      </c>
    </row>
    <row r="180" spans="1:22">
      <c r="A180" s="3" t="s">
        <v>926</v>
      </c>
      <c r="B180" s="4" t="s">
        <v>221</v>
      </c>
      <c r="C180" s="4" t="s">
        <v>259</v>
      </c>
      <c r="D180" s="4" t="s">
        <v>927</v>
      </c>
      <c r="E180" s="4" t="s">
        <v>865</v>
      </c>
      <c r="F180" s="4" t="s">
        <v>928</v>
      </c>
      <c r="G180" s="4" t="s">
        <v>76</v>
      </c>
      <c r="H180" s="4" t="s">
        <v>929</v>
      </c>
      <c r="I180" s="4" t="s">
        <v>294</v>
      </c>
      <c r="J180" s="4" t="s">
        <v>295</v>
      </c>
      <c r="K180" s="4" t="s">
        <v>122</v>
      </c>
      <c r="L180" s="4" t="s">
        <v>263</v>
      </c>
      <c r="M180" s="4">
        <v>14</v>
      </c>
      <c r="N180" s="4">
        <v>45</v>
      </c>
      <c r="O180" s="4">
        <v>15</v>
      </c>
      <c r="P180" s="4">
        <v>535.5</v>
      </c>
      <c r="Q180" s="4">
        <v>5</v>
      </c>
      <c r="R180" s="4" t="s">
        <v>88</v>
      </c>
      <c r="S180" s="4" t="s">
        <v>115</v>
      </c>
      <c r="T180" s="4" t="s">
        <v>228</v>
      </c>
      <c r="U180" s="6" t="s">
        <v>930</v>
      </c>
      <c r="V180" s="4" t="s">
        <v>64</v>
      </c>
    </row>
    <row r="181" spans="1:22">
      <c r="A181" s="7" t="s">
        <v>931</v>
      </c>
      <c r="B181" s="8" t="s">
        <v>23</v>
      </c>
      <c r="C181" s="8" t="s">
        <v>184</v>
      </c>
      <c r="D181" s="8" t="s">
        <v>932</v>
      </c>
      <c r="E181" s="8" t="s">
        <v>303</v>
      </c>
      <c r="F181" s="8" t="s">
        <v>27</v>
      </c>
      <c r="G181" s="8" t="s">
        <v>28</v>
      </c>
      <c r="H181" s="8" t="s">
        <v>933</v>
      </c>
      <c r="I181" s="8" t="s">
        <v>30</v>
      </c>
      <c r="J181" s="8" t="s">
        <v>31</v>
      </c>
      <c r="K181" s="8" t="s">
        <v>46</v>
      </c>
      <c r="L181" s="8" t="s">
        <v>189</v>
      </c>
      <c r="M181" s="8">
        <v>15</v>
      </c>
      <c r="N181" s="8">
        <v>700</v>
      </c>
      <c r="O181" s="8">
        <v>10</v>
      </c>
      <c r="P181" s="8">
        <v>9450</v>
      </c>
      <c r="Q181" s="8">
        <v>3</v>
      </c>
      <c r="R181" s="8" t="s">
        <v>48</v>
      </c>
      <c r="S181" s="8" t="s">
        <v>49</v>
      </c>
      <c r="T181" s="8" t="s">
        <v>50</v>
      </c>
      <c r="U181" s="9" t="s">
        <v>934</v>
      </c>
      <c r="V181" s="8" t="s">
        <v>64</v>
      </c>
    </row>
    <row r="182" spans="1:22">
      <c r="A182" s="3" t="s">
        <v>935</v>
      </c>
      <c r="B182" s="4" t="s">
        <v>100</v>
      </c>
      <c r="C182" s="4" t="s">
        <v>169</v>
      </c>
      <c r="D182" s="4" t="s">
        <v>936</v>
      </c>
      <c r="E182" s="4" t="s">
        <v>683</v>
      </c>
      <c r="F182" s="4" t="s">
        <v>103</v>
      </c>
      <c r="G182" s="4" t="s">
        <v>28</v>
      </c>
      <c r="H182" s="4" t="s">
        <v>937</v>
      </c>
      <c r="I182" s="4" t="s">
        <v>138</v>
      </c>
      <c r="J182" s="4" t="s">
        <v>106</v>
      </c>
      <c r="K182" s="4" t="s">
        <v>32</v>
      </c>
      <c r="L182" s="4" t="s">
        <v>174</v>
      </c>
      <c r="M182" s="4">
        <v>19</v>
      </c>
      <c r="N182" s="4">
        <v>8500</v>
      </c>
      <c r="O182" s="4">
        <v>15</v>
      </c>
      <c r="P182" s="4">
        <v>137275</v>
      </c>
      <c r="Q182" s="4">
        <v>2</v>
      </c>
      <c r="R182" s="4" t="s">
        <v>34</v>
      </c>
      <c r="S182" s="4" t="s">
        <v>35</v>
      </c>
      <c r="T182" s="4" t="s">
        <v>144</v>
      </c>
      <c r="U182" s="6" t="s">
        <v>938</v>
      </c>
      <c r="V182" s="4" t="s">
        <v>69</v>
      </c>
    </row>
    <row r="183" spans="1:22">
      <c r="A183" s="7" t="s">
        <v>939</v>
      </c>
      <c r="B183" s="8" t="s">
        <v>251</v>
      </c>
      <c r="C183" s="8" t="s">
        <v>118</v>
      </c>
      <c r="D183" s="8" t="s">
        <v>940</v>
      </c>
      <c r="E183" s="8" t="s">
        <v>941</v>
      </c>
      <c r="F183" s="8" t="s">
        <v>254</v>
      </c>
      <c r="G183" s="8" t="s">
        <v>28</v>
      </c>
      <c r="H183" s="8" t="s">
        <v>911</v>
      </c>
      <c r="I183" s="8" t="s">
        <v>212</v>
      </c>
      <c r="J183" s="8" t="s">
        <v>45</v>
      </c>
      <c r="K183" s="8" t="s">
        <v>122</v>
      </c>
      <c r="L183" s="8" t="s">
        <v>123</v>
      </c>
      <c r="M183" s="8">
        <v>19</v>
      </c>
      <c r="N183" s="8">
        <v>60</v>
      </c>
      <c r="O183" s="8">
        <v>20</v>
      </c>
      <c r="P183" s="8">
        <v>912</v>
      </c>
      <c r="Q183" s="8">
        <v>4</v>
      </c>
      <c r="R183" s="8" t="s">
        <v>79</v>
      </c>
      <c r="S183" s="8" t="s">
        <v>49</v>
      </c>
      <c r="T183" s="8" t="s">
        <v>256</v>
      </c>
      <c r="U183" s="9" t="s">
        <v>942</v>
      </c>
      <c r="V183" s="8" t="s">
        <v>64</v>
      </c>
    </row>
    <row r="184" spans="1:22">
      <c r="A184" s="3" t="s">
        <v>943</v>
      </c>
      <c r="B184" s="4" t="s">
        <v>100</v>
      </c>
      <c r="C184" s="4" t="s">
        <v>259</v>
      </c>
      <c r="D184" s="4" t="s">
        <v>944</v>
      </c>
      <c r="E184" s="4" t="s">
        <v>936</v>
      </c>
      <c r="F184" s="4" t="s">
        <v>103</v>
      </c>
      <c r="G184" s="4" t="s">
        <v>28</v>
      </c>
      <c r="H184" s="4" t="s">
        <v>945</v>
      </c>
      <c r="I184" s="4" t="s">
        <v>59</v>
      </c>
      <c r="J184" s="4" t="s">
        <v>31</v>
      </c>
      <c r="K184" s="4" t="s">
        <v>122</v>
      </c>
      <c r="L184" s="4" t="s">
        <v>263</v>
      </c>
      <c r="M184" s="4">
        <v>10</v>
      </c>
      <c r="N184" s="4">
        <v>45</v>
      </c>
      <c r="O184" s="4">
        <v>15</v>
      </c>
      <c r="P184" s="4">
        <v>382.5</v>
      </c>
      <c r="Q184" s="4">
        <v>4</v>
      </c>
      <c r="R184" s="4" t="s">
        <v>34</v>
      </c>
      <c r="S184" s="4" t="s">
        <v>151</v>
      </c>
      <c r="T184" s="4" t="s">
        <v>144</v>
      </c>
      <c r="U184" s="6" t="s">
        <v>946</v>
      </c>
      <c r="V184" s="4" t="s">
        <v>38</v>
      </c>
    </row>
    <row r="185" spans="1:22">
      <c r="A185" s="7" t="s">
        <v>947</v>
      </c>
      <c r="B185" s="8" t="s">
        <v>71</v>
      </c>
      <c r="C185" s="8" t="s">
        <v>24</v>
      </c>
      <c r="D185" s="8" t="s">
        <v>948</v>
      </c>
      <c r="E185" s="8" t="s">
        <v>949</v>
      </c>
      <c r="F185" s="8" t="s">
        <v>217</v>
      </c>
      <c r="G185" s="8" t="s">
        <v>76</v>
      </c>
      <c r="H185" s="8" t="s">
        <v>950</v>
      </c>
      <c r="I185" s="8" t="s">
        <v>44</v>
      </c>
      <c r="J185" s="8" t="s">
        <v>45</v>
      </c>
      <c r="K185" s="8" t="s">
        <v>32</v>
      </c>
      <c r="L185" s="8" t="s">
        <v>33</v>
      </c>
      <c r="M185" s="8">
        <v>7</v>
      </c>
      <c r="N185" s="8">
        <v>2200</v>
      </c>
      <c r="O185" s="8">
        <v>20</v>
      </c>
      <c r="P185" s="8">
        <v>12320</v>
      </c>
      <c r="Q185" s="8">
        <v>5</v>
      </c>
      <c r="R185" s="8" t="s">
        <v>88</v>
      </c>
      <c r="S185" s="8" t="s">
        <v>49</v>
      </c>
      <c r="T185" s="8" t="s">
        <v>80</v>
      </c>
      <c r="U185" s="9" t="s">
        <v>951</v>
      </c>
      <c r="V185" s="8" t="s">
        <v>64</v>
      </c>
    </row>
    <row r="186" spans="1:22">
      <c r="A186" s="3" t="s">
        <v>952</v>
      </c>
      <c r="B186" s="4" t="s">
        <v>100</v>
      </c>
      <c r="C186" s="4" t="s">
        <v>169</v>
      </c>
      <c r="D186" s="4" t="s">
        <v>953</v>
      </c>
      <c r="E186" s="4" t="s">
        <v>42</v>
      </c>
      <c r="F186" s="4" t="s">
        <v>103</v>
      </c>
      <c r="G186" s="4" t="s">
        <v>28</v>
      </c>
      <c r="H186" s="4" t="s">
        <v>954</v>
      </c>
      <c r="I186" s="4" t="s">
        <v>294</v>
      </c>
      <c r="J186" s="4" t="s">
        <v>295</v>
      </c>
      <c r="K186" s="4" t="s">
        <v>32</v>
      </c>
      <c r="L186" s="4" t="s">
        <v>174</v>
      </c>
      <c r="M186" s="4">
        <v>20</v>
      </c>
      <c r="N186" s="4">
        <v>8500</v>
      </c>
      <c r="O186" s="4">
        <v>20</v>
      </c>
      <c r="P186" s="4">
        <v>136000</v>
      </c>
      <c r="Q186" s="4">
        <v>4</v>
      </c>
      <c r="R186" s="4" t="s">
        <v>48</v>
      </c>
      <c r="S186" s="4" t="s">
        <v>35</v>
      </c>
      <c r="T186" s="4" t="s">
        <v>144</v>
      </c>
      <c r="U186" s="6" t="s">
        <v>955</v>
      </c>
      <c r="V186" s="4" t="s">
        <v>38</v>
      </c>
    </row>
    <row r="187" spans="1:22">
      <c r="A187" s="7" t="s">
        <v>956</v>
      </c>
      <c r="B187" s="8" t="s">
        <v>251</v>
      </c>
      <c r="C187" s="8" t="s">
        <v>24</v>
      </c>
      <c r="D187" s="8" t="s">
        <v>770</v>
      </c>
      <c r="E187" s="8" t="s">
        <v>957</v>
      </c>
      <c r="F187" s="8" t="s">
        <v>254</v>
      </c>
      <c r="G187" s="8" t="s">
        <v>28</v>
      </c>
      <c r="H187" s="8" t="s">
        <v>958</v>
      </c>
      <c r="I187" s="8" t="s">
        <v>30</v>
      </c>
      <c r="J187" s="8" t="s">
        <v>31</v>
      </c>
      <c r="K187" s="8" t="s">
        <v>32</v>
      </c>
      <c r="L187" s="8" t="s">
        <v>33</v>
      </c>
      <c r="M187" s="8">
        <v>10</v>
      </c>
      <c r="N187" s="8">
        <v>2200</v>
      </c>
      <c r="O187" s="8">
        <v>5</v>
      </c>
      <c r="P187" s="8">
        <v>20900</v>
      </c>
      <c r="Q187" s="8">
        <v>2</v>
      </c>
      <c r="R187" s="8" t="s">
        <v>48</v>
      </c>
      <c r="S187" s="8" t="s">
        <v>49</v>
      </c>
      <c r="T187" s="8" t="s">
        <v>256</v>
      </c>
      <c r="U187" s="9" t="s">
        <v>959</v>
      </c>
      <c r="V187" s="8" t="s">
        <v>38</v>
      </c>
    </row>
    <row r="188" spans="1:22">
      <c r="A188" s="3" t="s">
        <v>960</v>
      </c>
      <c r="B188" s="4" t="s">
        <v>127</v>
      </c>
      <c r="C188" s="4" t="s">
        <v>118</v>
      </c>
      <c r="D188" s="4" t="s">
        <v>692</v>
      </c>
      <c r="E188" s="4" t="s">
        <v>961</v>
      </c>
      <c r="F188" s="4" t="s">
        <v>200</v>
      </c>
      <c r="G188" s="4" t="s">
        <v>76</v>
      </c>
      <c r="H188" s="4" t="s">
        <v>962</v>
      </c>
      <c r="I188" s="4" t="s">
        <v>114</v>
      </c>
      <c r="J188" s="4" t="s">
        <v>106</v>
      </c>
      <c r="K188" s="4" t="s">
        <v>122</v>
      </c>
      <c r="L188" s="4" t="s">
        <v>123</v>
      </c>
      <c r="M188" s="4">
        <v>15</v>
      </c>
      <c r="N188" s="4">
        <v>60</v>
      </c>
      <c r="O188" s="4">
        <v>20</v>
      </c>
      <c r="P188" s="4">
        <v>720</v>
      </c>
      <c r="Q188" s="4">
        <v>1</v>
      </c>
      <c r="R188" s="4" t="s">
        <v>79</v>
      </c>
      <c r="S188" s="4" t="s">
        <v>35</v>
      </c>
      <c r="T188" s="4" t="s">
        <v>132</v>
      </c>
      <c r="U188" s="6" t="s">
        <v>963</v>
      </c>
      <c r="V188" s="4" t="s">
        <v>38</v>
      </c>
    </row>
    <row r="189" spans="1:22">
      <c r="A189" s="7" t="s">
        <v>964</v>
      </c>
      <c r="B189" s="8" t="s">
        <v>221</v>
      </c>
      <c r="C189" s="8" t="s">
        <v>92</v>
      </c>
      <c r="D189" s="8" t="s">
        <v>231</v>
      </c>
      <c r="E189" s="8" t="s">
        <v>965</v>
      </c>
      <c r="F189" s="8" t="s">
        <v>225</v>
      </c>
      <c r="G189" s="8" t="s">
        <v>76</v>
      </c>
      <c r="H189" s="8" t="s">
        <v>966</v>
      </c>
      <c r="I189" s="8" t="s">
        <v>30</v>
      </c>
      <c r="J189" s="8" t="s">
        <v>31</v>
      </c>
      <c r="K189" s="8" t="s">
        <v>32</v>
      </c>
      <c r="L189" s="8" t="s">
        <v>97</v>
      </c>
      <c r="M189" s="8">
        <v>18</v>
      </c>
      <c r="N189" s="8">
        <v>3500</v>
      </c>
      <c r="O189" s="8">
        <v>5</v>
      </c>
      <c r="P189" s="8">
        <v>59850</v>
      </c>
      <c r="Q189" s="8">
        <v>1</v>
      </c>
      <c r="R189" s="8" t="s">
        <v>79</v>
      </c>
      <c r="S189" s="8" t="s">
        <v>49</v>
      </c>
      <c r="T189" s="8" t="s">
        <v>228</v>
      </c>
      <c r="U189" s="9" t="s">
        <v>967</v>
      </c>
      <c r="V189" s="8" t="s">
        <v>69</v>
      </c>
    </row>
    <row r="190" spans="1:22">
      <c r="A190" s="3" t="s">
        <v>968</v>
      </c>
      <c r="B190" s="4" t="s">
        <v>327</v>
      </c>
      <c r="C190" s="4" t="s">
        <v>40</v>
      </c>
      <c r="D190" s="4" t="s">
        <v>969</v>
      </c>
      <c r="E190" s="4" t="s">
        <v>970</v>
      </c>
      <c r="F190" s="4" t="s">
        <v>394</v>
      </c>
      <c r="G190" s="4" t="s">
        <v>76</v>
      </c>
      <c r="H190" s="4" t="s">
        <v>971</v>
      </c>
      <c r="I190" s="4" t="s">
        <v>114</v>
      </c>
      <c r="J190" s="4" t="s">
        <v>106</v>
      </c>
      <c r="K190" s="4" t="s">
        <v>46</v>
      </c>
      <c r="L190" s="4" t="s">
        <v>47</v>
      </c>
      <c r="M190" s="4">
        <v>6</v>
      </c>
      <c r="N190" s="4">
        <v>12000</v>
      </c>
      <c r="O190" s="4">
        <v>5</v>
      </c>
      <c r="P190" s="4">
        <v>68400</v>
      </c>
      <c r="Q190" s="4">
        <v>1</v>
      </c>
      <c r="R190" s="4" t="s">
        <v>48</v>
      </c>
      <c r="S190" s="4" t="s">
        <v>49</v>
      </c>
      <c r="T190" s="4" t="s">
        <v>332</v>
      </c>
      <c r="U190" s="6" t="s">
        <v>972</v>
      </c>
      <c r="V190" s="4" t="s">
        <v>69</v>
      </c>
    </row>
    <row r="191" spans="1:22">
      <c r="A191" s="7" t="s">
        <v>973</v>
      </c>
      <c r="B191" s="8" t="s">
        <v>327</v>
      </c>
      <c r="C191" s="8" t="s">
        <v>222</v>
      </c>
      <c r="D191" s="8" t="s">
        <v>323</v>
      </c>
      <c r="E191" s="8" t="s">
        <v>479</v>
      </c>
      <c r="F191" s="8" t="s">
        <v>394</v>
      </c>
      <c r="G191" s="8" t="s">
        <v>76</v>
      </c>
      <c r="H191" s="8" t="s">
        <v>974</v>
      </c>
      <c r="I191" s="8" t="s">
        <v>59</v>
      </c>
      <c r="J191" s="8" t="s">
        <v>31</v>
      </c>
      <c r="K191" s="8" t="s">
        <v>122</v>
      </c>
      <c r="L191" s="8" t="s">
        <v>227</v>
      </c>
      <c r="M191" s="8">
        <v>19</v>
      </c>
      <c r="N191" s="8">
        <v>20</v>
      </c>
      <c r="O191" s="8">
        <v>10</v>
      </c>
      <c r="P191" s="8">
        <v>342</v>
      </c>
      <c r="Q191" s="8">
        <v>2</v>
      </c>
      <c r="R191" s="8" t="s">
        <v>48</v>
      </c>
      <c r="S191" s="8" t="s">
        <v>35</v>
      </c>
      <c r="T191" s="8" t="s">
        <v>332</v>
      </c>
      <c r="U191" s="9" t="s">
        <v>975</v>
      </c>
      <c r="V191" s="8" t="s">
        <v>64</v>
      </c>
    </row>
    <row r="192" spans="1:22">
      <c r="A192" s="3" t="s">
        <v>976</v>
      </c>
      <c r="B192" s="4" t="s">
        <v>221</v>
      </c>
      <c r="C192" s="4" t="s">
        <v>24</v>
      </c>
      <c r="D192" s="4" t="s">
        <v>426</v>
      </c>
      <c r="E192" s="4" t="s">
        <v>427</v>
      </c>
      <c r="F192" s="4" t="s">
        <v>225</v>
      </c>
      <c r="G192" s="4" t="s">
        <v>76</v>
      </c>
      <c r="H192" s="4" t="s">
        <v>977</v>
      </c>
      <c r="I192" s="4" t="s">
        <v>114</v>
      </c>
      <c r="J192" s="4" t="s">
        <v>106</v>
      </c>
      <c r="K192" s="4" t="s">
        <v>32</v>
      </c>
      <c r="L192" s="4" t="s">
        <v>33</v>
      </c>
      <c r="M192" s="4">
        <v>7</v>
      </c>
      <c r="N192" s="4">
        <v>2200</v>
      </c>
      <c r="O192" s="4">
        <v>0</v>
      </c>
      <c r="P192" s="4">
        <v>15400</v>
      </c>
      <c r="Q192" s="4">
        <v>1</v>
      </c>
      <c r="R192" s="4" t="s">
        <v>79</v>
      </c>
      <c r="S192" s="4" t="s">
        <v>115</v>
      </c>
      <c r="T192" s="4" t="s">
        <v>228</v>
      </c>
      <c r="U192" s="6" t="s">
        <v>978</v>
      </c>
      <c r="V192" s="4" t="s">
        <v>69</v>
      </c>
    </row>
    <row r="193" spans="1:22">
      <c r="A193" s="7" t="s">
        <v>979</v>
      </c>
      <c r="B193" s="8" t="s">
        <v>327</v>
      </c>
      <c r="C193" s="8" t="s">
        <v>40</v>
      </c>
      <c r="D193" s="8" t="s">
        <v>503</v>
      </c>
      <c r="E193" s="8" t="s">
        <v>980</v>
      </c>
      <c r="F193" s="8" t="s">
        <v>394</v>
      </c>
      <c r="G193" s="8" t="s">
        <v>76</v>
      </c>
      <c r="H193" s="8" t="s">
        <v>981</v>
      </c>
      <c r="I193" s="8" t="s">
        <v>212</v>
      </c>
      <c r="J193" s="8" t="s">
        <v>45</v>
      </c>
      <c r="K193" s="8" t="s">
        <v>46</v>
      </c>
      <c r="L193" s="8" t="s">
        <v>47</v>
      </c>
      <c r="M193" s="8">
        <v>3</v>
      </c>
      <c r="N193" s="8">
        <v>12000</v>
      </c>
      <c r="O193" s="8">
        <v>5</v>
      </c>
      <c r="P193" s="8">
        <v>34200</v>
      </c>
      <c r="Q193" s="8">
        <v>3</v>
      </c>
      <c r="R193" s="8" t="s">
        <v>79</v>
      </c>
      <c r="S193" s="8" t="s">
        <v>61</v>
      </c>
      <c r="T193" s="8" t="s">
        <v>332</v>
      </c>
      <c r="U193" s="9" t="s">
        <v>982</v>
      </c>
      <c r="V193" s="8" t="s">
        <v>69</v>
      </c>
    </row>
    <row r="194" spans="1:22">
      <c r="A194" s="3" t="s">
        <v>983</v>
      </c>
      <c r="B194" s="4" t="s">
        <v>168</v>
      </c>
      <c r="C194" s="4" t="s">
        <v>24</v>
      </c>
      <c r="D194" s="4" t="s">
        <v>341</v>
      </c>
      <c r="E194" s="4" t="s">
        <v>864</v>
      </c>
      <c r="F194" s="4" t="s">
        <v>361</v>
      </c>
      <c r="G194" s="4" t="s">
        <v>28</v>
      </c>
      <c r="H194" s="4" t="s">
        <v>984</v>
      </c>
      <c r="I194" s="4" t="s">
        <v>212</v>
      </c>
      <c r="J194" s="4" t="s">
        <v>45</v>
      </c>
      <c r="K194" s="4" t="s">
        <v>32</v>
      </c>
      <c r="L194" s="4" t="s">
        <v>33</v>
      </c>
      <c r="M194" s="4">
        <v>16</v>
      </c>
      <c r="N194" s="4">
        <v>2200</v>
      </c>
      <c r="O194" s="4">
        <v>0</v>
      </c>
      <c r="P194" s="4">
        <v>35200</v>
      </c>
      <c r="Q194" s="4">
        <v>5</v>
      </c>
      <c r="R194" s="4" t="s">
        <v>79</v>
      </c>
      <c r="S194" s="4" t="s">
        <v>35</v>
      </c>
      <c r="T194" s="4" t="s">
        <v>175</v>
      </c>
      <c r="U194" s="6" t="s">
        <v>985</v>
      </c>
      <c r="V194" s="4" t="s">
        <v>64</v>
      </c>
    </row>
    <row r="195" spans="1:22">
      <c r="A195" s="7" t="s">
        <v>986</v>
      </c>
      <c r="B195" s="8" t="s">
        <v>251</v>
      </c>
      <c r="C195" s="8" t="s">
        <v>24</v>
      </c>
      <c r="D195" s="8" t="s">
        <v>987</v>
      </c>
      <c r="E195" s="8" t="s">
        <v>988</v>
      </c>
      <c r="F195" s="8" t="s">
        <v>254</v>
      </c>
      <c r="G195" s="8" t="s">
        <v>28</v>
      </c>
      <c r="H195" s="8" t="s">
        <v>989</v>
      </c>
      <c r="I195" s="8" t="s">
        <v>44</v>
      </c>
      <c r="J195" s="8" t="s">
        <v>45</v>
      </c>
      <c r="K195" s="8" t="s">
        <v>32</v>
      </c>
      <c r="L195" s="8" t="s">
        <v>33</v>
      </c>
      <c r="M195" s="8">
        <v>8</v>
      </c>
      <c r="N195" s="8">
        <v>2200</v>
      </c>
      <c r="O195" s="8">
        <v>5</v>
      </c>
      <c r="P195" s="8">
        <v>16720</v>
      </c>
      <c r="Q195" s="8">
        <v>2</v>
      </c>
      <c r="R195" s="8" t="s">
        <v>88</v>
      </c>
      <c r="S195" s="8" t="s">
        <v>151</v>
      </c>
      <c r="T195" s="8" t="s">
        <v>256</v>
      </c>
      <c r="U195" s="9" t="s">
        <v>990</v>
      </c>
      <c r="V195" s="8" t="s">
        <v>38</v>
      </c>
    </row>
    <row r="196" spans="1:22">
      <c r="A196" s="3" t="s">
        <v>991</v>
      </c>
      <c r="B196" s="4" t="s">
        <v>251</v>
      </c>
      <c r="C196" s="4" t="s">
        <v>24</v>
      </c>
      <c r="D196" s="4" t="s">
        <v>610</v>
      </c>
      <c r="E196" s="4" t="s">
        <v>454</v>
      </c>
      <c r="F196" s="4" t="s">
        <v>254</v>
      </c>
      <c r="G196" s="4" t="s">
        <v>28</v>
      </c>
      <c r="H196" s="4" t="s">
        <v>992</v>
      </c>
      <c r="I196" s="4" t="s">
        <v>138</v>
      </c>
      <c r="J196" s="4" t="s">
        <v>106</v>
      </c>
      <c r="K196" s="4" t="s">
        <v>32</v>
      </c>
      <c r="L196" s="4" t="s">
        <v>33</v>
      </c>
      <c r="M196" s="4">
        <v>10</v>
      </c>
      <c r="N196" s="4">
        <v>2200</v>
      </c>
      <c r="O196" s="4">
        <v>10</v>
      </c>
      <c r="P196" s="4">
        <v>19800</v>
      </c>
      <c r="Q196" s="4">
        <v>5</v>
      </c>
      <c r="R196" s="4" t="s">
        <v>48</v>
      </c>
      <c r="S196" s="4" t="s">
        <v>115</v>
      </c>
      <c r="T196" s="4" t="s">
        <v>256</v>
      </c>
      <c r="U196" s="6" t="s">
        <v>993</v>
      </c>
      <c r="V196" s="4" t="s">
        <v>64</v>
      </c>
    </row>
    <row r="197" spans="1:22">
      <c r="A197" s="7" t="s">
        <v>994</v>
      </c>
      <c r="B197" s="8" t="s">
        <v>83</v>
      </c>
      <c r="C197" s="8" t="s">
        <v>222</v>
      </c>
      <c r="D197" s="8" t="s">
        <v>336</v>
      </c>
      <c r="E197" s="8" t="s">
        <v>596</v>
      </c>
      <c r="F197" s="8" t="s">
        <v>180</v>
      </c>
      <c r="G197" s="8" t="s">
        <v>76</v>
      </c>
      <c r="H197" s="8" t="s">
        <v>995</v>
      </c>
      <c r="I197" s="8" t="s">
        <v>44</v>
      </c>
      <c r="J197" s="8" t="s">
        <v>45</v>
      </c>
      <c r="K197" s="8" t="s">
        <v>122</v>
      </c>
      <c r="L197" s="8" t="s">
        <v>227</v>
      </c>
      <c r="M197" s="8">
        <v>7</v>
      </c>
      <c r="N197" s="8">
        <v>20</v>
      </c>
      <c r="O197" s="8">
        <v>10</v>
      </c>
      <c r="P197" s="8">
        <v>126</v>
      </c>
      <c r="Q197" s="8">
        <v>4</v>
      </c>
      <c r="R197" s="8" t="s">
        <v>79</v>
      </c>
      <c r="S197" s="8" t="s">
        <v>61</v>
      </c>
      <c r="T197" s="8" t="s">
        <v>89</v>
      </c>
      <c r="U197" s="9" t="s">
        <v>996</v>
      </c>
      <c r="V197" s="8" t="s">
        <v>38</v>
      </c>
    </row>
    <row r="198" spans="1:22">
      <c r="A198" s="3" t="s">
        <v>997</v>
      </c>
      <c r="B198" s="4" t="s">
        <v>221</v>
      </c>
      <c r="C198" s="4" t="s">
        <v>169</v>
      </c>
      <c r="D198" s="4" t="s">
        <v>252</v>
      </c>
      <c r="E198" s="4" t="s">
        <v>998</v>
      </c>
      <c r="F198" s="4" t="s">
        <v>225</v>
      </c>
      <c r="G198" s="4" t="s">
        <v>76</v>
      </c>
      <c r="H198" s="4" t="s">
        <v>999</v>
      </c>
      <c r="I198" s="4" t="s">
        <v>30</v>
      </c>
      <c r="J198" s="4" t="s">
        <v>31</v>
      </c>
      <c r="K198" s="4" t="s">
        <v>32</v>
      </c>
      <c r="L198" s="4" t="s">
        <v>174</v>
      </c>
      <c r="M198" s="4">
        <v>19</v>
      </c>
      <c r="N198" s="4">
        <v>8500</v>
      </c>
      <c r="O198" s="4">
        <v>20</v>
      </c>
      <c r="P198" s="4">
        <v>129200</v>
      </c>
      <c r="Q198" s="4">
        <v>3</v>
      </c>
      <c r="R198" s="4" t="s">
        <v>48</v>
      </c>
      <c r="S198" s="4" t="s">
        <v>61</v>
      </c>
      <c r="T198" s="4" t="s">
        <v>228</v>
      </c>
      <c r="U198" s="6" t="s">
        <v>1000</v>
      </c>
      <c r="V198" s="4" t="s">
        <v>64</v>
      </c>
    </row>
    <row r="199" spans="1:22">
      <c r="A199" s="7" t="s">
        <v>1001</v>
      </c>
      <c r="B199" s="8" t="s">
        <v>100</v>
      </c>
      <c r="C199" s="8" t="s">
        <v>118</v>
      </c>
      <c r="D199" s="8" t="s">
        <v>431</v>
      </c>
      <c r="E199" s="8" t="s">
        <v>414</v>
      </c>
      <c r="F199" s="8" t="s">
        <v>103</v>
      </c>
      <c r="G199" s="8" t="s">
        <v>28</v>
      </c>
      <c r="H199" s="8" t="s">
        <v>1002</v>
      </c>
      <c r="I199" s="8" t="s">
        <v>114</v>
      </c>
      <c r="J199" s="8" t="s">
        <v>106</v>
      </c>
      <c r="K199" s="8" t="s">
        <v>122</v>
      </c>
      <c r="L199" s="8" t="s">
        <v>123</v>
      </c>
      <c r="M199" s="8">
        <v>16</v>
      </c>
      <c r="N199" s="8">
        <v>60</v>
      </c>
      <c r="O199" s="8">
        <v>0</v>
      </c>
      <c r="P199" s="8">
        <v>960</v>
      </c>
      <c r="Q199" s="8">
        <v>2</v>
      </c>
      <c r="R199" s="8" t="s">
        <v>48</v>
      </c>
      <c r="S199" s="8" t="s">
        <v>115</v>
      </c>
      <c r="T199" s="8" t="s">
        <v>144</v>
      </c>
      <c r="U199" s="9" t="s">
        <v>1003</v>
      </c>
      <c r="V199" s="8" t="s">
        <v>38</v>
      </c>
    </row>
    <row r="200" spans="1:22">
      <c r="A200" s="3" t="s">
        <v>1004</v>
      </c>
      <c r="B200" s="4" t="s">
        <v>221</v>
      </c>
      <c r="C200" s="4" t="s">
        <v>92</v>
      </c>
      <c r="D200" s="4" t="s">
        <v>1005</v>
      </c>
      <c r="E200" s="4" t="s">
        <v>731</v>
      </c>
      <c r="F200" s="4" t="s">
        <v>225</v>
      </c>
      <c r="G200" s="4" t="s">
        <v>76</v>
      </c>
      <c r="H200" s="4" t="s">
        <v>1006</v>
      </c>
      <c r="I200" s="4" t="s">
        <v>59</v>
      </c>
      <c r="J200" s="4" t="s">
        <v>31</v>
      </c>
      <c r="K200" s="4" t="s">
        <v>1007</v>
      </c>
      <c r="L200" s="4" t="s">
        <v>97</v>
      </c>
      <c r="M200" s="4">
        <v>18</v>
      </c>
      <c r="N200" s="4">
        <v>3500</v>
      </c>
      <c r="O200" s="4">
        <v>5</v>
      </c>
      <c r="P200" s="4">
        <v>59850</v>
      </c>
      <c r="Q200" s="4">
        <v>1</v>
      </c>
      <c r="R200" s="4" t="s">
        <v>88</v>
      </c>
      <c r="S200" s="4" t="s">
        <v>115</v>
      </c>
      <c r="T200" s="4" t="s">
        <v>228</v>
      </c>
      <c r="U200" s="6" t="s">
        <v>1008</v>
      </c>
      <c r="V200" s="4" t="s">
        <v>64</v>
      </c>
    </row>
    <row r="201" spans="1:22">
      <c r="A201" s="7" t="s">
        <v>1009</v>
      </c>
      <c r="B201" s="8" t="s">
        <v>100</v>
      </c>
      <c r="C201" s="8" t="s">
        <v>54</v>
      </c>
      <c r="D201" s="8" t="s">
        <v>1010</v>
      </c>
      <c r="E201" s="8" t="s">
        <v>431</v>
      </c>
      <c r="F201" s="8" t="s">
        <v>103</v>
      </c>
      <c r="G201" s="8" t="s">
        <v>28</v>
      </c>
      <c r="H201" s="8" t="s">
        <v>1011</v>
      </c>
      <c r="I201" s="8" t="s">
        <v>212</v>
      </c>
      <c r="J201" s="8" t="s">
        <v>45</v>
      </c>
      <c r="K201" s="8" t="s">
        <v>46</v>
      </c>
      <c r="L201" s="8" t="s">
        <v>60</v>
      </c>
      <c r="M201" s="8">
        <v>16</v>
      </c>
      <c r="N201" s="8">
        <v>55000</v>
      </c>
      <c r="O201" s="8">
        <v>0</v>
      </c>
      <c r="P201" s="8">
        <v>880000</v>
      </c>
      <c r="Q201" s="8">
        <v>1</v>
      </c>
      <c r="R201" s="8" t="s">
        <v>79</v>
      </c>
      <c r="S201" s="8" t="s">
        <v>61</v>
      </c>
      <c r="T201" s="8" t="s">
        <v>144</v>
      </c>
      <c r="U201" s="9" t="s">
        <v>1012</v>
      </c>
      <c r="V201" s="8" t="s">
        <v>69</v>
      </c>
    </row>
    <row r="202" spans="1:22">
      <c r="A202" s="3" t="s">
        <v>1013</v>
      </c>
      <c r="B202" s="4" t="s">
        <v>221</v>
      </c>
      <c r="C202" s="4" t="s">
        <v>72</v>
      </c>
      <c r="D202" s="4" t="s">
        <v>900</v>
      </c>
      <c r="E202" s="4" t="s">
        <v>435</v>
      </c>
      <c r="F202" s="4" t="s">
        <v>225</v>
      </c>
      <c r="G202" s="4" t="s">
        <v>76</v>
      </c>
      <c r="H202" s="4" t="s">
        <v>1014</v>
      </c>
      <c r="I202" s="4" t="s">
        <v>138</v>
      </c>
      <c r="J202" s="4" t="s">
        <v>106</v>
      </c>
      <c r="K202" s="4" t="s">
        <v>46</v>
      </c>
      <c r="L202" s="4" t="s">
        <v>78</v>
      </c>
      <c r="M202" s="4">
        <v>18</v>
      </c>
      <c r="N202" s="4">
        <v>1200</v>
      </c>
      <c r="O202" s="4">
        <v>15</v>
      </c>
      <c r="P202" s="4">
        <v>18360</v>
      </c>
      <c r="Q202" s="4">
        <v>2</v>
      </c>
      <c r="R202" s="4" t="s">
        <v>48</v>
      </c>
      <c r="S202" s="4" t="s">
        <v>35</v>
      </c>
      <c r="T202" s="4" t="s">
        <v>228</v>
      </c>
      <c r="U202" s="6" t="s">
        <v>1015</v>
      </c>
      <c r="V202" s="4" t="s">
        <v>69</v>
      </c>
    </row>
    <row r="203" spans="1:22">
      <c r="A203" s="7" t="s">
        <v>1016</v>
      </c>
      <c r="B203" s="8" t="s">
        <v>71</v>
      </c>
      <c r="C203" s="8" t="s">
        <v>259</v>
      </c>
      <c r="D203" s="8" t="s">
        <v>1017</v>
      </c>
      <c r="E203" s="8" t="s">
        <v>1018</v>
      </c>
      <c r="F203" s="8" t="s">
        <v>217</v>
      </c>
      <c r="G203" s="8" t="s">
        <v>76</v>
      </c>
      <c r="H203" s="8" t="s">
        <v>1019</v>
      </c>
      <c r="I203" s="8" t="s">
        <v>30</v>
      </c>
      <c r="J203" s="8" t="s">
        <v>31</v>
      </c>
      <c r="K203" s="8" t="s">
        <v>122</v>
      </c>
      <c r="L203" s="8" t="s">
        <v>263</v>
      </c>
      <c r="M203" s="8">
        <v>2</v>
      </c>
      <c r="N203" s="8">
        <v>45</v>
      </c>
      <c r="O203" s="8">
        <v>15</v>
      </c>
      <c r="P203" s="8">
        <v>76.5</v>
      </c>
      <c r="Q203" s="8">
        <v>5</v>
      </c>
      <c r="R203" s="8" t="s">
        <v>34</v>
      </c>
      <c r="S203" s="8" t="s">
        <v>61</v>
      </c>
      <c r="T203" s="8" t="s">
        <v>80</v>
      </c>
      <c r="U203" s="9" t="s">
        <v>1020</v>
      </c>
      <c r="V203" s="8" t="s">
        <v>69</v>
      </c>
    </row>
    <row r="204" spans="1:22">
      <c r="A204" s="3" t="s">
        <v>1021</v>
      </c>
      <c r="B204" s="4" t="s">
        <v>53</v>
      </c>
      <c r="C204" s="4" t="s">
        <v>169</v>
      </c>
      <c r="D204" s="4" t="s">
        <v>712</v>
      </c>
      <c r="E204" s="4" t="s">
        <v>85</v>
      </c>
      <c r="F204" s="4" t="s">
        <v>163</v>
      </c>
      <c r="G204" s="4" t="s">
        <v>28</v>
      </c>
      <c r="H204" s="4" t="s">
        <v>1022</v>
      </c>
      <c r="I204" s="4" t="s">
        <v>59</v>
      </c>
      <c r="J204" s="4" t="s">
        <v>31</v>
      </c>
      <c r="K204" s="4" t="s">
        <v>32</v>
      </c>
      <c r="L204" s="4" t="s">
        <v>174</v>
      </c>
      <c r="M204" s="4">
        <v>20</v>
      </c>
      <c r="N204" s="4">
        <v>8500</v>
      </c>
      <c r="O204" s="4">
        <v>0</v>
      </c>
      <c r="P204" s="4">
        <v>170000</v>
      </c>
      <c r="Q204" s="4">
        <v>4</v>
      </c>
      <c r="R204" s="4" t="s">
        <v>48</v>
      </c>
      <c r="S204" s="4" t="s">
        <v>61</v>
      </c>
      <c r="T204" s="4" t="s">
        <v>62</v>
      </c>
      <c r="U204" s="6" t="s">
        <v>1023</v>
      </c>
      <c r="V204" s="4" t="s">
        <v>69</v>
      </c>
    </row>
    <row r="205" spans="1:22">
      <c r="A205" s="7" t="s">
        <v>1024</v>
      </c>
      <c r="B205" s="8" t="s">
        <v>127</v>
      </c>
      <c r="C205" s="8" t="s">
        <v>92</v>
      </c>
      <c r="D205" s="8" t="s">
        <v>298</v>
      </c>
      <c r="E205" s="8" t="s">
        <v>1025</v>
      </c>
      <c r="F205" s="8" t="s">
        <v>200</v>
      </c>
      <c r="G205" s="8" t="s">
        <v>76</v>
      </c>
      <c r="H205" s="8" t="s">
        <v>494</v>
      </c>
      <c r="I205" s="8" t="s">
        <v>212</v>
      </c>
      <c r="J205" s="8" t="s">
        <v>45</v>
      </c>
      <c r="K205" s="8" t="s">
        <v>32</v>
      </c>
      <c r="L205" s="8" t="s">
        <v>97</v>
      </c>
      <c r="M205" s="8">
        <v>6</v>
      </c>
      <c r="N205" s="8">
        <v>3500</v>
      </c>
      <c r="O205" s="8">
        <v>5</v>
      </c>
      <c r="P205" s="8">
        <v>19950</v>
      </c>
      <c r="Q205" s="8">
        <v>1</v>
      </c>
      <c r="R205" s="8" t="s">
        <v>34</v>
      </c>
      <c r="S205" s="8" t="s">
        <v>151</v>
      </c>
      <c r="T205" s="8" t="s">
        <v>132</v>
      </c>
      <c r="U205" s="9" t="s">
        <v>1026</v>
      </c>
      <c r="V205" s="8" t="s">
        <v>38</v>
      </c>
    </row>
    <row r="206" spans="1:22">
      <c r="A206" s="3" t="s">
        <v>1027</v>
      </c>
      <c r="B206" s="4" t="s">
        <v>168</v>
      </c>
      <c r="C206" s="4" t="s">
        <v>259</v>
      </c>
      <c r="D206" s="4" t="s">
        <v>308</v>
      </c>
      <c r="E206" s="4" t="s">
        <v>281</v>
      </c>
      <c r="F206" s="4" t="s">
        <v>361</v>
      </c>
      <c r="G206" s="4" t="s">
        <v>28</v>
      </c>
      <c r="H206" s="4" t="s">
        <v>1028</v>
      </c>
      <c r="I206" s="4" t="s">
        <v>114</v>
      </c>
      <c r="J206" s="4" t="s">
        <v>106</v>
      </c>
      <c r="K206" s="4" t="s">
        <v>122</v>
      </c>
      <c r="L206" s="4" t="s">
        <v>263</v>
      </c>
      <c r="M206" s="4">
        <v>8</v>
      </c>
      <c r="N206" s="4">
        <v>45</v>
      </c>
      <c r="O206" s="4">
        <v>5</v>
      </c>
      <c r="P206" s="4">
        <v>342</v>
      </c>
      <c r="Q206" s="4">
        <v>2</v>
      </c>
      <c r="R206" s="4" t="s">
        <v>34</v>
      </c>
      <c r="S206" s="4" t="s">
        <v>49</v>
      </c>
      <c r="T206" s="4" t="s">
        <v>175</v>
      </c>
      <c r="U206" s="6" t="s">
        <v>1029</v>
      </c>
      <c r="V206" s="4" t="s">
        <v>64</v>
      </c>
    </row>
    <row r="207" spans="1:22">
      <c r="A207" s="7" t="s">
        <v>1030</v>
      </c>
      <c r="B207" s="8" t="s">
        <v>327</v>
      </c>
      <c r="C207" s="8" t="s">
        <v>24</v>
      </c>
      <c r="D207" s="8" t="s">
        <v>414</v>
      </c>
      <c r="E207" s="8" t="s">
        <v>1031</v>
      </c>
      <c r="F207" s="8" t="s">
        <v>394</v>
      </c>
      <c r="G207" s="8" t="s">
        <v>76</v>
      </c>
      <c r="H207" s="8" t="s">
        <v>1032</v>
      </c>
      <c r="I207" s="8" t="s">
        <v>105</v>
      </c>
      <c r="J207" s="8" t="s">
        <v>106</v>
      </c>
      <c r="K207" s="8" t="s">
        <v>32</v>
      </c>
      <c r="L207" s="8" t="s">
        <v>33</v>
      </c>
      <c r="M207" s="8">
        <v>18</v>
      </c>
      <c r="N207" s="8">
        <v>2200</v>
      </c>
      <c r="O207" s="8">
        <v>15</v>
      </c>
      <c r="P207" s="8">
        <v>33660</v>
      </c>
      <c r="Q207" s="8">
        <v>4</v>
      </c>
      <c r="R207" s="8" t="s">
        <v>79</v>
      </c>
      <c r="S207" s="8" t="s">
        <v>61</v>
      </c>
      <c r="T207" s="8" t="s">
        <v>332</v>
      </c>
      <c r="U207" s="9" t="s">
        <v>1033</v>
      </c>
      <c r="V207" s="8" t="s">
        <v>64</v>
      </c>
    </row>
    <row r="208" spans="1:22">
      <c r="A208" s="3" t="s">
        <v>1034</v>
      </c>
      <c r="B208" s="4" t="s">
        <v>221</v>
      </c>
      <c r="C208" s="4" t="s">
        <v>184</v>
      </c>
      <c r="D208" s="4" t="s">
        <v>1035</v>
      </c>
      <c r="E208" s="4" t="s">
        <v>1005</v>
      </c>
      <c r="F208" s="4" t="s">
        <v>225</v>
      </c>
      <c r="G208" s="4" t="s">
        <v>76</v>
      </c>
      <c r="H208" s="4" t="s">
        <v>1036</v>
      </c>
      <c r="I208" s="4" t="s">
        <v>30</v>
      </c>
      <c r="J208" s="4" t="s">
        <v>31</v>
      </c>
      <c r="K208" s="4" t="s">
        <v>46</v>
      </c>
      <c r="L208" s="4" t="s">
        <v>189</v>
      </c>
      <c r="M208" s="4">
        <v>18</v>
      </c>
      <c r="N208" s="4">
        <v>700</v>
      </c>
      <c r="O208" s="4">
        <v>15</v>
      </c>
      <c r="P208" s="4">
        <v>10710</v>
      </c>
      <c r="Q208" s="4">
        <v>3</v>
      </c>
      <c r="R208" s="4" t="s">
        <v>79</v>
      </c>
      <c r="S208" s="4" t="s">
        <v>151</v>
      </c>
      <c r="T208" s="4" t="s">
        <v>228</v>
      </c>
      <c r="U208" s="6" t="s">
        <v>1037</v>
      </c>
      <c r="V208" s="4" t="s">
        <v>69</v>
      </c>
    </row>
    <row r="209" spans="1:22">
      <c r="A209" s="7" t="s">
        <v>1038</v>
      </c>
      <c r="B209" s="8" t="s">
        <v>327</v>
      </c>
      <c r="C209" s="8" t="s">
        <v>54</v>
      </c>
      <c r="D209" s="8" t="s">
        <v>1039</v>
      </c>
      <c r="E209" s="8" t="s">
        <v>1040</v>
      </c>
      <c r="F209" s="8" t="s">
        <v>394</v>
      </c>
      <c r="G209" s="8" t="s">
        <v>76</v>
      </c>
      <c r="H209" s="8" t="s">
        <v>1041</v>
      </c>
      <c r="I209" s="8" t="s">
        <v>114</v>
      </c>
      <c r="J209" s="8" t="s">
        <v>106</v>
      </c>
      <c r="K209" s="8" t="s">
        <v>46</v>
      </c>
      <c r="L209" s="8" t="s">
        <v>60</v>
      </c>
      <c r="M209" s="8">
        <v>12</v>
      </c>
      <c r="N209" s="8">
        <v>55000</v>
      </c>
      <c r="O209" s="8">
        <v>0</v>
      </c>
      <c r="P209" s="8">
        <v>660000</v>
      </c>
      <c r="Q209" s="8">
        <v>2</v>
      </c>
      <c r="R209" s="8" t="s">
        <v>88</v>
      </c>
      <c r="S209" s="8" t="s">
        <v>49</v>
      </c>
      <c r="T209" s="8" t="s">
        <v>332</v>
      </c>
      <c r="U209" s="9" t="s">
        <v>1042</v>
      </c>
      <c r="V209" s="8" t="s">
        <v>69</v>
      </c>
    </row>
    <row r="210" spans="1:22">
      <c r="A210" s="3" t="s">
        <v>1043</v>
      </c>
      <c r="B210" s="4" t="s">
        <v>23</v>
      </c>
      <c r="C210" s="4" t="s">
        <v>40</v>
      </c>
      <c r="D210" s="4" t="s">
        <v>502</v>
      </c>
      <c r="E210" s="4" t="s">
        <v>1044</v>
      </c>
      <c r="F210" s="4" t="s">
        <v>27</v>
      </c>
      <c r="G210" s="4" t="s">
        <v>28</v>
      </c>
      <c r="H210" s="4" t="s">
        <v>1045</v>
      </c>
      <c r="I210" s="4" t="s">
        <v>105</v>
      </c>
      <c r="J210" s="4" t="s">
        <v>106</v>
      </c>
      <c r="K210" s="4" t="s">
        <v>46</v>
      </c>
      <c r="L210" s="4" t="s">
        <v>47</v>
      </c>
      <c r="M210" s="4">
        <v>7</v>
      </c>
      <c r="N210" s="4">
        <v>12000</v>
      </c>
      <c r="O210" s="4">
        <v>5</v>
      </c>
      <c r="P210" s="4">
        <v>79800</v>
      </c>
      <c r="Q210" s="4">
        <v>3</v>
      </c>
      <c r="R210" s="4" t="s">
        <v>79</v>
      </c>
      <c r="S210" s="4" t="s">
        <v>151</v>
      </c>
      <c r="T210" s="4" t="s">
        <v>50</v>
      </c>
      <c r="U210" s="6" t="s">
        <v>1046</v>
      </c>
      <c r="V210" s="4" t="s">
        <v>64</v>
      </c>
    </row>
    <row r="211" spans="1:22">
      <c r="A211" s="7" t="s">
        <v>1047</v>
      </c>
      <c r="B211" s="8" t="s">
        <v>251</v>
      </c>
      <c r="C211" s="8" t="s">
        <v>40</v>
      </c>
      <c r="D211" s="8" t="s">
        <v>1048</v>
      </c>
      <c r="E211" s="8" t="s">
        <v>129</v>
      </c>
      <c r="F211" s="8" t="s">
        <v>254</v>
      </c>
      <c r="G211" s="8" t="s">
        <v>28</v>
      </c>
      <c r="H211" s="8" t="s">
        <v>1049</v>
      </c>
      <c r="I211" s="8" t="s">
        <v>105</v>
      </c>
      <c r="J211" s="8" t="s">
        <v>106</v>
      </c>
      <c r="K211" s="8" t="s">
        <v>46</v>
      </c>
      <c r="L211" s="8" t="s">
        <v>47</v>
      </c>
      <c r="M211" s="8">
        <v>8</v>
      </c>
      <c r="N211" s="8">
        <v>12000</v>
      </c>
      <c r="O211" s="8">
        <v>15</v>
      </c>
      <c r="P211" s="8">
        <v>81600</v>
      </c>
      <c r="Q211" s="8">
        <v>4</v>
      </c>
      <c r="R211" s="8" t="s">
        <v>79</v>
      </c>
      <c r="S211" s="8" t="s">
        <v>49</v>
      </c>
      <c r="T211" s="8" t="s">
        <v>256</v>
      </c>
      <c r="U211" s="9" t="s">
        <v>1050</v>
      </c>
      <c r="V211" s="8" t="s">
        <v>38</v>
      </c>
    </row>
    <row r="212" spans="1:22">
      <c r="A212" s="3" t="s">
        <v>1051</v>
      </c>
      <c r="B212" s="4" t="s">
        <v>327</v>
      </c>
      <c r="C212" s="4" t="s">
        <v>92</v>
      </c>
      <c r="D212" s="4" t="s">
        <v>788</v>
      </c>
      <c r="E212" s="4" t="s">
        <v>1052</v>
      </c>
      <c r="F212" s="4" t="s">
        <v>394</v>
      </c>
      <c r="G212" s="4" t="s">
        <v>76</v>
      </c>
      <c r="H212" s="4" t="s">
        <v>1053</v>
      </c>
      <c r="I212" s="4" t="s">
        <v>105</v>
      </c>
      <c r="J212" s="4" t="s">
        <v>106</v>
      </c>
      <c r="K212" s="4" t="s">
        <v>32</v>
      </c>
      <c r="L212" s="4" t="s">
        <v>97</v>
      </c>
      <c r="M212" s="4">
        <v>19</v>
      </c>
      <c r="N212" s="4">
        <v>3500</v>
      </c>
      <c r="O212" s="4">
        <v>5</v>
      </c>
      <c r="P212" s="4">
        <v>63175</v>
      </c>
      <c r="Q212" s="4">
        <v>3</v>
      </c>
      <c r="R212" s="4" t="s">
        <v>79</v>
      </c>
      <c r="S212" s="4" t="s">
        <v>61</v>
      </c>
      <c r="T212" s="4" t="s">
        <v>332</v>
      </c>
      <c r="U212" s="6" t="s">
        <v>1054</v>
      </c>
      <c r="V212" s="4" t="s">
        <v>64</v>
      </c>
    </row>
    <row r="213" spans="1:22">
      <c r="A213" s="7" t="s">
        <v>1055</v>
      </c>
      <c r="B213" s="8" t="s">
        <v>251</v>
      </c>
      <c r="C213" s="8" t="s">
        <v>259</v>
      </c>
      <c r="D213" s="8" t="s">
        <v>900</v>
      </c>
      <c r="E213" s="8" t="s">
        <v>987</v>
      </c>
      <c r="F213" s="8" t="s">
        <v>254</v>
      </c>
      <c r="G213" s="8" t="s">
        <v>28</v>
      </c>
      <c r="H213" s="8" t="s">
        <v>1056</v>
      </c>
      <c r="I213" s="8" t="s">
        <v>138</v>
      </c>
      <c r="J213" s="8" t="s">
        <v>106</v>
      </c>
      <c r="K213" s="8" t="s">
        <v>122</v>
      </c>
      <c r="L213" s="8" t="s">
        <v>263</v>
      </c>
      <c r="M213" s="8">
        <v>7</v>
      </c>
      <c r="N213" s="8">
        <v>45</v>
      </c>
      <c r="O213" s="8">
        <v>5</v>
      </c>
      <c r="P213" s="8">
        <v>299.25</v>
      </c>
      <c r="Q213" s="8">
        <v>3</v>
      </c>
      <c r="R213" s="8" t="s">
        <v>79</v>
      </c>
      <c r="S213" s="8" t="s">
        <v>35</v>
      </c>
      <c r="T213" s="8" t="s">
        <v>256</v>
      </c>
      <c r="U213" s="9" t="s">
        <v>1057</v>
      </c>
      <c r="V213" s="8" t="s">
        <v>69</v>
      </c>
    </row>
    <row r="214" spans="1:22">
      <c r="A214" s="3" t="s">
        <v>1058</v>
      </c>
      <c r="B214" s="4" t="s">
        <v>23</v>
      </c>
      <c r="C214" s="4" t="s">
        <v>118</v>
      </c>
      <c r="D214" s="4" t="s">
        <v>684</v>
      </c>
      <c r="E214" s="4" t="s">
        <v>750</v>
      </c>
      <c r="F214" s="4" t="s">
        <v>27</v>
      </c>
      <c r="G214" s="4" t="s">
        <v>28</v>
      </c>
      <c r="H214" s="4" t="s">
        <v>331</v>
      </c>
      <c r="I214" s="4" t="s">
        <v>30</v>
      </c>
      <c r="J214" s="4" t="s">
        <v>31</v>
      </c>
      <c r="K214" s="4" t="s">
        <v>122</v>
      </c>
      <c r="L214" s="4" t="s">
        <v>123</v>
      </c>
      <c r="M214" s="4">
        <v>3</v>
      </c>
      <c r="N214" s="4">
        <v>60</v>
      </c>
      <c r="O214" s="4">
        <v>15</v>
      </c>
      <c r="P214" s="4">
        <v>153</v>
      </c>
      <c r="Q214" s="4">
        <v>3</v>
      </c>
      <c r="R214" s="4" t="s">
        <v>48</v>
      </c>
      <c r="S214" s="4" t="s">
        <v>49</v>
      </c>
      <c r="T214" s="4" t="s">
        <v>50</v>
      </c>
      <c r="U214" s="6" t="s">
        <v>1059</v>
      </c>
      <c r="V214" s="4" t="s">
        <v>69</v>
      </c>
    </row>
    <row r="215" spans="1:22">
      <c r="A215" s="7" t="s">
        <v>1060</v>
      </c>
      <c r="B215" s="8" t="s">
        <v>53</v>
      </c>
      <c r="C215" s="8" t="s">
        <v>259</v>
      </c>
      <c r="D215" s="8" t="s">
        <v>1061</v>
      </c>
      <c r="E215" s="8" t="s">
        <v>582</v>
      </c>
      <c r="F215" s="8" t="s">
        <v>163</v>
      </c>
      <c r="G215" s="8" t="s">
        <v>28</v>
      </c>
      <c r="H215" s="8" t="s">
        <v>1062</v>
      </c>
      <c r="I215" s="8" t="s">
        <v>114</v>
      </c>
      <c r="J215" s="8" t="s">
        <v>106</v>
      </c>
      <c r="K215" s="8" t="s">
        <v>122</v>
      </c>
      <c r="L215" s="8" t="s">
        <v>263</v>
      </c>
      <c r="M215" s="8">
        <v>19</v>
      </c>
      <c r="N215" s="8">
        <v>45</v>
      </c>
      <c r="O215" s="8">
        <v>0</v>
      </c>
      <c r="P215" s="8">
        <v>855</v>
      </c>
      <c r="Q215" s="8">
        <v>2</v>
      </c>
      <c r="R215" s="8" t="s">
        <v>34</v>
      </c>
      <c r="S215" s="8" t="s">
        <v>61</v>
      </c>
      <c r="T215" s="8" t="s">
        <v>62</v>
      </c>
      <c r="U215" s="9" t="s">
        <v>1063</v>
      </c>
      <c r="V215" s="8" t="s">
        <v>38</v>
      </c>
    </row>
    <row r="216" spans="1:22">
      <c r="A216" s="3" t="s">
        <v>1064</v>
      </c>
      <c r="B216" s="4" t="s">
        <v>100</v>
      </c>
      <c r="C216" s="4" t="s">
        <v>40</v>
      </c>
      <c r="D216" s="4" t="s">
        <v>1065</v>
      </c>
      <c r="E216" s="4" t="s">
        <v>543</v>
      </c>
      <c r="F216" s="4" t="s">
        <v>103</v>
      </c>
      <c r="G216" s="4" t="s">
        <v>28</v>
      </c>
      <c r="H216" s="4" t="s">
        <v>1066</v>
      </c>
      <c r="I216" s="4" t="s">
        <v>59</v>
      </c>
      <c r="J216" s="4" t="s">
        <v>31</v>
      </c>
      <c r="K216" s="4" t="s">
        <v>46</v>
      </c>
      <c r="L216" s="4" t="s">
        <v>47</v>
      </c>
      <c r="M216" s="4">
        <v>10</v>
      </c>
      <c r="N216" s="4">
        <v>12000</v>
      </c>
      <c r="O216" s="4">
        <v>5</v>
      </c>
      <c r="P216" s="4">
        <v>114000</v>
      </c>
      <c r="Q216" s="4">
        <v>1</v>
      </c>
      <c r="R216" s="4" t="s">
        <v>79</v>
      </c>
      <c r="S216" s="4" t="s">
        <v>115</v>
      </c>
      <c r="T216" s="4" t="s">
        <v>144</v>
      </c>
      <c r="U216" s="6" t="s">
        <v>1067</v>
      </c>
      <c r="V216" s="4" t="s">
        <v>69</v>
      </c>
    </row>
    <row r="217" spans="1:22">
      <c r="A217" s="7" t="s">
        <v>1068</v>
      </c>
      <c r="B217" s="8" t="s">
        <v>23</v>
      </c>
      <c r="C217" s="8" t="s">
        <v>72</v>
      </c>
      <c r="D217" s="8" t="s">
        <v>1069</v>
      </c>
      <c r="E217" s="8" t="s">
        <v>1031</v>
      </c>
      <c r="F217" s="8" t="s">
        <v>27</v>
      </c>
      <c r="G217" s="8" t="s">
        <v>28</v>
      </c>
      <c r="H217" s="8" t="s">
        <v>1070</v>
      </c>
      <c r="I217" s="8" t="s">
        <v>294</v>
      </c>
      <c r="J217" s="8" t="s">
        <v>295</v>
      </c>
      <c r="K217" s="8" t="s">
        <v>46</v>
      </c>
      <c r="L217" s="8" t="s">
        <v>78</v>
      </c>
      <c r="M217" s="8">
        <v>4</v>
      </c>
      <c r="N217" s="8">
        <v>1200</v>
      </c>
      <c r="O217" s="8">
        <v>0</v>
      </c>
      <c r="P217" s="8">
        <v>4800</v>
      </c>
      <c r="Q217" s="8">
        <v>4</v>
      </c>
      <c r="R217" s="8" t="s">
        <v>34</v>
      </c>
      <c r="S217" s="8" t="s">
        <v>61</v>
      </c>
      <c r="T217" s="8" t="s">
        <v>50</v>
      </c>
      <c r="U217" s="9" t="s">
        <v>1071</v>
      </c>
      <c r="V217" s="8" t="s">
        <v>38</v>
      </c>
    </row>
    <row r="218" spans="1:22">
      <c r="A218" s="3" t="s">
        <v>1072</v>
      </c>
      <c r="B218" s="4" t="s">
        <v>221</v>
      </c>
      <c r="C218" s="4" t="s">
        <v>169</v>
      </c>
      <c r="D218" s="4" t="s">
        <v>531</v>
      </c>
      <c r="E218" s="4" t="s">
        <v>1073</v>
      </c>
      <c r="F218" s="4" t="s">
        <v>225</v>
      </c>
      <c r="G218" s="4" t="s">
        <v>76</v>
      </c>
      <c r="H218" s="4" t="s">
        <v>1074</v>
      </c>
      <c r="I218" s="4" t="s">
        <v>59</v>
      </c>
      <c r="J218" s="4" t="s">
        <v>31</v>
      </c>
      <c r="K218" s="4" t="s">
        <v>32</v>
      </c>
      <c r="L218" s="4" t="s">
        <v>174</v>
      </c>
      <c r="M218" s="4">
        <v>2</v>
      </c>
      <c r="N218" s="4">
        <v>8500</v>
      </c>
      <c r="O218" s="4">
        <v>20</v>
      </c>
      <c r="P218" s="4">
        <v>13600</v>
      </c>
      <c r="Q218" s="4">
        <v>3</v>
      </c>
      <c r="R218" s="4" t="s">
        <v>79</v>
      </c>
      <c r="S218" s="4" t="s">
        <v>151</v>
      </c>
      <c r="T218" s="4" t="s">
        <v>228</v>
      </c>
      <c r="U218" s="6" t="s">
        <v>1075</v>
      </c>
      <c r="V218" s="4" t="s">
        <v>38</v>
      </c>
    </row>
    <row r="219" spans="1:22">
      <c r="A219" s="7" t="s">
        <v>1076</v>
      </c>
      <c r="B219" s="8" t="s">
        <v>83</v>
      </c>
      <c r="C219" s="8" t="s">
        <v>184</v>
      </c>
      <c r="D219" s="8" t="s">
        <v>1077</v>
      </c>
      <c r="E219" s="8" t="s">
        <v>322</v>
      </c>
      <c r="F219" s="8" t="s">
        <v>180</v>
      </c>
      <c r="G219" s="8" t="s">
        <v>76</v>
      </c>
      <c r="H219" s="8" t="s">
        <v>1078</v>
      </c>
      <c r="I219" s="8" t="s">
        <v>294</v>
      </c>
      <c r="J219" s="8" t="s">
        <v>295</v>
      </c>
      <c r="K219" s="8" t="s">
        <v>46</v>
      </c>
      <c r="L219" s="8" t="s">
        <v>189</v>
      </c>
      <c r="M219" s="8">
        <v>7</v>
      </c>
      <c r="N219" s="8">
        <v>700</v>
      </c>
      <c r="O219" s="8">
        <v>20</v>
      </c>
      <c r="P219" s="8">
        <v>3920</v>
      </c>
      <c r="Q219" s="8">
        <v>2</v>
      </c>
      <c r="R219" s="8" t="s">
        <v>79</v>
      </c>
      <c r="S219" s="8" t="s">
        <v>151</v>
      </c>
      <c r="T219" s="8" t="s">
        <v>89</v>
      </c>
      <c r="U219" s="9" t="s">
        <v>1079</v>
      </c>
      <c r="V219" s="8" t="s">
        <v>64</v>
      </c>
    </row>
    <row r="220" spans="1:22">
      <c r="A220" s="3" t="s">
        <v>1080</v>
      </c>
      <c r="B220" s="4" t="s">
        <v>53</v>
      </c>
      <c r="C220" s="4" t="s">
        <v>222</v>
      </c>
      <c r="D220" s="4" t="s">
        <v>1081</v>
      </c>
      <c r="E220" s="4" t="s">
        <v>518</v>
      </c>
      <c r="F220" s="4" t="s">
        <v>163</v>
      </c>
      <c r="G220" s="4" t="s">
        <v>28</v>
      </c>
      <c r="H220" s="4" t="s">
        <v>1082</v>
      </c>
      <c r="I220" s="4" t="s">
        <v>114</v>
      </c>
      <c r="J220" s="4" t="s">
        <v>106</v>
      </c>
      <c r="K220" s="4" t="s">
        <v>122</v>
      </c>
      <c r="L220" s="4" t="s">
        <v>227</v>
      </c>
      <c r="M220" s="4">
        <v>9</v>
      </c>
      <c r="N220" s="4">
        <v>20</v>
      </c>
      <c r="O220" s="4">
        <v>15</v>
      </c>
      <c r="P220" s="4">
        <v>153</v>
      </c>
      <c r="Q220" s="4">
        <v>3</v>
      </c>
      <c r="R220" s="4" t="s">
        <v>48</v>
      </c>
      <c r="S220" s="4" t="s">
        <v>115</v>
      </c>
      <c r="T220" s="4" t="s">
        <v>62</v>
      </c>
      <c r="U220" s="6" t="s">
        <v>1083</v>
      </c>
      <c r="V220" s="4" t="s">
        <v>38</v>
      </c>
    </row>
    <row r="221" spans="1:22">
      <c r="A221" s="7" t="s">
        <v>1084</v>
      </c>
      <c r="B221" s="8" t="s">
        <v>100</v>
      </c>
      <c r="C221" s="8" t="s">
        <v>169</v>
      </c>
      <c r="D221" s="8" t="s">
        <v>1085</v>
      </c>
      <c r="E221" s="8" t="s">
        <v>1086</v>
      </c>
      <c r="F221" s="8" t="s">
        <v>103</v>
      </c>
      <c r="G221" s="8" t="s">
        <v>28</v>
      </c>
      <c r="H221" s="8" t="s">
        <v>1087</v>
      </c>
      <c r="I221" s="8" t="s">
        <v>294</v>
      </c>
      <c r="J221" s="8" t="s">
        <v>295</v>
      </c>
      <c r="K221" s="8" t="s">
        <v>32</v>
      </c>
      <c r="L221" s="8" t="s">
        <v>174</v>
      </c>
      <c r="M221" s="8">
        <v>16</v>
      </c>
      <c r="N221" s="8">
        <v>8500</v>
      </c>
      <c r="O221" s="8">
        <v>0</v>
      </c>
      <c r="P221" s="8">
        <v>136000</v>
      </c>
      <c r="Q221" s="8">
        <v>4</v>
      </c>
      <c r="R221" s="8" t="s">
        <v>48</v>
      </c>
      <c r="S221" s="8" t="s">
        <v>35</v>
      </c>
      <c r="T221" s="8" t="s">
        <v>144</v>
      </c>
      <c r="U221" s="9" t="s">
        <v>1088</v>
      </c>
      <c r="V221" s="8" t="s">
        <v>38</v>
      </c>
    </row>
    <row r="222" spans="1:22">
      <c r="A222" s="3" t="s">
        <v>1089</v>
      </c>
      <c r="B222" s="4" t="s">
        <v>251</v>
      </c>
      <c r="C222" s="4" t="s">
        <v>92</v>
      </c>
      <c r="D222" s="4" t="s">
        <v>544</v>
      </c>
      <c r="E222" s="4" t="s">
        <v>1090</v>
      </c>
      <c r="F222" s="4" t="s">
        <v>254</v>
      </c>
      <c r="G222" s="4" t="s">
        <v>28</v>
      </c>
      <c r="H222" s="4" t="s">
        <v>1091</v>
      </c>
      <c r="I222" s="4" t="s">
        <v>44</v>
      </c>
      <c r="J222" s="4" t="s">
        <v>45</v>
      </c>
      <c r="K222" s="4" t="s">
        <v>32</v>
      </c>
      <c r="L222" s="4" t="s">
        <v>97</v>
      </c>
      <c r="M222" s="4">
        <v>10</v>
      </c>
      <c r="N222" s="4">
        <v>3500</v>
      </c>
      <c r="O222" s="4">
        <v>5</v>
      </c>
      <c r="P222" s="4">
        <v>33250</v>
      </c>
      <c r="Q222" s="4">
        <v>3</v>
      </c>
      <c r="R222" s="4" t="s">
        <v>48</v>
      </c>
      <c r="S222" s="4" t="s">
        <v>115</v>
      </c>
      <c r="T222" s="4" t="s">
        <v>256</v>
      </c>
      <c r="U222" s="6" t="s">
        <v>1092</v>
      </c>
      <c r="V222" s="4" t="s">
        <v>38</v>
      </c>
    </row>
    <row r="223" spans="1:22">
      <c r="A223" s="7" t="s">
        <v>1093</v>
      </c>
      <c r="B223" s="8" t="s">
        <v>53</v>
      </c>
      <c r="C223" s="8" t="s">
        <v>40</v>
      </c>
      <c r="D223" s="8" t="s">
        <v>1094</v>
      </c>
      <c r="E223" s="8" t="s">
        <v>588</v>
      </c>
      <c r="F223" s="8" t="s">
        <v>163</v>
      </c>
      <c r="G223" s="8" t="s">
        <v>28</v>
      </c>
      <c r="H223" s="8" t="s">
        <v>1095</v>
      </c>
      <c r="I223" s="8" t="s">
        <v>294</v>
      </c>
      <c r="J223" s="8" t="s">
        <v>295</v>
      </c>
      <c r="K223" s="8" t="s">
        <v>46</v>
      </c>
      <c r="L223" s="8" t="s">
        <v>47</v>
      </c>
      <c r="M223" s="8">
        <v>1</v>
      </c>
      <c r="N223" s="8">
        <v>12000</v>
      </c>
      <c r="O223" s="8">
        <v>0</v>
      </c>
      <c r="P223" s="8">
        <v>12000</v>
      </c>
      <c r="Q223" s="8">
        <v>5</v>
      </c>
      <c r="R223" s="8" t="s">
        <v>88</v>
      </c>
      <c r="S223" s="8" t="s">
        <v>115</v>
      </c>
      <c r="T223" s="8" t="s">
        <v>62</v>
      </c>
      <c r="U223" s="9" t="s">
        <v>1096</v>
      </c>
      <c r="V223" s="8" t="s">
        <v>64</v>
      </c>
    </row>
    <row r="224" spans="1:22">
      <c r="A224" s="3" t="s">
        <v>1097</v>
      </c>
      <c r="B224" s="4" t="s">
        <v>327</v>
      </c>
      <c r="C224" s="4" t="s">
        <v>259</v>
      </c>
      <c r="D224" s="4" t="s">
        <v>1098</v>
      </c>
      <c r="E224" s="4" t="s">
        <v>601</v>
      </c>
      <c r="F224" s="4" t="s">
        <v>394</v>
      </c>
      <c r="G224" s="4" t="s">
        <v>76</v>
      </c>
      <c r="H224" s="4" t="s">
        <v>1099</v>
      </c>
      <c r="I224" s="4" t="s">
        <v>294</v>
      </c>
      <c r="J224" s="4" t="s">
        <v>295</v>
      </c>
      <c r="K224" s="4" t="s">
        <v>122</v>
      </c>
      <c r="L224" s="4" t="s">
        <v>263</v>
      </c>
      <c r="M224" s="4">
        <v>19</v>
      </c>
      <c r="N224" s="4">
        <v>45</v>
      </c>
      <c r="O224" s="4">
        <v>15</v>
      </c>
      <c r="P224" s="4">
        <v>726.75</v>
      </c>
      <c r="Q224" s="4">
        <v>2</v>
      </c>
      <c r="R224" s="4" t="s">
        <v>88</v>
      </c>
      <c r="S224" s="4" t="s">
        <v>151</v>
      </c>
      <c r="T224" s="4" t="s">
        <v>332</v>
      </c>
      <c r="U224" s="6" t="s">
        <v>1100</v>
      </c>
      <c r="V224" s="4" t="s">
        <v>64</v>
      </c>
    </row>
    <row r="225" spans="1:22">
      <c r="A225" s="7" t="s">
        <v>1101</v>
      </c>
      <c r="B225" s="8" t="s">
        <v>23</v>
      </c>
      <c r="C225" s="8" t="s">
        <v>54</v>
      </c>
      <c r="D225" s="8" t="s">
        <v>531</v>
      </c>
      <c r="E225" s="8" t="s">
        <v>1102</v>
      </c>
      <c r="F225" s="8" t="s">
        <v>27</v>
      </c>
      <c r="G225" s="8" t="s">
        <v>28</v>
      </c>
      <c r="H225" s="8" t="s">
        <v>1103</v>
      </c>
      <c r="I225" s="8" t="s">
        <v>44</v>
      </c>
      <c r="J225" s="8" t="s">
        <v>45</v>
      </c>
      <c r="K225" s="8" t="s">
        <v>46</v>
      </c>
      <c r="L225" s="8" t="s">
        <v>60</v>
      </c>
      <c r="M225" s="8">
        <v>13</v>
      </c>
      <c r="N225" s="8">
        <v>55000</v>
      </c>
      <c r="O225" s="8">
        <v>5</v>
      </c>
      <c r="P225" s="8">
        <v>679250</v>
      </c>
      <c r="Q225" s="8">
        <v>4</v>
      </c>
      <c r="R225" s="8" t="s">
        <v>79</v>
      </c>
      <c r="S225" s="8" t="s">
        <v>49</v>
      </c>
      <c r="T225" s="8" t="s">
        <v>50</v>
      </c>
      <c r="U225" s="9" t="s">
        <v>1104</v>
      </c>
      <c r="V225" s="8" t="s">
        <v>69</v>
      </c>
    </row>
    <row r="226" spans="1:22">
      <c r="A226" s="3" t="s">
        <v>1105</v>
      </c>
      <c r="B226" s="4" t="s">
        <v>83</v>
      </c>
      <c r="C226" s="4" t="s">
        <v>259</v>
      </c>
      <c r="D226" s="4" t="s">
        <v>1106</v>
      </c>
      <c r="E226" s="4" t="s">
        <v>155</v>
      </c>
      <c r="F226" s="4" t="s">
        <v>180</v>
      </c>
      <c r="G226" s="4" t="s">
        <v>76</v>
      </c>
      <c r="H226" s="4" t="s">
        <v>1107</v>
      </c>
      <c r="I226" s="4" t="s">
        <v>105</v>
      </c>
      <c r="J226" s="4" t="s">
        <v>106</v>
      </c>
      <c r="K226" s="4" t="s">
        <v>122</v>
      </c>
      <c r="L226" s="4" t="s">
        <v>263</v>
      </c>
      <c r="M226" s="4">
        <v>2</v>
      </c>
      <c r="N226" s="4">
        <v>45</v>
      </c>
      <c r="O226" s="4">
        <v>15</v>
      </c>
      <c r="P226" s="4">
        <v>76.5</v>
      </c>
      <c r="Q226" s="4">
        <v>1</v>
      </c>
      <c r="R226" s="4" t="s">
        <v>48</v>
      </c>
      <c r="S226" s="4" t="s">
        <v>115</v>
      </c>
      <c r="T226" s="4" t="s">
        <v>89</v>
      </c>
      <c r="U226" s="6" t="s">
        <v>1108</v>
      </c>
      <c r="V226" s="4" t="s">
        <v>38</v>
      </c>
    </row>
    <row r="227" spans="1:22">
      <c r="A227" s="7" t="s">
        <v>1109</v>
      </c>
      <c r="B227" s="8" t="s">
        <v>100</v>
      </c>
      <c r="C227" s="8" t="s">
        <v>222</v>
      </c>
      <c r="D227" s="8" t="s">
        <v>303</v>
      </c>
      <c r="E227" s="8" t="s">
        <v>1110</v>
      </c>
      <c r="F227" s="8" t="s">
        <v>103</v>
      </c>
      <c r="G227" s="8" t="s">
        <v>28</v>
      </c>
      <c r="H227" s="8" t="s">
        <v>1111</v>
      </c>
      <c r="I227" s="8" t="s">
        <v>30</v>
      </c>
      <c r="J227" s="8" t="s">
        <v>31</v>
      </c>
      <c r="K227" s="8" t="s">
        <v>122</v>
      </c>
      <c r="L227" s="8" t="s">
        <v>227</v>
      </c>
      <c r="M227" s="8">
        <v>8</v>
      </c>
      <c r="N227" s="8">
        <v>20</v>
      </c>
      <c r="O227" s="8">
        <v>15</v>
      </c>
      <c r="P227" s="8">
        <v>136</v>
      </c>
      <c r="Q227" s="8">
        <v>1</v>
      </c>
      <c r="R227" s="8" t="s">
        <v>79</v>
      </c>
      <c r="S227" s="8" t="s">
        <v>35</v>
      </c>
      <c r="T227" s="8" t="s">
        <v>144</v>
      </c>
      <c r="U227" s="9" t="s">
        <v>1112</v>
      </c>
      <c r="V227" s="8" t="s">
        <v>64</v>
      </c>
    </row>
    <row r="228" spans="1:22">
      <c r="A228" s="3" t="s">
        <v>1113</v>
      </c>
      <c r="B228" s="4" t="s">
        <v>168</v>
      </c>
      <c r="C228" s="4" t="s">
        <v>40</v>
      </c>
      <c r="D228" s="4" t="s">
        <v>1114</v>
      </c>
      <c r="E228" s="4" t="s">
        <v>1115</v>
      </c>
      <c r="F228" s="4" t="s">
        <v>361</v>
      </c>
      <c r="G228" s="4" t="s">
        <v>28</v>
      </c>
      <c r="H228" s="4" t="s">
        <v>1116</v>
      </c>
      <c r="I228" s="4" t="s">
        <v>30</v>
      </c>
      <c r="J228" s="4" t="s">
        <v>31</v>
      </c>
      <c r="K228" s="4" t="s">
        <v>46</v>
      </c>
      <c r="L228" s="4" t="s">
        <v>47</v>
      </c>
      <c r="M228" s="4">
        <v>9</v>
      </c>
      <c r="N228" s="4">
        <v>12000</v>
      </c>
      <c r="O228" s="4">
        <v>5</v>
      </c>
      <c r="P228" s="4">
        <v>102600</v>
      </c>
      <c r="Q228" s="4">
        <v>2</v>
      </c>
      <c r="R228" s="4" t="s">
        <v>79</v>
      </c>
      <c r="S228" s="4" t="s">
        <v>35</v>
      </c>
      <c r="T228" s="4" t="s">
        <v>175</v>
      </c>
      <c r="U228" s="6" t="s">
        <v>1117</v>
      </c>
      <c r="V228" s="4" t="s">
        <v>69</v>
      </c>
    </row>
    <row r="229" spans="1:22">
      <c r="A229" s="7" t="s">
        <v>1118</v>
      </c>
      <c r="B229" s="8" t="s">
        <v>71</v>
      </c>
      <c r="C229" s="8" t="s">
        <v>92</v>
      </c>
      <c r="D229" s="8" t="s">
        <v>1119</v>
      </c>
      <c r="E229" s="8" t="s">
        <v>1120</v>
      </c>
      <c r="F229" s="8" t="s">
        <v>217</v>
      </c>
      <c r="G229" s="8" t="s">
        <v>76</v>
      </c>
      <c r="H229" s="8" t="s">
        <v>1121</v>
      </c>
      <c r="I229" s="8" t="s">
        <v>294</v>
      </c>
      <c r="J229" s="8" t="s">
        <v>295</v>
      </c>
      <c r="K229" s="8" t="s">
        <v>32</v>
      </c>
      <c r="L229" s="8" t="s">
        <v>97</v>
      </c>
      <c r="M229" s="8">
        <v>3</v>
      </c>
      <c r="N229" s="8">
        <v>3500</v>
      </c>
      <c r="O229" s="8">
        <v>15</v>
      </c>
      <c r="P229" s="8">
        <v>8925</v>
      </c>
      <c r="Q229" s="8">
        <v>1</v>
      </c>
      <c r="R229" s="8" t="s">
        <v>34</v>
      </c>
      <c r="S229" s="8" t="s">
        <v>49</v>
      </c>
      <c r="T229" s="8" t="s">
        <v>80</v>
      </c>
      <c r="U229" s="9" t="s">
        <v>1122</v>
      </c>
      <c r="V229" s="8" t="s">
        <v>69</v>
      </c>
    </row>
    <row r="230" spans="1:22">
      <c r="A230" s="3" t="s">
        <v>1123</v>
      </c>
      <c r="B230" s="4" t="s">
        <v>100</v>
      </c>
      <c r="C230" s="4" t="s">
        <v>184</v>
      </c>
      <c r="D230" s="4" t="s">
        <v>1086</v>
      </c>
      <c r="E230" s="4" t="s">
        <v>1124</v>
      </c>
      <c r="F230" s="4" t="s">
        <v>103</v>
      </c>
      <c r="G230" s="4" t="s">
        <v>28</v>
      </c>
      <c r="H230" s="4" t="s">
        <v>1125</v>
      </c>
      <c r="I230" s="4" t="s">
        <v>30</v>
      </c>
      <c r="J230" s="4" t="s">
        <v>31</v>
      </c>
      <c r="K230" s="4" t="s">
        <v>46</v>
      </c>
      <c r="L230" s="4" t="s">
        <v>189</v>
      </c>
      <c r="M230" s="4">
        <v>18</v>
      </c>
      <c r="N230" s="4">
        <v>700</v>
      </c>
      <c r="O230" s="4">
        <v>20</v>
      </c>
      <c r="P230" s="4">
        <v>10080</v>
      </c>
      <c r="Q230" s="4">
        <v>1</v>
      </c>
      <c r="R230" s="4" t="s">
        <v>79</v>
      </c>
      <c r="S230" s="4" t="s">
        <v>151</v>
      </c>
      <c r="T230" s="4" t="s">
        <v>144</v>
      </c>
      <c r="U230" s="6" t="s">
        <v>1126</v>
      </c>
      <c r="V230" s="4" t="s">
        <v>38</v>
      </c>
    </row>
    <row r="231" spans="1:22">
      <c r="A231" s="7" t="s">
        <v>1127</v>
      </c>
      <c r="B231" s="8" t="s">
        <v>71</v>
      </c>
      <c r="C231" s="8" t="s">
        <v>92</v>
      </c>
      <c r="D231" s="8" t="s">
        <v>1128</v>
      </c>
      <c r="E231" s="8" t="s">
        <v>110</v>
      </c>
      <c r="F231" s="8" t="s">
        <v>217</v>
      </c>
      <c r="G231" s="8" t="s">
        <v>76</v>
      </c>
      <c r="H231" s="8" t="s">
        <v>1129</v>
      </c>
      <c r="I231" s="8" t="s">
        <v>114</v>
      </c>
      <c r="J231" s="8" t="s">
        <v>106</v>
      </c>
      <c r="K231" s="8" t="s">
        <v>32</v>
      </c>
      <c r="L231" s="8" t="s">
        <v>97</v>
      </c>
      <c r="M231" s="8">
        <v>14</v>
      </c>
      <c r="N231" s="8">
        <v>3500</v>
      </c>
      <c r="O231" s="8">
        <v>5</v>
      </c>
      <c r="P231" s="8">
        <v>46550</v>
      </c>
      <c r="Q231" s="8">
        <v>1</v>
      </c>
      <c r="R231" s="8" t="s">
        <v>34</v>
      </c>
      <c r="S231" s="8" t="s">
        <v>61</v>
      </c>
      <c r="T231" s="8" t="s">
        <v>80</v>
      </c>
      <c r="U231" s="9" t="s">
        <v>1130</v>
      </c>
      <c r="V231" s="8" t="s">
        <v>38</v>
      </c>
    </row>
    <row r="232" spans="1:22">
      <c r="A232" s="3" t="s">
        <v>1131</v>
      </c>
      <c r="B232" s="4" t="s">
        <v>100</v>
      </c>
      <c r="C232" s="4" t="s">
        <v>184</v>
      </c>
      <c r="D232" s="4" t="s">
        <v>684</v>
      </c>
      <c r="E232" s="4" t="s">
        <v>318</v>
      </c>
      <c r="F232" s="4" t="s">
        <v>103</v>
      </c>
      <c r="G232" s="4" t="s">
        <v>28</v>
      </c>
      <c r="H232" s="4" t="s">
        <v>1132</v>
      </c>
      <c r="I232" s="4" t="s">
        <v>294</v>
      </c>
      <c r="J232" s="4" t="s">
        <v>295</v>
      </c>
      <c r="K232" s="4" t="s">
        <v>46</v>
      </c>
      <c r="L232" s="4" t="s">
        <v>189</v>
      </c>
      <c r="M232" s="4">
        <v>6</v>
      </c>
      <c r="N232" s="4">
        <v>700</v>
      </c>
      <c r="O232" s="4">
        <v>5</v>
      </c>
      <c r="P232" s="4">
        <v>3990</v>
      </c>
      <c r="Q232" s="4">
        <v>5</v>
      </c>
      <c r="R232" s="4" t="s">
        <v>34</v>
      </c>
      <c r="S232" s="4" t="s">
        <v>35</v>
      </c>
      <c r="T232" s="4" t="s">
        <v>144</v>
      </c>
      <c r="U232" s="6" t="s">
        <v>1133</v>
      </c>
      <c r="V232" s="4" t="s">
        <v>38</v>
      </c>
    </row>
    <row r="233" spans="1:22">
      <c r="A233" s="7" t="s">
        <v>1134</v>
      </c>
      <c r="B233" s="8" t="s">
        <v>100</v>
      </c>
      <c r="C233" s="8" t="s">
        <v>92</v>
      </c>
      <c r="D233" s="8" t="s">
        <v>679</v>
      </c>
      <c r="E233" s="8" t="s">
        <v>872</v>
      </c>
      <c r="F233" s="8" t="s">
        <v>103</v>
      </c>
      <c r="G233" s="8" t="s">
        <v>28</v>
      </c>
      <c r="H233" s="8" t="s">
        <v>1135</v>
      </c>
      <c r="I233" s="8" t="s">
        <v>105</v>
      </c>
      <c r="J233" s="8" t="s">
        <v>106</v>
      </c>
      <c r="K233" s="8" t="s">
        <v>32</v>
      </c>
      <c r="L233" s="8" t="s">
        <v>97</v>
      </c>
      <c r="M233" s="8">
        <v>17</v>
      </c>
      <c r="N233" s="8">
        <v>3500</v>
      </c>
      <c r="O233" s="8">
        <v>15</v>
      </c>
      <c r="P233" s="8">
        <v>50575</v>
      </c>
      <c r="Q233" s="8">
        <v>3</v>
      </c>
      <c r="R233" s="8" t="s">
        <v>48</v>
      </c>
      <c r="S233" s="8" t="s">
        <v>49</v>
      </c>
      <c r="T233" s="8" t="s">
        <v>144</v>
      </c>
      <c r="U233" s="9" t="s">
        <v>1136</v>
      </c>
      <c r="V233" s="8" t="s">
        <v>64</v>
      </c>
    </row>
    <row r="234" spans="1:22">
      <c r="A234" s="3" t="s">
        <v>1137</v>
      </c>
      <c r="B234" s="4" t="s">
        <v>251</v>
      </c>
      <c r="C234" s="4" t="s">
        <v>222</v>
      </c>
      <c r="D234" s="4" t="s">
        <v>253</v>
      </c>
      <c r="E234" s="4" t="s">
        <v>1128</v>
      </c>
      <c r="F234" s="4" t="s">
        <v>254</v>
      </c>
      <c r="G234" s="4" t="s">
        <v>28</v>
      </c>
      <c r="H234" s="4" t="s">
        <v>1138</v>
      </c>
      <c r="I234" s="4" t="s">
        <v>294</v>
      </c>
      <c r="J234" s="4" t="s">
        <v>295</v>
      </c>
      <c r="K234" s="4" t="s">
        <v>122</v>
      </c>
      <c r="L234" s="4" t="s">
        <v>227</v>
      </c>
      <c r="M234" s="4">
        <v>7</v>
      </c>
      <c r="N234" s="4">
        <v>20</v>
      </c>
      <c r="O234" s="4">
        <v>5</v>
      </c>
      <c r="P234" s="4">
        <v>133</v>
      </c>
      <c r="Q234" s="4">
        <v>2</v>
      </c>
      <c r="R234" s="4" t="s">
        <v>88</v>
      </c>
      <c r="S234" s="4" t="s">
        <v>151</v>
      </c>
      <c r="T234" s="4" t="s">
        <v>256</v>
      </c>
      <c r="U234" s="6" t="s">
        <v>1139</v>
      </c>
      <c r="V234" s="4" t="s">
        <v>38</v>
      </c>
    </row>
    <row r="235" spans="1:22">
      <c r="A235" s="7" t="s">
        <v>1140</v>
      </c>
      <c r="B235" s="8" t="s">
        <v>23</v>
      </c>
      <c r="C235" s="8" t="s">
        <v>24</v>
      </c>
      <c r="D235" s="8" t="s">
        <v>1141</v>
      </c>
      <c r="E235" s="8" t="s">
        <v>1142</v>
      </c>
      <c r="F235" s="8" t="s">
        <v>27</v>
      </c>
      <c r="G235" s="8" t="s">
        <v>28</v>
      </c>
      <c r="H235" s="8" t="s">
        <v>1143</v>
      </c>
      <c r="I235" s="8" t="s">
        <v>59</v>
      </c>
      <c r="J235" s="8" t="s">
        <v>31</v>
      </c>
      <c r="K235" s="8" t="s">
        <v>32</v>
      </c>
      <c r="L235" s="8" t="s">
        <v>33</v>
      </c>
      <c r="M235" s="8">
        <v>15</v>
      </c>
      <c r="N235" s="8">
        <v>2200</v>
      </c>
      <c r="O235" s="8">
        <v>20</v>
      </c>
      <c r="P235" s="8">
        <v>26400</v>
      </c>
      <c r="Q235" s="8">
        <v>2</v>
      </c>
      <c r="R235" s="8" t="s">
        <v>34</v>
      </c>
      <c r="S235" s="8" t="s">
        <v>61</v>
      </c>
      <c r="T235" s="8" t="s">
        <v>50</v>
      </c>
      <c r="U235" s="9" t="s">
        <v>1144</v>
      </c>
      <c r="V235" s="8" t="s">
        <v>38</v>
      </c>
    </row>
    <row r="236" spans="1:22">
      <c r="A236" s="3" t="s">
        <v>1145</v>
      </c>
      <c r="B236" s="4" t="s">
        <v>71</v>
      </c>
      <c r="C236" s="4" t="s">
        <v>222</v>
      </c>
      <c r="D236" s="4" t="s">
        <v>736</v>
      </c>
      <c r="E236" s="4" t="s">
        <v>94</v>
      </c>
      <c r="F236" s="4" t="s">
        <v>217</v>
      </c>
      <c r="G236" s="4" t="s">
        <v>76</v>
      </c>
      <c r="H236" s="4" t="s">
        <v>1146</v>
      </c>
      <c r="I236" s="4" t="s">
        <v>105</v>
      </c>
      <c r="J236" s="4" t="s">
        <v>106</v>
      </c>
      <c r="K236" s="4" t="s">
        <v>122</v>
      </c>
      <c r="L236" s="4" t="s">
        <v>227</v>
      </c>
      <c r="M236" s="4">
        <v>5</v>
      </c>
      <c r="N236" s="4">
        <v>20</v>
      </c>
      <c r="O236" s="4">
        <v>0</v>
      </c>
      <c r="P236" s="4">
        <v>100</v>
      </c>
      <c r="Q236" s="4">
        <v>3</v>
      </c>
      <c r="R236" s="4" t="s">
        <v>34</v>
      </c>
      <c r="S236" s="4" t="s">
        <v>151</v>
      </c>
      <c r="T236" s="4" t="s">
        <v>80</v>
      </c>
      <c r="U236" s="6" t="s">
        <v>1147</v>
      </c>
      <c r="V236" s="4" t="s">
        <v>38</v>
      </c>
    </row>
    <row r="237" spans="1:22">
      <c r="A237" s="7" t="s">
        <v>1148</v>
      </c>
      <c r="B237" s="8" t="s">
        <v>127</v>
      </c>
      <c r="C237" s="8" t="s">
        <v>40</v>
      </c>
      <c r="D237" s="8" t="s">
        <v>1149</v>
      </c>
      <c r="E237" s="8" t="s">
        <v>779</v>
      </c>
      <c r="F237" s="8" t="s">
        <v>200</v>
      </c>
      <c r="G237" s="8" t="s">
        <v>76</v>
      </c>
      <c r="H237" s="8" t="s">
        <v>1150</v>
      </c>
      <c r="I237" s="8" t="s">
        <v>44</v>
      </c>
      <c r="J237" s="8" t="s">
        <v>45</v>
      </c>
      <c r="K237" s="8" t="s">
        <v>46</v>
      </c>
      <c r="L237" s="8" t="s">
        <v>47</v>
      </c>
      <c r="M237" s="8">
        <v>8</v>
      </c>
      <c r="N237" s="8">
        <v>12000</v>
      </c>
      <c r="O237" s="8">
        <v>20</v>
      </c>
      <c r="P237" s="8">
        <v>76800</v>
      </c>
      <c r="Q237" s="8">
        <v>3</v>
      </c>
      <c r="R237" s="8" t="s">
        <v>79</v>
      </c>
      <c r="S237" s="8" t="s">
        <v>61</v>
      </c>
      <c r="T237" s="8" t="s">
        <v>132</v>
      </c>
      <c r="U237" s="9" t="s">
        <v>1151</v>
      </c>
      <c r="V237" s="8" t="s">
        <v>64</v>
      </c>
    </row>
    <row r="238" spans="1:22">
      <c r="A238" s="3" t="s">
        <v>1152</v>
      </c>
      <c r="B238" s="4" t="s">
        <v>127</v>
      </c>
      <c r="C238" s="4" t="s">
        <v>92</v>
      </c>
      <c r="D238" s="4" t="s">
        <v>1153</v>
      </c>
      <c r="E238" s="4" t="s">
        <v>987</v>
      </c>
      <c r="F238" s="4" t="s">
        <v>200</v>
      </c>
      <c r="G238" s="4" t="s">
        <v>76</v>
      </c>
      <c r="H238" s="4" t="s">
        <v>1154</v>
      </c>
      <c r="I238" s="4" t="s">
        <v>105</v>
      </c>
      <c r="J238" s="4" t="s">
        <v>106</v>
      </c>
      <c r="K238" s="4" t="s">
        <v>32</v>
      </c>
      <c r="L238" s="4" t="s">
        <v>97</v>
      </c>
      <c r="M238" s="4">
        <v>4</v>
      </c>
      <c r="N238" s="4">
        <v>3500</v>
      </c>
      <c r="O238" s="4">
        <v>20</v>
      </c>
      <c r="P238" s="4">
        <v>11200</v>
      </c>
      <c r="Q238" s="4">
        <v>1</v>
      </c>
      <c r="R238" s="4" t="s">
        <v>79</v>
      </c>
      <c r="S238" s="4" t="s">
        <v>115</v>
      </c>
      <c r="T238" s="4" t="s">
        <v>132</v>
      </c>
      <c r="U238" s="6" t="s">
        <v>1155</v>
      </c>
      <c r="V238" s="4" t="s">
        <v>38</v>
      </c>
    </row>
    <row r="239" spans="1:22">
      <c r="A239" s="7" t="s">
        <v>1156</v>
      </c>
      <c r="B239" s="8" t="s">
        <v>221</v>
      </c>
      <c r="C239" s="8" t="s">
        <v>259</v>
      </c>
      <c r="D239" s="8" t="s">
        <v>628</v>
      </c>
      <c r="E239" s="8" t="s">
        <v>1157</v>
      </c>
      <c r="F239" s="8" t="s">
        <v>225</v>
      </c>
      <c r="G239" s="8" t="s">
        <v>76</v>
      </c>
      <c r="H239" s="8" t="s">
        <v>1158</v>
      </c>
      <c r="I239" s="8" t="s">
        <v>30</v>
      </c>
      <c r="J239" s="8" t="s">
        <v>31</v>
      </c>
      <c r="K239" s="8" t="s">
        <v>122</v>
      </c>
      <c r="L239" s="8" t="s">
        <v>263</v>
      </c>
      <c r="M239" s="8">
        <v>19</v>
      </c>
      <c r="N239" s="8">
        <v>45</v>
      </c>
      <c r="O239" s="8">
        <v>10</v>
      </c>
      <c r="P239" s="8">
        <v>769.5</v>
      </c>
      <c r="Q239" s="8">
        <v>1</v>
      </c>
      <c r="R239" s="8" t="s">
        <v>34</v>
      </c>
      <c r="S239" s="8" t="s">
        <v>115</v>
      </c>
      <c r="T239" s="8" t="s">
        <v>228</v>
      </c>
      <c r="U239" s="9" t="s">
        <v>1159</v>
      </c>
      <c r="V239" s="8" t="s">
        <v>38</v>
      </c>
    </row>
    <row r="240" spans="1:22">
      <c r="A240" s="3" t="s">
        <v>1160</v>
      </c>
      <c r="B240" s="4" t="s">
        <v>53</v>
      </c>
      <c r="C240" s="4" t="s">
        <v>259</v>
      </c>
      <c r="D240" s="4" t="s">
        <v>588</v>
      </c>
      <c r="E240" s="4" t="s">
        <v>1161</v>
      </c>
      <c r="F240" s="4" t="s">
        <v>163</v>
      </c>
      <c r="G240" s="4" t="s">
        <v>28</v>
      </c>
      <c r="H240" s="4" t="s">
        <v>1162</v>
      </c>
      <c r="I240" s="4" t="s">
        <v>114</v>
      </c>
      <c r="J240" s="4" t="s">
        <v>106</v>
      </c>
      <c r="K240" s="4" t="s">
        <v>122</v>
      </c>
      <c r="L240" s="4" t="s">
        <v>263</v>
      </c>
      <c r="M240" s="4">
        <v>10</v>
      </c>
      <c r="N240" s="4">
        <v>45</v>
      </c>
      <c r="O240" s="4">
        <v>0</v>
      </c>
      <c r="P240" s="4">
        <v>450</v>
      </c>
      <c r="Q240" s="4">
        <v>4</v>
      </c>
      <c r="R240" s="4" t="s">
        <v>88</v>
      </c>
      <c r="S240" s="4" t="s">
        <v>61</v>
      </c>
      <c r="T240" s="4" t="s">
        <v>62</v>
      </c>
      <c r="U240" s="6" t="s">
        <v>1163</v>
      </c>
      <c r="V240" s="4" t="s">
        <v>38</v>
      </c>
    </row>
    <row r="241" spans="1:22">
      <c r="A241" s="7" t="s">
        <v>1164</v>
      </c>
      <c r="B241" s="8" t="s">
        <v>53</v>
      </c>
      <c r="C241" s="8" t="s">
        <v>259</v>
      </c>
      <c r="D241" s="8" t="s">
        <v>1165</v>
      </c>
      <c r="E241" s="8" t="s">
        <v>1039</v>
      </c>
      <c r="F241" s="8" t="s">
        <v>163</v>
      </c>
      <c r="G241" s="8" t="s">
        <v>28</v>
      </c>
      <c r="H241" s="8" t="s">
        <v>1166</v>
      </c>
      <c r="I241" s="8" t="s">
        <v>30</v>
      </c>
      <c r="J241" s="8" t="s">
        <v>31</v>
      </c>
      <c r="K241" s="8" t="s">
        <v>122</v>
      </c>
      <c r="L241" s="8" t="s">
        <v>263</v>
      </c>
      <c r="M241" s="8">
        <v>16</v>
      </c>
      <c r="N241" s="8">
        <v>45</v>
      </c>
      <c r="O241" s="8">
        <v>15</v>
      </c>
      <c r="P241" s="8">
        <v>612</v>
      </c>
      <c r="Q241" s="8">
        <v>3</v>
      </c>
      <c r="R241" s="8" t="s">
        <v>34</v>
      </c>
      <c r="S241" s="8" t="s">
        <v>115</v>
      </c>
      <c r="T241" s="8" t="s">
        <v>62</v>
      </c>
      <c r="U241" s="9" t="s">
        <v>1167</v>
      </c>
      <c r="V241" s="8" t="s">
        <v>69</v>
      </c>
    </row>
    <row r="242" spans="1:22">
      <c r="A242" s="3" t="s">
        <v>1168</v>
      </c>
      <c r="B242" s="4" t="s">
        <v>168</v>
      </c>
      <c r="C242" s="4" t="s">
        <v>169</v>
      </c>
      <c r="D242" s="4" t="s">
        <v>119</v>
      </c>
      <c r="E242" s="4" t="s">
        <v>120</v>
      </c>
      <c r="F242" s="4" t="s">
        <v>361</v>
      </c>
      <c r="G242" s="4" t="s">
        <v>28</v>
      </c>
      <c r="H242" s="4" t="s">
        <v>1169</v>
      </c>
      <c r="I242" s="4" t="s">
        <v>114</v>
      </c>
      <c r="J242" s="4" t="s">
        <v>106</v>
      </c>
      <c r="K242" s="4" t="s">
        <v>32</v>
      </c>
      <c r="L242" s="4" t="s">
        <v>174</v>
      </c>
      <c r="M242" s="4">
        <v>16</v>
      </c>
      <c r="N242" s="4">
        <v>8500</v>
      </c>
      <c r="O242" s="4">
        <v>15</v>
      </c>
      <c r="P242" s="4">
        <v>115600</v>
      </c>
      <c r="Q242" s="4">
        <v>4</v>
      </c>
      <c r="R242" s="4" t="s">
        <v>48</v>
      </c>
      <c r="S242" s="4" t="s">
        <v>35</v>
      </c>
      <c r="T242" s="4" t="s">
        <v>175</v>
      </c>
      <c r="U242" s="6" t="s">
        <v>1170</v>
      </c>
      <c r="V242" s="4" t="s">
        <v>69</v>
      </c>
    </row>
    <row r="243" spans="1:22">
      <c r="A243" s="7" t="s">
        <v>1171</v>
      </c>
      <c r="B243" s="8" t="s">
        <v>168</v>
      </c>
      <c r="C243" s="8" t="s">
        <v>222</v>
      </c>
      <c r="D243" s="8" t="s">
        <v>445</v>
      </c>
      <c r="E243" s="8" t="s">
        <v>1172</v>
      </c>
      <c r="F243" s="8" t="s">
        <v>361</v>
      </c>
      <c r="G243" s="8" t="s">
        <v>28</v>
      </c>
      <c r="H243" s="8" t="s">
        <v>1173</v>
      </c>
      <c r="I243" s="8" t="s">
        <v>294</v>
      </c>
      <c r="J243" s="8" t="s">
        <v>295</v>
      </c>
      <c r="K243" s="8" t="s">
        <v>122</v>
      </c>
      <c r="L243" s="8" t="s">
        <v>227</v>
      </c>
      <c r="M243" s="8">
        <v>15</v>
      </c>
      <c r="N243" s="8">
        <v>20</v>
      </c>
      <c r="O243" s="8">
        <v>20</v>
      </c>
      <c r="P243" s="8">
        <v>240</v>
      </c>
      <c r="Q243" s="8">
        <v>3</v>
      </c>
      <c r="R243" s="8" t="s">
        <v>48</v>
      </c>
      <c r="S243" s="8" t="s">
        <v>49</v>
      </c>
      <c r="T243" s="8" t="s">
        <v>175</v>
      </c>
      <c r="U243" s="9" t="s">
        <v>1174</v>
      </c>
      <c r="V243" s="8" t="s">
        <v>69</v>
      </c>
    </row>
    <row r="244" spans="1:22">
      <c r="A244" s="3" t="s">
        <v>1175</v>
      </c>
      <c r="B244" s="4" t="s">
        <v>83</v>
      </c>
      <c r="C244" s="4" t="s">
        <v>118</v>
      </c>
      <c r="D244" s="4" t="s">
        <v>440</v>
      </c>
      <c r="E244" s="4" t="s">
        <v>1176</v>
      </c>
      <c r="F244" s="4" t="s">
        <v>180</v>
      </c>
      <c r="G244" s="4" t="s">
        <v>76</v>
      </c>
      <c r="H244" s="4" t="s">
        <v>1177</v>
      </c>
      <c r="I244" s="4" t="s">
        <v>59</v>
      </c>
      <c r="J244" s="4" t="s">
        <v>31</v>
      </c>
      <c r="K244" s="4" t="s">
        <v>122</v>
      </c>
      <c r="L244" s="4" t="s">
        <v>123</v>
      </c>
      <c r="M244" s="4">
        <v>14</v>
      </c>
      <c r="N244" s="4">
        <v>60</v>
      </c>
      <c r="O244" s="4">
        <v>5</v>
      </c>
      <c r="P244" s="4">
        <v>798</v>
      </c>
      <c r="Q244" s="4">
        <v>4</v>
      </c>
      <c r="R244" s="4" t="s">
        <v>34</v>
      </c>
      <c r="S244" s="4" t="s">
        <v>49</v>
      </c>
      <c r="T244" s="4" t="s">
        <v>89</v>
      </c>
      <c r="U244" s="6" t="s">
        <v>1178</v>
      </c>
      <c r="V244" s="4" t="s">
        <v>38</v>
      </c>
    </row>
    <row r="245" spans="1:22">
      <c r="A245" s="7" t="s">
        <v>1179</v>
      </c>
      <c r="B245" s="8" t="s">
        <v>53</v>
      </c>
      <c r="C245" s="8" t="s">
        <v>72</v>
      </c>
      <c r="D245" s="8" t="s">
        <v>1180</v>
      </c>
      <c r="E245" s="8" t="s">
        <v>1181</v>
      </c>
      <c r="F245" s="8" t="s">
        <v>163</v>
      </c>
      <c r="G245" s="8" t="s">
        <v>28</v>
      </c>
      <c r="H245" s="8" t="s">
        <v>1182</v>
      </c>
      <c r="I245" s="8" t="s">
        <v>105</v>
      </c>
      <c r="J245" s="8" t="s">
        <v>106</v>
      </c>
      <c r="K245" s="8" t="s">
        <v>46</v>
      </c>
      <c r="L245" s="8" t="s">
        <v>78</v>
      </c>
      <c r="M245" s="8">
        <v>19</v>
      </c>
      <c r="N245" s="8">
        <v>1200</v>
      </c>
      <c r="O245" s="8">
        <v>20</v>
      </c>
      <c r="P245" s="8">
        <v>18240</v>
      </c>
      <c r="Q245" s="8">
        <v>2</v>
      </c>
      <c r="R245" s="8" t="s">
        <v>34</v>
      </c>
      <c r="S245" s="8" t="s">
        <v>115</v>
      </c>
      <c r="T245" s="8" t="s">
        <v>62</v>
      </c>
      <c r="U245" s="9" t="s">
        <v>1183</v>
      </c>
      <c r="V245" s="8" t="s">
        <v>69</v>
      </c>
    </row>
    <row r="246" spans="1:22">
      <c r="A246" s="3" t="s">
        <v>1184</v>
      </c>
      <c r="B246" s="4" t="s">
        <v>23</v>
      </c>
      <c r="C246" s="4" t="s">
        <v>259</v>
      </c>
      <c r="D246" s="4" t="s">
        <v>340</v>
      </c>
      <c r="E246" s="4" t="s">
        <v>346</v>
      </c>
      <c r="F246" s="4" t="s">
        <v>27</v>
      </c>
      <c r="G246" s="4" t="s">
        <v>28</v>
      </c>
      <c r="H246" s="4" t="s">
        <v>1185</v>
      </c>
      <c r="I246" s="4" t="s">
        <v>59</v>
      </c>
      <c r="J246" s="4" t="s">
        <v>31</v>
      </c>
      <c r="K246" s="4" t="s">
        <v>122</v>
      </c>
      <c r="L246" s="4" t="s">
        <v>263</v>
      </c>
      <c r="M246" s="4">
        <v>5</v>
      </c>
      <c r="N246" s="4">
        <v>45</v>
      </c>
      <c r="O246" s="4">
        <v>15</v>
      </c>
      <c r="P246" s="4">
        <v>191.25</v>
      </c>
      <c r="Q246" s="4">
        <v>2</v>
      </c>
      <c r="R246" s="4" t="s">
        <v>34</v>
      </c>
      <c r="S246" s="4" t="s">
        <v>61</v>
      </c>
      <c r="T246" s="4" t="s">
        <v>50</v>
      </c>
      <c r="U246" s="6" t="s">
        <v>1186</v>
      </c>
      <c r="V246" s="4" t="s">
        <v>69</v>
      </c>
    </row>
    <row r="247" spans="1:22">
      <c r="A247" s="7" t="s">
        <v>1187</v>
      </c>
      <c r="B247" s="8" t="s">
        <v>327</v>
      </c>
      <c r="C247" s="8" t="s">
        <v>184</v>
      </c>
      <c r="D247" s="8" t="s">
        <v>237</v>
      </c>
      <c r="E247" s="8" t="s">
        <v>1188</v>
      </c>
      <c r="F247" s="8" t="s">
        <v>394</v>
      </c>
      <c r="G247" s="8" t="s">
        <v>76</v>
      </c>
      <c r="H247" s="8" t="s">
        <v>1189</v>
      </c>
      <c r="I247" s="8" t="s">
        <v>30</v>
      </c>
      <c r="J247" s="8" t="s">
        <v>31</v>
      </c>
      <c r="K247" s="8" t="s">
        <v>46</v>
      </c>
      <c r="L247" s="8" t="s">
        <v>189</v>
      </c>
      <c r="M247" s="8">
        <v>19</v>
      </c>
      <c r="N247" s="8">
        <v>700</v>
      </c>
      <c r="O247" s="8">
        <v>5</v>
      </c>
      <c r="P247" s="8">
        <v>12635</v>
      </c>
      <c r="Q247" s="8">
        <v>5</v>
      </c>
      <c r="R247" s="8" t="s">
        <v>88</v>
      </c>
      <c r="S247" s="8" t="s">
        <v>151</v>
      </c>
      <c r="T247" s="8" t="s">
        <v>332</v>
      </c>
      <c r="U247" s="9" t="s">
        <v>1190</v>
      </c>
      <c r="V247" s="8" t="s">
        <v>38</v>
      </c>
    </row>
    <row r="248" spans="1:22">
      <c r="A248" s="3" t="s">
        <v>1191</v>
      </c>
      <c r="B248" s="4" t="s">
        <v>127</v>
      </c>
      <c r="C248" s="4" t="s">
        <v>118</v>
      </c>
      <c r="D248" s="4" t="s">
        <v>464</v>
      </c>
      <c r="E248" s="4" t="s">
        <v>84</v>
      </c>
      <c r="F248" s="4" t="s">
        <v>200</v>
      </c>
      <c r="G248" s="4" t="s">
        <v>76</v>
      </c>
      <c r="H248" s="4" t="s">
        <v>1192</v>
      </c>
      <c r="I248" s="4" t="s">
        <v>294</v>
      </c>
      <c r="J248" s="4" t="s">
        <v>295</v>
      </c>
      <c r="K248" s="4" t="s">
        <v>122</v>
      </c>
      <c r="L248" s="4" t="s">
        <v>123</v>
      </c>
      <c r="M248" s="4">
        <v>7</v>
      </c>
      <c r="N248" s="4">
        <v>60</v>
      </c>
      <c r="O248" s="4">
        <v>0</v>
      </c>
      <c r="P248" s="4">
        <v>420</v>
      </c>
      <c r="Q248" s="4">
        <v>4</v>
      </c>
      <c r="R248" s="4" t="s">
        <v>34</v>
      </c>
      <c r="S248" s="4" t="s">
        <v>115</v>
      </c>
      <c r="T248" s="4" t="s">
        <v>132</v>
      </c>
      <c r="U248" s="6" t="s">
        <v>1193</v>
      </c>
      <c r="V248" s="4" t="s">
        <v>64</v>
      </c>
    </row>
    <row r="249" spans="1:22">
      <c r="A249" s="7" t="s">
        <v>1194</v>
      </c>
      <c r="B249" s="8" t="s">
        <v>71</v>
      </c>
      <c r="C249" s="8" t="s">
        <v>24</v>
      </c>
      <c r="D249" s="8" t="s">
        <v>215</v>
      </c>
      <c r="E249" s="8" t="s">
        <v>711</v>
      </c>
      <c r="F249" s="8" t="s">
        <v>217</v>
      </c>
      <c r="G249" s="8" t="s">
        <v>76</v>
      </c>
      <c r="H249" s="8" t="s">
        <v>1195</v>
      </c>
      <c r="I249" s="8" t="s">
        <v>105</v>
      </c>
      <c r="J249" s="8" t="s">
        <v>106</v>
      </c>
      <c r="K249" s="8" t="s">
        <v>32</v>
      </c>
      <c r="L249" s="8" t="s">
        <v>33</v>
      </c>
      <c r="M249" s="8">
        <v>13</v>
      </c>
      <c r="N249" s="8">
        <v>2200</v>
      </c>
      <c r="O249" s="8">
        <v>10</v>
      </c>
      <c r="P249" s="8">
        <v>25740</v>
      </c>
      <c r="Q249" s="8">
        <v>1</v>
      </c>
      <c r="R249" s="8" t="s">
        <v>79</v>
      </c>
      <c r="S249" s="8" t="s">
        <v>151</v>
      </c>
      <c r="T249" s="8" t="s">
        <v>80</v>
      </c>
      <c r="U249" s="9" t="s">
        <v>1196</v>
      </c>
      <c r="V249" s="8" t="s">
        <v>38</v>
      </c>
    </row>
    <row r="250" spans="1:22">
      <c r="A250" s="3" t="s">
        <v>1197</v>
      </c>
      <c r="B250" s="4" t="s">
        <v>71</v>
      </c>
      <c r="C250" s="4" t="s">
        <v>24</v>
      </c>
      <c r="D250" s="4" t="s">
        <v>1198</v>
      </c>
      <c r="E250" s="4" t="s">
        <v>1199</v>
      </c>
      <c r="F250" s="4" t="s">
        <v>217</v>
      </c>
      <c r="G250" s="4" t="s">
        <v>76</v>
      </c>
      <c r="H250" s="4" t="s">
        <v>1200</v>
      </c>
      <c r="I250" s="4" t="s">
        <v>59</v>
      </c>
      <c r="J250" s="4" t="s">
        <v>31</v>
      </c>
      <c r="K250" s="4" t="s">
        <v>32</v>
      </c>
      <c r="L250" s="4" t="s">
        <v>33</v>
      </c>
      <c r="M250" s="4">
        <v>9</v>
      </c>
      <c r="N250" s="4">
        <v>2200</v>
      </c>
      <c r="O250" s="4">
        <v>10</v>
      </c>
      <c r="P250" s="4">
        <v>17820</v>
      </c>
      <c r="Q250" s="4">
        <v>2</v>
      </c>
      <c r="R250" s="4" t="s">
        <v>1201</v>
      </c>
      <c r="S250" s="4" t="s">
        <v>61</v>
      </c>
      <c r="T250" s="4" t="s">
        <v>80</v>
      </c>
      <c r="U250" s="6" t="s">
        <v>1202</v>
      </c>
      <c r="V250" s="4" t="s">
        <v>69</v>
      </c>
    </row>
    <row r="251" spans="1:22">
      <c r="A251" s="7" t="s">
        <v>1203</v>
      </c>
      <c r="B251" s="8" t="s">
        <v>327</v>
      </c>
      <c r="C251" s="8" t="s">
        <v>169</v>
      </c>
      <c r="D251" s="8" t="s">
        <v>944</v>
      </c>
      <c r="E251" s="8" t="s">
        <v>1204</v>
      </c>
      <c r="F251" s="8" t="s">
        <v>394</v>
      </c>
      <c r="G251" s="8" t="s">
        <v>76</v>
      </c>
      <c r="H251" s="8" t="s">
        <v>1205</v>
      </c>
      <c r="I251" s="8" t="s">
        <v>59</v>
      </c>
      <c r="J251" s="8" t="s">
        <v>31</v>
      </c>
      <c r="K251" s="8" t="s">
        <v>32</v>
      </c>
      <c r="L251" s="8" t="s">
        <v>174</v>
      </c>
      <c r="M251" s="8">
        <v>6</v>
      </c>
      <c r="N251" s="8">
        <v>8500</v>
      </c>
      <c r="O251" s="8">
        <v>15</v>
      </c>
      <c r="P251" s="8">
        <v>43350</v>
      </c>
      <c r="Q251" s="8">
        <v>2</v>
      </c>
      <c r="R251" s="8" t="s">
        <v>34</v>
      </c>
      <c r="S251" s="8" t="s">
        <v>151</v>
      </c>
      <c r="T251" s="8" t="s">
        <v>332</v>
      </c>
      <c r="U251" s="9" t="s">
        <v>1206</v>
      </c>
      <c r="V251" s="8" t="s">
        <v>69</v>
      </c>
    </row>
    <row r="252" spans="1:22">
      <c r="A252" s="3" t="s">
        <v>1207</v>
      </c>
      <c r="B252" s="4" t="s">
        <v>221</v>
      </c>
      <c r="C252" s="4" t="s">
        <v>24</v>
      </c>
      <c r="D252" s="4" t="s">
        <v>736</v>
      </c>
      <c r="E252" s="4" t="s">
        <v>94</v>
      </c>
      <c r="F252" s="4" t="s">
        <v>225</v>
      </c>
      <c r="G252" s="4" t="s">
        <v>76</v>
      </c>
      <c r="H252" s="4" t="s">
        <v>1208</v>
      </c>
      <c r="I252" s="4" t="s">
        <v>44</v>
      </c>
      <c r="J252" s="4" t="s">
        <v>45</v>
      </c>
      <c r="K252" s="4" t="s">
        <v>32</v>
      </c>
      <c r="L252" s="4" t="s">
        <v>33</v>
      </c>
      <c r="M252" s="4">
        <v>9</v>
      </c>
      <c r="N252" s="4">
        <v>2200</v>
      </c>
      <c r="O252" s="4">
        <v>10</v>
      </c>
      <c r="P252" s="4">
        <v>17820</v>
      </c>
      <c r="Q252" s="4">
        <v>3</v>
      </c>
      <c r="R252" s="4" t="s">
        <v>79</v>
      </c>
      <c r="S252" s="4" t="s">
        <v>35</v>
      </c>
      <c r="T252" s="4" t="s">
        <v>228</v>
      </c>
      <c r="U252" s="6" t="s">
        <v>1209</v>
      </c>
      <c r="V252" s="4" t="s">
        <v>64</v>
      </c>
    </row>
    <row r="253" spans="1:22">
      <c r="A253" s="7" t="s">
        <v>1210</v>
      </c>
      <c r="B253" s="8" t="s">
        <v>23</v>
      </c>
      <c r="C253" s="8" t="s">
        <v>169</v>
      </c>
      <c r="D253" s="8" t="s">
        <v>825</v>
      </c>
      <c r="E253" s="8" t="s">
        <v>876</v>
      </c>
      <c r="F253" s="8" t="s">
        <v>27</v>
      </c>
      <c r="G253" s="8" t="s">
        <v>28</v>
      </c>
      <c r="H253" s="8" t="s">
        <v>1211</v>
      </c>
      <c r="I253" s="8" t="s">
        <v>294</v>
      </c>
      <c r="J253" s="8" t="s">
        <v>295</v>
      </c>
      <c r="K253" s="8" t="s">
        <v>32</v>
      </c>
      <c r="L253" s="8" t="s">
        <v>174</v>
      </c>
      <c r="M253" s="8">
        <v>16</v>
      </c>
      <c r="N253" s="8">
        <v>8500</v>
      </c>
      <c r="O253" s="8">
        <v>0</v>
      </c>
      <c r="P253" s="8">
        <v>136000</v>
      </c>
      <c r="Q253" s="8">
        <v>5</v>
      </c>
      <c r="R253" s="8" t="s">
        <v>88</v>
      </c>
      <c r="S253" s="8" t="s">
        <v>115</v>
      </c>
      <c r="T253" s="8" t="s">
        <v>50</v>
      </c>
      <c r="U253" s="9" t="s">
        <v>1212</v>
      </c>
      <c r="V253" s="8" t="s">
        <v>69</v>
      </c>
    </row>
    <row r="254" spans="1:22">
      <c r="A254" s="3" t="s">
        <v>1213</v>
      </c>
      <c r="B254" s="4" t="s">
        <v>327</v>
      </c>
      <c r="C254" s="4" t="s">
        <v>72</v>
      </c>
      <c r="D254" s="4" t="s">
        <v>1214</v>
      </c>
      <c r="E254" s="4" t="s">
        <v>692</v>
      </c>
      <c r="F254" s="4" t="s">
        <v>394</v>
      </c>
      <c r="G254" s="4" t="s">
        <v>76</v>
      </c>
      <c r="H254" s="4" t="s">
        <v>1215</v>
      </c>
      <c r="I254" s="4" t="s">
        <v>44</v>
      </c>
      <c r="J254" s="4" t="s">
        <v>45</v>
      </c>
      <c r="K254" s="4" t="s">
        <v>46</v>
      </c>
      <c r="L254" s="4" t="s">
        <v>78</v>
      </c>
      <c r="M254" s="4">
        <v>10</v>
      </c>
      <c r="N254" s="4">
        <v>1200</v>
      </c>
      <c r="O254" s="4">
        <v>15</v>
      </c>
      <c r="P254" s="4">
        <v>10200</v>
      </c>
      <c r="Q254" s="4">
        <v>5</v>
      </c>
      <c r="R254" s="4" t="s">
        <v>34</v>
      </c>
      <c r="S254" s="4" t="s">
        <v>49</v>
      </c>
      <c r="T254" s="4" t="s">
        <v>332</v>
      </c>
      <c r="U254" s="6" t="s">
        <v>1216</v>
      </c>
      <c r="V254" s="4" t="s">
        <v>38</v>
      </c>
    </row>
    <row r="255" spans="1:22">
      <c r="A255" s="7" t="s">
        <v>1217</v>
      </c>
      <c r="B255" s="8" t="s">
        <v>127</v>
      </c>
      <c r="C255" s="8" t="s">
        <v>40</v>
      </c>
      <c r="D255" s="8" t="s">
        <v>413</v>
      </c>
      <c r="E255" s="8" t="s">
        <v>136</v>
      </c>
      <c r="F255" s="8" t="s">
        <v>200</v>
      </c>
      <c r="G255" s="8" t="s">
        <v>76</v>
      </c>
      <c r="H255" s="8" t="s">
        <v>1218</v>
      </c>
      <c r="I255" s="8" t="s">
        <v>294</v>
      </c>
      <c r="J255" s="8" t="s">
        <v>295</v>
      </c>
      <c r="K255" s="8" t="s">
        <v>46</v>
      </c>
      <c r="L255" s="8" t="s">
        <v>47</v>
      </c>
      <c r="M255" s="8">
        <v>7</v>
      </c>
      <c r="N255" s="8">
        <v>12000</v>
      </c>
      <c r="O255" s="8">
        <v>0</v>
      </c>
      <c r="P255" s="8">
        <v>84000</v>
      </c>
      <c r="Q255" s="8">
        <v>1</v>
      </c>
      <c r="R255" s="8" t="s">
        <v>88</v>
      </c>
      <c r="S255" s="8" t="s">
        <v>151</v>
      </c>
      <c r="T255" s="8" t="s">
        <v>132</v>
      </c>
      <c r="U255" s="9" t="s">
        <v>1219</v>
      </c>
      <c r="V255" s="8" t="s">
        <v>64</v>
      </c>
    </row>
    <row r="256" spans="1:22">
      <c r="A256" s="3" t="s">
        <v>1220</v>
      </c>
      <c r="B256" s="4" t="s">
        <v>221</v>
      </c>
      <c r="C256" s="4" t="s">
        <v>40</v>
      </c>
      <c r="D256" s="4" t="s">
        <v>128</v>
      </c>
      <c r="E256" s="4" t="s">
        <v>1221</v>
      </c>
      <c r="F256" s="4" t="s">
        <v>225</v>
      </c>
      <c r="G256" s="4" t="s">
        <v>76</v>
      </c>
      <c r="H256" s="4" t="s">
        <v>1222</v>
      </c>
      <c r="I256" s="4" t="s">
        <v>114</v>
      </c>
      <c r="J256" s="4" t="s">
        <v>106</v>
      </c>
      <c r="K256" s="4" t="s">
        <v>46</v>
      </c>
      <c r="L256" s="4" t="s">
        <v>47</v>
      </c>
      <c r="M256" s="4">
        <v>3</v>
      </c>
      <c r="N256" s="4">
        <v>12000</v>
      </c>
      <c r="O256" s="4">
        <v>10</v>
      </c>
      <c r="P256" s="4">
        <v>32400</v>
      </c>
      <c r="Q256" s="4">
        <v>4</v>
      </c>
      <c r="R256" s="4" t="s">
        <v>79</v>
      </c>
      <c r="S256" s="4" t="s">
        <v>151</v>
      </c>
      <c r="T256" s="4" t="s">
        <v>228</v>
      </c>
      <c r="U256" s="6" t="s">
        <v>1223</v>
      </c>
      <c r="V256" s="4" t="s">
        <v>38</v>
      </c>
    </row>
    <row r="257" spans="1:22">
      <c r="A257" s="7" t="s">
        <v>1224</v>
      </c>
      <c r="B257" s="8" t="s">
        <v>221</v>
      </c>
      <c r="C257" s="8" t="s">
        <v>40</v>
      </c>
      <c r="D257" s="8" t="s">
        <v>1225</v>
      </c>
      <c r="E257" s="8" t="s">
        <v>927</v>
      </c>
      <c r="F257" s="8" t="s">
        <v>225</v>
      </c>
      <c r="G257" s="8" t="s">
        <v>76</v>
      </c>
      <c r="H257" s="8" t="s">
        <v>1226</v>
      </c>
      <c r="I257" s="8" t="s">
        <v>30</v>
      </c>
      <c r="J257" s="8" t="s">
        <v>31</v>
      </c>
      <c r="K257" s="8" t="s">
        <v>46</v>
      </c>
      <c r="L257" s="8" t="s">
        <v>47</v>
      </c>
      <c r="M257" s="8">
        <v>4</v>
      </c>
      <c r="N257" s="8">
        <v>12000</v>
      </c>
      <c r="O257" s="8">
        <v>15</v>
      </c>
      <c r="P257" s="8">
        <v>40800</v>
      </c>
      <c r="Q257" s="8">
        <v>3</v>
      </c>
      <c r="R257" s="8" t="s">
        <v>79</v>
      </c>
      <c r="S257" s="8" t="s">
        <v>35</v>
      </c>
      <c r="T257" s="8" t="s">
        <v>228</v>
      </c>
      <c r="U257" s="9" t="s">
        <v>1227</v>
      </c>
      <c r="V257" s="8" t="s">
        <v>64</v>
      </c>
    </row>
    <row r="258" spans="1:22">
      <c r="A258" s="3" t="s">
        <v>1228</v>
      </c>
      <c r="B258" s="4" t="s">
        <v>127</v>
      </c>
      <c r="C258" s="4" t="s">
        <v>40</v>
      </c>
      <c r="D258" s="4" t="s">
        <v>260</v>
      </c>
      <c r="E258" s="4" t="s">
        <v>498</v>
      </c>
      <c r="F258" s="4" t="s">
        <v>200</v>
      </c>
      <c r="G258" s="4" t="s">
        <v>76</v>
      </c>
      <c r="H258" s="4" t="s">
        <v>1229</v>
      </c>
      <c r="I258" s="4" t="s">
        <v>30</v>
      </c>
      <c r="J258" s="4" t="s">
        <v>31</v>
      </c>
      <c r="K258" s="4" t="s">
        <v>46</v>
      </c>
      <c r="L258" s="4" t="s">
        <v>47</v>
      </c>
      <c r="M258" s="4">
        <v>13</v>
      </c>
      <c r="N258" s="4">
        <v>12000</v>
      </c>
      <c r="O258" s="4">
        <v>10</v>
      </c>
      <c r="P258" s="4">
        <v>140400</v>
      </c>
      <c r="Q258" s="4">
        <v>2</v>
      </c>
      <c r="R258" s="4" t="s">
        <v>34</v>
      </c>
      <c r="S258" s="4" t="s">
        <v>151</v>
      </c>
      <c r="T258" s="4" t="s">
        <v>132</v>
      </c>
      <c r="U258" s="6" t="s">
        <v>1230</v>
      </c>
      <c r="V258" s="4" t="s">
        <v>69</v>
      </c>
    </row>
    <row r="259" spans="1:22">
      <c r="A259" s="7" t="s">
        <v>1231</v>
      </c>
      <c r="B259" s="8" t="s">
        <v>23</v>
      </c>
      <c r="C259" s="8" t="s">
        <v>92</v>
      </c>
      <c r="D259" s="8" t="s">
        <v>318</v>
      </c>
      <c r="E259" s="8" t="s">
        <v>679</v>
      </c>
      <c r="F259" s="8" t="s">
        <v>27</v>
      </c>
      <c r="G259" s="8" t="s">
        <v>28</v>
      </c>
      <c r="H259" s="8" t="s">
        <v>1232</v>
      </c>
      <c r="I259" s="8" t="s">
        <v>59</v>
      </c>
      <c r="J259" s="8" t="s">
        <v>31</v>
      </c>
      <c r="K259" s="8" t="s">
        <v>32</v>
      </c>
      <c r="L259" s="8" t="s">
        <v>97</v>
      </c>
      <c r="M259" s="8">
        <v>19</v>
      </c>
      <c r="N259" s="8">
        <v>3500</v>
      </c>
      <c r="O259" s="8">
        <v>20</v>
      </c>
      <c r="P259" s="8">
        <v>53200</v>
      </c>
      <c r="Q259" s="8">
        <v>1</v>
      </c>
      <c r="R259" s="8" t="s">
        <v>34</v>
      </c>
      <c r="S259" s="8" t="s">
        <v>61</v>
      </c>
      <c r="T259" s="8" t="s">
        <v>50</v>
      </c>
      <c r="U259" s="9" t="s">
        <v>1233</v>
      </c>
      <c r="V259" s="8" t="s">
        <v>69</v>
      </c>
    </row>
    <row r="260" spans="1:22">
      <c r="A260" s="3" t="s">
        <v>1234</v>
      </c>
      <c r="B260" s="4" t="s">
        <v>23</v>
      </c>
      <c r="C260" s="4" t="s">
        <v>24</v>
      </c>
      <c r="D260" s="4" t="s">
        <v>932</v>
      </c>
      <c r="E260" s="4" t="s">
        <v>436</v>
      </c>
      <c r="F260" s="4" t="s">
        <v>27</v>
      </c>
      <c r="G260" s="4" t="s">
        <v>28</v>
      </c>
      <c r="H260" s="4" t="s">
        <v>1235</v>
      </c>
      <c r="I260" s="4" t="s">
        <v>105</v>
      </c>
      <c r="J260" s="4" t="s">
        <v>106</v>
      </c>
      <c r="K260" s="4" t="s">
        <v>32</v>
      </c>
      <c r="L260" s="4" t="s">
        <v>33</v>
      </c>
      <c r="M260" s="4">
        <v>7</v>
      </c>
      <c r="N260" s="4">
        <v>2200</v>
      </c>
      <c r="O260" s="4">
        <v>5</v>
      </c>
      <c r="P260" s="4">
        <v>14630</v>
      </c>
      <c r="Q260" s="4">
        <v>3</v>
      </c>
      <c r="R260" s="4" t="s">
        <v>88</v>
      </c>
      <c r="S260" s="4" t="s">
        <v>61</v>
      </c>
      <c r="T260" s="4" t="s">
        <v>50</v>
      </c>
      <c r="U260" s="6" t="s">
        <v>1236</v>
      </c>
      <c r="V260" s="4" t="s">
        <v>69</v>
      </c>
    </row>
    <row r="261" spans="1:22">
      <c r="A261" s="7" t="s">
        <v>1237</v>
      </c>
      <c r="B261" s="8" t="s">
        <v>83</v>
      </c>
      <c r="C261" s="8" t="s">
        <v>184</v>
      </c>
      <c r="D261" s="8" t="s">
        <v>1238</v>
      </c>
      <c r="E261" s="8" t="s">
        <v>426</v>
      </c>
      <c r="F261" s="8" t="s">
        <v>180</v>
      </c>
      <c r="G261" s="8" t="s">
        <v>76</v>
      </c>
      <c r="H261" s="8" t="s">
        <v>1239</v>
      </c>
      <c r="I261" s="8" t="s">
        <v>212</v>
      </c>
      <c r="J261" s="8" t="s">
        <v>45</v>
      </c>
      <c r="K261" s="8" t="s">
        <v>46</v>
      </c>
      <c r="L261" s="8" t="s">
        <v>189</v>
      </c>
      <c r="M261" s="8">
        <v>18</v>
      </c>
      <c r="N261" s="8">
        <v>700</v>
      </c>
      <c r="O261" s="8">
        <v>5</v>
      </c>
      <c r="P261" s="8">
        <v>11970</v>
      </c>
      <c r="Q261" s="8">
        <v>2</v>
      </c>
      <c r="R261" s="8" t="s">
        <v>88</v>
      </c>
      <c r="S261" s="8" t="s">
        <v>61</v>
      </c>
      <c r="T261" s="8" t="s">
        <v>89</v>
      </c>
      <c r="U261" s="9" t="s">
        <v>1240</v>
      </c>
      <c r="V261" s="8" t="s">
        <v>69</v>
      </c>
    </row>
    <row r="262" spans="1:22">
      <c r="A262" s="3" t="s">
        <v>1241</v>
      </c>
      <c r="B262" s="4" t="s">
        <v>23</v>
      </c>
      <c r="C262" s="4" t="s">
        <v>222</v>
      </c>
      <c r="D262" s="4" t="s">
        <v>1106</v>
      </c>
      <c r="E262" s="4" t="s">
        <v>1242</v>
      </c>
      <c r="F262" s="4" t="s">
        <v>27</v>
      </c>
      <c r="G262" s="4" t="s">
        <v>28</v>
      </c>
      <c r="H262" s="4" t="s">
        <v>1243</v>
      </c>
      <c r="I262" s="4" t="s">
        <v>294</v>
      </c>
      <c r="J262" s="4" t="s">
        <v>295</v>
      </c>
      <c r="K262" s="4" t="s">
        <v>122</v>
      </c>
      <c r="L262" s="4" t="s">
        <v>227</v>
      </c>
      <c r="M262" s="4">
        <v>11</v>
      </c>
      <c r="N262" s="4">
        <v>20</v>
      </c>
      <c r="O262" s="4">
        <v>0</v>
      </c>
      <c r="P262" s="4">
        <v>220</v>
      </c>
      <c r="Q262" s="4">
        <v>2</v>
      </c>
      <c r="R262" s="4" t="s">
        <v>48</v>
      </c>
      <c r="S262" s="4" t="s">
        <v>115</v>
      </c>
      <c r="T262" s="4" t="s">
        <v>50</v>
      </c>
      <c r="U262" s="6" t="s">
        <v>1244</v>
      </c>
      <c r="V262" s="4" t="s">
        <v>69</v>
      </c>
    </row>
    <row r="263" spans="1:22">
      <c r="A263" s="7" t="s">
        <v>1245</v>
      </c>
      <c r="B263" s="8" t="s">
        <v>327</v>
      </c>
      <c r="C263" s="8" t="s">
        <v>40</v>
      </c>
      <c r="D263" s="8" t="s">
        <v>1069</v>
      </c>
      <c r="E263" s="8" t="s">
        <v>272</v>
      </c>
      <c r="F263" s="8" t="s">
        <v>394</v>
      </c>
      <c r="G263" s="8" t="s">
        <v>76</v>
      </c>
      <c r="H263" s="8" t="s">
        <v>1246</v>
      </c>
      <c r="I263" s="8" t="s">
        <v>114</v>
      </c>
      <c r="J263" s="8" t="s">
        <v>106</v>
      </c>
      <c r="K263" s="8" t="s">
        <v>46</v>
      </c>
      <c r="L263" s="8" t="s">
        <v>47</v>
      </c>
      <c r="M263" s="8">
        <v>17</v>
      </c>
      <c r="N263" s="8">
        <v>12000</v>
      </c>
      <c r="O263" s="8">
        <v>20</v>
      </c>
      <c r="P263" s="8">
        <v>163200</v>
      </c>
      <c r="Q263" s="8">
        <v>4</v>
      </c>
      <c r="R263" s="8" t="s">
        <v>88</v>
      </c>
      <c r="S263" s="8" t="s">
        <v>151</v>
      </c>
      <c r="T263" s="8" t="s">
        <v>332</v>
      </c>
      <c r="U263" s="9" t="s">
        <v>1247</v>
      </c>
      <c r="V263" s="8" t="s">
        <v>38</v>
      </c>
    </row>
    <row r="264" spans="1:22">
      <c r="A264" s="3" t="s">
        <v>1248</v>
      </c>
      <c r="B264" s="4" t="s">
        <v>251</v>
      </c>
      <c r="C264" s="4" t="s">
        <v>24</v>
      </c>
      <c r="D264" s="4" t="s">
        <v>1249</v>
      </c>
      <c r="E264" s="4" t="s">
        <v>267</v>
      </c>
      <c r="F264" s="4" t="s">
        <v>254</v>
      </c>
      <c r="G264" s="4" t="s">
        <v>28</v>
      </c>
      <c r="H264" s="4" t="s">
        <v>1250</v>
      </c>
      <c r="I264" s="4" t="s">
        <v>294</v>
      </c>
      <c r="J264" s="4" t="s">
        <v>295</v>
      </c>
      <c r="K264" s="4" t="s">
        <v>32</v>
      </c>
      <c r="L264" s="4" t="s">
        <v>33</v>
      </c>
      <c r="M264" s="4">
        <v>4</v>
      </c>
      <c r="N264" s="4">
        <v>2200</v>
      </c>
      <c r="O264" s="4">
        <v>5</v>
      </c>
      <c r="P264" s="4">
        <v>8360</v>
      </c>
      <c r="Q264" s="4">
        <v>2</v>
      </c>
      <c r="R264" s="4" t="s">
        <v>34</v>
      </c>
      <c r="S264" s="4" t="s">
        <v>35</v>
      </c>
      <c r="T264" s="4" t="s">
        <v>256</v>
      </c>
      <c r="U264" s="6" t="s">
        <v>1251</v>
      </c>
      <c r="V264" s="4" t="s">
        <v>38</v>
      </c>
    </row>
    <row r="265" spans="1:22">
      <c r="A265" s="7" t="s">
        <v>1252</v>
      </c>
      <c r="B265" s="8" t="s">
        <v>23</v>
      </c>
      <c r="C265" s="8" t="s">
        <v>54</v>
      </c>
      <c r="D265" s="8" t="s">
        <v>1253</v>
      </c>
      <c r="E265" s="8" t="s">
        <v>455</v>
      </c>
      <c r="F265" s="8" t="s">
        <v>27</v>
      </c>
      <c r="G265" s="8" t="s">
        <v>28</v>
      </c>
      <c r="H265" s="8" t="s">
        <v>1254</v>
      </c>
      <c r="I265" s="8" t="s">
        <v>138</v>
      </c>
      <c r="J265" s="8" t="s">
        <v>106</v>
      </c>
      <c r="K265" s="8" t="s">
        <v>46</v>
      </c>
      <c r="L265" s="8" t="s">
        <v>60</v>
      </c>
      <c r="M265" s="8">
        <v>6</v>
      </c>
      <c r="N265" s="8">
        <v>55000</v>
      </c>
      <c r="O265" s="8">
        <v>20</v>
      </c>
      <c r="P265" s="8">
        <v>264000</v>
      </c>
      <c r="Q265" s="8">
        <v>2</v>
      </c>
      <c r="R265" s="8" t="s">
        <v>88</v>
      </c>
      <c r="S265" s="8" t="s">
        <v>151</v>
      </c>
      <c r="T265" s="8" t="s">
        <v>50</v>
      </c>
      <c r="U265" s="9" t="s">
        <v>1255</v>
      </c>
      <c r="V265" s="8" t="s">
        <v>69</v>
      </c>
    </row>
    <row r="266" spans="1:22">
      <c r="A266" s="3" t="s">
        <v>1256</v>
      </c>
      <c r="B266" s="4" t="s">
        <v>71</v>
      </c>
      <c r="C266" s="4" t="s">
        <v>169</v>
      </c>
      <c r="D266" s="4" t="s">
        <v>84</v>
      </c>
      <c r="E266" s="4" t="s">
        <v>998</v>
      </c>
      <c r="F266" s="4" t="s">
        <v>217</v>
      </c>
      <c r="G266" s="4" t="s">
        <v>76</v>
      </c>
      <c r="H266" s="4" t="s">
        <v>1257</v>
      </c>
      <c r="I266" s="4" t="s">
        <v>44</v>
      </c>
      <c r="J266" s="4" t="s">
        <v>45</v>
      </c>
      <c r="K266" s="4" t="s">
        <v>32</v>
      </c>
      <c r="L266" s="4" t="s">
        <v>174</v>
      </c>
      <c r="M266" s="4">
        <v>6</v>
      </c>
      <c r="N266" s="4">
        <v>8500</v>
      </c>
      <c r="O266" s="4">
        <v>10</v>
      </c>
      <c r="P266" s="4">
        <v>45900</v>
      </c>
      <c r="Q266" s="4">
        <v>5</v>
      </c>
      <c r="R266" s="4" t="s">
        <v>88</v>
      </c>
      <c r="S266" s="4" t="s">
        <v>61</v>
      </c>
      <c r="T266" s="4" t="s">
        <v>80</v>
      </c>
      <c r="U266" s="6" t="s">
        <v>1258</v>
      </c>
      <c r="V266" s="4" t="s">
        <v>38</v>
      </c>
    </row>
    <row r="267" spans="1:22">
      <c r="A267" s="7" t="s">
        <v>1259</v>
      </c>
      <c r="B267" s="8" t="s">
        <v>23</v>
      </c>
      <c r="C267" s="8" t="s">
        <v>222</v>
      </c>
      <c r="D267" s="8" t="s">
        <v>558</v>
      </c>
      <c r="E267" s="8" t="s">
        <v>371</v>
      </c>
      <c r="F267" s="8" t="s">
        <v>27</v>
      </c>
      <c r="G267" s="8" t="s">
        <v>28</v>
      </c>
      <c r="H267" s="8" t="s">
        <v>1260</v>
      </c>
      <c r="I267" s="8" t="s">
        <v>212</v>
      </c>
      <c r="J267" s="8" t="s">
        <v>45</v>
      </c>
      <c r="K267" s="8" t="s">
        <v>122</v>
      </c>
      <c r="L267" s="8" t="s">
        <v>227</v>
      </c>
      <c r="M267" s="8">
        <v>6</v>
      </c>
      <c r="N267" s="8">
        <v>20</v>
      </c>
      <c r="O267" s="8">
        <v>15</v>
      </c>
      <c r="P267" s="8">
        <v>102</v>
      </c>
      <c r="Q267" s="8">
        <v>2</v>
      </c>
      <c r="R267" s="8" t="s">
        <v>88</v>
      </c>
      <c r="S267" s="8" t="s">
        <v>49</v>
      </c>
      <c r="T267" s="8" t="s">
        <v>50</v>
      </c>
      <c r="U267" s="9" t="s">
        <v>1261</v>
      </c>
      <c r="V267" s="8" t="s">
        <v>69</v>
      </c>
    </row>
    <row r="268" spans="1:22">
      <c r="A268" s="3" t="s">
        <v>1262</v>
      </c>
      <c r="B268" s="4" t="s">
        <v>53</v>
      </c>
      <c r="C268" s="4" t="s">
        <v>118</v>
      </c>
      <c r="D268" s="4" t="s">
        <v>1263</v>
      </c>
      <c r="E268" s="4" t="s">
        <v>597</v>
      </c>
      <c r="F268" s="4" t="s">
        <v>163</v>
      </c>
      <c r="G268" s="4" t="s">
        <v>28</v>
      </c>
      <c r="H268" s="4" t="s">
        <v>1264</v>
      </c>
      <c r="I268" s="4" t="s">
        <v>105</v>
      </c>
      <c r="J268" s="4" t="s">
        <v>106</v>
      </c>
      <c r="K268" s="4" t="s">
        <v>122</v>
      </c>
      <c r="L268" s="4" t="s">
        <v>123</v>
      </c>
      <c r="M268" s="4">
        <v>6</v>
      </c>
      <c r="N268" s="4">
        <v>60</v>
      </c>
      <c r="O268" s="4">
        <v>5</v>
      </c>
      <c r="P268" s="4">
        <v>342</v>
      </c>
      <c r="Q268" s="4">
        <v>1</v>
      </c>
      <c r="R268" s="4" t="s">
        <v>48</v>
      </c>
      <c r="S268" s="4" t="s">
        <v>61</v>
      </c>
      <c r="T268" s="4" t="s">
        <v>62</v>
      </c>
      <c r="U268" s="6" t="s">
        <v>1265</v>
      </c>
      <c r="V268" s="4" t="s">
        <v>38</v>
      </c>
    </row>
    <row r="269" spans="1:22">
      <c r="A269" s="7" t="s">
        <v>1266</v>
      </c>
      <c r="B269" s="8" t="s">
        <v>127</v>
      </c>
      <c r="C269" s="8" t="s">
        <v>169</v>
      </c>
      <c r="D269" s="8" t="s">
        <v>1267</v>
      </c>
      <c r="E269" s="8" t="s">
        <v>1268</v>
      </c>
      <c r="F269" s="8" t="s">
        <v>200</v>
      </c>
      <c r="G269" s="8" t="s">
        <v>76</v>
      </c>
      <c r="H269" s="8" t="s">
        <v>1269</v>
      </c>
      <c r="I269" s="8" t="s">
        <v>30</v>
      </c>
      <c r="J269" s="8" t="s">
        <v>31</v>
      </c>
      <c r="K269" s="8" t="s">
        <v>32</v>
      </c>
      <c r="L269" s="8" t="s">
        <v>174</v>
      </c>
      <c r="M269" s="8">
        <v>19</v>
      </c>
      <c r="N269" s="8">
        <v>8500</v>
      </c>
      <c r="O269" s="8">
        <v>0</v>
      </c>
      <c r="P269" s="8">
        <v>161500</v>
      </c>
      <c r="Q269" s="8">
        <v>5</v>
      </c>
      <c r="R269" s="8" t="s">
        <v>88</v>
      </c>
      <c r="S269" s="8" t="s">
        <v>151</v>
      </c>
      <c r="T269" s="8" t="s">
        <v>132</v>
      </c>
      <c r="U269" s="9" t="s">
        <v>1270</v>
      </c>
      <c r="V269" s="8" t="s">
        <v>38</v>
      </c>
    </row>
    <row r="270" spans="1:22">
      <c r="A270" s="3" t="s">
        <v>1271</v>
      </c>
      <c r="B270" s="4" t="s">
        <v>251</v>
      </c>
      <c r="C270" s="4" t="s">
        <v>54</v>
      </c>
      <c r="D270" s="4" t="s">
        <v>445</v>
      </c>
      <c r="E270" s="4" t="s">
        <v>573</v>
      </c>
      <c r="F270" s="4" t="s">
        <v>254</v>
      </c>
      <c r="G270" s="4" t="s">
        <v>28</v>
      </c>
      <c r="H270" s="4" t="s">
        <v>1272</v>
      </c>
      <c r="I270" s="4" t="s">
        <v>212</v>
      </c>
      <c r="J270" s="4" t="s">
        <v>45</v>
      </c>
      <c r="K270" s="4" t="s">
        <v>46</v>
      </c>
      <c r="L270" s="4" t="s">
        <v>60</v>
      </c>
      <c r="M270" s="4">
        <v>8</v>
      </c>
      <c r="N270" s="4">
        <v>55000</v>
      </c>
      <c r="O270" s="4">
        <v>0</v>
      </c>
      <c r="P270" s="4">
        <v>440000</v>
      </c>
      <c r="Q270" s="4">
        <v>3</v>
      </c>
      <c r="R270" s="4" t="s">
        <v>79</v>
      </c>
      <c r="S270" s="4" t="s">
        <v>115</v>
      </c>
      <c r="T270" s="4" t="s">
        <v>256</v>
      </c>
      <c r="U270" s="6" t="s">
        <v>1273</v>
      </c>
      <c r="V270" s="4" t="s">
        <v>64</v>
      </c>
    </row>
    <row r="271" spans="1:22">
      <c r="A271" s="7" t="s">
        <v>1274</v>
      </c>
      <c r="B271" s="8" t="s">
        <v>71</v>
      </c>
      <c r="C271" s="8" t="s">
        <v>40</v>
      </c>
      <c r="D271" s="8" t="s">
        <v>1098</v>
      </c>
      <c r="E271" s="8" t="s">
        <v>583</v>
      </c>
      <c r="F271" s="8" t="s">
        <v>217</v>
      </c>
      <c r="G271" s="8" t="s">
        <v>76</v>
      </c>
      <c r="H271" s="8" t="s">
        <v>1275</v>
      </c>
      <c r="I271" s="8" t="s">
        <v>294</v>
      </c>
      <c r="J271" s="8" t="s">
        <v>295</v>
      </c>
      <c r="K271" s="8" t="s">
        <v>46</v>
      </c>
      <c r="L271" s="8" t="s">
        <v>47</v>
      </c>
      <c r="M271" s="8">
        <v>18</v>
      </c>
      <c r="N271" s="8">
        <v>12000</v>
      </c>
      <c r="O271" s="8">
        <v>20</v>
      </c>
      <c r="P271" s="8">
        <v>172800</v>
      </c>
      <c r="Q271" s="8">
        <v>5</v>
      </c>
      <c r="R271" s="8" t="s">
        <v>88</v>
      </c>
      <c r="S271" s="8" t="s">
        <v>61</v>
      </c>
      <c r="T271" s="8" t="s">
        <v>80</v>
      </c>
      <c r="U271" s="9" t="s">
        <v>1276</v>
      </c>
      <c r="V271" s="8" t="s">
        <v>69</v>
      </c>
    </row>
    <row r="272" spans="1:22">
      <c r="A272" s="3" t="s">
        <v>1277</v>
      </c>
      <c r="B272" s="4" t="s">
        <v>127</v>
      </c>
      <c r="C272" s="4" t="s">
        <v>169</v>
      </c>
      <c r="D272" s="4" t="s">
        <v>1278</v>
      </c>
      <c r="E272" s="4" t="s">
        <v>198</v>
      </c>
      <c r="F272" s="4" t="s">
        <v>200</v>
      </c>
      <c r="G272" s="4" t="s">
        <v>76</v>
      </c>
      <c r="H272" s="4" t="s">
        <v>1279</v>
      </c>
      <c r="I272" s="4" t="s">
        <v>138</v>
      </c>
      <c r="J272" s="4" t="s">
        <v>106</v>
      </c>
      <c r="K272" s="4" t="s">
        <v>32</v>
      </c>
      <c r="L272" s="4" t="s">
        <v>174</v>
      </c>
      <c r="M272" s="4">
        <v>8</v>
      </c>
      <c r="N272" s="4">
        <v>8500</v>
      </c>
      <c r="O272" s="4">
        <v>5</v>
      </c>
      <c r="P272" s="4">
        <v>64600</v>
      </c>
      <c r="Q272" s="4">
        <v>2</v>
      </c>
      <c r="R272" s="4" t="s">
        <v>79</v>
      </c>
      <c r="S272" s="4" t="s">
        <v>61</v>
      </c>
      <c r="T272" s="4" t="s">
        <v>132</v>
      </c>
      <c r="U272" s="6" t="s">
        <v>1280</v>
      </c>
      <c r="V272" s="4" t="s">
        <v>69</v>
      </c>
    </row>
    <row r="273" spans="1:22">
      <c r="A273" s="7" t="s">
        <v>1281</v>
      </c>
      <c r="B273" s="8" t="s">
        <v>23</v>
      </c>
      <c r="C273" s="8" t="s">
        <v>222</v>
      </c>
      <c r="D273" s="8" t="s">
        <v>1282</v>
      </c>
      <c r="E273" s="8" t="s">
        <v>724</v>
      </c>
      <c r="F273" s="8" t="s">
        <v>27</v>
      </c>
      <c r="G273" s="8" t="s">
        <v>28</v>
      </c>
      <c r="H273" s="8" t="s">
        <v>1283</v>
      </c>
      <c r="I273" s="8" t="s">
        <v>105</v>
      </c>
      <c r="J273" s="8" t="s">
        <v>106</v>
      </c>
      <c r="K273" s="8" t="s">
        <v>122</v>
      </c>
      <c r="L273" s="8" t="s">
        <v>227</v>
      </c>
      <c r="M273" s="8">
        <v>13</v>
      </c>
      <c r="N273" s="8">
        <v>20</v>
      </c>
      <c r="O273" s="8">
        <v>5</v>
      </c>
      <c r="P273" s="8">
        <v>247</v>
      </c>
      <c r="Q273" s="8">
        <v>3</v>
      </c>
      <c r="R273" s="8" t="s">
        <v>48</v>
      </c>
      <c r="S273" s="8" t="s">
        <v>115</v>
      </c>
      <c r="T273" s="8" t="s">
        <v>50</v>
      </c>
      <c r="U273" s="9" t="s">
        <v>1284</v>
      </c>
      <c r="V273" s="8" t="s">
        <v>64</v>
      </c>
    </row>
    <row r="274" spans="1:22">
      <c r="A274" s="3" t="s">
        <v>1285</v>
      </c>
      <c r="B274" s="4" t="s">
        <v>83</v>
      </c>
      <c r="C274" s="4" t="s">
        <v>118</v>
      </c>
      <c r="D274" s="4" t="s">
        <v>740</v>
      </c>
      <c r="E274" s="4" t="s">
        <v>1286</v>
      </c>
      <c r="F274" s="4" t="s">
        <v>180</v>
      </c>
      <c r="G274" s="4" t="s">
        <v>76</v>
      </c>
      <c r="H274" s="4" t="s">
        <v>1287</v>
      </c>
      <c r="I274" s="4" t="s">
        <v>212</v>
      </c>
      <c r="J274" s="4" t="s">
        <v>45</v>
      </c>
      <c r="K274" s="4" t="s">
        <v>122</v>
      </c>
      <c r="L274" s="4" t="s">
        <v>123</v>
      </c>
      <c r="M274" s="4">
        <v>1</v>
      </c>
      <c r="N274" s="4">
        <v>60</v>
      </c>
      <c r="O274" s="4">
        <v>15</v>
      </c>
      <c r="P274" s="4">
        <v>51</v>
      </c>
      <c r="Q274" s="4">
        <v>2</v>
      </c>
      <c r="R274" s="4" t="s">
        <v>79</v>
      </c>
      <c r="S274" s="4" t="s">
        <v>61</v>
      </c>
      <c r="T274" s="4" t="s">
        <v>89</v>
      </c>
      <c r="U274" s="6" t="s">
        <v>1288</v>
      </c>
      <c r="V274" s="4" t="s">
        <v>69</v>
      </c>
    </row>
    <row r="275" spans="1:22">
      <c r="A275" s="7" t="s">
        <v>1289</v>
      </c>
      <c r="B275" s="8" t="s">
        <v>53</v>
      </c>
      <c r="C275" s="8" t="s">
        <v>222</v>
      </c>
      <c r="D275" s="8" t="s">
        <v>1290</v>
      </c>
      <c r="E275" s="8" t="s">
        <v>965</v>
      </c>
      <c r="F275" s="8" t="s">
        <v>163</v>
      </c>
      <c r="G275" s="8" t="s">
        <v>28</v>
      </c>
      <c r="H275" s="8" t="s">
        <v>1291</v>
      </c>
      <c r="I275" s="8" t="s">
        <v>114</v>
      </c>
      <c r="J275" s="8" t="s">
        <v>106</v>
      </c>
      <c r="K275" s="8" t="s">
        <v>122</v>
      </c>
      <c r="L275" s="8" t="s">
        <v>227</v>
      </c>
      <c r="M275" s="8">
        <v>5</v>
      </c>
      <c r="N275" s="8">
        <v>20</v>
      </c>
      <c r="O275" s="8">
        <v>5</v>
      </c>
      <c r="P275" s="8">
        <v>95</v>
      </c>
      <c r="Q275" s="8">
        <v>2</v>
      </c>
      <c r="R275" s="8" t="s">
        <v>48</v>
      </c>
      <c r="S275" s="8" t="s">
        <v>49</v>
      </c>
      <c r="T275" s="8" t="s">
        <v>62</v>
      </c>
      <c r="U275" s="9" t="s">
        <v>1292</v>
      </c>
      <c r="V275" s="8" t="s">
        <v>64</v>
      </c>
    </row>
    <row r="276" spans="1:22">
      <c r="A276" s="3" t="s">
        <v>1293</v>
      </c>
      <c r="B276" s="4" t="s">
        <v>221</v>
      </c>
      <c r="C276" s="4" t="s">
        <v>222</v>
      </c>
      <c r="D276" s="4" t="s">
        <v>1294</v>
      </c>
      <c r="E276" s="4" t="s">
        <v>1017</v>
      </c>
      <c r="F276" s="4" t="s">
        <v>225</v>
      </c>
      <c r="G276" s="4" t="s">
        <v>76</v>
      </c>
      <c r="H276" s="4" t="s">
        <v>1295</v>
      </c>
      <c r="I276" s="4" t="s">
        <v>294</v>
      </c>
      <c r="J276" s="4" t="s">
        <v>295</v>
      </c>
      <c r="K276" s="4" t="s">
        <v>122</v>
      </c>
      <c r="L276" s="4" t="s">
        <v>227</v>
      </c>
      <c r="M276" s="4">
        <v>19</v>
      </c>
      <c r="N276" s="4">
        <v>20</v>
      </c>
      <c r="O276" s="4">
        <v>20</v>
      </c>
      <c r="P276" s="4">
        <v>304</v>
      </c>
      <c r="Q276" s="4">
        <v>3</v>
      </c>
      <c r="R276" s="4" t="s">
        <v>34</v>
      </c>
      <c r="S276" s="4" t="s">
        <v>35</v>
      </c>
      <c r="T276" s="4" t="s">
        <v>228</v>
      </c>
      <c r="U276" s="6" t="s">
        <v>1296</v>
      </c>
      <c r="V276" s="4" t="s">
        <v>69</v>
      </c>
    </row>
    <row r="277" spans="1:22">
      <c r="A277" s="7" t="s">
        <v>1297</v>
      </c>
      <c r="B277" s="8" t="s">
        <v>100</v>
      </c>
      <c r="C277" s="8" t="s">
        <v>259</v>
      </c>
      <c r="D277" s="8" t="s">
        <v>1298</v>
      </c>
      <c r="E277" s="8" t="s">
        <v>366</v>
      </c>
      <c r="F277" s="8" t="s">
        <v>103</v>
      </c>
      <c r="G277" s="8" t="s">
        <v>28</v>
      </c>
      <c r="H277" s="8" t="s">
        <v>1299</v>
      </c>
      <c r="I277" s="8" t="s">
        <v>138</v>
      </c>
      <c r="J277" s="8" t="s">
        <v>106</v>
      </c>
      <c r="K277" s="8" t="s">
        <v>122</v>
      </c>
      <c r="L277" s="8" t="s">
        <v>263</v>
      </c>
      <c r="M277" s="8">
        <v>17</v>
      </c>
      <c r="N277" s="8">
        <v>45</v>
      </c>
      <c r="O277" s="8">
        <v>5</v>
      </c>
      <c r="P277" s="8">
        <v>726.75</v>
      </c>
      <c r="Q277" s="8">
        <v>4</v>
      </c>
      <c r="R277" s="8" t="s">
        <v>34</v>
      </c>
      <c r="S277" s="8" t="s">
        <v>115</v>
      </c>
      <c r="T277" s="8" t="s">
        <v>144</v>
      </c>
      <c r="U277" s="9" t="s">
        <v>1300</v>
      </c>
      <c r="V277" s="8" t="s">
        <v>64</v>
      </c>
    </row>
    <row r="278" spans="1:22">
      <c r="A278" s="3" t="s">
        <v>1301</v>
      </c>
      <c r="B278" s="4" t="s">
        <v>83</v>
      </c>
      <c r="C278" s="4" t="s">
        <v>184</v>
      </c>
      <c r="D278" s="4" t="s">
        <v>1302</v>
      </c>
      <c r="E278" s="4" t="s">
        <v>170</v>
      </c>
      <c r="F278" s="4" t="s">
        <v>180</v>
      </c>
      <c r="G278" s="4" t="s">
        <v>76</v>
      </c>
      <c r="H278" s="4" t="s">
        <v>1303</v>
      </c>
      <c r="I278" s="4" t="s">
        <v>59</v>
      </c>
      <c r="J278" s="4" t="s">
        <v>31</v>
      </c>
      <c r="K278" s="4" t="s">
        <v>46</v>
      </c>
      <c r="L278" s="4" t="s">
        <v>189</v>
      </c>
      <c r="M278" s="4">
        <v>8</v>
      </c>
      <c r="N278" s="4">
        <v>700</v>
      </c>
      <c r="O278" s="4">
        <v>15</v>
      </c>
      <c r="P278" s="4">
        <v>4760</v>
      </c>
      <c r="Q278" s="4">
        <v>4</v>
      </c>
      <c r="R278" s="4" t="s">
        <v>48</v>
      </c>
      <c r="S278" s="4" t="s">
        <v>35</v>
      </c>
      <c r="T278" s="4" t="s">
        <v>89</v>
      </c>
      <c r="U278" s="6" t="s">
        <v>1304</v>
      </c>
      <c r="V278" s="4" t="s">
        <v>64</v>
      </c>
    </row>
    <row r="279" spans="1:22">
      <c r="A279" s="7" t="s">
        <v>1305</v>
      </c>
      <c r="B279" s="8" t="s">
        <v>168</v>
      </c>
      <c r="C279" s="8" t="s">
        <v>24</v>
      </c>
      <c r="D279" s="8" t="s">
        <v>1306</v>
      </c>
      <c r="E279" s="8" t="s">
        <v>1307</v>
      </c>
      <c r="F279" s="8" t="s">
        <v>361</v>
      </c>
      <c r="G279" s="8" t="s">
        <v>28</v>
      </c>
      <c r="H279" s="8" t="s">
        <v>1308</v>
      </c>
      <c r="I279" s="8" t="s">
        <v>105</v>
      </c>
      <c r="J279" s="8" t="s">
        <v>106</v>
      </c>
      <c r="K279" s="8" t="s">
        <v>32</v>
      </c>
      <c r="L279" s="8" t="s">
        <v>33</v>
      </c>
      <c r="M279" s="8">
        <v>15</v>
      </c>
      <c r="N279" s="8">
        <v>2200</v>
      </c>
      <c r="O279" s="8">
        <v>10</v>
      </c>
      <c r="P279" s="8">
        <v>29700</v>
      </c>
      <c r="Q279" s="8">
        <v>5</v>
      </c>
      <c r="R279" s="8" t="s">
        <v>88</v>
      </c>
      <c r="S279" s="8" t="s">
        <v>151</v>
      </c>
      <c r="T279" s="8" t="s">
        <v>175</v>
      </c>
      <c r="U279" s="9" t="s">
        <v>1309</v>
      </c>
      <c r="V279" s="8" t="s">
        <v>38</v>
      </c>
    </row>
    <row r="280" spans="1:22">
      <c r="A280" s="3" t="s">
        <v>1310</v>
      </c>
      <c r="B280" s="4" t="s">
        <v>100</v>
      </c>
      <c r="C280" s="4" t="s">
        <v>24</v>
      </c>
      <c r="D280" s="4" t="s">
        <v>860</v>
      </c>
      <c r="E280" s="4" t="s">
        <v>1311</v>
      </c>
      <c r="F280" s="4" t="s">
        <v>103</v>
      </c>
      <c r="G280" s="4" t="s">
        <v>28</v>
      </c>
      <c r="H280" s="4" t="s">
        <v>1312</v>
      </c>
      <c r="I280" s="4" t="s">
        <v>105</v>
      </c>
      <c r="J280" s="4" t="s">
        <v>106</v>
      </c>
      <c r="K280" s="4" t="s">
        <v>32</v>
      </c>
      <c r="L280" s="4" t="s">
        <v>33</v>
      </c>
      <c r="M280" s="4">
        <v>1</v>
      </c>
      <c r="N280" s="4">
        <v>2200</v>
      </c>
      <c r="O280" s="4">
        <v>0</v>
      </c>
      <c r="P280" s="4">
        <v>2200</v>
      </c>
      <c r="Q280" s="4">
        <v>4</v>
      </c>
      <c r="R280" s="4" t="s">
        <v>34</v>
      </c>
      <c r="S280" s="4" t="s">
        <v>49</v>
      </c>
      <c r="T280" s="4" t="s">
        <v>144</v>
      </c>
      <c r="U280" s="6" t="s">
        <v>1313</v>
      </c>
      <c r="V280" s="4" t="s">
        <v>69</v>
      </c>
    </row>
    <row r="281" spans="1:22">
      <c r="A281" s="7" t="s">
        <v>1314</v>
      </c>
      <c r="B281" s="8" t="s">
        <v>251</v>
      </c>
      <c r="C281" s="8" t="s">
        <v>92</v>
      </c>
      <c r="D281" s="8" t="s">
        <v>872</v>
      </c>
      <c r="E281" s="8" t="s">
        <v>1315</v>
      </c>
      <c r="F281" s="8" t="s">
        <v>254</v>
      </c>
      <c r="G281" s="8" t="s">
        <v>28</v>
      </c>
      <c r="H281" s="8" t="s">
        <v>1316</v>
      </c>
      <c r="I281" s="8" t="s">
        <v>138</v>
      </c>
      <c r="J281" s="8" t="s">
        <v>106</v>
      </c>
      <c r="K281" s="8" t="s">
        <v>32</v>
      </c>
      <c r="L281" s="8" t="s">
        <v>97</v>
      </c>
      <c r="M281" s="8">
        <v>10</v>
      </c>
      <c r="N281" s="8">
        <v>3500</v>
      </c>
      <c r="O281" s="8">
        <v>10</v>
      </c>
      <c r="P281" s="8">
        <v>31500</v>
      </c>
      <c r="Q281" s="8">
        <v>4</v>
      </c>
      <c r="R281" s="8" t="s">
        <v>48</v>
      </c>
      <c r="S281" s="8" t="s">
        <v>35</v>
      </c>
      <c r="T281" s="8" t="s">
        <v>256</v>
      </c>
      <c r="U281" s="9" t="s">
        <v>1317</v>
      </c>
      <c r="V281" s="8" t="s">
        <v>69</v>
      </c>
    </row>
    <row r="282" spans="1:22">
      <c r="A282" s="3" t="s">
        <v>1318</v>
      </c>
      <c r="B282" s="4" t="s">
        <v>71</v>
      </c>
      <c r="C282" s="4" t="s">
        <v>92</v>
      </c>
      <c r="D282" s="4" t="s">
        <v>1319</v>
      </c>
      <c r="E282" s="4" t="s">
        <v>1320</v>
      </c>
      <c r="F282" s="4" t="s">
        <v>217</v>
      </c>
      <c r="G282" s="4" t="s">
        <v>76</v>
      </c>
      <c r="H282" s="4" t="s">
        <v>1321</v>
      </c>
      <c r="I282" s="4" t="s">
        <v>212</v>
      </c>
      <c r="J282" s="4" t="s">
        <v>45</v>
      </c>
      <c r="K282" s="4" t="s">
        <v>32</v>
      </c>
      <c r="L282" s="4" t="s">
        <v>97</v>
      </c>
      <c r="M282" s="4">
        <v>16</v>
      </c>
      <c r="N282" s="4">
        <v>3500</v>
      </c>
      <c r="O282" s="4">
        <v>15</v>
      </c>
      <c r="P282" s="4">
        <v>47600</v>
      </c>
      <c r="Q282" s="4">
        <v>1</v>
      </c>
      <c r="R282" s="4" t="s">
        <v>79</v>
      </c>
      <c r="S282" s="4" t="s">
        <v>115</v>
      </c>
      <c r="T282" s="4" t="s">
        <v>80</v>
      </c>
      <c r="U282" s="6" t="s">
        <v>1322</v>
      </c>
      <c r="V282" s="4" t="s">
        <v>64</v>
      </c>
    </row>
    <row r="283" spans="1:22">
      <c r="A283" s="7" t="s">
        <v>1323</v>
      </c>
      <c r="B283" s="8" t="s">
        <v>251</v>
      </c>
      <c r="C283" s="8" t="s">
        <v>40</v>
      </c>
      <c r="D283" s="8" t="s">
        <v>1324</v>
      </c>
      <c r="E283" s="8" t="s">
        <v>25</v>
      </c>
      <c r="F283" s="8" t="s">
        <v>254</v>
      </c>
      <c r="G283" s="8" t="s">
        <v>28</v>
      </c>
      <c r="H283" s="8" t="s">
        <v>1325</v>
      </c>
      <c r="I283" s="8" t="s">
        <v>212</v>
      </c>
      <c r="J283" s="8" t="s">
        <v>45</v>
      </c>
      <c r="K283" s="8" t="s">
        <v>46</v>
      </c>
      <c r="L283" s="8" t="s">
        <v>47</v>
      </c>
      <c r="M283" s="8">
        <v>1</v>
      </c>
      <c r="N283" s="8">
        <v>12000</v>
      </c>
      <c r="O283" s="8">
        <v>0</v>
      </c>
      <c r="P283" s="8">
        <v>12000</v>
      </c>
      <c r="Q283" s="8">
        <v>4</v>
      </c>
      <c r="R283" s="8" t="s">
        <v>48</v>
      </c>
      <c r="S283" s="8" t="s">
        <v>115</v>
      </c>
      <c r="T283" s="8" t="s">
        <v>256</v>
      </c>
      <c r="U283" s="9" t="s">
        <v>1326</v>
      </c>
      <c r="V283" s="8" t="s">
        <v>69</v>
      </c>
    </row>
    <row r="284" spans="1:22">
      <c r="A284" s="3" t="s">
        <v>1327</v>
      </c>
      <c r="B284" s="4" t="s">
        <v>83</v>
      </c>
      <c r="C284" s="4" t="s">
        <v>184</v>
      </c>
      <c r="D284" s="4" t="s">
        <v>1328</v>
      </c>
      <c r="E284" s="4" t="s">
        <v>606</v>
      </c>
      <c r="F284" s="4" t="s">
        <v>180</v>
      </c>
      <c r="G284" s="4" t="s">
        <v>76</v>
      </c>
      <c r="H284" s="4" t="s">
        <v>1329</v>
      </c>
      <c r="I284" s="4" t="s">
        <v>105</v>
      </c>
      <c r="J284" s="4" t="s">
        <v>106</v>
      </c>
      <c r="K284" s="4" t="s">
        <v>46</v>
      </c>
      <c r="L284" s="4" t="s">
        <v>189</v>
      </c>
      <c r="M284" s="4">
        <v>6</v>
      </c>
      <c r="N284" s="4">
        <v>700</v>
      </c>
      <c r="O284" s="4">
        <v>20</v>
      </c>
      <c r="P284" s="4">
        <v>3360</v>
      </c>
      <c r="Q284" s="4">
        <v>2</v>
      </c>
      <c r="R284" s="4" t="s">
        <v>48</v>
      </c>
      <c r="S284" s="4" t="s">
        <v>115</v>
      </c>
      <c r="T284" s="4" t="s">
        <v>89</v>
      </c>
      <c r="U284" s="6" t="s">
        <v>1330</v>
      </c>
      <c r="V284" s="4" t="s">
        <v>64</v>
      </c>
    </row>
    <row r="285" spans="1:22">
      <c r="A285" s="7" t="s">
        <v>1331</v>
      </c>
      <c r="B285" s="8" t="s">
        <v>71</v>
      </c>
      <c r="C285" s="8" t="s">
        <v>24</v>
      </c>
      <c r="D285" s="8" t="s">
        <v>923</v>
      </c>
      <c r="E285" s="8" t="s">
        <v>1332</v>
      </c>
      <c r="F285" s="8" t="s">
        <v>217</v>
      </c>
      <c r="G285" s="8" t="s">
        <v>76</v>
      </c>
      <c r="H285" s="8" t="s">
        <v>1333</v>
      </c>
      <c r="I285" s="8" t="s">
        <v>138</v>
      </c>
      <c r="J285" s="8" t="s">
        <v>106</v>
      </c>
      <c r="K285" s="8" t="s">
        <v>32</v>
      </c>
      <c r="L285" s="8" t="s">
        <v>33</v>
      </c>
      <c r="M285" s="8">
        <v>3</v>
      </c>
      <c r="N285" s="8">
        <v>2200</v>
      </c>
      <c r="O285" s="8">
        <v>0</v>
      </c>
      <c r="P285" s="8">
        <v>6600</v>
      </c>
      <c r="Q285" s="8">
        <v>4</v>
      </c>
      <c r="R285" s="8" t="s">
        <v>79</v>
      </c>
      <c r="S285" s="8" t="s">
        <v>35</v>
      </c>
      <c r="T285" s="8" t="s">
        <v>80</v>
      </c>
      <c r="U285" s="9" t="s">
        <v>1334</v>
      </c>
      <c r="V285" s="8" t="s">
        <v>38</v>
      </c>
    </row>
    <row r="286" spans="1:22">
      <c r="A286" s="3" t="s">
        <v>1335</v>
      </c>
      <c r="B286" s="4" t="s">
        <v>251</v>
      </c>
      <c r="C286" s="4" t="s">
        <v>259</v>
      </c>
      <c r="D286" s="4" t="s">
        <v>1198</v>
      </c>
      <c r="E286" s="4" t="s">
        <v>216</v>
      </c>
      <c r="F286" s="4" t="s">
        <v>254</v>
      </c>
      <c r="G286" s="4" t="s">
        <v>28</v>
      </c>
      <c r="H286" s="4" t="s">
        <v>1336</v>
      </c>
      <c r="I286" s="4" t="s">
        <v>30</v>
      </c>
      <c r="J286" s="4" t="s">
        <v>31</v>
      </c>
      <c r="K286" s="4" t="s">
        <v>122</v>
      </c>
      <c r="L286" s="4" t="s">
        <v>263</v>
      </c>
      <c r="M286" s="4">
        <v>6</v>
      </c>
      <c r="N286" s="4">
        <v>45</v>
      </c>
      <c r="O286" s="4">
        <v>15</v>
      </c>
      <c r="P286" s="4">
        <v>229.5</v>
      </c>
      <c r="Q286" s="4">
        <v>1</v>
      </c>
      <c r="R286" s="4" t="s">
        <v>88</v>
      </c>
      <c r="S286" s="4" t="s">
        <v>49</v>
      </c>
      <c r="T286" s="4" t="s">
        <v>256</v>
      </c>
      <c r="U286" s="6" t="s">
        <v>1337</v>
      </c>
      <c r="V286" s="4" t="s">
        <v>38</v>
      </c>
    </row>
    <row r="287" spans="1:22">
      <c r="A287" s="7" t="s">
        <v>1338</v>
      </c>
      <c r="B287" s="8" t="s">
        <v>251</v>
      </c>
      <c r="C287" s="8" t="s">
        <v>72</v>
      </c>
      <c r="D287" s="8" t="s">
        <v>26</v>
      </c>
      <c r="E287" s="8" t="s">
        <v>1339</v>
      </c>
      <c r="F287" s="8" t="s">
        <v>254</v>
      </c>
      <c r="G287" s="8" t="s">
        <v>28</v>
      </c>
      <c r="H287" s="8" t="s">
        <v>1340</v>
      </c>
      <c r="I287" s="8" t="s">
        <v>59</v>
      </c>
      <c r="J287" s="8" t="s">
        <v>31</v>
      </c>
      <c r="K287" s="8" t="s">
        <v>46</v>
      </c>
      <c r="L287" s="8" t="s">
        <v>78</v>
      </c>
      <c r="M287" s="8">
        <v>2</v>
      </c>
      <c r="N287" s="8">
        <v>1200</v>
      </c>
      <c r="O287" s="8">
        <v>0</v>
      </c>
      <c r="P287" s="8">
        <v>2400</v>
      </c>
      <c r="Q287" s="8">
        <v>1</v>
      </c>
      <c r="R287" s="8" t="s">
        <v>34</v>
      </c>
      <c r="S287" s="8" t="s">
        <v>151</v>
      </c>
      <c r="T287" s="8" t="s">
        <v>256</v>
      </c>
      <c r="U287" s="9" t="s">
        <v>1341</v>
      </c>
      <c r="V287" s="8" t="s">
        <v>69</v>
      </c>
    </row>
    <row r="288" spans="1:22">
      <c r="A288" s="3" t="s">
        <v>1342</v>
      </c>
      <c r="B288" s="4" t="s">
        <v>168</v>
      </c>
      <c r="C288" s="4" t="s">
        <v>184</v>
      </c>
      <c r="D288" s="4" t="s">
        <v>1343</v>
      </c>
      <c r="E288" s="4" t="s">
        <v>1344</v>
      </c>
      <c r="F288" s="4" t="s">
        <v>361</v>
      </c>
      <c r="G288" s="4" t="s">
        <v>28</v>
      </c>
      <c r="H288" s="4" t="s">
        <v>1345</v>
      </c>
      <c r="I288" s="4" t="s">
        <v>30</v>
      </c>
      <c r="J288" s="4" t="s">
        <v>31</v>
      </c>
      <c r="K288" s="4" t="s">
        <v>46</v>
      </c>
      <c r="L288" s="4" t="s">
        <v>189</v>
      </c>
      <c r="M288" s="4">
        <v>14</v>
      </c>
      <c r="N288" s="4">
        <v>700</v>
      </c>
      <c r="O288" s="4">
        <v>15</v>
      </c>
      <c r="P288" s="4">
        <v>8330</v>
      </c>
      <c r="Q288" s="4">
        <v>5</v>
      </c>
      <c r="R288" s="4" t="s">
        <v>34</v>
      </c>
      <c r="S288" s="4" t="s">
        <v>115</v>
      </c>
      <c r="T288" s="4" t="s">
        <v>175</v>
      </c>
      <c r="U288" s="6" t="s">
        <v>1346</v>
      </c>
      <c r="V288" s="4" t="s">
        <v>64</v>
      </c>
    </row>
    <row r="289" spans="1:22">
      <c r="A289" s="7" t="s">
        <v>1347</v>
      </c>
      <c r="B289" s="8" t="s">
        <v>100</v>
      </c>
      <c r="C289" s="8" t="s">
        <v>222</v>
      </c>
      <c r="D289" s="8" t="s">
        <v>291</v>
      </c>
      <c r="E289" s="8" t="s">
        <v>507</v>
      </c>
      <c r="F289" s="8" t="s">
        <v>103</v>
      </c>
      <c r="G289" s="8" t="s">
        <v>28</v>
      </c>
      <c r="H289" s="8" t="s">
        <v>1348</v>
      </c>
      <c r="I289" s="8" t="s">
        <v>105</v>
      </c>
      <c r="J289" s="8" t="s">
        <v>106</v>
      </c>
      <c r="K289" s="8" t="s">
        <v>122</v>
      </c>
      <c r="L289" s="8" t="s">
        <v>227</v>
      </c>
      <c r="M289" s="8">
        <v>13</v>
      </c>
      <c r="N289" s="8">
        <v>20</v>
      </c>
      <c r="O289" s="8">
        <v>5</v>
      </c>
      <c r="P289" s="8">
        <v>247</v>
      </c>
      <c r="Q289" s="8">
        <v>1</v>
      </c>
      <c r="R289" s="8" t="s">
        <v>79</v>
      </c>
      <c r="S289" s="8" t="s">
        <v>35</v>
      </c>
      <c r="T289" s="8" t="s">
        <v>1349</v>
      </c>
      <c r="U289" s="9" t="s">
        <v>1350</v>
      </c>
      <c r="V289" s="8" t="s">
        <v>64</v>
      </c>
    </row>
    <row r="290" spans="1:22">
      <c r="A290" s="3" t="s">
        <v>1351</v>
      </c>
      <c r="B290" s="4" t="s">
        <v>71</v>
      </c>
      <c r="C290" s="4" t="s">
        <v>24</v>
      </c>
      <c r="D290" s="4" t="s">
        <v>135</v>
      </c>
      <c r="E290" s="4" t="s">
        <v>136</v>
      </c>
      <c r="F290" s="4" t="s">
        <v>217</v>
      </c>
      <c r="G290" s="4" t="s">
        <v>76</v>
      </c>
      <c r="H290" s="4" t="s">
        <v>1352</v>
      </c>
      <c r="I290" s="4" t="s">
        <v>114</v>
      </c>
      <c r="J290" s="4" t="s">
        <v>106</v>
      </c>
      <c r="K290" s="4" t="s">
        <v>32</v>
      </c>
      <c r="L290" s="4" t="s">
        <v>33</v>
      </c>
      <c r="M290" s="4">
        <v>3</v>
      </c>
      <c r="N290" s="4">
        <v>2200</v>
      </c>
      <c r="O290" s="4">
        <v>0</v>
      </c>
      <c r="P290" s="4">
        <v>6600</v>
      </c>
      <c r="Q290" s="4">
        <v>4</v>
      </c>
      <c r="R290" s="4" t="s">
        <v>48</v>
      </c>
      <c r="S290" s="4" t="s">
        <v>61</v>
      </c>
      <c r="T290" s="4" t="s">
        <v>80</v>
      </c>
      <c r="U290" s="6" t="s">
        <v>1353</v>
      </c>
      <c r="V290" s="4" t="s">
        <v>69</v>
      </c>
    </row>
    <row r="291" spans="1:22">
      <c r="A291" s="7" t="s">
        <v>1354</v>
      </c>
      <c r="B291" s="8" t="s">
        <v>71</v>
      </c>
      <c r="C291" s="8" t="s">
        <v>118</v>
      </c>
      <c r="D291" s="8" t="s">
        <v>450</v>
      </c>
      <c r="E291" s="8" t="s">
        <v>923</v>
      </c>
      <c r="F291" s="8" t="s">
        <v>217</v>
      </c>
      <c r="G291" s="8" t="s">
        <v>76</v>
      </c>
      <c r="H291" s="8" t="s">
        <v>1355</v>
      </c>
      <c r="I291" s="8" t="s">
        <v>114</v>
      </c>
      <c r="J291" s="8" t="s">
        <v>106</v>
      </c>
      <c r="K291" s="8" t="s">
        <v>122</v>
      </c>
      <c r="L291" s="8" t="s">
        <v>123</v>
      </c>
      <c r="M291" s="8">
        <v>3</v>
      </c>
      <c r="N291" s="8">
        <v>60</v>
      </c>
      <c r="O291" s="8">
        <v>15</v>
      </c>
      <c r="P291" s="8">
        <v>153</v>
      </c>
      <c r="Q291" s="8">
        <v>4</v>
      </c>
      <c r="R291" s="8" t="s">
        <v>88</v>
      </c>
      <c r="S291" s="8" t="s">
        <v>115</v>
      </c>
      <c r="T291" s="8" t="s">
        <v>80</v>
      </c>
      <c r="U291" s="9" t="s">
        <v>1356</v>
      </c>
      <c r="V291" s="8" t="s">
        <v>38</v>
      </c>
    </row>
    <row r="292" spans="1:22">
      <c r="A292" s="3" t="s">
        <v>1357</v>
      </c>
      <c r="B292" s="4" t="s">
        <v>127</v>
      </c>
      <c r="C292" s="4" t="s">
        <v>92</v>
      </c>
      <c r="D292" s="4" t="s">
        <v>624</v>
      </c>
      <c r="E292" s="4" t="s">
        <v>825</v>
      </c>
      <c r="F292" s="4" t="s">
        <v>200</v>
      </c>
      <c r="G292" s="4" t="s">
        <v>76</v>
      </c>
      <c r="H292" s="4" t="s">
        <v>584</v>
      </c>
      <c r="I292" s="4" t="s">
        <v>105</v>
      </c>
      <c r="J292" s="4" t="s">
        <v>106</v>
      </c>
      <c r="K292" s="4" t="s">
        <v>32</v>
      </c>
      <c r="L292" s="4" t="s">
        <v>97</v>
      </c>
      <c r="M292" s="4">
        <v>9</v>
      </c>
      <c r="N292" s="4">
        <v>3500</v>
      </c>
      <c r="O292" s="4">
        <v>5</v>
      </c>
      <c r="P292" s="4">
        <v>29925</v>
      </c>
      <c r="Q292" s="4">
        <v>1</v>
      </c>
      <c r="R292" s="4" t="s">
        <v>34</v>
      </c>
      <c r="S292" s="4" t="s">
        <v>61</v>
      </c>
      <c r="T292" s="4" t="s">
        <v>132</v>
      </c>
      <c r="U292" s="6" t="s">
        <v>1358</v>
      </c>
      <c r="V292" s="4" t="s">
        <v>64</v>
      </c>
    </row>
    <row r="293" spans="1:22">
      <c r="A293" s="7" t="s">
        <v>1359</v>
      </c>
      <c r="B293" s="8" t="s">
        <v>327</v>
      </c>
      <c r="C293" s="8" t="s">
        <v>72</v>
      </c>
      <c r="D293" s="8" t="s">
        <v>120</v>
      </c>
      <c r="E293" s="8" t="s">
        <v>1360</v>
      </c>
      <c r="F293" s="8" t="s">
        <v>394</v>
      </c>
      <c r="G293" s="8" t="s">
        <v>76</v>
      </c>
      <c r="H293" s="8" t="s">
        <v>1361</v>
      </c>
      <c r="I293" s="8" t="s">
        <v>212</v>
      </c>
      <c r="J293" s="8" t="s">
        <v>45</v>
      </c>
      <c r="K293" s="8" t="s">
        <v>46</v>
      </c>
      <c r="L293" s="8" t="s">
        <v>78</v>
      </c>
      <c r="M293" s="8">
        <v>5</v>
      </c>
      <c r="N293" s="8">
        <v>1200</v>
      </c>
      <c r="O293" s="8">
        <v>20</v>
      </c>
      <c r="P293" s="8">
        <v>4800</v>
      </c>
      <c r="Q293" s="8">
        <v>2</v>
      </c>
      <c r="R293" s="8" t="s">
        <v>88</v>
      </c>
      <c r="S293" s="8" t="s">
        <v>115</v>
      </c>
      <c r="T293" s="8" t="s">
        <v>332</v>
      </c>
      <c r="U293" s="9" t="s">
        <v>1362</v>
      </c>
      <c r="V293" s="8" t="s">
        <v>64</v>
      </c>
    </row>
    <row r="294" spans="1:22">
      <c r="A294" s="3" t="s">
        <v>1363</v>
      </c>
      <c r="B294" s="4" t="s">
        <v>53</v>
      </c>
      <c r="C294" s="4" t="s">
        <v>72</v>
      </c>
      <c r="D294" s="4" t="s">
        <v>1031</v>
      </c>
      <c r="E294" s="4" t="s">
        <v>910</v>
      </c>
      <c r="F294" s="4" t="s">
        <v>163</v>
      </c>
      <c r="G294" s="4" t="s">
        <v>28</v>
      </c>
      <c r="H294" s="4" t="s">
        <v>1364</v>
      </c>
      <c r="I294" s="4" t="s">
        <v>212</v>
      </c>
      <c r="J294" s="4" t="s">
        <v>45</v>
      </c>
      <c r="K294" s="4" t="s">
        <v>46</v>
      </c>
      <c r="L294" s="4" t="s">
        <v>78</v>
      </c>
      <c r="M294" s="4">
        <v>10</v>
      </c>
      <c r="N294" s="4">
        <v>1200</v>
      </c>
      <c r="O294" s="4">
        <v>20</v>
      </c>
      <c r="P294" s="4">
        <v>9600</v>
      </c>
      <c r="Q294" s="4">
        <v>4</v>
      </c>
      <c r="R294" s="4" t="s">
        <v>34</v>
      </c>
      <c r="S294" s="4" t="s">
        <v>49</v>
      </c>
      <c r="T294" s="5" t="s">
        <v>1365</v>
      </c>
      <c r="U294" s="6" t="s">
        <v>1366</v>
      </c>
      <c r="V294" s="4" t="s">
        <v>38</v>
      </c>
    </row>
    <row r="295" spans="1:22">
      <c r="A295" s="7" t="s">
        <v>1367</v>
      </c>
      <c r="B295" s="8" t="s">
        <v>23</v>
      </c>
      <c r="C295" s="8" t="s">
        <v>72</v>
      </c>
      <c r="D295" s="8" t="s">
        <v>1368</v>
      </c>
      <c r="E295" s="8" t="s">
        <v>1369</v>
      </c>
      <c r="F295" s="8" t="s">
        <v>27</v>
      </c>
      <c r="G295" s="8" t="s">
        <v>28</v>
      </c>
      <c r="H295" s="8" t="s">
        <v>1370</v>
      </c>
      <c r="I295" s="8" t="s">
        <v>138</v>
      </c>
      <c r="J295" s="8" t="s">
        <v>106</v>
      </c>
      <c r="K295" s="8" t="s">
        <v>46</v>
      </c>
      <c r="L295" s="8" t="s">
        <v>78</v>
      </c>
      <c r="M295" s="8">
        <v>5</v>
      </c>
      <c r="N295" s="8">
        <v>1200</v>
      </c>
      <c r="O295" s="8">
        <v>20</v>
      </c>
      <c r="P295" s="8">
        <v>4800</v>
      </c>
      <c r="Q295" s="8">
        <v>3</v>
      </c>
      <c r="R295" s="8" t="s">
        <v>48</v>
      </c>
      <c r="S295" s="8" t="s">
        <v>151</v>
      </c>
      <c r="T295" s="8" t="s">
        <v>50</v>
      </c>
      <c r="U295" s="9" t="s">
        <v>1371</v>
      </c>
      <c r="V295" s="8" t="s">
        <v>38</v>
      </c>
    </row>
    <row r="296" spans="1:22">
      <c r="A296" s="3" t="s">
        <v>1372</v>
      </c>
      <c r="B296" s="4" t="s">
        <v>168</v>
      </c>
      <c r="C296" s="4" t="s">
        <v>222</v>
      </c>
      <c r="D296" s="4" t="s">
        <v>1373</v>
      </c>
      <c r="E296" s="4" t="s">
        <v>1374</v>
      </c>
      <c r="F296" s="4" t="s">
        <v>361</v>
      </c>
      <c r="G296" s="4" t="s">
        <v>28</v>
      </c>
      <c r="H296" s="4" t="s">
        <v>1375</v>
      </c>
      <c r="I296" s="4" t="s">
        <v>105</v>
      </c>
      <c r="J296" s="4" t="s">
        <v>106</v>
      </c>
      <c r="K296" s="4" t="s">
        <v>122</v>
      </c>
      <c r="L296" s="4" t="s">
        <v>227</v>
      </c>
      <c r="M296" s="4">
        <v>10</v>
      </c>
      <c r="N296" s="4">
        <v>20</v>
      </c>
      <c r="O296" s="4">
        <v>5</v>
      </c>
      <c r="P296" s="4">
        <v>190</v>
      </c>
      <c r="Q296" s="4">
        <v>4</v>
      </c>
      <c r="R296" s="4" t="s">
        <v>34</v>
      </c>
      <c r="S296" s="4" t="s">
        <v>151</v>
      </c>
      <c r="T296" s="4" t="s">
        <v>175</v>
      </c>
      <c r="U296" s="6" t="s">
        <v>1376</v>
      </c>
      <c r="V296" s="4" t="s">
        <v>64</v>
      </c>
    </row>
    <row r="297" spans="1:22">
      <c r="A297" s="7" t="s">
        <v>1377</v>
      </c>
      <c r="B297" s="8" t="s">
        <v>100</v>
      </c>
      <c r="C297" s="8" t="s">
        <v>118</v>
      </c>
      <c r="D297" s="8" t="s">
        <v>1378</v>
      </c>
      <c r="E297" s="8" t="s">
        <v>1379</v>
      </c>
      <c r="F297" s="8" t="s">
        <v>103</v>
      </c>
      <c r="G297" s="8" t="s">
        <v>28</v>
      </c>
      <c r="H297" s="8" t="s">
        <v>1380</v>
      </c>
      <c r="I297" s="8" t="s">
        <v>44</v>
      </c>
      <c r="J297" s="8" t="s">
        <v>45</v>
      </c>
      <c r="K297" s="8" t="s">
        <v>122</v>
      </c>
      <c r="L297" s="8" t="s">
        <v>123</v>
      </c>
      <c r="M297" s="8">
        <v>20</v>
      </c>
      <c r="N297" s="8">
        <v>60</v>
      </c>
      <c r="O297" s="8">
        <v>15</v>
      </c>
      <c r="P297" s="8">
        <v>1020</v>
      </c>
      <c r="Q297" s="8">
        <v>5</v>
      </c>
      <c r="R297" s="8" t="s">
        <v>79</v>
      </c>
      <c r="S297" s="8" t="s">
        <v>35</v>
      </c>
      <c r="T297" s="8" t="s">
        <v>144</v>
      </c>
      <c r="U297" s="9" t="s">
        <v>1381</v>
      </c>
      <c r="V297" s="8" t="s">
        <v>64</v>
      </c>
    </row>
    <row r="298" spans="1:22">
      <c r="A298" s="3" t="s">
        <v>1382</v>
      </c>
      <c r="B298" s="4" t="s">
        <v>327</v>
      </c>
      <c r="C298" s="4" t="s">
        <v>24</v>
      </c>
      <c r="D298" s="4" t="s">
        <v>1360</v>
      </c>
      <c r="E298" s="4" t="s">
        <v>577</v>
      </c>
      <c r="F298" s="4" t="s">
        <v>394</v>
      </c>
      <c r="G298" s="4" t="s">
        <v>76</v>
      </c>
      <c r="H298" s="4" t="s">
        <v>1383</v>
      </c>
      <c r="I298" s="4" t="s">
        <v>138</v>
      </c>
      <c r="J298" s="4" t="s">
        <v>106</v>
      </c>
      <c r="K298" s="4" t="s">
        <v>32</v>
      </c>
      <c r="L298" s="4" t="s">
        <v>33</v>
      </c>
      <c r="M298" s="4">
        <v>7</v>
      </c>
      <c r="N298" s="4">
        <v>2200</v>
      </c>
      <c r="O298" s="4">
        <v>15</v>
      </c>
      <c r="P298" s="4">
        <v>13090</v>
      </c>
      <c r="Q298" s="4">
        <v>4</v>
      </c>
      <c r="R298" s="4" t="s">
        <v>34</v>
      </c>
      <c r="S298" s="4" t="s">
        <v>61</v>
      </c>
      <c r="T298" s="4" t="s">
        <v>332</v>
      </c>
      <c r="U298" s="6" t="s">
        <v>1384</v>
      </c>
      <c r="V298" s="4" t="s">
        <v>69</v>
      </c>
    </row>
    <row r="299" spans="1:22">
      <c r="A299" s="7" t="s">
        <v>1385</v>
      </c>
      <c r="B299" s="8" t="s">
        <v>127</v>
      </c>
      <c r="C299" s="8" t="s">
        <v>54</v>
      </c>
      <c r="D299" s="8" t="s">
        <v>619</v>
      </c>
      <c r="E299" s="8" t="s">
        <v>760</v>
      </c>
      <c r="F299" s="8" t="s">
        <v>200</v>
      </c>
      <c r="G299" s="8" t="s">
        <v>76</v>
      </c>
      <c r="H299" s="8" t="s">
        <v>1386</v>
      </c>
      <c r="I299" s="8" t="s">
        <v>30</v>
      </c>
      <c r="J299" s="8" t="s">
        <v>31</v>
      </c>
      <c r="K299" s="8" t="s">
        <v>46</v>
      </c>
      <c r="L299" s="8" t="s">
        <v>60</v>
      </c>
      <c r="M299" s="8">
        <v>11</v>
      </c>
      <c r="N299" s="8">
        <v>55000</v>
      </c>
      <c r="O299" s="8">
        <v>5</v>
      </c>
      <c r="P299" s="8">
        <v>574750</v>
      </c>
      <c r="Q299" s="8">
        <v>1</v>
      </c>
      <c r="R299" s="8" t="s">
        <v>88</v>
      </c>
      <c r="S299" s="8" t="s">
        <v>35</v>
      </c>
      <c r="T299" s="8" t="s">
        <v>132</v>
      </c>
      <c r="U299" s="9" t="s">
        <v>1387</v>
      </c>
      <c r="V299" s="8" t="s">
        <v>69</v>
      </c>
    </row>
    <row r="300" spans="1:22">
      <c r="A300" s="3" t="s">
        <v>1388</v>
      </c>
      <c r="B300" s="4" t="s">
        <v>83</v>
      </c>
      <c r="C300" s="4" t="s">
        <v>92</v>
      </c>
      <c r="D300" s="4" t="s">
        <v>308</v>
      </c>
      <c r="E300" s="4" t="s">
        <v>1389</v>
      </c>
      <c r="F300" s="4" t="s">
        <v>180</v>
      </c>
      <c r="G300" s="4" t="s">
        <v>76</v>
      </c>
      <c r="H300" s="4" t="s">
        <v>1390</v>
      </c>
      <c r="I300" s="4" t="s">
        <v>212</v>
      </c>
      <c r="J300" s="4" t="s">
        <v>45</v>
      </c>
      <c r="K300" s="4" t="s">
        <v>32</v>
      </c>
      <c r="L300" s="4" t="s">
        <v>97</v>
      </c>
      <c r="M300" s="4">
        <v>12</v>
      </c>
      <c r="N300" s="4">
        <v>3500</v>
      </c>
      <c r="O300" s="4">
        <v>0</v>
      </c>
      <c r="P300" s="4">
        <v>42000</v>
      </c>
      <c r="Q300" s="4">
        <v>2</v>
      </c>
      <c r="R300" s="4" t="s">
        <v>48</v>
      </c>
      <c r="S300" s="4"/>
      <c r="T300" s="4" t="s">
        <v>89</v>
      </c>
      <c r="U300" s="6" t="s">
        <v>1391</v>
      </c>
      <c r="V300" s="4" t="s">
        <v>64</v>
      </c>
    </row>
    <row r="301" spans="1:22">
      <c r="A301" s="7" t="s">
        <v>1392</v>
      </c>
      <c r="B301" s="8" t="s">
        <v>71</v>
      </c>
      <c r="C301" s="8" t="s">
        <v>259</v>
      </c>
      <c r="D301" s="8" t="s">
        <v>94</v>
      </c>
      <c r="E301" s="8" t="s">
        <v>298</v>
      </c>
      <c r="F301" s="8" t="s">
        <v>217</v>
      </c>
      <c r="G301" s="8" t="s">
        <v>76</v>
      </c>
      <c r="H301" s="8" t="s">
        <v>1393</v>
      </c>
      <c r="I301" s="8" t="s">
        <v>30</v>
      </c>
      <c r="J301" s="8" t="s">
        <v>31</v>
      </c>
      <c r="K301" s="8" t="s">
        <v>122</v>
      </c>
      <c r="L301" s="8" t="s">
        <v>263</v>
      </c>
      <c r="M301" s="8">
        <v>15</v>
      </c>
      <c r="N301" s="8">
        <v>45</v>
      </c>
      <c r="O301" s="8">
        <v>10</v>
      </c>
      <c r="P301" s="8">
        <v>607.5</v>
      </c>
      <c r="Q301" s="8">
        <v>2</v>
      </c>
      <c r="R301" s="8" t="s">
        <v>34</v>
      </c>
      <c r="S301" s="8" t="s">
        <v>151</v>
      </c>
      <c r="T301" s="8" t="s">
        <v>80</v>
      </c>
      <c r="U301" s="9" t="s">
        <v>1394</v>
      </c>
      <c r="V301" s="8" t="s">
        <v>64</v>
      </c>
    </row>
    <row r="302" spans="1:22">
      <c r="A302" s="3" t="s">
        <v>1395</v>
      </c>
      <c r="B302" s="4" t="s">
        <v>327</v>
      </c>
      <c r="C302" s="4" t="s">
        <v>259</v>
      </c>
      <c r="D302" s="4" t="s">
        <v>1320</v>
      </c>
      <c r="E302" s="4" t="s">
        <v>936</v>
      </c>
      <c r="F302" s="4" t="s">
        <v>394</v>
      </c>
      <c r="G302" s="4" t="s">
        <v>76</v>
      </c>
      <c r="H302" s="4" t="s">
        <v>1396</v>
      </c>
      <c r="I302" s="4" t="s">
        <v>59</v>
      </c>
      <c r="J302" s="4" t="s">
        <v>31</v>
      </c>
      <c r="K302" s="4" t="s">
        <v>122</v>
      </c>
      <c r="L302" s="4" t="s">
        <v>263</v>
      </c>
      <c r="M302" s="4">
        <v>13</v>
      </c>
      <c r="N302" s="4">
        <v>45</v>
      </c>
      <c r="O302" s="4">
        <v>0</v>
      </c>
      <c r="P302" s="4">
        <v>585</v>
      </c>
      <c r="Q302" s="4">
        <v>5</v>
      </c>
      <c r="R302" s="4" t="s">
        <v>48</v>
      </c>
      <c r="S302" s="4" t="s">
        <v>49</v>
      </c>
      <c r="T302" s="4" t="s">
        <v>332</v>
      </c>
      <c r="U302" s="6" t="s">
        <v>1397</v>
      </c>
      <c r="V302" s="4" t="s">
        <v>64</v>
      </c>
    </row>
    <row r="303" spans="1:22">
      <c r="A303" s="7" t="s">
        <v>1398</v>
      </c>
      <c r="B303" s="8" t="s">
        <v>127</v>
      </c>
      <c r="C303" s="8" t="s">
        <v>54</v>
      </c>
      <c r="D303" s="8" t="s">
        <v>711</v>
      </c>
      <c r="E303" s="8" t="s">
        <v>1199</v>
      </c>
      <c r="F303" s="8" t="s">
        <v>200</v>
      </c>
      <c r="G303" s="8" t="s">
        <v>76</v>
      </c>
      <c r="H303" s="8" t="s">
        <v>1399</v>
      </c>
      <c r="I303" s="8" t="s">
        <v>59</v>
      </c>
      <c r="J303" s="8" t="s">
        <v>31</v>
      </c>
      <c r="K303" s="8" t="s">
        <v>46</v>
      </c>
      <c r="L303" s="8" t="s">
        <v>60</v>
      </c>
      <c r="M303" s="8">
        <v>8</v>
      </c>
      <c r="N303" s="8">
        <v>55000</v>
      </c>
      <c r="O303" s="8">
        <v>0</v>
      </c>
      <c r="P303" s="8">
        <v>440000</v>
      </c>
      <c r="Q303" s="8">
        <v>2</v>
      </c>
      <c r="R303" s="8" t="s">
        <v>88</v>
      </c>
      <c r="S303" s="8" t="s">
        <v>151</v>
      </c>
      <c r="T303" s="8" t="s">
        <v>132</v>
      </c>
      <c r="U303" s="9" t="s">
        <v>1400</v>
      </c>
      <c r="V303" s="8" t="s">
        <v>69</v>
      </c>
    </row>
    <row r="304" spans="1:22">
      <c r="A304" s="3" t="s">
        <v>1401</v>
      </c>
      <c r="B304" s="4" t="s">
        <v>251</v>
      </c>
      <c r="C304" s="4" t="s">
        <v>54</v>
      </c>
      <c r="D304" s="4" t="s">
        <v>830</v>
      </c>
      <c r="E304" s="4" t="s">
        <v>381</v>
      </c>
      <c r="F304" s="4" t="s">
        <v>254</v>
      </c>
      <c r="G304" s="4" t="s">
        <v>28</v>
      </c>
      <c r="H304" s="4" t="s">
        <v>1402</v>
      </c>
      <c r="I304" s="4" t="s">
        <v>44</v>
      </c>
      <c r="J304" s="4" t="s">
        <v>45</v>
      </c>
      <c r="K304" s="4" t="s">
        <v>46</v>
      </c>
      <c r="L304" s="4" t="s">
        <v>60</v>
      </c>
      <c r="M304" s="4">
        <v>4</v>
      </c>
      <c r="N304" s="4">
        <v>55000</v>
      </c>
      <c r="O304" s="4">
        <v>20</v>
      </c>
      <c r="P304" s="4">
        <v>176000</v>
      </c>
      <c r="Q304" s="4">
        <v>5</v>
      </c>
      <c r="R304" s="4" t="s">
        <v>34</v>
      </c>
      <c r="S304" s="4" t="s">
        <v>49</v>
      </c>
      <c r="T304" s="4" t="s">
        <v>256</v>
      </c>
      <c r="U304" s="6" t="s">
        <v>1403</v>
      </c>
      <c r="V304" s="4" t="s">
        <v>64</v>
      </c>
    </row>
    <row r="305" spans="1:22">
      <c r="A305" s="7" t="s">
        <v>1404</v>
      </c>
      <c r="B305" s="8" t="s">
        <v>23</v>
      </c>
      <c r="C305" s="8" t="s">
        <v>92</v>
      </c>
      <c r="D305" s="8" t="s">
        <v>1405</v>
      </c>
      <c r="E305" s="8" t="s">
        <v>716</v>
      </c>
      <c r="F305" s="8" t="s">
        <v>27</v>
      </c>
      <c r="G305" s="8" t="s">
        <v>28</v>
      </c>
      <c r="H305" s="8" t="s">
        <v>1406</v>
      </c>
      <c r="I305" s="8" t="s">
        <v>138</v>
      </c>
      <c r="J305" s="8" t="s">
        <v>106</v>
      </c>
      <c r="K305" s="8" t="s">
        <v>32</v>
      </c>
      <c r="L305" s="8" t="s">
        <v>97</v>
      </c>
      <c r="M305" s="8">
        <v>19</v>
      </c>
      <c r="N305" s="8">
        <v>3500</v>
      </c>
      <c r="O305" s="8">
        <v>5</v>
      </c>
      <c r="P305" s="8">
        <v>63175</v>
      </c>
      <c r="Q305" s="8">
        <v>1</v>
      </c>
      <c r="R305" s="8" t="s">
        <v>79</v>
      </c>
      <c r="S305" s="8" t="s">
        <v>115</v>
      </c>
      <c r="T305" s="8" t="s">
        <v>50</v>
      </c>
      <c r="U305" s="9" t="s">
        <v>1407</v>
      </c>
      <c r="V305" s="8" t="s">
        <v>38</v>
      </c>
    </row>
    <row r="306" spans="1:22">
      <c r="A306" s="3" t="s">
        <v>1408</v>
      </c>
      <c r="B306" s="4" t="s">
        <v>221</v>
      </c>
      <c r="C306" s="4" t="s">
        <v>72</v>
      </c>
      <c r="D306" s="4" t="s">
        <v>1409</v>
      </c>
      <c r="E306" s="4" t="s">
        <v>414</v>
      </c>
      <c r="F306" s="4" t="s">
        <v>225</v>
      </c>
      <c r="G306" s="4" t="s">
        <v>76</v>
      </c>
      <c r="H306" s="4" t="s">
        <v>1410</v>
      </c>
      <c r="I306" s="4" t="s">
        <v>212</v>
      </c>
      <c r="J306" s="4" t="s">
        <v>45</v>
      </c>
      <c r="K306" s="4" t="s">
        <v>46</v>
      </c>
      <c r="L306" s="4" t="s">
        <v>78</v>
      </c>
      <c r="M306" s="4">
        <v>17</v>
      </c>
      <c r="N306" s="4">
        <v>1200</v>
      </c>
      <c r="O306" s="4">
        <v>15</v>
      </c>
      <c r="P306" s="4">
        <v>17340</v>
      </c>
      <c r="Q306" s="4">
        <v>2</v>
      </c>
      <c r="R306" s="4" t="s">
        <v>48</v>
      </c>
      <c r="S306" s="4" t="s">
        <v>49</v>
      </c>
      <c r="T306" s="4" t="s">
        <v>228</v>
      </c>
      <c r="U306" s="6" t="s">
        <v>1411</v>
      </c>
      <c r="V306" s="4" t="s">
        <v>38</v>
      </c>
    </row>
    <row r="307" spans="1:22">
      <c r="A307" s="7" t="s">
        <v>1412</v>
      </c>
      <c r="B307" s="8" t="s">
        <v>23</v>
      </c>
      <c r="C307" s="8" t="s">
        <v>24</v>
      </c>
      <c r="D307" s="8" t="s">
        <v>450</v>
      </c>
      <c r="E307" s="8" t="s">
        <v>736</v>
      </c>
      <c r="F307" s="8" t="s">
        <v>27</v>
      </c>
      <c r="G307" s="8" t="s">
        <v>28</v>
      </c>
      <c r="H307" s="8" t="s">
        <v>1413</v>
      </c>
      <c r="I307" s="8" t="s">
        <v>30</v>
      </c>
      <c r="J307" s="8" t="s">
        <v>31</v>
      </c>
      <c r="K307" s="8" t="s">
        <v>32</v>
      </c>
      <c r="L307" s="8" t="s">
        <v>33</v>
      </c>
      <c r="M307" s="8">
        <v>8</v>
      </c>
      <c r="N307" s="8">
        <v>2200</v>
      </c>
      <c r="O307" s="8">
        <v>5</v>
      </c>
      <c r="P307" s="8">
        <v>16720</v>
      </c>
      <c r="Q307" s="8">
        <v>3</v>
      </c>
      <c r="R307" s="8" t="s">
        <v>79</v>
      </c>
      <c r="S307" s="8" t="s">
        <v>115</v>
      </c>
      <c r="T307" s="8" t="s">
        <v>50</v>
      </c>
      <c r="U307" s="9" t="s">
        <v>1414</v>
      </c>
      <c r="V307" s="8" t="s">
        <v>64</v>
      </c>
    </row>
    <row r="308" spans="1:22">
      <c r="A308" s="3" t="s">
        <v>1415</v>
      </c>
      <c r="B308" s="4" t="s">
        <v>251</v>
      </c>
      <c r="C308" s="4" t="s">
        <v>184</v>
      </c>
      <c r="D308" s="4" t="s">
        <v>987</v>
      </c>
      <c r="E308" s="4" t="s">
        <v>387</v>
      </c>
      <c r="F308" s="4" t="s">
        <v>254</v>
      </c>
      <c r="G308" s="4" t="s">
        <v>28</v>
      </c>
      <c r="H308" s="4" t="s">
        <v>813</v>
      </c>
      <c r="I308" s="4" t="s">
        <v>105</v>
      </c>
      <c r="J308" s="4" t="s">
        <v>106</v>
      </c>
      <c r="K308" s="4" t="s">
        <v>46</v>
      </c>
      <c r="L308" s="4" t="s">
        <v>189</v>
      </c>
      <c r="M308" s="4">
        <v>17</v>
      </c>
      <c r="N308" s="4">
        <v>700</v>
      </c>
      <c r="O308" s="4">
        <v>20</v>
      </c>
      <c r="P308" s="4">
        <v>9520</v>
      </c>
      <c r="Q308" s="4">
        <v>4</v>
      </c>
      <c r="R308" s="4" t="s">
        <v>48</v>
      </c>
      <c r="S308" s="4" t="s">
        <v>115</v>
      </c>
      <c r="T308" s="4" t="s">
        <v>256</v>
      </c>
      <c r="U308" s="6" t="s">
        <v>1416</v>
      </c>
      <c r="V308" s="4" t="s">
        <v>38</v>
      </c>
    </row>
    <row r="309" spans="1:22">
      <c r="A309" s="7" t="s">
        <v>1417</v>
      </c>
      <c r="B309" s="8" t="s">
        <v>251</v>
      </c>
      <c r="C309" s="8" t="s">
        <v>169</v>
      </c>
      <c r="D309" s="8" t="s">
        <v>372</v>
      </c>
      <c r="E309" s="8" t="s">
        <v>246</v>
      </c>
      <c r="F309" s="8" t="s">
        <v>254</v>
      </c>
      <c r="G309" s="8" t="s">
        <v>28</v>
      </c>
      <c r="H309" s="8" t="s">
        <v>1215</v>
      </c>
      <c r="I309" s="8" t="s">
        <v>114</v>
      </c>
      <c r="J309" s="8" t="s">
        <v>106</v>
      </c>
      <c r="K309" s="8" t="s">
        <v>32</v>
      </c>
      <c r="L309" s="8" t="s">
        <v>174</v>
      </c>
      <c r="M309" s="8">
        <v>6</v>
      </c>
      <c r="N309" s="8">
        <v>8500</v>
      </c>
      <c r="O309" s="8">
        <v>15</v>
      </c>
      <c r="P309" s="8">
        <v>43350</v>
      </c>
      <c r="Q309" s="8">
        <v>1</v>
      </c>
      <c r="R309" s="8" t="s">
        <v>34</v>
      </c>
      <c r="S309" s="8" t="s">
        <v>61</v>
      </c>
      <c r="T309" s="8" t="s">
        <v>256</v>
      </c>
      <c r="U309" s="9" t="s">
        <v>1418</v>
      </c>
      <c r="V309" s="8" t="s">
        <v>38</v>
      </c>
    </row>
    <row r="310" spans="1:22">
      <c r="A310" s="3" t="s">
        <v>1419</v>
      </c>
      <c r="B310" s="4" t="s">
        <v>53</v>
      </c>
      <c r="C310" s="4" t="s">
        <v>92</v>
      </c>
      <c r="D310" s="4" t="s">
        <v>941</v>
      </c>
      <c r="E310" s="4" t="s">
        <v>345</v>
      </c>
      <c r="F310" s="4" t="s">
        <v>163</v>
      </c>
      <c r="G310" s="4" t="s">
        <v>28</v>
      </c>
      <c r="H310" s="4" t="s">
        <v>1420</v>
      </c>
      <c r="I310" s="4" t="s">
        <v>30</v>
      </c>
      <c r="J310" s="4" t="s">
        <v>31</v>
      </c>
      <c r="K310" s="4" t="s">
        <v>32</v>
      </c>
      <c r="L310" s="4" t="s">
        <v>97</v>
      </c>
      <c r="M310" s="4">
        <v>3</v>
      </c>
      <c r="N310" s="4">
        <v>3500</v>
      </c>
      <c r="O310" s="4">
        <v>10</v>
      </c>
      <c r="P310" s="4">
        <v>9450</v>
      </c>
      <c r="Q310" s="4">
        <v>1</v>
      </c>
      <c r="R310" s="4" t="s">
        <v>48</v>
      </c>
      <c r="S310" s="4" t="s">
        <v>49</v>
      </c>
      <c r="T310" s="4" t="s">
        <v>62</v>
      </c>
      <c r="U310" s="6" t="s">
        <v>1421</v>
      </c>
      <c r="V310" s="4" t="s">
        <v>38</v>
      </c>
    </row>
    <row r="311" spans="1:22">
      <c r="A311" s="7" t="s">
        <v>1422</v>
      </c>
      <c r="B311" s="8" t="s">
        <v>71</v>
      </c>
      <c r="C311" s="8" t="s">
        <v>40</v>
      </c>
      <c r="D311" s="8" t="s">
        <v>1378</v>
      </c>
      <c r="E311" s="8" t="s">
        <v>783</v>
      </c>
      <c r="F311" s="8" t="s">
        <v>217</v>
      </c>
      <c r="G311" s="8" t="s">
        <v>76</v>
      </c>
      <c r="H311" s="8" t="s">
        <v>1423</v>
      </c>
      <c r="I311" s="8" t="s">
        <v>138</v>
      </c>
      <c r="J311" s="8" t="s">
        <v>106</v>
      </c>
      <c r="K311" s="8" t="s">
        <v>46</v>
      </c>
      <c r="L311" s="8" t="s">
        <v>47</v>
      </c>
      <c r="M311" s="8">
        <v>2</v>
      </c>
      <c r="N311" s="8">
        <v>12000</v>
      </c>
      <c r="O311" s="8">
        <v>20</v>
      </c>
      <c r="P311" s="8">
        <v>19200</v>
      </c>
      <c r="Q311" s="8">
        <v>1</v>
      </c>
      <c r="R311" s="8" t="s">
        <v>79</v>
      </c>
      <c r="S311" s="8" t="s">
        <v>61</v>
      </c>
      <c r="T311" s="8" t="s">
        <v>80</v>
      </c>
      <c r="U311" s="9" t="s">
        <v>1424</v>
      </c>
      <c r="V311" s="8" t="s">
        <v>38</v>
      </c>
    </row>
    <row r="312" spans="1:22">
      <c r="A312" s="3" t="s">
        <v>1425</v>
      </c>
      <c r="B312" s="4" t="s">
        <v>221</v>
      </c>
      <c r="C312" s="4" t="s">
        <v>222</v>
      </c>
      <c r="D312" s="4" t="s">
        <v>340</v>
      </c>
      <c r="E312" s="4" t="s">
        <v>1426</v>
      </c>
      <c r="F312" s="4" t="s">
        <v>225</v>
      </c>
      <c r="G312" s="4" t="s">
        <v>76</v>
      </c>
      <c r="H312" s="4" t="s">
        <v>1427</v>
      </c>
      <c r="I312" s="4" t="s">
        <v>44</v>
      </c>
      <c r="J312" s="4" t="s">
        <v>45</v>
      </c>
      <c r="K312" s="4" t="s">
        <v>122</v>
      </c>
      <c r="L312" s="4" t="s">
        <v>227</v>
      </c>
      <c r="M312" s="4">
        <v>12</v>
      </c>
      <c r="N312" s="4">
        <v>20</v>
      </c>
      <c r="O312" s="4">
        <v>20</v>
      </c>
      <c r="P312" s="4">
        <v>192</v>
      </c>
      <c r="Q312" s="4">
        <v>2</v>
      </c>
      <c r="R312" s="4" t="s">
        <v>79</v>
      </c>
      <c r="S312" s="4" t="s">
        <v>49</v>
      </c>
      <c r="T312" s="4" t="s">
        <v>228</v>
      </c>
      <c r="U312" s="6" t="s">
        <v>1428</v>
      </c>
      <c r="V312" s="4" t="s">
        <v>38</v>
      </c>
    </row>
    <row r="313" spans="1:22">
      <c r="A313" s="7" t="s">
        <v>1429</v>
      </c>
      <c r="B313" s="8" t="s">
        <v>100</v>
      </c>
      <c r="C313" s="8" t="s">
        <v>40</v>
      </c>
      <c r="D313" s="8" t="s">
        <v>716</v>
      </c>
      <c r="E313" s="8" t="s">
        <v>1430</v>
      </c>
      <c r="F313" s="8" t="s">
        <v>103</v>
      </c>
      <c r="G313" s="8" t="s">
        <v>28</v>
      </c>
      <c r="H313" s="8" t="s">
        <v>1431</v>
      </c>
      <c r="I313" s="8" t="s">
        <v>294</v>
      </c>
      <c r="J313" s="8" t="s">
        <v>295</v>
      </c>
      <c r="K313" s="8" t="s">
        <v>46</v>
      </c>
      <c r="L313" s="8" t="s">
        <v>47</v>
      </c>
      <c r="M313" s="8">
        <v>20</v>
      </c>
      <c r="N313" s="8">
        <v>12000</v>
      </c>
      <c r="O313" s="8">
        <v>15</v>
      </c>
      <c r="P313" s="8">
        <v>204000</v>
      </c>
      <c r="Q313" s="8">
        <v>3</v>
      </c>
      <c r="R313" s="8" t="s">
        <v>34</v>
      </c>
      <c r="S313" s="8" t="s">
        <v>35</v>
      </c>
      <c r="T313" s="8" t="s">
        <v>144</v>
      </c>
      <c r="U313" s="9" t="s">
        <v>1432</v>
      </c>
      <c r="V313" s="8" t="s">
        <v>64</v>
      </c>
    </row>
    <row r="314" spans="1:22">
      <c r="A314" s="3" t="s">
        <v>1433</v>
      </c>
      <c r="B314" s="4" t="s">
        <v>53</v>
      </c>
      <c r="C314" s="4" t="s">
        <v>118</v>
      </c>
      <c r="D314" s="4" t="s">
        <v>398</v>
      </c>
      <c r="E314" s="4" t="s">
        <v>740</v>
      </c>
      <c r="F314" s="4" t="s">
        <v>163</v>
      </c>
      <c r="G314" s="4" t="s">
        <v>28</v>
      </c>
      <c r="H314" s="4" t="s">
        <v>1434</v>
      </c>
      <c r="I314" s="4" t="s">
        <v>212</v>
      </c>
      <c r="J314" s="4" t="s">
        <v>45</v>
      </c>
      <c r="K314" s="4" t="s">
        <v>122</v>
      </c>
      <c r="L314" s="4" t="s">
        <v>123</v>
      </c>
      <c r="M314" s="4">
        <v>13</v>
      </c>
      <c r="N314" s="4">
        <v>60</v>
      </c>
      <c r="O314" s="4">
        <v>10</v>
      </c>
      <c r="P314" s="4">
        <v>702</v>
      </c>
      <c r="Q314" s="4">
        <v>5</v>
      </c>
      <c r="R314" s="4" t="s">
        <v>34</v>
      </c>
      <c r="S314" s="4" t="s">
        <v>35</v>
      </c>
      <c r="T314" s="4" t="s">
        <v>62</v>
      </c>
      <c r="U314" s="6" t="s">
        <v>1435</v>
      </c>
      <c r="V314" s="4" t="s">
        <v>64</v>
      </c>
    </row>
    <row r="315" spans="1:22">
      <c r="A315" s="7" t="s">
        <v>1436</v>
      </c>
      <c r="B315" s="8" t="s">
        <v>71</v>
      </c>
      <c r="C315" s="8" t="s">
        <v>54</v>
      </c>
      <c r="D315" s="8" t="s">
        <v>1437</v>
      </c>
      <c r="E315" s="8" t="s">
        <v>1294</v>
      </c>
      <c r="F315" s="8" t="s">
        <v>217</v>
      </c>
      <c r="G315" s="8" t="s">
        <v>76</v>
      </c>
      <c r="H315" s="8" t="s">
        <v>1438</v>
      </c>
      <c r="I315" s="8" t="s">
        <v>114</v>
      </c>
      <c r="J315" s="8" t="s">
        <v>106</v>
      </c>
      <c r="K315" s="8" t="s">
        <v>46</v>
      </c>
      <c r="L315" s="8" t="s">
        <v>60</v>
      </c>
      <c r="M315" s="8">
        <v>13</v>
      </c>
      <c r="N315" s="8">
        <v>55000</v>
      </c>
      <c r="O315" s="8">
        <v>5</v>
      </c>
      <c r="P315" s="8">
        <v>679250</v>
      </c>
      <c r="Q315" s="8">
        <v>1</v>
      </c>
      <c r="R315" s="8" t="s">
        <v>88</v>
      </c>
      <c r="S315" s="8" t="s">
        <v>151</v>
      </c>
      <c r="T315" s="8" t="s">
        <v>80</v>
      </c>
      <c r="U315" s="9" t="s">
        <v>1439</v>
      </c>
      <c r="V315" s="8" t="s">
        <v>64</v>
      </c>
    </row>
    <row r="316" spans="1:22">
      <c r="A316" s="3" t="s">
        <v>1440</v>
      </c>
      <c r="B316" s="4" t="s">
        <v>100</v>
      </c>
      <c r="C316" s="4" t="s">
        <v>72</v>
      </c>
      <c r="D316" s="4" t="s">
        <v>797</v>
      </c>
      <c r="E316" s="4" t="s">
        <v>798</v>
      </c>
      <c r="F316" s="4" t="s">
        <v>103</v>
      </c>
      <c r="G316" s="4" t="s">
        <v>28</v>
      </c>
      <c r="H316" s="4" t="s">
        <v>1441</v>
      </c>
      <c r="I316" s="4" t="s">
        <v>59</v>
      </c>
      <c r="J316" s="4" t="s">
        <v>31</v>
      </c>
      <c r="K316" s="4" t="s">
        <v>46</v>
      </c>
      <c r="L316" s="4" t="s">
        <v>78</v>
      </c>
      <c r="M316" s="4">
        <v>7</v>
      </c>
      <c r="N316" s="4">
        <v>1200</v>
      </c>
      <c r="O316" s="4">
        <v>15</v>
      </c>
      <c r="P316" s="4">
        <v>7140</v>
      </c>
      <c r="Q316" s="4">
        <v>5</v>
      </c>
      <c r="R316" s="4" t="s">
        <v>88</v>
      </c>
      <c r="S316" s="4" t="s">
        <v>49</v>
      </c>
      <c r="T316" s="4" t="s">
        <v>144</v>
      </c>
      <c r="U316" s="6" t="s">
        <v>1442</v>
      </c>
      <c r="V316" s="4" t="s">
        <v>64</v>
      </c>
    </row>
    <row r="317" spans="1:22">
      <c r="A317" s="7" t="s">
        <v>1443</v>
      </c>
      <c r="B317" s="8" t="s">
        <v>83</v>
      </c>
      <c r="C317" s="8" t="s">
        <v>40</v>
      </c>
      <c r="D317" s="8" t="s">
        <v>961</v>
      </c>
      <c r="E317" s="8" t="s">
        <v>1444</v>
      </c>
      <c r="F317" s="8" t="s">
        <v>180</v>
      </c>
      <c r="G317" s="8" t="s">
        <v>76</v>
      </c>
      <c r="H317" s="8" t="s">
        <v>1445</v>
      </c>
      <c r="I317" s="8" t="s">
        <v>212</v>
      </c>
      <c r="J317" s="8" t="s">
        <v>45</v>
      </c>
      <c r="K317" s="8" t="s">
        <v>46</v>
      </c>
      <c r="L317" s="8" t="s">
        <v>47</v>
      </c>
      <c r="M317" s="8">
        <v>17</v>
      </c>
      <c r="N317" s="8">
        <v>12000</v>
      </c>
      <c r="O317" s="8">
        <v>5</v>
      </c>
      <c r="P317" s="8">
        <v>193800</v>
      </c>
      <c r="Q317" s="8">
        <v>1</v>
      </c>
      <c r="R317" s="8" t="s">
        <v>34</v>
      </c>
      <c r="S317" s="8" t="s">
        <v>61</v>
      </c>
      <c r="T317" s="8" t="s">
        <v>89</v>
      </c>
      <c r="U317" s="9" t="s">
        <v>1446</v>
      </c>
      <c r="V317" s="8" t="s">
        <v>69</v>
      </c>
    </row>
    <row r="318" spans="1:22">
      <c r="A318" s="3" t="s">
        <v>1447</v>
      </c>
      <c r="B318" s="4" t="s">
        <v>83</v>
      </c>
      <c r="C318" s="4" t="s">
        <v>222</v>
      </c>
      <c r="D318" s="4" t="s">
        <v>356</v>
      </c>
      <c r="E318" s="4" t="s">
        <v>517</v>
      </c>
      <c r="F318" s="4" t="s">
        <v>180</v>
      </c>
      <c r="G318" s="4" t="s">
        <v>76</v>
      </c>
      <c r="H318" s="4" t="s">
        <v>1448</v>
      </c>
      <c r="I318" s="4" t="s">
        <v>59</v>
      </c>
      <c r="J318" s="4" t="s">
        <v>31</v>
      </c>
      <c r="K318" s="4" t="s">
        <v>122</v>
      </c>
      <c r="L318" s="4" t="s">
        <v>227</v>
      </c>
      <c r="M318" s="4">
        <v>10</v>
      </c>
      <c r="N318" s="4">
        <v>20</v>
      </c>
      <c r="O318" s="4">
        <v>5</v>
      </c>
      <c r="P318" s="4">
        <v>190</v>
      </c>
      <c r="Q318" s="4">
        <v>2</v>
      </c>
      <c r="R318" s="4" t="s">
        <v>34</v>
      </c>
      <c r="S318" s="4" t="s">
        <v>61</v>
      </c>
      <c r="T318" s="4" t="s">
        <v>89</v>
      </c>
      <c r="U318" s="6" t="s">
        <v>1449</v>
      </c>
      <c r="V318" s="4" t="s">
        <v>69</v>
      </c>
    </row>
    <row r="319" spans="1:22">
      <c r="A319" s="7" t="s">
        <v>1450</v>
      </c>
      <c r="B319" s="8" t="s">
        <v>168</v>
      </c>
      <c r="C319" s="8" t="s">
        <v>24</v>
      </c>
      <c r="D319" s="8" t="s">
        <v>291</v>
      </c>
      <c r="E319" s="8" t="s">
        <v>1451</v>
      </c>
      <c r="F319" s="8" t="s">
        <v>361</v>
      </c>
      <c r="G319" s="8" t="s">
        <v>28</v>
      </c>
      <c r="H319" s="8" t="s">
        <v>1452</v>
      </c>
      <c r="I319" s="8" t="s">
        <v>44</v>
      </c>
      <c r="J319" s="8" t="s">
        <v>45</v>
      </c>
      <c r="K319" s="8" t="s">
        <v>32</v>
      </c>
      <c r="L319" s="8" t="s">
        <v>33</v>
      </c>
      <c r="M319" s="8">
        <v>11</v>
      </c>
      <c r="N319" s="8">
        <v>2200</v>
      </c>
      <c r="O319" s="8">
        <v>5</v>
      </c>
      <c r="P319" s="8">
        <v>22990</v>
      </c>
      <c r="Q319" s="8">
        <v>5</v>
      </c>
      <c r="R319" s="8" t="s">
        <v>79</v>
      </c>
      <c r="S319" s="8" t="s">
        <v>49</v>
      </c>
      <c r="T319" s="8" t="s">
        <v>175</v>
      </c>
      <c r="U319" s="9" t="s">
        <v>1453</v>
      </c>
      <c r="V319" s="8" t="s">
        <v>64</v>
      </c>
    </row>
    <row r="320" spans="1:22">
      <c r="A320" s="3" t="s">
        <v>1454</v>
      </c>
      <c r="B320" s="4" t="s">
        <v>100</v>
      </c>
      <c r="C320" s="4" t="s">
        <v>118</v>
      </c>
      <c r="D320" s="4" t="s">
        <v>1369</v>
      </c>
      <c r="E320" s="4" t="s">
        <v>178</v>
      </c>
      <c r="F320" s="4" t="s">
        <v>103</v>
      </c>
      <c r="G320" s="4" t="s">
        <v>28</v>
      </c>
      <c r="H320" s="4" t="s">
        <v>1455</v>
      </c>
      <c r="I320" s="4" t="s">
        <v>212</v>
      </c>
      <c r="J320" s="4" t="s">
        <v>45</v>
      </c>
      <c r="K320" s="4" t="s">
        <v>122</v>
      </c>
      <c r="L320" s="4" t="s">
        <v>123</v>
      </c>
      <c r="M320" s="4">
        <v>8</v>
      </c>
      <c r="N320" s="4">
        <v>60</v>
      </c>
      <c r="O320" s="4">
        <v>15</v>
      </c>
      <c r="P320" s="4">
        <v>408</v>
      </c>
      <c r="Q320" s="4">
        <v>4</v>
      </c>
      <c r="R320" s="4" t="s">
        <v>34</v>
      </c>
      <c r="S320" s="4" t="s">
        <v>49</v>
      </c>
      <c r="T320" s="4" t="s">
        <v>144</v>
      </c>
      <c r="U320" s="6" t="s">
        <v>1456</v>
      </c>
      <c r="V320" s="4" t="s">
        <v>64</v>
      </c>
    </row>
    <row r="321" spans="1:22">
      <c r="A321" s="7" t="s">
        <v>1457</v>
      </c>
      <c r="B321" s="8" t="s">
        <v>221</v>
      </c>
      <c r="C321" s="8" t="s">
        <v>259</v>
      </c>
      <c r="D321" s="8" t="s">
        <v>825</v>
      </c>
      <c r="E321" s="8" t="s">
        <v>119</v>
      </c>
      <c r="F321" s="8" t="s">
        <v>225</v>
      </c>
      <c r="G321" s="8" t="s">
        <v>76</v>
      </c>
      <c r="H321" s="8" t="s">
        <v>1458</v>
      </c>
      <c r="I321" s="8" t="s">
        <v>44</v>
      </c>
      <c r="J321" s="8" t="s">
        <v>45</v>
      </c>
      <c r="K321" s="8" t="s">
        <v>122</v>
      </c>
      <c r="L321" s="8" t="s">
        <v>263</v>
      </c>
      <c r="M321" s="8">
        <v>17</v>
      </c>
      <c r="N321" s="8">
        <v>45</v>
      </c>
      <c r="O321" s="8">
        <v>15</v>
      </c>
      <c r="P321" s="8">
        <v>650.25</v>
      </c>
      <c r="Q321" s="8">
        <v>2</v>
      </c>
      <c r="R321" s="8" t="s">
        <v>88</v>
      </c>
      <c r="S321" s="8" t="s">
        <v>151</v>
      </c>
      <c r="T321" s="8" t="s">
        <v>228</v>
      </c>
      <c r="U321" s="9" t="s">
        <v>1459</v>
      </c>
      <c r="V321" s="8" t="s">
        <v>38</v>
      </c>
    </row>
    <row r="322" spans="1:22">
      <c r="A322" s="3" t="s">
        <v>1460</v>
      </c>
      <c r="B322" s="4" t="s">
        <v>327</v>
      </c>
      <c r="C322" s="4" t="s">
        <v>184</v>
      </c>
      <c r="D322" s="4" t="s">
        <v>632</v>
      </c>
      <c r="E322" s="4" t="s">
        <v>1461</v>
      </c>
      <c r="F322" s="4" t="s">
        <v>394</v>
      </c>
      <c r="G322" s="4" t="s">
        <v>76</v>
      </c>
      <c r="H322" s="4" t="s">
        <v>1462</v>
      </c>
      <c r="I322" s="4" t="s">
        <v>212</v>
      </c>
      <c r="J322" s="4" t="s">
        <v>45</v>
      </c>
      <c r="K322" s="4" t="s">
        <v>46</v>
      </c>
      <c r="L322" s="4" t="s">
        <v>189</v>
      </c>
      <c r="M322" s="4">
        <v>14</v>
      </c>
      <c r="N322" s="4">
        <v>700</v>
      </c>
      <c r="O322" s="4">
        <v>15</v>
      </c>
      <c r="P322" s="4">
        <v>8330</v>
      </c>
      <c r="Q322" s="4">
        <v>1</v>
      </c>
      <c r="R322" s="4" t="s">
        <v>79</v>
      </c>
      <c r="S322" s="4" t="s">
        <v>115</v>
      </c>
      <c r="T322" s="4" t="s">
        <v>332</v>
      </c>
      <c r="U322" s="6" t="s">
        <v>1463</v>
      </c>
      <c r="V322" s="4" t="s">
        <v>38</v>
      </c>
    </row>
    <row r="323" spans="1:22">
      <c r="A323" s="7" t="s">
        <v>1464</v>
      </c>
      <c r="B323" s="8" t="s">
        <v>83</v>
      </c>
      <c r="C323" s="8" t="s">
        <v>72</v>
      </c>
      <c r="D323" s="8" t="s">
        <v>1465</v>
      </c>
      <c r="E323" s="8" t="s">
        <v>948</v>
      </c>
      <c r="F323" s="8" t="s">
        <v>180</v>
      </c>
      <c r="G323" s="8" t="s">
        <v>76</v>
      </c>
      <c r="H323" s="8" t="s">
        <v>1466</v>
      </c>
      <c r="I323" s="8" t="s">
        <v>114</v>
      </c>
      <c r="J323" s="8" t="s">
        <v>106</v>
      </c>
      <c r="K323" s="8" t="s">
        <v>46</v>
      </c>
      <c r="L323" s="8" t="s">
        <v>78</v>
      </c>
      <c r="M323" s="8">
        <v>3</v>
      </c>
      <c r="N323" s="8">
        <v>1200</v>
      </c>
      <c r="O323" s="8">
        <v>5</v>
      </c>
      <c r="P323" s="8">
        <v>3420</v>
      </c>
      <c r="Q323" s="8">
        <v>3</v>
      </c>
      <c r="R323" s="8" t="s">
        <v>48</v>
      </c>
      <c r="S323" s="8" t="s">
        <v>151</v>
      </c>
      <c r="T323" s="8" t="s">
        <v>89</v>
      </c>
      <c r="U323" s="9" t="s">
        <v>1467</v>
      </c>
      <c r="V323" s="8" t="s">
        <v>38</v>
      </c>
    </row>
    <row r="324" spans="1:22">
      <c r="A324" s="3" t="s">
        <v>1468</v>
      </c>
      <c r="B324" s="4" t="s">
        <v>23</v>
      </c>
      <c r="C324" s="4" t="s">
        <v>72</v>
      </c>
      <c r="D324" s="4" t="s">
        <v>489</v>
      </c>
      <c r="E324" s="4" t="s">
        <v>914</v>
      </c>
      <c r="F324" s="4" t="s">
        <v>27</v>
      </c>
      <c r="G324" s="4" t="s">
        <v>28</v>
      </c>
      <c r="H324" s="4" t="s">
        <v>1469</v>
      </c>
      <c r="I324" s="4" t="s">
        <v>138</v>
      </c>
      <c r="J324" s="4" t="s">
        <v>106</v>
      </c>
      <c r="K324" s="4" t="s">
        <v>46</v>
      </c>
      <c r="L324" s="4" t="s">
        <v>78</v>
      </c>
      <c r="M324" s="4">
        <v>9</v>
      </c>
      <c r="N324" s="4">
        <v>1200</v>
      </c>
      <c r="O324" s="4">
        <v>15</v>
      </c>
      <c r="P324" s="4">
        <v>9180</v>
      </c>
      <c r="Q324" s="4">
        <v>3</v>
      </c>
      <c r="R324" s="4" t="s">
        <v>34</v>
      </c>
      <c r="S324" s="4" t="s">
        <v>49</v>
      </c>
      <c r="T324" s="4" t="s">
        <v>50</v>
      </c>
      <c r="U324" s="6" t="s">
        <v>1470</v>
      </c>
      <c r="V324" s="4" t="s">
        <v>38</v>
      </c>
    </row>
    <row r="325" spans="1:22">
      <c r="A325" s="7" t="s">
        <v>1471</v>
      </c>
      <c r="B325" s="8" t="s">
        <v>251</v>
      </c>
      <c r="C325" s="8" t="s">
        <v>222</v>
      </c>
      <c r="D325" s="8" t="s">
        <v>224</v>
      </c>
      <c r="E325" s="8" t="s">
        <v>360</v>
      </c>
      <c r="F325" s="8" t="s">
        <v>254</v>
      </c>
      <c r="G325" s="8" t="s">
        <v>28</v>
      </c>
      <c r="H325" s="8" t="s">
        <v>1472</v>
      </c>
      <c r="I325" s="8" t="s">
        <v>105</v>
      </c>
      <c r="J325" s="8" t="s">
        <v>106</v>
      </c>
      <c r="K325" s="8" t="s">
        <v>122</v>
      </c>
      <c r="L325" s="8" t="s">
        <v>227</v>
      </c>
      <c r="M325" s="8">
        <v>5</v>
      </c>
      <c r="N325" s="8">
        <v>20</v>
      </c>
      <c r="O325" s="8">
        <v>5</v>
      </c>
      <c r="P325" s="8">
        <v>95</v>
      </c>
      <c r="Q325" s="8">
        <v>4</v>
      </c>
      <c r="R325" s="8" t="s">
        <v>34</v>
      </c>
      <c r="S325" s="8" t="s">
        <v>151</v>
      </c>
      <c r="T325" s="8" t="s">
        <v>256</v>
      </c>
      <c r="U325" s="9" t="s">
        <v>1473</v>
      </c>
      <c r="V325" s="8" t="s">
        <v>38</v>
      </c>
    </row>
    <row r="326" spans="1:22">
      <c r="A326" s="3" t="s">
        <v>1474</v>
      </c>
      <c r="B326" s="4" t="s">
        <v>251</v>
      </c>
      <c r="C326" s="4" t="s">
        <v>24</v>
      </c>
      <c r="D326" s="4" t="s">
        <v>1475</v>
      </c>
      <c r="E326" s="4" t="s">
        <v>1476</v>
      </c>
      <c r="F326" s="4" t="s">
        <v>254</v>
      </c>
      <c r="G326" s="4" t="s">
        <v>28</v>
      </c>
      <c r="H326" s="4" t="s">
        <v>1477</v>
      </c>
      <c r="I326" s="4" t="s">
        <v>138</v>
      </c>
      <c r="J326" s="4" t="s">
        <v>106</v>
      </c>
      <c r="K326" s="4" t="s">
        <v>32</v>
      </c>
      <c r="L326" s="4" t="s">
        <v>33</v>
      </c>
      <c r="M326" s="4">
        <v>8</v>
      </c>
      <c r="N326" s="4">
        <v>2200</v>
      </c>
      <c r="O326" s="4">
        <v>10</v>
      </c>
      <c r="P326" s="4">
        <v>15840</v>
      </c>
      <c r="Q326" s="4">
        <v>4</v>
      </c>
      <c r="R326" s="4" t="s">
        <v>88</v>
      </c>
      <c r="S326" s="4" t="s">
        <v>61</v>
      </c>
      <c r="T326" s="4" t="s">
        <v>256</v>
      </c>
      <c r="U326" s="6" t="s">
        <v>1478</v>
      </c>
      <c r="V326" s="4" t="s">
        <v>69</v>
      </c>
    </row>
    <row r="327" spans="1:22">
      <c r="A327" s="7" t="s">
        <v>1479</v>
      </c>
      <c r="B327" s="8" t="s">
        <v>251</v>
      </c>
      <c r="C327" s="8" t="s">
        <v>184</v>
      </c>
      <c r="D327" s="8" t="s">
        <v>298</v>
      </c>
      <c r="E327" s="8" t="s">
        <v>1480</v>
      </c>
      <c r="F327" s="8" t="s">
        <v>254</v>
      </c>
      <c r="G327" s="8" t="s">
        <v>28</v>
      </c>
      <c r="H327" s="8" t="s">
        <v>1481</v>
      </c>
      <c r="I327" s="8" t="s">
        <v>105</v>
      </c>
      <c r="J327" s="8" t="s">
        <v>106</v>
      </c>
      <c r="K327" s="8" t="s">
        <v>46</v>
      </c>
      <c r="L327" s="8" t="s">
        <v>189</v>
      </c>
      <c r="M327" s="8">
        <v>10</v>
      </c>
      <c r="N327" s="8">
        <v>700</v>
      </c>
      <c r="O327" s="8">
        <v>20</v>
      </c>
      <c r="P327" s="8">
        <v>5600</v>
      </c>
      <c r="Q327" s="8">
        <v>1</v>
      </c>
      <c r="R327" s="8" t="s">
        <v>88</v>
      </c>
      <c r="S327" s="8" t="s">
        <v>115</v>
      </c>
      <c r="T327" s="8" t="s">
        <v>256</v>
      </c>
      <c r="U327" s="9" t="s">
        <v>1482</v>
      </c>
      <c r="V327" s="8" t="s">
        <v>38</v>
      </c>
    </row>
    <row r="328" spans="1:22">
      <c r="A328" s="3" t="s">
        <v>1483</v>
      </c>
      <c r="B328" s="4" t="s">
        <v>83</v>
      </c>
      <c r="C328" s="4" t="s">
        <v>184</v>
      </c>
      <c r="D328" s="4" t="s">
        <v>1484</v>
      </c>
      <c r="E328" s="4" t="s">
        <v>1485</v>
      </c>
      <c r="F328" s="4" t="s">
        <v>180</v>
      </c>
      <c r="G328" s="4" t="s">
        <v>76</v>
      </c>
      <c r="H328" s="4" t="s">
        <v>1486</v>
      </c>
      <c r="I328" s="4" t="s">
        <v>59</v>
      </c>
      <c r="J328" s="4" t="s">
        <v>31</v>
      </c>
      <c r="K328" s="4" t="s">
        <v>46</v>
      </c>
      <c r="L328" s="4" t="s">
        <v>189</v>
      </c>
      <c r="M328" s="4">
        <v>2</v>
      </c>
      <c r="N328" s="4">
        <v>700</v>
      </c>
      <c r="O328" s="4">
        <v>20</v>
      </c>
      <c r="P328" s="4">
        <v>1120</v>
      </c>
      <c r="Q328" s="4">
        <v>2</v>
      </c>
      <c r="R328" s="4" t="s">
        <v>34</v>
      </c>
      <c r="S328" s="4" t="s">
        <v>115</v>
      </c>
      <c r="T328" s="4" t="s">
        <v>89</v>
      </c>
      <c r="U328" s="6" t="s">
        <v>1487</v>
      </c>
      <c r="V328" s="4" t="s">
        <v>64</v>
      </c>
    </row>
    <row r="329" spans="1:22">
      <c r="A329" s="7" t="s">
        <v>1488</v>
      </c>
      <c r="B329" s="8" t="s">
        <v>221</v>
      </c>
      <c r="C329" s="8" t="s">
        <v>92</v>
      </c>
      <c r="D329" s="8" t="s">
        <v>872</v>
      </c>
      <c r="E329" s="8" t="s">
        <v>965</v>
      </c>
      <c r="F329" s="8" t="s">
        <v>225</v>
      </c>
      <c r="G329" s="8" t="s">
        <v>76</v>
      </c>
      <c r="H329" s="8" t="s">
        <v>1489</v>
      </c>
      <c r="I329" s="8" t="s">
        <v>114</v>
      </c>
      <c r="J329" s="8" t="s">
        <v>106</v>
      </c>
      <c r="K329" s="8" t="s">
        <v>32</v>
      </c>
      <c r="L329" s="8" t="s">
        <v>97</v>
      </c>
      <c r="M329" s="8">
        <v>16</v>
      </c>
      <c r="N329" s="8">
        <v>3500</v>
      </c>
      <c r="O329" s="8">
        <v>20</v>
      </c>
      <c r="P329" s="8">
        <v>44800</v>
      </c>
      <c r="Q329" s="8">
        <v>2</v>
      </c>
      <c r="R329" s="8" t="s">
        <v>88</v>
      </c>
      <c r="S329" s="8" t="s">
        <v>35</v>
      </c>
      <c r="T329" s="8" t="s">
        <v>228</v>
      </c>
      <c r="U329" s="9" t="s">
        <v>1490</v>
      </c>
      <c r="V329" s="8" t="s">
        <v>64</v>
      </c>
    </row>
    <row r="330" spans="1:22">
      <c r="A330" s="3" t="s">
        <v>1491</v>
      </c>
      <c r="B330" s="4" t="s">
        <v>168</v>
      </c>
      <c r="C330" s="4" t="s">
        <v>92</v>
      </c>
      <c r="D330" s="4" t="s">
        <v>829</v>
      </c>
      <c r="E330" s="4" t="s">
        <v>756</v>
      </c>
      <c r="F330" s="4" t="s">
        <v>361</v>
      </c>
      <c r="G330" s="4" t="s">
        <v>28</v>
      </c>
      <c r="H330" s="4" t="s">
        <v>1492</v>
      </c>
      <c r="I330" s="4" t="s">
        <v>44</v>
      </c>
      <c r="J330" s="4" t="s">
        <v>45</v>
      </c>
      <c r="K330" s="4" t="s">
        <v>32</v>
      </c>
      <c r="L330" s="4" t="s">
        <v>97</v>
      </c>
      <c r="M330" s="4">
        <v>9</v>
      </c>
      <c r="N330" s="4">
        <v>3500</v>
      </c>
      <c r="O330" s="4">
        <v>20</v>
      </c>
      <c r="P330" s="4">
        <v>25200</v>
      </c>
      <c r="Q330" s="4">
        <v>1</v>
      </c>
      <c r="R330" s="4" t="s">
        <v>79</v>
      </c>
      <c r="S330" s="4" t="s">
        <v>49</v>
      </c>
      <c r="T330" s="4" t="s">
        <v>175</v>
      </c>
      <c r="U330" s="6" t="s">
        <v>1493</v>
      </c>
      <c r="V330" s="4" t="s">
        <v>69</v>
      </c>
    </row>
    <row r="331" spans="1:22">
      <c r="A331" s="7" t="s">
        <v>1494</v>
      </c>
      <c r="B331" s="8" t="s">
        <v>127</v>
      </c>
      <c r="C331" s="8" t="s">
        <v>184</v>
      </c>
      <c r="D331" s="8" t="s">
        <v>896</v>
      </c>
      <c r="E331" s="8" t="s">
        <v>530</v>
      </c>
      <c r="F331" s="8" t="s">
        <v>200</v>
      </c>
      <c r="G331" s="8" t="s">
        <v>76</v>
      </c>
      <c r="H331" s="8" t="s">
        <v>1495</v>
      </c>
      <c r="I331" s="8" t="s">
        <v>30</v>
      </c>
      <c r="J331" s="8" t="s">
        <v>31</v>
      </c>
      <c r="K331" s="8" t="s">
        <v>46</v>
      </c>
      <c r="L331" s="8" t="s">
        <v>189</v>
      </c>
      <c r="M331" s="8">
        <v>15</v>
      </c>
      <c r="N331" s="8">
        <v>700</v>
      </c>
      <c r="O331" s="8">
        <v>5</v>
      </c>
      <c r="P331" s="8">
        <v>9975</v>
      </c>
      <c r="Q331" s="8">
        <v>1</v>
      </c>
      <c r="R331" s="8" t="s">
        <v>34</v>
      </c>
      <c r="S331" s="8" t="s">
        <v>49</v>
      </c>
      <c r="T331" s="8" t="s">
        <v>132</v>
      </c>
      <c r="U331" s="9" t="s">
        <v>1496</v>
      </c>
      <c r="V331" s="8" t="s">
        <v>69</v>
      </c>
    </row>
    <row r="332" spans="1:22">
      <c r="A332" s="3" t="s">
        <v>1497</v>
      </c>
      <c r="B332" s="4" t="s">
        <v>53</v>
      </c>
      <c r="C332" s="4" t="s">
        <v>72</v>
      </c>
      <c r="D332" s="4" t="s">
        <v>179</v>
      </c>
      <c r="E332" s="4" t="s">
        <v>798</v>
      </c>
      <c r="F332" s="4" t="s">
        <v>163</v>
      </c>
      <c r="G332" s="4" t="s">
        <v>28</v>
      </c>
      <c r="H332" s="4" t="s">
        <v>1498</v>
      </c>
      <c r="I332" s="4" t="s">
        <v>138</v>
      </c>
      <c r="J332" s="4" t="s">
        <v>106</v>
      </c>
      <c r="K332" s="4" t="s">
        <v>46</v>
      </c>
      <c r="L332" s="4" t="s">
        <v>78</v>
      </c>
      <c r="M332" s="4">
        <v>13</v>
      </c>
      <c r="N332" s="4">
        <v>1200</v>
      </c>
      <c r="O332" s="4">
        <v>0</v>
      </c>
      <c r="P332" s="4">
        <v>15600</v>
      </c>
      <c r="Q332" s="4">
        <v>3</v>
      </c>
      <c r="R332" s="4" t="s">
        <v>48</v>
      </c>
      <c r="S332" s="4" t="s">
        <v>115</v>
      </c>
      <c r="T332" s="4" t="s">
        <v>62</v>
      </c>
      <c r="U332" s="6" t="s">
        <v>1499</v>
      </c>
      <c r="V332" s="4" t="s">
        <v>69</v>
      </c>
    </row>
    <row r="333" spans="1:22">
      <c r="A333" s="7" t="s">
        <v>1500</v>
      </c>
      <c r="B333" s="8" t="s">
        <v>327</v>
      </c>
      <c r="C333" s="8" t="s">
        <v>40</v>
      </c>
      <c r="D333" s="8" t="s">
        <v>1501</v>
      </c>
      <c r="E333" s="8" t="s">
        <v>1502</v>
      </c>
      <c r="F333" s="8" t="s">
        <v>394</v>
      </c>
      <c r="G333" s="8" t="s">
        <v>76</v>
      </c>
      <c r="H333" s="8" t="s">
        <v>1503</v>
      </c>
      <c r="I333" s="8" t="s">
        <v>44</v>
      </c>
      <c r="J333" s="8" t="s">
        <v>45</v>
      </c>
      <c r="K333" s="8" t="s">
        <v>46</v>
      </c>
      <c r="L333" s="8" t="s">
        <v>47</v>
      </c>
      <c r="M333" s="8">
        <v>5</v>
      </c>
      <c r="N333" s="8">
        <v>12000</v>
      </c>
      <c r="O333" s="8">
        <v>10</v>
      </c>
      <c r="P333" s="8">
        <v>54000</v>
      </c>
      <c r="Q333" s="8">
        <v>3</v>
      </c>
      <c r="R333" s="8" t="s">
        <v>88</v>
      </c>
      <c r="S333" s="8" t="s">
        <v>49</v>
      </c>
      <c r="T333" s="8" t="s">
        <v>332</v>
      </c>
      <c r="U333" s="9" t="s">
        <v>1504</v>
      </c>
      <c r="V333" s="8" t="s">
        <v>38</v>
      </c>
    </row>
    <row r="334" spans="1:22">
      <c r="A334" s="3" t="s">
        <v>1505</v>
      </c>
      <c r="B334" s="4" t="s">
        <v>53</v>
      </c>
      <c r="C334" s="4" t="s">
        <v>259</v>
      </c>
      <c r="D334" s="4" t="s">
        <v>1506</v>
      </c>
      <c r="E334" s="4" t="s">
        <v>1507</v>
      </c>
      <c r="F334" s="4" t="s">
        <v>163</v>
      </c>
      <c r="G334" s="4" t="s">
        <v>28</v>
      </c>
      <c r="H334" s="4" t="s">
        <v>1508</v>
      </c>
      <c r="I334" s="4" t="s">
        <v>59</v>
      </c>
      <c r="J334" s="4" t="s">
        <v>31</v>
      </c>
      <c r="K334" s="4" t="s">
        <v>122</v>
      </c>
      <c r="L334" s="4" t="s">
        <v>263</v>
      </c>
      <c r="M334" s="4">
        <v>12</v>
      </c>
      <c r="N334" s="4">
        <v>45</v>
      </c>
      <c r="O334" s="4">
        <v>20</v>
      </c>
      <c r="P334" s="4">
        <v>432</v>
      </c>
      <c r="Q334" s="4">
        <v>3</v>
      </c>
      <c r="R334" s="4" t="s">
        <v>48</v>
      </c>
      <c r="S334" s="4" t="s">
        <v>61</v>
      </c>
      <c r="T334" s="4" t="s">
        <v>62</v>
      </c>
      <c r="U334" s="6" t="s">
        <v>1509</v>
      </c>
      <c r="V334" s="4" t="s">
        <v>38</v>
      </c>
    </row>
    <row r="335" spans="1:22">
      <c r="A335" s="7" t="s">
        <v>1510</v>
      </c>
      <c r="B335" s="8" t="s">
        <v>23</v>
      </c>
      <c r="C335" s="8" t="s">
        <v>92</v>
      </c>
      <c r="D335" s="8" t="s">
        <v>652</v>
      </c>
      <c r="E335" s="8" t="s">
        <v>666</v>
      </c>
      <c r="F335" s="8" t="s">
        <v>27</v>
      </c>
      <c r="G335" s="8" t="s">
        <v>28</v>
      </c>
      <c r="H335" s="8" t="s">
        <v>1511</v>
      </c>
      <c r="I335" s="8" t="s">
        <v>59</v>
      </c>
      <c r="J335" s="8" t="s">
        <v>31</v>
      </c>
      <c r="K335" s="8" t="s">
        <v>32</v>
      </c>
      <c r="L335" s="8" t="s">
        <v>97</v>
      </c>
      <c r="M335" s="8">
        <v>2</v>
      </c>
      <c r="N335" s="8">
        <v>3500</v>
      </c>
      <c r="O335" s="8">
        <v>0</v>
      </c>
      <c r="P335" s="8">
        <v>7000</v>
      </c>
      <c r="Q335" s="8">
        <v>1</v>
      </c>
      <c r="R335" s="8" t="s">
        <v>48</v>
      </c>
      <c r="S335" s="8" t="s">
        <v>115</v>
      </c>
      <c r="T335" s="8" t="s">
        <v>50</v>
      </c>
      <c r="U335" s="9" t="s">
        <v>1512</v>
      </c>
      <c r="V335" s="8" t="s">
        <v>64</v>
      </c>
    </row>
    <row r="336" spans="1:22">
      <c r="A336" s="3" t="s">
        <v>1513</v>
      </c>
      <c r="B336" s="4" t="s">
        <v>23</v>
      </c>
      <c r="C336" s="4" t="s">
        <v>24</v>
      </c>
      <c r="D336" s="4" t="s">
        <v>426</v>
      </c>
      <c r="E336" s="4" t="s">
        <v>1180</v>
      </c>
      <c r="F336" s="4" t="s">
        <v>27</v>
      </c>
      <c r="G336" s="4" t="s">
        <v>28</v>
      </c>
      <c r="H336" s="4" t="s">
        <v>1514</v>
      </c>
      <c r="I336" s="4" t="s">
        <v>114</v>
      </c>
      <c r="J336" s="4" t="s">
        <v>106</v>
      </c>
      <c r="K336" s="4" t="s">
        <v>32</v>
      </c>
      <c r="L336" s="4" t="s">
        <v>33</v>
      </c>
      <c r="M336" s="4">
        <v>15</v>
      </c>
      <c r="N336" s="4">
        <v>2200</v>
      </c>
      <c r="O336" s="4">
        <v>15</v>
      </c>
      <c r="P336" s="4">
        <v>28050</v>
      </c>
      <c r="Q336" s="4">
        <v>2</v>
      </c>
      <c r="R336" s="4" t="s">
        <v>48</v>
      </c>
      <c r="S336" s="4" t="s">
        <v>49</v>
      </c>
      <c r="T336" s="4" t="s">
        <v>50</v>
      </c>
      <c r="U336" s="6" t="s">
        <v>1515</v>
      </c>
      <c r="V336" s="4" t="s">
        <v>64</v>
      </c>
    </row>
    <row r="337" spans="1:22">
      <c r="A337" s="7" t="s">
        <v>1516</v>
      </c>
      <c r="B337" s="8" t="s">
        <v>100</v>
      </c>
      <c r="C337" s="8" t="s">
        <v>222</v>
      </c>
      <c r="D337" s="8" t="s">
        <v>186</v>
      </c>
      <c r="E337" s="8" t="s">
        <v>1253</v>
      </c>
      <c r="F337" s="8" t="s">
        <v>103</v>
      </c>
      <c r="G337" s="8" t="s">
        <v>28</v>
      </c>
      <c r="H337" s="8" t="s">
        <v>1517</v>
      </c>
      <c r="I337" s="8" t="s">
        <v>138</v>
      </c>
      <c r="J337" s="8" t="s">
        <v>106</v>
      </c>
      <c r="K337" s="8" t="s">
        <v>122</v>
      </c>
      <c r="L337" s="8" t="s">
        <v>227</v>
      </c>
      <c r="M337" s="8">
        <v>8</v>
      </c>
      <c r="N337" s="8">
        <v>20</v>
      </c>
      <c r="O337" s="8">
        <v>20</v>
      </c>
      <c r="P337" s="8">
        <v>128</v>
      </c>
      <c r="Q337" s="8">
        <v>5</v>
      </c>
      <c r="R337" s="8" t="s">
        <v>88</v>
      </c>
      <c r="S337" s="8" t="s">
        <v>49</v>
      </c>
      <c r="T337" s="8" t="s">
        <v>144</v>
      </c>
      <c r="U337" s="9" t="s">
        <v>1518</v>
      </c>
      <c r="V337" s="8" t="s">
        <v>38</v>
      </c>
    </row>
    <row r="338" spans="1:22">
      <c r="A338" s="3" t="s">
        <v>1519</v>
      </c>
      <c r="B338" s="4" t="s">
        <v>127</v>
      </c>
      <c r="C338" s="4" t="s">
        <v>222</v>
      </c>
      <c r="D338" s="4" t="s">
        <v>298</v>
      </c>
      <c r="E338" s="4" t="s">
        <v>798</v>
      </c>
      <c r="F338" s="4" t="s">
        <v>200</v>
      </c>
      <c r="G338" s="4" t="s">
        <v>76</v>
      </c>
      <c r="H338" s="4" t="s">
        <v>1520</v>
      </c>
      <c r="I338" s="4" t="s">
        <v>30</v>
      </c>
      <c r="J338" s="4" t="s">
        <v>31</v>
      </c>
      <c r="K338" s="4" t="s">
        <v>122</v>
      </c>
      <c r="L338" s="4" t="s">
        <v>227</v>
      </c>
      <c r="M338" s="4">
        <v>1</v>
      </c>
      <c r="N338" s="4">
        <v>20</v>
      </c>
      <c r="O338" s="4">
        <v>0</v>
      </c>
      <c r="P338" s="4">
        <v>20</v>
      </c>
      <c r="Q338" s="4">
        <v>3</v>
      </c>
      <c r="R338" s="4" t="s">
        <v>88</v>
      </c>
      <c r="S338" s="4" t="s">
        <v>35</v>
      </c>
      <c r="T338" s="4" t="s">
        <v>132</v>
      </c>
      <c r="U338" s="6" t="s">
        <v>1521</v>
      </c>
      <c r="V338" s="4" t="s">
        <v>38</v>
      </c>
    </row>
    <row r="339" spans="1:22">
      <c r="A339" s="7" t="s">
        <v>1522</v>
      </c>
      <c r="B339" s="8" t="s">
        <v>23</v>
      </c>
      <c r="C339" s="8" t="s">
        <v>184</v>
      </c>
      <c r="D339" s="8" t="s">
        <v>1199</v>
      </c>
      <c r="E339" s="8" t="s">
        <v>253</v>
      </c>
      <c r="F339" s="8" t="s">
        <v>27</v>
      </c>
      <c r="G339" s="8" t="s">
        <v>28</v>
      </c>
      <c r="H339" s="8" t="s">
        <v>1523</v>
      </c>
      <c r="I339" s="8" t="s">
        <v>212</v>
      </c>
      <c r="J339" s="8" t="s">
        <v>45</v>
      </c>
      <c r="K339" s="8" t="s">
        <v>46</v>
      </c>
      <c r="L339" s="8" t="s">
        <v>189</v>
      </c>
      <c r="M339" s="8">
        <v>15</v>
      </c>
      <c r="N339" s="8">
        <v>700</v>
      </c>
      <c r="O339" s="8">
        <v>0</v>
      </c>
      <c r="P339" s="8">
        <v>10500</v>
      </c>
      <c r="Q339" s="8">
        <v>2</v>
      </c>
      <c r="R339" s="8" t="s">
        <v>88</v>
      </c>
      <c r="S339" s="8" t="s">
        <v>49</v>
      </c>
      <c r="T339" s="8" t="s">
        <v>50</v>
      </c>
      <c r="U339" s="9" t="s">
        <v>1524</v>
      </c>
      <c r="V339" s="8" t="s">
        <v>38</v>
      </c>
    </row>
    <row r="340" spans="1:22">
      <c r="A340" s="3" t="s">
        <v>1525</v>
      </c>
      <c r="B340" s="4" t="s">
        <v>327</v>
      </c>
      <c r="C340" s="4" t="s">
        <v>92</v>
      </c>
      <c r="D340" s="4" t="s">
        <v>932</v>
      </c>
      <c r="E340" s="4" t="s">
        <v>1526</v>
      </c>
      <c r="F340" s="4" t="s">
        <v>394</v>
      </c>
      <c r="G340" s="4" t="s">
        <v>76</v>
      </c>
      <c r="H340" s="4" t="s">
        <v>1527</v>
      </c>
      <c r="I340" s="4" t="s">
        <v>30</v>
      </c>
      <c r="J340" s="4" t="s">
        <v>31</v>
      </c>
      <c r="K340" s="4" t="s">
        <v>32</v>
      </c>
      <c r="L340" s="4" t="s">
        <v>97</v>
      </c>
      <c r="M340" s="4">
        <v>15</v>
      </c>
      <c r="N340" s="4">
        <v>3500</v>
      </c>
      <c r="O340" s="4">
        <v>10</v>
      </c>
      <c r="P340" s="4">
        <v>47250</v>
      </c>
      <c r="Q340" s="4">
        <v>3</v>
      </c>
      <c r="R340" s="4" t="s">
        <v>34</v>
      </c>
      <c r="S340" s="4" t="s">
        <v>151</v>
      </c>
      <c r="T340" s="4" t="s">
        <v>332</v>
      </c>
      <c r="U340" s="6" t="s">
        <v>1528</v>
      </c>
      <c r="V340" s="4" t="s">
        <v>64</v>
      </c>
    </row>
    <row r="341" spans="1:22">
      <c r="A341" s="7" t="s">
        <v>1529</v>
      </c>
      <c r="B341" s="8" t="s">
        <v>23</v>
      </c>
      <c r="C341" s="8" t="s">
        <v>118</v>
      </c>
      <c r="D341" s="8" t="s">
        <v>1530</v>
      </c>
      <c r="E341" s="8" t="s">
        <v>156</v>
      </c>
      <c r="F341" s="8" t="s">
        <v>27</v>
      </c>
      <c r="G341" s="8" t="s">
        <v>28</v>
      </c>
      <c r="H341" s="8" t="s">
        <v>1531</v>
      </c>
      <c r="I341" s="8" t="s">
        <v>294</v>
      </c>
      <c r="J341" s="8" t="s">
        <v>295</v>
      </c>
      <c r="K341" s="8" t="s">
        <v>122</v>
      </c>
      <c r="L341" s="8" t="s">
        <v>123</v>
      </c>
      <c r="M341" s="8">
        <v>16</v>
      </c>
      <c r="N341" s="8">
        <v>60</v>
      </c>
      <c r="O341" s="8">
        <v>10</v>
      </c>
      <c r="P341" s="8">
        <v>864</v>
      </c>
      <c r="Q341" s="8">
        <v>4</v>
      </c>
      <c r="R341" s="8" t="s">
        <v>79</v>
      </c>
      <c r="S341" s="8" t="s">
        <v>61</v>
      </c>
      <c r="T341" s="8" t="s">
        <v>50</v>
      </c>
      <c r="U341" s="9" t="s">
        <v>1532</v>
      </c>
      <c r="V341" s="8" t="s">
        <v>38</v>
      </c>
    </row>
    <row r="342" spans="1:22">
      <c r="A342" s="3" t="s">
        <v>1533</v>
      </c>
      <c r="B342" s="4" t="s">
        <v>127</v>
      </c>
      <c r="C342" s="4" t="s">
        <v>259</v>
      </c>
      <c r="D342" s="4" t="s">
        <v>309</v>
      </c>
      <c r="E342" s="4" t="s">
        <v>793</v>
      </c>
      <c r="F342" s="4" t="s">
        <v>200</v>
      </c>
      <c r="G342" s="4" t="s">
        <v>76</v>
      </c>
      <c r="H342" s="4" t="s">
        <v>1534</v>
      </c>
      <c r="I342" s="4" t="s">
        <v>44</v>
      </c>
      <c r="J342" s="4" t="s">
        <v>45</v>
      </c>
      <c r="K342" s="4" t="s">
        <v>122</v>
      </c>
      <c r="L342" s="4" t="s">
        <v>263</v>
      </c>
      <c r="M342" s="4">
        <v>2</v>
      </c>
      <c r="N342" s="4">
        <v>45</v>
      </c>
      <c r="O342" s="4">
        <v>15</v>
      </c>
      <c r="P342" s="4">
        <v>76.5</v>
      </c>
      <c r="Q342" s="4">
        <v>1</v>
      </c>
      <c r="R342" s="4" t="s">
        <v>88</v>
      </c>
      <c r="S342" s="4" t="s">
        <v>151</v>
      </c>
      <c r="T342" s="4" t="s">
        <v>132</v>
      </c>
      <c r="U342" s="6" t="s">
        <v>1535</v>
      </c>
      <c r="V342" s="4" t="s">
        <v>69</v>
      </c>
    </row>
    <row r="343" spans="1:22">
      <c r="A343" s="7" t="s">
        <v>1536</v>
      </c>
      <c r="B343" s="8" t="s">
        <v>168</v>
      </c>
      <c r="C343" s="8" t="s">
        <v>118</v>
      </c>
      <c r="D343" s="8" t="s">
        <v>1537</v>
      </c>
      <c r="E343" s="8" t="s">
        <v>1214</v>
      </c>
      <c r="F343" s="8" t="s">
        <v>361</v>
      </c>
      <c r="G343" s="8" t="s">
        <v>28</v>
      </c>
      <c r="H343" s="8" t="s">
        <v>1538</v>
      </c>
      <c r="I343" s="8" t="s">
        <v>44</v>
      </c>
      <c r="J343" s="8" t="s">
        <v>45</v>
      </c>
      <c r="K343" s="8" t="s">
        <v>122</v>
      </c>
      <c r="L343" s="8" t="s">
        <v>123</v>
      </c>
      <c r="M343" s="8">
        <v>13</v>
      </c>
      <c r="N343" s="8">
        <v>60</v>
      </c>
      <c r="O343" s="8">
        <v>15</v>
      </c>
      <c r="P343" s="8">
        <v>663</v>
      </c>
      <c r="Q343" s="8">
        <v>2</v>
      </c>
      <c r="R343" s="8" t="s">
        <v>48</v>
      </c>
      <c r="S343" s="8" t="s">
        <v>61</v>
      </c>
      <c r="T343" s="8" t="s">
        <v>175</v>
      </c>
      <c r="U343" s="9" t="s">
        <v>1539</v>
      </c>
      <c r="V343" s="8" t="s">
        <v>69</v>
      </c>
    </row>
    <row r="344" spans="1:22">
      <c r="A344" s="3" t="s">
        <v>1540</v>
      </c>
      <c r="B344" s="4" t="s">
        <v>83</v>
      </c>
      <c r="C344" s="4" t="s">
        <v>40</v>
      </c>
      <c r="D344" s="4" t="s">
        <v>1086</v>
      </c>
      <c r="E344" s="4" t="s">
        <v>236</v>
      </c>
      <c r="F344" s="4" t="s">
        <v>180</v>
      </c>
      <c r="G344" s="4" t="s">
        <v>76</v>
      </c>
      <c r="H344" s="4" t="s">
        <v>1541</v>
      </c>
      <c r="I344" s="4" t="s">
        <v>44</v>
      </c>
      <c r="J344" s="4" t="s">
        <v>45</v>
      </c>
      <c r="K344" s="4" t="s">
        <v>46</v>
      </c>
      <c r="L344" s="4" t="s">
        <v>47</v>
      </c>
      <c r="M344" s="4">
        <v>15</v>
      </c>
      <c r="N344" s="4">
        <v>12000</v>
      </c>
      <c r="O344" s="4">
        <v>20</v>
      </c>
      <c r="P344" s="4">
        <v>144000</v>
      </c>
      <c r="Q344" s="4">
        <v>3</v>
      </c>
      <c r="R344" s="4" t="s">
        <v>79</v>
      </c>
      <c r="S344" s="4" t="s">
        <v>35</v>
      </c>
      <c r="T344" s="4" t="s">
        <v>89</v>
      </c>
      <c r="U344" s="6" t="s">
        <v>1542</v>
      </c>
      <c r="V344" s="4" t="s">
        <v>69</v>
      </c>
    </row>
    <row r="345" spans="1:22">
      <c r="A345" s="7" t="s">
        <v>1543</v>
      </c>
      <c r="B345" s="8" t="s">
        <v>327</v>
      </c>
      <c r="C345" s="8" t="s">
        <v>222</v>
      </c>
      <c r="D345" s="8" t="s">
        <v>755</v>
      </c>
      <c r="E345" s="8" t="s">
        <v>1544</v>
      </c>
      <c r="F345" s="8" t="s">
        <v>394</v>
      </c>
      <c r="G345" s="8" t="s">
        <v>76</v>
      </c>
      <c r="H345" s="8" t="s">
        <v>1545</v>
      </c>
      <c r="I345" s="8" t="s">
        <v>44</v>
      </c>
      <c r="J345" s="8" t="s">
        <v>45</v>
      </c>
      <c r="K345" s="8" t="s">
        <v>122</v>
      </c>
      <c r="L345" s="8" t="s">
        <v>227</v>
      </c>
      <c r="M345" s="8">
        <v>2</v>
      </c>
      <c r="N345" s="8">
        <v>20</v>
      </c>
      <c r="O345" s="8">
        <v>20</v>
      </c>
      <c r="P345" s="8">
        <v>32</v>
      </c>
      <c r="Q345" s="8">
        <v>4</v>
      </c>
      <c r="R345" s="8" t="s">
        <v>34</v>
      </c>
      <c r="S345" s="8" t="s">
        <v>35</v>
      </c>
      <c r="T345" s="8" t="s">
        <v>332</v>
      </c>
      <c r="U345" s="9" t="s">
        <v>1546</v>
      </c>
      <c r="V345" s="8" t="s">
        <v>64</v>
      </c>
    </row>
    <row r="346" spans="1:22">
      <c r="A346" s="3" t="s">
        <v>1547</v>
      </c>
      <c r="B346" s="4" t="s">
        <v>127</v>
      </c>
      <c r="C346" s="4" t="s">
        <v>92</v>
      </c>
      <c r="D346" s="4" t="s">
        <v>382</v>
      </c>
      <c r="E346" s="4" t="s">
        <v>1548</v>
      </c>
      <c r="F346" s="4" t="s">
        <v>200</v>
      </c>
      <c r="G346" s="4" t="s">
        <v>76</v>
      </c>
      <c r="H346" s="4" t="s">
        <v>1549</v>
      </c>
      <c r="I346" s="4" t="s">
        <v>59</v>
      </c>
      <c r="J346" s="4" t="s">
        <v>31</v>
      </c>
      <c r="K346" s="4" t="s">
        <v>32</v>
      </c>
      <c r="L346" s="4" t="s">
        <v>97</v>
      </c>
      <c r="M346" s="4">
        <v>16</v>
      </c>
      <c r="N346" s="4">
        <v>3500</v>
      </c>
      <c r="O346" s="4">
        <v>0</v>
      </c>
      <c r="P346" s="4">
        <v>56000</v>
      </c>
      <c r="Q346" s="4">
        <v>4</v>
      </c>
      <c r="R346" s="4" t="s">
        <v>34</v>
      </c>
      <c r="S346" s="4" t="s">
        <v>115</v>
      </c>
      <c r="T346" s="4" t="s">
        <v>132</v>
      </c>
      <c r="U346" s="6" t="s">
        <v>1550</v>
      </c>
      <c r="V346" s="4" t="s">
        <v>38</v>
      </c>
    </row>
    <row r="347" spans="1:22">
      <c r="A347" s="7" t="s">
        <v>1551</v>
      </c>
      <c r="B347" s="8" t="s">
        <v>53</v>
      </c>
      <c r="C347" s="8" t="s">
        <v>92</v>
      </c>
      <c r="D347" s="8" t="s">
        <v>1302</v>
      </c>
      <c r="E347" s="8" t="s">
        <v>94</v>
      </c>
      <c r="F347" s="8" t="s">
        <v>163</v>
      </c>
      <c r="G347" s="8" t="s">
        <v>28</v>
      </c>
      <c r="H347" s="8" t="s">
        <v>1552</v>
      </c>
      <c r="I347" s="8" t="s">
        <v>138</v>
      </c>
      <c r="J347" s="8" t="s">
        <v>106</v>
      </c>
      <c r="K347" s="8" t="s">
        <v>32</v>
      </c>
      <c r="L347" s="8" t="s">
        <v>97</v>
      </c>
      <c r="M347" s="8">
        <v>18</v>
      </c>
      <c r="N347" s="8">
        <v>3500</v>
      </c>
      <c r="O347" s="8">
        <v>15</v>
      </c>
      <c r="P347" s="8">
        <v>53550</v>
      </c>
      <c r="Q347" s="8">
        <v>5</v>
      </c>
      <c r="R347" s="8" t="s">
        <v>34</v>
      </c>
      <c r="S347" s="8" t="s">
        <v>151</v>
      </c>
      <c r="T347" s="8" t="s">
        <v>62</v>
      </c>
      <c r="U347" s="9" t="s">
        <v>1553</v>
      </c>
      <c r="V347" s="8" t="s">
        <v>69</v>
      </c>
    </row>
    <row r="348" spans="1:22">
      <c r="A348" s="3" t="s">
        <v>1554</v>
      </c>
      <c r="B348" s="4" t="s">
        <v>23</v>
      </c>
      <c r="C348" s="4" t="s">
        <v>259</v>
      </c>
      <c r="D348" s="4" t="s">
        <v>65</v>
      </c>
      <c r="E348" s="4" t="s">
        <v>544</v>
      </c>
      <c r="F348" s="4" t="s">
        <v>27</v>
      </c>
      <c r="G348" s="4" t="s">
        <v>28</v>
      </c>
      <c r="H348" s="4" t="s">
        <v>1555</v>
      </c>
      <c r="I348" s="4" t="s">
        <v>138</v>
      </c>
      <c r="J348" s="4" t="s">
        <v>106</v>
      </c>
      <c r="K348" s="4" t="s">
        <v>122</v>
      </c>
      <c r="L348" s="4" t="s">
        <v>263</v>
      </c>
      <c r="M348" s="4">
        <v>20</v>
      </c>
      <c r="N348" s="4">
        <v>45</v>
      </c>
      <c r="O348" s="4">
        <v>15</v>
      </c>
      <c r="P348" s="4">
        <v>765</v>
      </c>
      <c r="Q348" s="4">
        <v>4</v>
      </c>
      <c r="R348" s="4" t="s">
        <v>34</v>
      </c>
      <c r="S348" s="4" t="s">
        <v>151</v>
      </c>
      <c r="T348" s="4" t="s">
        <v>50</v>
      </c>
      <c r="U348" s="6" t="s">
        <v>1556</v>
      </c>
      <c r="V348" s="4" t="s">
        <v>69</v>
      </c>
    </row>
    <row r="349" spans="1:22">
      <c r="A349" s="7" t="s">
        <v>1557</v>
      </c>
      <c r="B349" s="8" t="s">
        <v>251</v>
      </c>
      <c r="C349" s="8" t="s">
        <v>24</v>
      </c>
      <c r="D349" s="8" t="s">
        <v>1286</v>
      </c>
      <c r="E349" s="8" t="s">
        <v>356</v>
      </c>
      <c r="F349" s="8" t="s">
        <v>254</v>
      </c>
      <c r="G349" s="8" t="s">
        <v>28</v>
      </c>
      <c r="H349" s="8" t="s">
        <v>1558</v>
      </c>
      <c r="I349" s="8" t="s">
        <v>44</v>
      </c>
      <c r="J349" s="8" t="s">
        <v>45</v>
      </c>
      <c r="K349" s="8" t="s">
        <v>32</v>
      </c>
      <c r="L349" s="8" t="s">
        <v>33</v>
      </c>
      <c r="M349" s="8">
        <v>13</v>
      </c>
      <c r="N349" s="8">
        <v>2200</v>
      </c>
      <c r="O349" s="8">
        <v>15</v>
      </c>
      <c r="P349" s="8">
        <v>24310</v>
      </c>
      <c r="Q349" s="8">
        <v>2</v>
      </c>
      <c r="R349" s="8" t="s">
        <v>48</v>
      </c>
      <c r="S349" s="8" t="s">
        <v>115</v>
      </c>
      <c r="T349" s="8" t="s">
        <v>256</v>
      </c>
      <c r="U349" s="9" t="s">
        <v>1559</v>
      </c>
      <c r="V349" s="8" t="s">
        <v>64</v>
      </c>
    </row>
    <row r="350" spans="1:22">
      <c r="A350" s="3" t="s">
        <v>1560</v>
      </c>
      <c r="B350" s="4" t="s">
        <v>53</v>
      </c>
      <c r="C350" s="4" t="s">
        <v>1561</v>
      </c>
      <c r="D350" s="4" t="s">
        <v>340</v>
      </c>
      <c r="E350" s="4" t="s">
        <v>346</v>
      </c>
      <c r="F350" s="4" t="s">
        <v>163</v>
      </c>
      <c r="G350" s="4" t="s">
        <v>28</v>
      </c>
      <c r="H350" s="4" t="s">
        <v>1562</v>
      </c>
      <c r="I350" s="4" t="s">
        <v>294</v>
      </c>
      <c r="J350" s="4" t="s">
        <v>295</v>
      </c>
      <c r="K350" s="4" t="s">
        <v>32</v>
      </c>
      <c r="L350" s="4" t="s">
        <v>174</v>
      </c>
      <c r="M350" s="4">
        <v>11</v>
      </c>
      <c r="N350" s="4">
        <v>8500</v>
      </c>
      <c r="O350" s="4">
        <v>5</v>
      </c>
      <c r="P350" s="4">
        <v>88825</v>
      </c>
      <c r="Q350" s="4">
        <v>1</v>
      </c>
      <c r="R350" s="4" t="s">
        <v>88</v>
      </c>
      <c r="S350" s="4" t="s">
        <v>115</v>
      </c>
      <c r="T350" s="4" t="s">
        <v>62</v>
      </c>
      <c r="U350" s="6" t="s">
        <v>1563</v>
      </c>
      <c r="V350" s="4" t="s">
        <v>69</v>
      </c>
    </row>
    <row r="351" spans="1:22">
      <c r="A351" s="7" t="s">
        <v>1564</v>
      </c>
      <c r="B351" s="8" t="s">
        <v>53</v>
      </c>
      <c r="C351" s="8" t="s">
        <v>24</v>
      </c>
      <c r="D351" s="8" t="s">
        <v>1565</v>
      </c>
      <c r="E351" s="8" t="s">
        <v>1475</v>
      </c>
      <c r="F351" s="8" t="s">
        <v>163</v>
      </c>
      <c r="G351" s="8" t="s">
        <v>28</v>
      </c>
      <c r="H351" s="8" t="s">
        <v>1566</v>
      </c>
      <c r="I351" s="8" t="s">
        <v>212</v>
      </c>
      <c r="J351" s="8" t="s">
        <v>45</v>
      </c>
      <c r="K351" s="8" t="s">
        <v>32</v>
      </c>
      <c r="L351" s="8" t="s">
        <v>33</v>
      </c>
      <c r="M351" s="8">
        <v>2</v>
      </c>
      <c r="N351" s="8">
        <v>2200</v>
      </c>
      <c r="O351" s="8">
        <v>0</v>
      </c>
      <c r="P351" s="8">
        <v>4400</v>
      </c>
      <c r="Q351" s="8">
        <v>4</v>
      </c>
      <c r="R351" s="8" t="s">
        <v>88</v>
      </c>
      <c r="S351" s="8" t="s">
        <v>151</v>
      </c>
      <c r="T351" s="8" t="s">
        <v>62</v>
      </c>
      <c r="U351" s="9" t="s">
        <v>1567</v>
      </c>
      <c r="V351" s="8" t="s">
        <v>64</v>
      </c>
    </row>
    <row r="352" spans="1:22">
      <c r="A352" s="3" t="s">
        <v>1568</v>
      </c>
      <c r="B352" s="4" t="s">
        <v>83</v>
      </c>
      <c r="C352" s="4" t="s">
        <v>184</v>
      </c>
      <c r="D352" s="4" t="s">
        <v>1242</v>
      </c>
      <c r="E352" s="4" t="s">
        <v>720</v>
      </c>
      <c r="F352" s="4" t="s">
        <v>180</v>
      </c>
      <c r="G352" s="4" t="s">
        <v>76</v>
      </c>
      <c r="H352" s="4" t="s">
        <v>1569</v>
      </c>
      <c r="I352" s="4" t="s">
        <v>105</v>
      </c>
      <c r="J352" s="4" t="s">
        <v>106</v>
      </c>
      <c r="K352" s="4" t="s">
        <v>46</v>
      </c>
      <c r="L352" s="4" t="s">
        <v>189</v>
      </c>
      <c r="M352" s="4">
        <v>15</v>
      </c>
      <c r="N352" s="4">
        <v>700</v>
      </c>
      <c r="O352" s="4">
        <v>15</v>
      </c>
      <c r="P352" s="4">
        <v>8925</v>
      </c>
      <c r="Q352" s="4">
        <v>3</v>
      </c>
      <c r="R352" s="4" t="s">
        <v>48</v>
      </c>
      <c r="S352" s="4" t="s">
        <v>115</v>
      </c>
      <c r="T352" s="4" t="s">
        <v>89</v>
      </c>
      <c r="U352" s="6" t="s">
        <v>1570</v>
      </c>
      <c r="V352" s="4" t="s">
        <v>38</v>
      </c>
    </row>
    <row r="353" spans="1:22">
      <c r="A353" s="7" t="s">
        <v>1571</v>
      </c>
      <c r="B353" s="8" t="s">
        <v>127</v>
      </c>
      <c r="C353" s="8" t="s">
        <v>24</v>
      </c>
      <c r="D353" s="8" t="s">
        <v>1572</v>
      </c>
      <c r="E353" s="8" t="s">
        <v>835</v>
      </c>
      <c r="F353" s="8" t="s">
        <v>200</v>
      </c>
      <c r="G353" s="8" t="s">
        <v>76</v>
      </c>
      <c r="H353" s="8" t="s">
        <v>1573</v>
      </c>
      <c r="I353" s="8" t="s">
        <v>138</v>
      </c>
      <c r="J353" s="8" t="s">
        <v>106</v>
      </c>
      <c r="K353" s="8" t="s">
        <v>32</v>
      </c>
      <c r="L353" s="8" t="s">
        <v>33</v>
      </c>
      <c r="M353" s="8">
        <v>5</v>
      </c>
      <c r="N353" s="8">
        <v>2200</v>
      </c>
      <c r="O353" s="8">
        <v>15</v>
      </c>
      <c r="P353" s="8">
        <v>9350</v>
      </c>
      <c r="Q353" s="8">
        <v>1</v>
      </c>
      <c r="R353" s="8" t="s">
        <v>48</v>
      </c>
      <c r="S353" s="8" t="s">
        <v>115</v>
      </c>
      <c r="T353" s="8" t="s">
        <v>132</v>
      </c>
      <c r="U353" s="9" t="s">
        <v>1574</v>
      </c>
      <c r="V353" s="8" t="s">
        <v>64</v>
      </c>
    </row>
    <row r="354" spans="1:22">
      <c r="A354" s="3" t="s">
        <v>1575</v>
      </c>
      <c r="B354" s="4" t="s">
        <v>83</v>
      </c>
      <c r="C354" s="4" t="s">
        <v>72</v>
      </c>
      <c r="D354" s="4" t="s">
        <v>554</v>
      </c>
      <c r="E354" s="4" t="s">
        <v>1480</v>
      </c>
      <c r="F354" s="4" t="s">
        <v>180</v>
      </c>
      <c r="G354" s="4" t="s">
        <v>76</v>
      </c>
      <c r="H354" s="4" t="s">
        <v>1576</v>
      </c>
      <c r="I354" s="4" t="s">
        <v>138</v>
      </c>
      <c r="J354" s="4" t="s">
        <v>106</v>
      </c>
      <c r="K354" s="4" t="s">
        <v>46</v>
      </c>
      <c r="L354" s="4" t="s">
        <v>78</v>
      </c>
      <c r="M354" s="4">
        <v>15</v>
      </c>
      <c r="N354" s="4">
        <v>1200</v>
      </c>
      <c r="O354" s="4">
        <v>0</v>
      </c>
      <c r="P354" s="4">
        <v>18000</v>
      </c>
      <c r="Q354" s="4">
        <v>3</v>
      </c>
      <c r="R354" s="4" t="s">
        <v>48</v>
      </c>
      <c r="S354" s="4" t="s">
        <v>61</v>
      </c>
      <c r="T354" s="4" t="s">
        <v>89</v>
      </c>
      <c r="U354" s="6" t="s">
        <v>1577</v>
      </c>
      <c r="V354" s="4" t="s">
        <v>69</v>
      </c>
    </row>
    <row r="355" spans="1:22">
      <c r="A355" s="7" t="s">
        <v>1578</v>
      </c>
      <c r="B355" s="8" t="s">
        <v>251</v>
      </c>
      <c r="C355" s="8" t="s">
        <v>72</v>
      </c>
      <c r="D355" s="8" t="s">
        <v>161</v>
      </c>
      <c r="E355" s="8" t="s">
        <v>657</v>
      </c>
      <c r="F355" s="8" t="s">
        <v>254</v>
      </c>
      <c r="G355" s="8" t="s">
        <v>28</v>
      </c>
      <c r="H355" s="8" t="s">
        <v>1579</v>
      </c>
      <c r="I355" s="8" t="s">
        <v>105</v>
      </c>
      <c r="J355" s="8" t="s">
        <v>106</v>
      </c>
      <c r="K355" s="8" t="s">
        <v>46</v>
      </c>
      <c r="L355" s="8" t="s">
        <v>78</v>
      </c>
      <c r="M355" s="8">
        <v>19</v>
      </c>
      <c r="N355" s="8">
        <v>1200</v>
      </c>
      <c r="O355" s="8">
        <v>0</v>
      </c>
      <c r="P355" s="8">
        <v>22800</v>
      </c>
      <c r="Q355" s="8">
        <v>1</v>
      </c>
      <c r="R355" s="8" t="s">
        <v>34</v>
      </c>
      <c r="S355" s="8" t="s">
        <v>49</v>
      </c>
      <c r="T355" s="8" t="s">
        <v>256</v>
      </c>
      <c r="U355" s="9" t="s">
        <v>1580</v>
      </c>
      <c r="V355" s="8" t="s">
        <v>69</v>
      </c>
    </row>
    <row r="356" spans="1:22">
      <c r="A356" s="3" t="s">
        <v>1581</v>
      </c>
      <c r="B356" s="4" t="s">
        <v>168</v>
      </c>
      <c r="C356" s="4" t="s">
        <v>40</v>
      </c>
      <c r="D356" s="4" t="s">
        <v>25</v>
      </c>
      <c r="E356" s="4" t="s">
        <v>1582</v>
      </c>
      <c r="F356" s="4" t="s">
        <v>361</v>
      </c>
      <c r="G356" s="4" t="s">
        <v>28</v>
      </c>
      <c r="H356" s="4" t="s">
        <v>1583</v>
      </c>
      <c r="I356" s="4" t="s">
        <v>105</v>
      </c>
      <c r="J356" s="4" t="s">
        <v>106</v>
      </c>
      <c r="K356" s="4" t="s">
        <v>46</v>
      </c>
      <c r="L356" s="4" t="s">
        <v>47</v>
      </c>
      <c r="M356" s="4">
        <v>9</v>
      </c>
      <c r="N356" s="4">
        <v>12000</v>
      </c>
      <c r="O356" s="4">
        <v>15</v>
      </c>
      <c r="P356" s="4">
        <v>91800</v>
      </c>
      <c r="Q356" s="4">
        <v>3</v>
      </c>
      <c r="R356" s="4" t="s">
        <v>88</v>
      </c>
      <c r="S356" s="4" t="s">
        <v>49</v>
      </c>
      <c r="T356" s="4" t="s">
        <v>175</v>
      </c>
      <c r="U356" s="6" t="s">
        <v>1584</v>
      </c>
      <c r="V356" s="4" t="s">
        <v>69</v>
      </c>
    </row>
    <row r="357" spans="1:22">
      <c r="A357" s="7" t="s">
        <v>1585</v>
      </c>
      <c r="B357" s="8" t="s">
        <v>23</v>
      </c>
      <c r="C357" s="8" t="s">
        <v>259</v>
      </c>
      <c r="D357" s="8" t="s">
        <v>345</v>
      </c>
      <c r="E357" s="8" t="s">
        <v>793</v>
      </c>
      <c r="F357" s="8" t="s">
        <v>27</v>
      </c>
      <c r="G357" s="8" t="s">
        <v>28</v>
      </c>
      <c r="H357" s="8" t="s">
        <v>1586</v>
      </c>
      <c r="I357" s="8" t="s">
        <v>212</v>
      </c>
      <c r="J357" s="8" t="s">
        <v>45</v>
      </c>
      <c r="K357" s="8" t="s">
        <v>122</v>
      </c>
      <c r="L357" s="8" t="s">
        <v>263</v>
      </c>
      <c r="M357" s="8">
        <v>5</v>
      </c>
      <c r="N357" s="8">
        <v>45</v>
      </c>
      <c r="O357" s="8">
        <v>5</v>
      </c>
      <c r="P357" s="8">
        <v>213.75</v>
      </c>
      <c r="Q357" s="8">
        <v>1</v>
      </c>
      <c r="R357" s="8" t="s">
        <v>79</v>
      </c>
      <c r="S357" s="8" t="s">
        <v>115</v>
      </c>
      <c r="T357" s="8" t="s">
        <v>50</v>
      </c>
      <c r="U357" s="9" t="s">
        <v>1587</v>
      </c>
      <c r="V357" s="8" t="s">
        <v>38</v>
      </c>
    </row>
    <row r="358" spans="1:22">
      <c r="A358" s="3" t="s">
        <v>1588</v>
      </c>
      <c r="B358" s="4" t="s">
        <v>251</v>
      </c>
      <c r="C358" s="4" t="s">
        <v>184</v>
      </c>
      <c r="D358" s="4" t="s">
        <v>1589</v>
      </c>
      <c r="E358" s="4" t="s">
        <v>1373</v>
      </c>
      <c r="F358" s="4" t="s">
        <v>254</v>
      </c>
      <c r="G358" s="4" t="s">
        <v>28</v>
      </c>
      <c r="H358" s="4" t="s">
        <v>1590</v>
      </c>
      <c r="I358" s="4" t="s">
        <v>105</v>
      </c>
      <c r="J358" s="4" t="s">
        <v>106</v>
      </c>
      <c r="K358" s="4" t="s">
        <v>46</v>
      </c>
      <c r="L358" s="4" t="s">
        <v>189</v>
      </c>
      <c r="M358" s="4">
        <v>3</v>
      </c>
      <c r="N358" s="4">
        <v>700</v>
      </c>
      <c r="O358" s="4">
        <v>15</v>
      </c>
      <c r="P358" s="4">
        <v>1785</v>
      </c>
      <c r="Q358" s="4">
        <v>4</v>
      </c>
      <c r="R358" s="4" t="s">
        <v>34</v>
      </c>
      <c r="S358" s="4" t="s">
        <v>151</v>
      </c>
      <c r="T358" s="4" t="s">
        <v>256</v>
      </c>
      <c r="U358" s="6" t="s">
        <v>1591</v>
      </c>
      <c r="V358" s="4" t="s">
        <v>38</v>
      </c>
    </row>
    <row r="359" spans="1:22">
      <c r="A359" s="7" t="s">
        <v>1592</v>
      </c>
      <c r="B359" s="8" t="s">
        <v>71</v>
      </c>
      <c r="C359" s="8" t="s">
        <v>169</v>
      </c>
      <c r="D359" s="8" t="s">
        <v>454</v>
      </c>
      <c r="E359" s="8" t="s">
        <v>961</v>
      </c>
      <c r="F359" s="8" t="s">
        <v>217</v>
      </c>
      <c r="G359" s="8" t="s">
        <v>76</v>
      </c>
      <c r="H359" s="8" t="s">
        <v>1593</v>
      </c>
      <c r="I359" s="8" t="s">
        <v>212</v>
      </c>
      <c r="J359" s="8" t="s">
        <v>45</v>
      </c>
      <c r="K359" s="8" t="s">
        <v>32</v>
      </c>
      <c r="L359" s="8" t="s">
        <v>174</v>
      </c>
      <c r="M359" s="8">
        <v>12</v>
      </c>
      <c r="N359" s="8">
        <v>8500</v>
      </c>
      <c r="O359" s="8">
        <v>5</v>
      </c>
      <c r="P359" s="8">
        <v>96900</v>
      </c>
      <c r="Q359" s="8">
        <v>3</v>
      </c>
      <c r="R359" s="8" t="s">
        <v>79</v>
      </c>
      <c r="S359" s="8" t="s">
        <v>61</v>
      </c>
      <c r="T359" s="8" t="s">
        <v>80</v>
      </c>
      <c r="U359" s="9" t="s">
        <v>1594</v>
      </c>
      <c r="V359" s="8" t="s">
        <v>64</v>
      </c>
    </row>
    <row r="360" spans="1:22">
      <c r="A360" s="3" t="s">
        <v>1595</v>
      </c>
      <c r="B360" s="4" t="s">
        <v>251</v>
      </c>
      <c r="C360" s="4" t="s">
        <v>169</v>
      </c>
      <c r="D360" s="4" t="s">
        <v>162</v>
      </c>
      <c r="E360" s="4" t="s">
        <v>356</v>
      </c>
      <c r="F360" s="4" t="s">
        <v>254</v>
      </c>
      <c r="G360" s="4" t="s">
        <v>28</v>
      </c>
      <c r="H360" s="4" t="s">
        <v>1596</v>
      </c>
      <c r="I360" s="4" t="s">
        <v>114</v>
      </c>
      <c r="J360" s="4" t="s">
        <v>106</v>
      </c>
      <c r="K360" s="4" t="s">
        <v>32</v>
      </c>
      <c r="L360" s="4" t="s">
        <v>174</v>
      </c>
      <c r="M360" s="4">
        <v>4</v>
      </c>
      <c r="N360" s="4">
        <v>8500</v>
      </c>
      <c r="O360" s="4">
        <v>15</v>
      </c>
      <c r="P360" s="4">
        <v>28900</v>
      </c>
      <c r="Q360" s="4">
        <v>4</v>
      </c>
      <c r="R360" s="4" t="s">
        <v>48</v>
      </c>
      <c r="S360" s="4" t="s">
        <v>61</v>
      </c>
      <c r="T360" s="4" t="s">
        <v>256</v>
      </c>
      <c r="U360" s="6" t="s">
        <v>1597</v>
      </c>
      <c r="V360" s="4" t="s">
        <v>64</v>
      </c>
    </row>
    <row r="361" spans="1:22">
      <c r="A361" s="7" t="s">
        <v>1598</v>
      </c>
      <c r="B361" s="8" t="s">
        <v>127</v>
      </c>
      <c r="C361" s="8" t="s">
        <v>222</v>
      </c>
      <c r="D361" s="8" t="s">
        <v>102</v>
      </c>
      <c r="E361" s="8" t="s">
        <v>953</v>
      </c>
      <c r="F361" s="8" t="s">
        <v>200</v>
      </c>
      <c r="G361" s="8" t="s">
        <v>76</v>
      </c>
      <c r="H361" s="8" t="s">
        <v>1599</v>
      </c>
      <c r="I361" s="8" t="s">
        <v>212</v>
      </c>
      <c r="J361" s="8" t="s">
        <v>45</v>
      </c>
      <c r="K361" s="8" t="s">
        <v>122</v>
      </c>
      <c r="L361" s="8" t="s">
        <v>227</v>
      </c>
      <c r="M361" s="8">
        <v>16</v>
      </c>
      <c r="N361" s="8">
        <v>20</v>
      </c>
      <c r="O361" s="8">
        <v>10</v>
      </c>
      <c r="P361" s="8">
        <v>288</v>
      </c>
      <c r="Q361" s="8">
        <v>4</v>
      </c>
      <c r="R361" s="8" t="s">
        <v>34</v>
      </c>
      <c r="S361" s="8" t="s">
        <v>115</v>
      </c>
      <c r="T361" s="8" t="s">
        <v>132</v>
      </c>
      <c r="U361" s="9" t="s">
        <v>1600</v>
      </c>
      <c r="V361" s="8" t="s">
        <v>69</v>
      </c>
    </row>
    <row r="362" spans="1:22">
      <c r="A362" s="3" t="s">
        <v>1601</v>
      </c>
      <c r="B362" s="4" t="s">
        <v>127</v>
      </c>
      <c r="C362" s="4" t="s">
        <v>118</v>
      </c>
      <c r="D362" s="4" t="s">
        <v>601</v>
      </c>
      <c r="E362" s="4" t="s">
        <v>1602</v>
      </c>
      <c r="F362" s="4" t="s">
        <v>200</v>
      </c>
      <c r="G362" s="4" t="s">
        <v>76</v>
      </c>
      <c r="H362" s="4" t="s">
        <v>1603</v>
      </c>
      <c r="I362" s="4" t="s">
        <v>105</v>
      </c>
      <c r="J362" s="4" t="s">
        <v>106</v>
      </c>
      <c r="K362" s="4" t="s">
        <v>122</v>
      </c>
      <c r="L362" s="4" t="s">
        <v>123</v>
      </c>
      <c r="M362" s="4">
        <v>3</v>
      </c>
      <c r="N362" s="4">
        <v>60</v>
      </c>
      <c r="O362" s="4">
        <v>20</v>
      </c>
      <c r="P362" s="4">
        <v>144</v>
      </c>
      <c r="Q362" s="4">
        <v>4</v>
      </c>
      <c r="R362" s="4" t="s">
        <v>88</v>
      </c>
      <c r="S362" s="4" t="s">
        <v>151</v>
      </c>
      <c r="T362" s="4" t="s">
        <v>132</v>
      </c>
      <c r="U362" s="6" t="s">
        <v>1604</v>
      </c>
      <c r="V362" s="4" t="s">
        <v>64</v>
      </c>
    </row>
    <row r="363" spans="1:22">
      <c r="A363" s="7" t="s">
        <v>1605</v>
      </c>
      <c r="B363" s="8" t="s">
        <v>71</v>
      </c>
      <c r="C363" s="8" t="s">
        <v>24</v>
      </c>
      <c r="D363" s="8" t="s">
        <v>1106</v>
      </c>
      <c r="E363" s="8" t="s">
        <v>155</v>
      </c>
      <c r="F363" s="8" t="s">
        <v>217</v>
      </c>
      <c r="G363" s="8" t="s">
        <v>76</v>
      </c>
      <c r="H363" s="8" t="s">
        <v>1606</v>
      </c>
      <c r="I363" s="8" t="s">
        <v>105</v>
      </c>
      <c r="J363" s="8" t="s">
        <v>106</v>
      </c>
      <c r="K363" s="8" t="s">
        <v>32</v>
      </c>
      <c r="L363" s="8" t="s">
        <v>33</v>
      </c>
      <c r="M363" s="8">
        <v>19</v>
      </c>
      <c r="N363" s="8">
        <v>2200</v>
      </c>
      <c r="O363" s="8">
        <v>10</v>
      </c>
      <c r="P363" s="8">
        <v>37620</v>
      </c>
      <c r="Q363" s="8">
        <v>2</v>
      </c>
      <c r="R363" s="8" t="s">
        <v>34</v>
      </c>
      <c r="S363" s="8" t="s">
        <v>151</v>
      </c>
      <c r="T363" s="8" t="s">
        <v>80</v>
      </c>
      <c r="U363" s="9" t="s">
        <v>1607</v>
      </c>
      <c r="V363" s="8" t="s">
        <v>64</v>
      </c>
    </row>
    <row r="364" spans="1:22">
      <c r="A364" s="3" t="s">
        <v>1608</v>
      </c>
      <c r="B364" s="4" t="s">
        <v>71</v>
      </c>
      <c r="C364" s="4" t="s">
        <v>72</v>
      </c>
      <c r="D364" s="4" t="s">
        <v>1609</v>
      </c>
      <c r="E364" s="4" t="s">
        <v>588</v>
      </c>
      <c r="F364" s="4" t="s">
        <v>217</v>
      </c>
      <c r="G364" s="4" t="s">
        <v>76</v>
      </c>
      <c r="H364" s="4" t="s">
        <v>1610</v>
      </c>
      <c r="I364" s="4" t="s">
        <v>30</v>
      </c>
      <c r="J364" s="4" t="s">
        <v>31</v>
      </c>
      <c r="K364" s="4" t="s">
        <v>46</v>
      </c>
      <c r="L364" s="4" t="s">
        <v>78</v>
      </c>
      <c r="M364" s="4">
        <v>7</v>
      </c>
      <c r="N364" s="4">
        <v>1200</v>
      </c>
      <c r="O364" s="4">
        <v>20</v>
      </c>
      <c r="P364" s="4">
        <v>6720</v>
      </c>
      <c r="Q364" s="4">
        <v>3</v>
      </c>
      <c r="R364" s="4" t="s">
        <v>79</v>
      </c>
      <c r="S364" s="4" t="s">
        <v>115</v>
      </c>
      <c r="T364" s="4" t="s">
        <v>80</v>
      </c>
      <c r="U364" s="6" t="s">
        <v>1611</v>
      </c>
      <c r="V364" s="4" t="s">
        <v>69</v>
      </c>
    </row>
    <row r="365" spans="1:22">
      <c r="A365" s="7" t="s">
        <v>1612</v>
      </c>
      <c r="B365" s="8" t="s">
        <v>53</v>
      </c>
      <c r="C365" s="8" t="s">
        <v>222</v>
      </c>
      <c r="D365" s="8" t="s">
        <v>543</v>
      </c>
      <c r="E365" s="8" t="s">
        <v>65</v>
      </c>
      <c r="F365" s="8" t="s">
        <v>163</v>
      </c>
      <c r="G365" s="8" t="s">
        <v>28</v>
      </c>
      <c r="H365" s="8" t="s">
        <v>1613</v>
      </c>
      <c r="I365" s="8" t="s">
        <v>59</v>
      </c>
      <c r="J365" s="8" t="s">
        <v>31</v>
      </c>
      <c r="K365" s="8" t="s">
        <v>122</v>
      </c>
      <c r="L365" s="8" t="s">
        <v>227</v>
      </c>
      <c r="M365" s="8">
        <v>20</v>
      </c>
      <c r="N365" s="8">
        <v>20</v>
      </c>
      <c r="O365" s="8">
        <v>20</v>
      </c>
      <c r="P365" s="8">
        <v>320</v>
      </c>
      <c r="Q365" s="8">
        <v>5</v>
      </c>
      <c r="R365" s="8" t="s">
        <v>79</v>
      </c>
      <c r="S365" s="8" t="s">
        <v>115</v>
      </c>
      <c r="T365" s="8" t="s">
        <v>62</v>
      </c>
      <c r="U365" s="9" t="s">
        <v>1614</v>
      </c>
      <c r="V365" s="8" t="s">
        <v>64</v>
      </c>
    </row>
    <row r="366" spans="1:22">
      <c r="A366" s="3" t="s">
        <v>1615</v>
      </c>
      <c r="B366" s="4" t="s">
        <v>100</v>
      </c>
      <c r="C366" s="4" t="s">
        <v>72</v>
      </c>
      <c r="D366" s="4" t="s">
        <v>210</v>
      </c>
      <c r="E366" s="4" t="s">
        <v>1616</v>
      </c>
      <c r="F366" s="4" t="s">
        <v>103</v>
      </c>
      <c r="G366" s="4" t="s">
        <v>28</v>
      </c>
      <c r="H366" s="4" t="s">
        <v>1617</v>
      </c>
      <c r="I366" s="4" t="s">
        <v>30</v>
      </c>
      <c r="J366" s="4" t="s">
        <v>31</v>
      </c>
      <c r="K366" s="4" t="s">
        <v>46</v>
      </c>
      <c r="L366" s="4" t="s">
        <v>78</v>
      </c>
      <c r="M366" s="4">
        <v>19</v>
      </c>
      <c r="N366" s="4">
        <v>1200</v>
      </c>
      <c r="O366" s="4">
        <v>5</v>
      </c>
      <c r="P366" s="4">
        <v>21660</v>
      </c>
      <c r="Q366" s="4">
        <v>3</v>
      </c>
      <c r="R366" s="4" t="s">
        <v>79</v>
      </c>
      <c r="S366" s="4" t="s">
        <v>35</v>
      </c>
      <c r="T366" s="4" t="s">
        <v>144</v>
      </c>
      <c r="U366" s="6" t="s">
        <v>1618</v>
      </c>
      <c r="V366" s="4" t="s">
        <v>64</v>
      </c>
    </row>
    <row r="367" spans="1:22">
      <c r="A367" s="7" t="s">
        <v>1619</v>
      </c>
      <c r="B367" s="8" t="s">
        <v>53</v>
      </c>
      <c r="C367" s="8" t="s">
        <v>222</v>
      </c>
      <c r="D367" s="8" t="s">
        <v>1620</v>
      </c>
      <c r="E367" s="8" t="s">
        <v>302</v>
      </c>
      <c r="F367" s="8" t="s">
        <v>163</v>
      </c>
      <c r="G367" s="8" t="s">
        <v>28</v>
      </c>
      <c r="H367" s="8" t="s">
        <v>1621</v>
      </c>
      <c r="I367" s="8" t="s">
        <v>30</v>
      </c>
      <c r="J367" s="8" t="s">
        <v>31</v>
      </c>
      <c r="K367" s="8" t="s">
        <v>122</v>
      </c>
      <c r="L367" s="8" t="s">
        <v>227</v>
      </c>
      <c r="M367" s="8">
        <v>5</v>
      </c>
      <c r="N367" s="8">
        <v>20</v>
      </c>
      <c r="O367" s="8">
        <v>0</v>
      </c>
      <c r="P367" s="8">
        <v>100</v>
      </c>
      <c r="Q367" s="8">
        <v>2</v>
      </c>
      <c r="R367" s="8" t="s">
        <v>88</v>
      </c>
      <c r="S367" s="8" t="s">
        <v>49</v>
      </c>
      <c r="T367" s="8" t="s">
        <v>62</v>
      </c>
      <c r="U367" s="9" t="s">
        <v>1622</v>
      </c>
      <c r="V367" s="8" t="s">
        <v>64</v>
      </c>
    </row>
    <row r="368" spans="1:22">
      <c r="A368" s="3" t="s">
        <v>1623</v>
      </c>
      <c r="B368" s="4" t="s">
        <v>100</v>
      </c>
      <c r="C368" s="4" t="s">
        <v>259</v>
      </c>
      <c r="D368" s="4" t="s">
        <v>797</v>
      </c>
      <c r="E368" s="4" t="s">
        <v>543</v>
      </c>
      <c r="F368" s="4" t="s">
        <v>103</v>
      </c>
      <c r="G368" s="4" t="s">
        <v>28</v>
      </c>
      <c r="H368" s="4" t="s">
        <v>1624</v>
      </c>
      <c r="I368" s="4" t="s">
        <v>212</v>
      </c>
      <c r="J368" s="4" t="s">
        <v>45</v>
      </c>
      <c r="K368" s="4" t="s">
        <v>122</v>
      </c>
      <c r="L368" s="4" t="s">
        <v>263</v>
      </c>
      <c r="M368" s="4">
        <v>16</v>
      </c>
      <c r="N368" s="4">
        <v>45</v>
      </c>
      <c r="O368" s="4">
        <v>15</v>
      </c>
      <c r="P368" s="4">
        <v>612</v>
      </c>
      <c r="Q368" s="4">
        <v>5</v>
      </c>
      <c r="R368" s="4" t="s">
        <v>34</v>
      </c>
      <c r="S368" s="4" t="s">
        <v>61</v>
      </c>
      <c r="T368" s="4" t="s">
        <v>144</v>
      </c>
      <c r="U368" s="6" t="s">
        <v>1625</v>
      </c>
      <c r="V368" s="4" t="s">
        <v>69</v>
      </c>
    </row>
    <row r="369" spans="1:22">
      <c r="A369" s="7" t="s">
        <v>1626</v>
      </c>
      <c r="B369" s="8" t="s">
        <v>23</v>
      </c>
      <c r="C369" s="8" t="s">
        <v>24</v>
      </c>
      <c r="D369" s="8" t="s">
        <v>1263</v>
      </c>
      <c r="E369" s="8" t="s">
        <v>944</v>
      </c>
      <c r="F369" s="8" t="s">
        <v>27</v>
      </c>
      <c r="G369" s="8" t="s">
        <v>28</v>
      </c>
      <c r="H369" s="8" t="s">
        <v>1627</v>
      </c>
      <c r="I369" s="8" t="s">
        <v>212</v>
      </c>
      <c r="J369" s="8" t="s">
        <v>45</v>
      </c>
      <c r="K369" s="8" t="s">
        <v>32</v>
      </c>
      <c r="L369" s="8" t="s">
        <v>33</v>
      </c>
      <c r="M369" s="8">
        <v>1</v>
      </c>
      <c r="N369" s="8">
        <v>2200</v>
      </c>
      <c r="O369" s="8">
        <v>10</v>
      </c>
      <c r="P369" s="8">
        <v>1980</v>
      </c>
      <c r="Q369" s="8">
        <v>5</v>
      </c>
      <c r="R369" s="8" t="s">
        <v>79</v>
      </c>
      <c r="S369" s="8" t="s">
        <v>49</v>
      </c>
      <c r="T369" s="8" t="s">
        <v>50</v>
      </c>
      <c r="U369" s="9" t="s">
        <v>1628</v>
      </c>
      <c r="V369" s="8" t="s">
        <v>38</v>
      </c>
    </row>
    <row r="370" spans="1:22">
      <c r="A370" s="3" t="s">
        <v>1629</v>
      </c>
      <c r="B370" s="4" t="s">
        <v>53</v>
      </c>
      <c r="C370" s="4" t="s">
        <v>118</v>
      </c>
      <c r="D370" s="4" t="s">
        <v>891</v>
      </c>
      <c r="E370" s="4" t="s">
        <v>1630</v>
      </c>
      <c r="F370" s="4" t="s">
        <v>163</v>
      </c>
      <c r="G370" s="4" t="s">
        <v>28</v>
      </c>
      <c r="H370" s="4" t="s">
        <v>1631</v>
      </c>
      <c r="I370" s="4" t="s">
        <v>30</v>
      </c>
      <c r="J370" s="4" t="s">
        <v>31</v>
      </c>
      <c r="K370" s="4" t="s">
        <v>122</v>
      </c>
      <c r="L370" s="4" t="s">
        <v>123</v>
      </c>
      <c r="M370" s="4">
        <v>19</v>
      </c>
      <c r="N370" s="4">
        <v>60</v>
      </c>
      <c r="O370" s="4">
        <v>15</v>
      </c>
      <c r="P370" s="4">
        <v>969</v>
      </c>
      <c r="Q370" s="4">
        <v>4</v>
      </c>
      <c r="R370" s="4" t="s">
        <v>48</v>
      </c>
      <c r="S370" s="4" t="s">
        <v>115</v>
      </c>
      <c r="T370" s="4" t="s">
        <v>62</v>
      </c>
      <c r="U370" s="6" t="s">
        <v>1632</v>
      </c>
      <c r="V370" s="4" t="s">
        <v>69</v>
      </c>
    </row>
    <row r="371" spans="1:22">
      <c r="A371" s="7" t="s">
        <v>1633</v>
      </c>
      <c r="B371" s="8" t="s">
        <v>327</v>
      </c>
      <c r="C371" s="8" t="s">
        <v>54</v>
      </c>
      <c r="D371" s="8"/>
      <c r="E371" s="8" t="s">
        <v>1634</v>
      </c>
      <c r="F371" s="8" t="s">
        <v>394</v>
      </c>
      <c r="G371" s="8" t="s">
        <v>76</v>
      </c>
      <c r="H371" s="8" t="s">
        <v>1635</v>
      </c>
      <c r="I371" s="8" t="s">
        <v>44</v>
      </c>
      <c r="J371" s="8" t="s">
        <v>45</v>
      </c>
      <c r="K371" s="8" t="s">
        <v>46</v>
      </c>
      <c r="L371" s="8" t="s">
        <v>60</v>
      </c>
      <c r="M371" s="8">
        <v>15</v>
      </c>
      <c r="N371" s="8">
        <v>55000</v>
      </c>
      <c r="O371" s="8">
        <v>0</v>
      </c>
      <c r="P371" s="8">
        <v>825000</v>
      </c>
      <c r="Q371" s="8">
        <v>5</v>
      </c>
      <c r="R371" s="8" t="s">
        <v>79</v>
      </c>
      <c r="S371" s="8" t="s">
        <v>115</v>
      </c>
      <c r="T371" s="8" t="s">
        <v>332</v>
      </c>
      <c r="U371" s="9" t="s">
        <v>1636</v>
      </c>
      <c r="V371" s="8" t="s">
        <v>69</v>
      </c>
    </row>
    <row r="372" spans="1:22">
      <c r="A372" s="3" t="s">
        <v>1637</v>
      </c>
      <c r="B372" s="4" t="s">
        <v>71</v>
      </c>
      <c r="C372" s="4" t="s">
        <v>259</v>
      </c>
      <c r="D372" s="4" t="s">
        <v>941</v>
      </c>
      <c r="E372" s="4" t="s">
        <v>1638</v>
      </c>
      <c r="F372" s="4" t="s">
        <v>217</v>
      </c>
      <c r="G372" s="4" t="s">
        <v>76</v>
      </c>
      <c r="H372" s="4" t="s">
        <v>1639</v>
      </c>
      <c r="I372" s="4" t="s">
        <v>59</v>
      </c>
      <c r="J372" s="4" t="s">
        <v>31</v>
      </c>
      <c r="K372" s="4" t="s">
        <v>122</v>
      </c>
      <c r="L372" s="4" t="s">
        <v>263</v>
      </c>
      <c r="M372" s="4">
        <v>11</v>
      </c>
      <c r="N372" s="4">
        <v>45</v>
      </c>
      <c r="O372" s="4">
        <v>5</v>
      </c>
      <c r="P372" s="4">
        <v>470.25</v>
      </c>
      <c r="Q372" s="4">
        <v>5</v>
      </c>
      <c r="R372" s="4" t="s">
        <v>48</v>
      </c>
      <c r="S372" s="4" t="s">
        <v>151</v>
      </c>
      <c r="T372" s="4" t="s">
        <v>80</v>
      </c>
      <c r="U372" s="6" t="s">
        <v>1640</v>
      </c>
      <c r="V372" s="4" t="s">
        <v>38</v>
      </c>
    </row>
    <row r="373" spans="1:22">
      <c r="A373" s="7" t="s">
        <v>1641</v>
      </c>
      <c r="B373" s="8" t="s">
        <v>251</v>
      </c>
      <c r="C373" s="8" t="s">
        <v>222</v>
      </c>
      <c r="D373" s="8" t="s">
        <v>1642</v>
      </c>
      <c r="E373" s="8" t="s">
        <v>1643</v>
      </c>
      <c r="F373" s="8" t="s">
        <v>254</v>
      </c>
      <c r="G373" s="8" t="s">
        <v>28</v>
      </c>
      <c r="H373" s="8" t="s">
        <v>1644</v>
      </c>
      <c r="I373" s="8" t="s">
        <v>212</v>
      </c>
      <c r="J373" s="8" t="s">
        <v>45</v>
      </c>
      <c r="K373" s="8" t="s">
        <v>122</v>
      </c>
      <c r="L373" s="8" t="s">
        <v>227</v>
      </c>
      <c r="M373" s="8">
        <v>9</v>
      </c>
      <c r="N373" s="8">
        <v>20</v>
      </c>
      <c r="O373" s="8">
        <v>10</v>
      </c>
      <c r="P373" s="8">
        <v>162</v>
      </c>
      <c r="Q373" s="8">
        <v>1</v>
      </c>
      <c r="R373" s="8" t="s">
        <v>79</v>
      </c>
      <c r="S373" s="8" t="s">
        <v>49</v>
      </c>
      <c r="T373" s="8" t="s">
        <v>256</v>
      </c>
      <c r="U373" s="9" t="s">
        <v>1645</v>
      </c>
      <c r="V373" s="8" t="s">
        <v>69</v>
      </c>
    </row>
    <row r="374" spans="1:22">
      <c r="A374" s="3" t="s">
        <v>1646</v>
      </c>
      <c r="B374" s="4" t="s">
        <v>168</v>
      </c>
      <c r="C374" s="4" t="s">
        <v>259</v>
      </c>
      <c r="D374" s="4" t="s">
        <v>645</v>
      </c>
      <c r="E374" s="4" t="s">
        <v>980</v>
      </c>
      <c r="F374" s="4" t="s">
        <v>361</v>
      </c>
      <c r="G374" s="4" t="s">
        <v>28</v>
      </c>
      <c r="H374" s="4" t="s">
        <v>1647</v>
      </c>
      <c r="I374" s="4" t="s">
        <v>59</v>
      </c>
      <c r="J374" s="4" t="s">
        <v>31</v>
      </c>
      <c r="K374" s="4" t="s">
        <v>122</v>
      </c>
      <c r="L374" s="4" t="s">
        <v>263</v>
      </c>
      <c r="M374" s="4">
        <v>5</v>
      </c>
      <c r="N374" s="4">
        <v>45</v>
      </c>
      <c r="O374" s="4">
        <v>5</v>
      </c>
      <c r="P374" s="4">
        <v>213.75</v>
      </c>
      <c r="Q374" s="4">
        <v>3</v>
      </c>
      <c r="R374" s="4" t="s">
        <v>79</v>
      </c>
      <c r="S374" s="4" t="s">
        <v>115</v>
      </c>
      <c r="T374" s="4" t="s">
        <v>175</v>
      </c>
      <c r="U374" s="6" t="s">
        <v>1648</v>
      </c>
      <c r="V374" s="4" t="s">
        <v>64</v>
      </c>
    </row>
    <row r="375" spans="1:22">
      <c r="A375" s="7" t="s">
        <v>1649</v>
      </c>
      <c r="B375" s="8" t="s">
        <v>83</v>
      </c>
      <c r="C375" s="8" t="s">
        <v>184</v>
      </c>
      <c r="D375" s="8" t="s">
        <v>1650</v>
      </c>
      <c r="E375" s="8" t="s">
        <v>1102</v>
      </c>
      <c r="F375" s="8" t="s">
        <v>180</v>
      </c>
      <c r="G375" s="8" t="s">
        <v>76</v>
      </c>
      <c r="H375" s="8" t="s">
        <v>1651</v>
      </c>
      <c r="I375" s="8" t="s">
        <v>30</v>
      </c>
      <c r="J375" s="8" t="s">
        <v>31</v>
      </c>
      <c r="K375" s="8" t="s">
        <v>46</v>
      </c>
      <c r="L375" s="8" t="s">
        <v>189</v>
      </c>
      <c r="M375" s="8">
        <v>5</v>
      </c>
      <c r="N375" s="8">
        <v>700</v>
      </c>
      <c r="O375" s="8">
        <v>10</v>
      </c>
      <c r="P375" s="8">
        <v>3150</v>
      </c>
      <c r="Q375" s="8">
        <v>2</v>
      </c>
      <c r="R375" s="8" t="s">
        <v>88</v>
      </c>
      <c r="S375" s="8" t="s">
        <v>49</v>
      </c>
      <c r="T375" s="8" t="s">
        <v>89</v>
      </c>
      <c r="U375" s="9" t="s">
        <v>1652</v>
      </c>
      <c r="V375" s="8" t="s">
        <v>38</v>
      </c>
    </row>
    <row r="376" spans="1:22">
      <c r="A376" s="3" t="s">
        <v>1653</v>
      </c>
      <c r="B376" s="4" t="s">
        <v>221</v>
      </c>
      <c r="C376" s="4" t="s">
        <v>184</v>
      </c>
      <c r="D376" s="4" t="s">
        <v>957</v>
      </c>
      <c r="E376" s="4" t="s">
        <v>1654</v>
      </c>
      <c r="F376" s="4" t="s">
        <v>225</v>
      </c>
      <c r="G376" s="4" t="s">
        <v>76</v>
      </c>
      <c r="H376" s="4" t="s">
        <v>1655</v>
      </c>
      <c r="I376" s="4" t="s">
        <v>294</v>
      </c>
      <c r="J376" s="4" t="s">
        <v>295</v>
      </c>
      <c r="K376" s="4" t="s">
        <v>46</v>
      </c>
      <c r="L376" s="4" t="s">
        <v>189</v>
      </c>
      <c r="M376" s="4">
        <v>1</v>
      </c>
      <c r="N376" s="4">
        <v>700</v>
      </c>
      <c r="O376" s="4">
        <v>0</v>
      </c>
      <c r="P376" s="4">
        <v>700</v>
      </c>
      <c r="Q376" s="4">
        <v>1</v>
      </c>
      <c r="R376" s="4" t="s">
        <v>88</v>
      </c>
      <c r="S376" s="4" t="s">
        <v>151</v>
      </c>
      <c r="T376" s="4" t="s">
        <v>228</v>
      </c>
      <c r="U376" s="6" t="s">
        <v>1656</v>
      </c>
      <c r="V376" s="4" t="s">
        <v>38</v>
      </c>
    </row>
    <row r="377" spans="1:22">
      <c r="A377" s="7" t="s">
        <v>1657</v>
      </c>
      <c r="B377" s="8" t="s">
        <v>23</v>
      </c>
      <c r="C377" s="8" t="s">
        <v>184</v>
      </c>
      <c r="D377" s="8" t="s">
        <v>1368</v>
      </c>
      <c r="E377" s="8" t="s">
        <v>923</v>
      </c>
      <c r="F377" s="8" t="s">
        <v>27</v>
      </c>
      <c r="G377" s="8" t="s">
        <v>28</v>
      </c>
      <c r="H377" s="8" t="s">
        <v>1658</v>
      </c>
      <c r="I377" s="8" t="s">
        <v>105</v>
      </c>
      <c r="J377" s="8" t="s">
        <v>106</v>
      </c>
      <c r="K377" s="8" t="s">
        <v>46</v>
      </c>
      <c r="L377" s="8" t="s">
        <v>189</v>
      </c>
      <c r="M377" s="8">
        <v>13</v>
      </c>
      <c r="N377" s="8">
        <v>700</v>
      </c>
      <c r="O377" s="8">
        <v>20</v>
      </c>
      <c r="P377" s="8">
        <v>7280</v>
      </c>
      <c r="Q377" s="8">
        <v>2</v>
      </c>
      <c r="R377" s="8" t="s">
        <v>79</v>
      </c>
      <c r="S377" s="8" t="s">
        <v>35</v>
      </c>
      <c r="T377" s="8" t="s">
        <v>50</v>
      </c>
      <c r="U377" s="9" t="s">
        <v>1659</v>
      </c>
      <c r="V377" s="8" t="s">
        <v>38</v>
      </c>
    </row>
    <row r="378" spans="1:22">
      <c r="A378" s="3" t="s">
        <v>1660</v>
      </c>
      <c r="B378" s="4" t="s">
        <v>71</v>
      </c>
      <c r="C378" s="4" t="s">
        <v>40</v>
      </c>
      <c r="D378" s="4" t="s">
        <v>1153</v>
      </c>
      <c r="E378" s="4" t="s">
        <v>303</v>
      </c>
      <c r="F378" s="4" t="s">
        <v>217</v>
      </c>
      <c r="G378" s="4" t="s">
        <v>76</v>
      </c>
      <c r="H378" s="4" t="s">
        <v>1661</v>
      </c>
      <c r="I378" s="4" t="s">
        <v>114</v>
      </c>
      <c r="J378" s="4" t="s">
        <v>106</v>
      </c>
      <c r="K378" s="4" t="s">
        <v>46</v>
      </c>
      <c r="L378" s="4" t="s">
        <v>47</v>
      </c>
      <c r="M378" s="4">
        <v>20</v>
      </c>
      <c r="N378" s="4">
        <v>12000</v>
      </c>
      <c r="O378" s="4">
        <v>0</v>
      </c>
      <c r="P378" s="4">
        <v>240000</v>
      </c>
      <c r="Q378" s="4">
        <v>2</v>
      </c>
      <c r="R378" s="4" t="s">
        <v>79</v>
      </c>
      <c r="S378" s="4" t="s">
        <v>115</v>
      </c>
      <c r="T378" s="4" t="s">
        <v>80</v>
      </c>
      <c r="U378" s="6" t="s">
        <v>1662</v>
      </c>
      <c r="V378" s="4" t="s">
        <v>38</v>
      </c>
    </row>
    <row r="379" spans="1:22">
      <c r="A379" s="7" t="s">
        <v>1663</v>
      </c>
      <c r="B379" s="8" t="s">
        <v>83</v>
      </c>
      <c r="C379" s="8" t="s">
        <v>72</v>
      </c>
      <c r="D379" s="8" t="s">
        <v>1198</v>
      </c>
      <c r="E379" s="8" t="s">
        <v>712</v>
      </c>
      <c r="F379" s="8" t="s">
        <v>180</v>
      </c>
      <c r="G379" s="8" t="s">
        <v>76</v>
      </c>
      <c r="H379" s="8" t="s">
        <v>1664</v>
      </c>
      <c r="I379" s="8" t="s">
        <v>294</v>
      </c>
      <c r="J379" s="8" t="s">
        <v>295</v>
      </c>
      <c r="K379" s="8" t="s">
        <v>46</v>
      </c>
      <c r="L379" s="8" t="s">
        <v>78</v>
      </c>
      <c r="M379" s="8">
        <v>9</v>
      </c>
      <c r="N379" s="8">
        <v>1200</v>
      </c>
      <c r="O379" s="8">
        <v>15</v>
      </c>
      <c r="P379" s="8">
        <v>9180</v>
      </c>
      <c r="Q379" s="8">
        <v>1</v>
      </c>
      <c r="R379" s="8" t="s">
        <v>88</v>
      </c>
      <c r="S379" s="8" t="s">
        <v>35</v>
      </c>
      <c r="T379" s="8" t="s">
        <v>89</v>
      </c>
      <c r="U379" s="9" t="s">
        <v>1665</v>
      </c>
      <c r="V379" s="8" t="s">
        <v>64</v>
      </c>
    </row>
    <row r="380" spans="1:22">
      <c r="A380" s="3" t="s">
        <v>1666</v>
      </c>
      <c r="B380" s="4" t="s">
        <v>83</v>
      </c>
      <c r="C380" s="4" t="s">
        <v>222</v>
      </c>
      <c r="D380" s="4" t="s">
        <v>1221</v>
      </c>
      <c r="E380" s="4" t="s">
        <v>1667</v>
      </c>
      <c r="F380" s="4" t="s">
        <v>180</v>
      </c>
      <c r="G380" s="4" t="s">
        <v>76</v>
      </c>
      <c r="H380" s="4" t="s">
        <v>1668</v>
      </c>
      <c r="I380" s="4" t="s">
        <v>212</v>
      </c>
      <c r="J380" s="4" t="s">
        <v>45</v>
      </c>
      <c r="K380" s="4" t="s">
        <v>122</v>
      </c>
      <c r="L380" s="4" t="s">
        <v>227</v>
      </c>
      <c r="M380" s="4">
        <v>3</v>
      </c>
      <c r="N380" s="4">
        <v>20</v>
      </c>
      <c r="O380" s="4">
        <v>15</v>
      </c>
      <c r="P380" s="4">
        <v>51</v>
      </c>
      <c r="Q380" s="4">
        <v>3</v>
      </c>
      <c r="R380" s="4" t="s">
        <v>34</v>
      </c>
      <c r="S380" s="4" t="s">
        <v>115</v>
      </c>
      <c r="T380" s="4" t="s">
        <v>89</v>
      </c>
      <c r="U380" s="6" t="s">
        <v>1669</v>
      </c>
      <c r="V380" s="4" t="s">
        <v>64</v>
      </c>
    </row>
    <row r="381" spans="1:22">
      <c r="A381" s="7" t="s">
        <v>1670</v>
      </c>
      <c r="B381" s="8" t="s">
        <v>251</v>
      </c>
      <c r="C381" s="8" t="s">
        <v>54</v>
      </c>
      <c r="D381" s="8" t="s">
        <v>788</v>
      </c>
      <c r="E381" s="8" t="s">
        <v>455</v>
      </c>
      <c r="F381" s="8" t="s">
        <v>254</v>
      </c>
      <c r="G381" s="8" t="s">
        <v>28</v>
      </c>
      <c r="H381" s="8" t="s">
        <v>1671</v>
      </c>
      <c r="I381" s="8" t="s">
        <v>44</v>
      </c>
      <c r="J381" s="8" t="s">
        <v>45</v>
      </c>
      <c r="K381" s="8" t="s">
        <v>46</v>
      </c>
      <c r="L381" s="8" t="s">
        <v>60</v>
      </c>
      <c r="M381" s="8">
        <v>8</v>
      </c>
      <c r="N381" s="8">
        <v>55000</v>
      </c>
      <c r="O381" s="8">
        <v>20</v>
      </c>
      <c r="P381" s="8">
        <v>352000</v>
      </c>
      <c r="Q381" s="8">
        <v>5</v>
      </c>
      <c r="R381" s="8" t="s">
        <v>79</v>
      </c>
      <c r="S381" s="8" t="s">
        <v>151</v>
      </c>
      <c r="T381" s="8" t="s">
        <v>256</v>
      </c>
      <c r="U381" s="9" t="s">
        <v>1672</v>
      </c>
      <c r="V381" s="8" t="s">
        <v>64</v>
      </c>
    </row>
    <row r="382" spans="1:22">
      <c r="A382" s="3" t="s">
        <v>1673</v>
      </c>
      <c r="B382" s="4" t="s">
        <v>251</v>
      </c>
      <c r="C382" s="4" t="s">
        <v>118</v>
      </c>
      <c r="D382" s="4" t="s">
        <v>1311</v>
      </c>
      <c r="E382" s="4" t="s">
        <v>74</v>
      </c>
      <c r="F382" s="4" t="s">
        <v>254</v>
      </c>
      <c r="G382" s="4" t="s">
        <v>28</v>
      </c>
      <c r="H382" s="4" t="s">
        <v>1674</v>
      </c>
      <c r="I382" s="4" t="s">
        <v>44</v>
      </c>
      <c r="J382" s="4" t="s">
        <v>45</v>
      </c>
      <c r="K382" s="4" t="s">
        <v>122</v>
      </c>
      <c r="L382" s="4" t="s">
        <v>123</v>
      </c>
      <c r="M382" s="4">
        <v>17</v>
      </c>
      <c r="N382" s="4">
        <v>60</v>
      </c>
      <c r="O382" s="4">
        <v>20</v>
      </c>
      <c r="P382" s="4">
        <v>816</v>
      </c>
      <c r="Q382" s="4">
        <v>1</v>
      </c>
      <c r="R382" s="4" t="s">
        <v>88</v>
      </c>
      <c r="S382" s="4" t="s">
        <v>35</v>
      </c>
      <c r="T382" s="4" t="s">
        <v>256</v>
      </c>
      <c r="U382" s="6" t="s">
        <v>1675</v>
      </c>
      <c r="V382" s="4" t="s">
        <v>64</v>
      </c>
    </row>
    <row r="383" spans="1:22">
      <c r="A383" s="7" t="s">
        <v>1676</v>
      </c>
      <c r="B383" s="8" t="s">
        <v>127</v>
      </c>
      <c r="C383" s="8" t="s">
        <v>222</v>
      </c>
      <c r="D383" s="8" t="s">
        <v>1677</v>
      </c>
      <c r="E383" s="8" t="s">
        <v>236</v>
      </c>
      <c r="F383" s="8" t="s">
        <v>200</v>
      </c>
      <c r="G383" s="8" t="s">
        <v>76</v>
      </c>
      <c r="H383" s="8" t="s">
        <v>1678</v>
      </c>
      <c r="I383" s="8" t="s">
        <v>59</v>
      </c>
      <c r="J383" s="8" t="s">
        <v>31</v>
      </c>
      <c r="K383" s="8" t="s">
        <v>122</v>
      </c>
      <c r="L383" s="8" t="s">
        <v>227</v>
      </c>
      <c r="M383" s="8">
        <v>4</v>
      </c>
      <c r="N383" s="8">
        <v>20</v>
      </c>
      <c r="O383" s="8">
        <v>15</v>
      </c>
      <c r="P383" s="8">
        <v>68</v>
      </c>
      <c r="Q383" s="8">
        <v>3</v>
      </c>
      <c r="R383" s="8" t="s">
        <v>48</v>
      </c>
      <c r="S383" s="8" t="s">
        <v>61</v>
      </c>
      <c r="T383" s="8" t="s">
        <v>132</v>
      </c>
      <c r="U383" s="9" t="s">
        <v>1679</v>
      </c>
      <c r="V383" s="8" t="s">
        <v>64</v>
      </c>
    </row>
    <row r="384" spans="1:22">
      <c r="A384" s="3" t="s">
        <v>1680</v>
      </c>
      <c r="B384" s="4" t="s">
        <v>127</v>
      </c>
      <c r="C384" s="4" t="s">
        <v>24</v>
      </c>
      <c r="D384" s="4" t="s">
        <v>1360</v>
      </c>
      <c r="E384" s="4" t="s">
        <v>775</v>
      </c>
      <c r="F384" s="4" t="s">
        <v>1681</v>
      </c>
      <c r="G384" s="4" t="s">
        <v>76</v>
      </c>
      <c r="H384" s="4" t="s">
        <v>1682</v>
      </c>
      <c r="I384" s="4" t="s">
        <v>294</v>
      </c>
      <c r="J384" s="4" t="s">
        <v>295</v>
      </c>
      <c r="K384" s="4" t="s">
        <v>32</v>
      </c>
      <c r="L384" s="4" t="s">
        <v>33</v>
      </c>
      <c r="M384" s="4">
        <v>2</v>
      </c>
      <c r="N384" s="4">
        <v>2200</v>
      </c>
      <c r="O384" s="4">
        <v>10</v>
      </c>
      <c r="P384" s="4">
        <v>3960</v>
      </c>
      <c r="Q384" s="4">
        <v>2</v>
      </c>
      <c r="R384" s="4" t="s">
        <v>88</v>
      </c>
      <c r="S384" s="4" t="s">
        <v>49</v>
      </c>
      <c r="T384" s="4" t="s">
        <v>132</v>
      </c>
      <c r="U384" s="6" t="s">
        <v>1683</v>
      </c>
      <c r="V384" s="4" t="s">
        <v>64</v>
      </c>
    </row>
    <row r="385" spans="1:22">
      <c r="A385" s="7" t="s">
        <v>1684</v>
      </c>
      <c r="B385" s="8" t="s">
        <v>221</v>
      </c>
      <c r="C385" s="8" t="s">
        <v>118</v>
      </c>
      <c r="D385" s="8" t="s">
        <v>366</v>
      </c>
      <c r="E385" s="8" t="s">
        <v>539</v>
      </c>
      <c r="F385" s="8" t="s">
        <v>225</v>
      </c>
      <c r="G385" s="8" t="s">
        <v>76</v>
      </c>
      <c r="H385" s="8" t="s">
        <v>1685</v>
      </c>
      <c r="I385" s="8" t="s">
        <v>59</v>
      </c>
      <c r="J385" s="8" t="s">
        <v>31</v>
      </c>
      <c r="K385" s="8" t="s">
        <v>122</v>
      </c>
      <c r="L385" s="8" t="s">
        <v>123</v>
      </c>
      <c r="M385" s="8">
        <v>5</v>
      </c>
      <c r="N385" s="8">
        <v>60</v>
      </c>
      <c r="O385" s="8">
        <v>5</v>
      </c>
      <c r="P385" s="8">
        <v>285</v>
      </c>
      <c r="Q385" s="8">
        <v>1</v>
      </c>
      <c r="R385" s="8" t="s">
        <v>88</v>
      </c>
      <c r="S385" s="8" t="s">
        <v>35</v>
      </c>
      <c r="T385" s="8" t="s">
        <v>228</v>
      </c>
      <c r="U385" s="9" t="s">
        <v>1686</v>
      </c>
      <c r="V385" s="8" t="s">
        <v>69</v>
      </c>
    </row>
    <row r="386" spans="1:22">
      <c r="A386" s="3" t="s">
        <v>1687</v>
      </c>
      <c r="B386" s="4" t="s">
        <v>127</v>
      </c>
      <c r="C386" s="4" t="s">
        <v>24</v>
      </c>
      <c r="D386" s="4" t="s">
        <v>1688</v>
      </c>
      <c r="E386" s="4" t="s">
        <v>1689</v>
      </c>
      <c r="F386" s="4" t="s">
        <v>200</v>
      </c>
      <c r="G386" s="4" t="s">
        <v>76</v>
      </c>
      <c r="H386" s="4" t="s">
        <v>1690</v>
      </c>
      <c r="I386" s="4" t="s">
        <v>44</v>
      </c>
      <c r="J386" s="4" t="s">
        <v>45</v>
      </c>
      <c r="K386" s="4" t="s">
        <v>32</v>
      </c>
      <c r="L386" s="4" t="s">
        <v>33</v>
      </c>
      <c r="M386" s="4">
        <v>17</v>
      </c>
      <c r="N386" s="4">
        <v>2200</v>
      </c>
      <c r="O386" s="4">
        <v>0</v>
      </c>
      <c r="P386" s="4">
        <v>37400</v>
      </c>
      <c r="Q386" s="4">
        <v>2</v>
      </c>
      <c r="R386" s="4" t="s">
        <v>88</v>
      </c>
      <c r="S386" s="4" t="s">
        <v>151</v>
      </c>
      <c r="T386" s="4" t="s">
        <v>132</v>
      </c>
      <c r="U386" s="6" t="s">
        <v>1691</v>
      </c>
      <c r="V386" s="4" t="s">
        <v>69</v>
      </c>
    </row>
    <row r="387" spans="1:22">
      <c r="A387" s="7" t="s">
        <v>1692</v>
      </c>
      <c r="B387" s="8" t="s">
        <v>168</v>
      </c>
      <c r="C387" s="8" t="s">
        <v>118</v>
      </c>
      <c r="D387" s="8" t="s">
        <v>186</v>
      </c>
      <c r="E387" s="8" t="s">
        <v>610</v>
      </c>
      <c r="F387" s="8" t="s">
        <v>361</v>
      </c>
      <c r="G387" s="8" t="s">
        <v>28</v>
      </c>
      <c r="H387" s="8" t="s">
        <v>1693</v>
      </c>
      <c r="I387" s="8" t="s">
        <v>138</v>
      </c>
      <c r="J387" s="8" t="s">
        <v>106</v>
      </c>
      <c r="K387" s="8" t="s">
        <v>122</v>
      </c>
      <c r="L387" s="8" t="s">
        <v>123</v>
      </c>
      <c r="M387" s="8">
        <v>7</v>
      </c>
      <c r="N387" s="8">
        <v>60</v>
      </c>
      <c r="O387" s="8">
        <v>0</v>
      </c>
      <c r="P387" s="8">
        <v>420</v>
      </c>
      <c r="Q387" s="8">
        <v>2</v>
      </c>
      <c r="R387" s="8" t="s">
        <v>88</v>
      </c>
      <c r="S387" s="8" t="s">
        <v>61</v>
      </c>
      <c r="T387" s="8" t="s">
        <v>175</v>
      </c>
      <c r="U387" s="9" t="s">
        <v>1694</v>
      </c>
      <c r="V387" s="8" t="s">
        <v>64</v>
      </c>
    </row>
    <row r="388" spans="1:22">
      <c r="A388" s="3" t="s">
        <v>1695</v>
      </c>
      <c r="B388" s="4" t="s">
        <v>221</v>
      </c>
      <c r="C388" s="4" t="s">
        <v>54</v>
      </c>
      <c r="D388" s="4" t="s">
        <v>702</v>
      </c>
      <c r="E388" s="4" t="s">
        <v>1696</v>
      </c>
      <c r="F388" s="4" t="s">
        <v>225</v>
      </c>
      <c r="G388" s="4" t="s">
        <v>76</v>
      </c>
      <c r="H388" s="4" t="s">
        <v>1697</v>
      </c>
      <c r="I388" s="4" t="s">
        <v>30</v>
      </c>
      <c r="J388" s="4" t="s">
        <v>31</v>
      </c>
      <c r="K388" s="4" t="s">
        <v>46</v>
      </c>
      <c r="L388" s="4" t="s">
        <v>60</v>
      </c>
      <c r="M388" s="4">
        <v>6</v>
      </c>
      <c r="N388" s="4">
        <v>55000</v>
      </c>
      <c r="O388" s="4">
        <v>5</v>
      </c>
      <c r="P388" s="4">
        <v>313500</v>
      </c>
      <c r="Q388" s="4">
        <v>4</v>
      </c>
      <c r="R388" s="4" t="s">
        <v>79</v>
      </c>
      <c r="S388" s="4" t="s">
        <v>61</v>
      </c>
      <c r="T388" s="4" t="s">
        <v>228</v>
      </c>
      <c r="U388" s="6" t="s">
        <v>1698</v>
      </c>
      <c r="V388" s="4" t="s">
        <v>38</v>
      </c>
    </row>
    <row r="389" spans="1:22">
      <c r="A389" s="7" t="s">
        <v>1699</v>
      </c>
      <c r="B389" s="8" t="s">
        <v>71</v>
      </c>
      <c r="C389" s="8" t="s">
        <v>222</v>
      </c>
      <c r="D389" s="8" t="s">
        <v>1306</v>
      </c>
      <c r="E389" s="8" t="s">
        <v>1700</v>
      </c>
      <c r="F389" s="8" t="s">
        <v>217</v>
      </c>
      <c r="G389" s="8" t="s">
        <v>76</v>
      </c>
      <c r="H389" s="8" t="s">
        <v>1701</v>
      </c>
      <c r="I389" s="8" t="s">
        <v>30</v>
      </c>
      <c r="J389" s="8" t="s">
        <v>31</v>
      </c>
      <c r="K389" s="8" t="s">
        <v>122</v>
      </c>
      <c r="L389" s="8" t="s">
        <v>227</v>
      </c>
      <c r="M389" s="8">
        <v>16</v>
      </c>
      <c r="N389" s="8">
        <v>20</v>
      </c>
      <c r="O389" s="8">
        <v>5</v>
      </c>
      <c r="P389" s="8">
        <v>304</v>
      </c>
      <c r="Q389" s="8">
        <v>1</v>
      </c>
      <c r="R389" s="8" t="s">
        <v>79</v>
      </c>
      <c r="S389" s="8" t="s">
        <v>49</v>
      </c>
      <c r="T389" s="8" t="s">
        <v>80</v>
      </c>
      <c r="U389" s="9" t="s">
        <v>1702</v>
      </c>
      <c r="V389" s="8" t="s">
        <v>38</v>
      </c>
    </row>
    <row r="390" spans="1:22">
      <c r="A390" s="3" t="s">
        <v>1703</v>
      </c>
      <c r="B390" s="4" t="s">
        <v>23</v>
      </c>
      <c r="C390" s="4" t="s">
        <v>24</v>
      </c>
      <c r="D390" s="4" t="s">
        <v>1704</v>
      </c>
      <c r="E390" s="4" t="s">
        <v>1705</v>
      </c>
      <c r="F390" s="4" t="s">
        <v>27</v>
      </c>
      <c r="G390" s="4" t="s">
        <v>28</v>
      </c>
      <c r="H390" s="4" t="s">
        <v>1706</v>
      </c>
      <c r="I390" s="4" t="s">
        <v>294</v>
      </c>
      <c r="J390" s="4" t="s">
        <v>295</v>
      </c>
      <c r="K390" s="4" t="s">
        <v>32</v>
      </c>
      <c r="L390" s="4" t="s">
        <v>33</v>
      </c>
      <c r="M390" s="4">
        <v>11</v>
      </c>
      <c r="N390" s="4">
        <v>2200</v>
      </c>
      <c r="O390" s="4">
        <v>15</v>
      </c>
      <c r="P390" s="4">
        <v>20570</v>
      </c>
      <c r="Q390" s="4">
        <v>1</v>
      </c>
      <c r="R390" s="4" t="s">
        <v>48</v>
      </c>
      <c r="S390" s="4" t="s">
        <v>115</v>
      </c>
      <c r="T390" s="4" t="s">
        <v>50</v>
      </c>
      <c r="U390" s="6" t="s">
        <v>1707</v>
      </c>
      <c r="V390" s="4" t="s">
        <v>69</v>
      </c>
    </row>
    <row r="391" spans="1:22">
      <c r="A391" s="7" t="s">
        <v>1708</v>
      </c>
      <c r="B391" s="8" t="s">
        <v>100</v>
      </c>
      <c r="C391" s="8" t="s">
        <v>222</v>
      </c>
      <c r="D391" s="8" t="s">
        <v>1069</v>
      </c>
      <c r="E391" s="8" t="s">
        <v>1409</v>
      </c>
      <c r="F391" s="8" t="s">
        <v>103</v>
      </c>
      <c r="G391" s="8" t="s">
        <v>28</v>
      </c>
      <c r="H391" s="8" t="s">
        <v>1709</v>
      </c>
      <c r="I391" s="8" t="s">
        <v>114</v>
      </c>
      <c r="J391" s="8" t="s">
        <v>106</v>
      </c>
      <c r="K391" s="8" t="s">
        <v>122</v>
      </c>
      <c r="L391" s="8" t="s">
        <v>227</v>
      </c>
      <c r="M391" s="8">
        <v>19</v>
      </c>
      <c r="N391" s="8">
        <v>20</v>
      </c>
      <c r="O391" s="8">
        <v>5</v>
      </c>
      <c r="P391" s="8">
        <v>361</v>
      </c>
      <c r="Q391" s="8">
        <v>4</v>
      </c>
      <c r="R391" s="8" t="s">
        <v>88</v>
      </c>
      <c r="S391" s="8" t="s">
        <v>35</v>
      </c>
      <c r="T391" s="8" t="s">
        <v>144</v>
      </c>
      <c r="U391" s="9" t="s">
        <v>1710</v>
      </c>
      <c r="V391" s="8" t="s">
        <v>64</v>
      </c>
    </row>
    <row r="392" spans="1:22">
      <c r="A392" s="3" t="s">
        <v>1711</v>
      </c>
      <c r="B392" s="4" t="s">
        <v>100</v>
      </c>
      <c r="C392" s="4" t="s">
        <v>72</v>
      </c>
      <c r="D392" s="4" t="s">
        <v>1712</v>
      </c>
      <c r="E392" s="4" t="s">
        <v>1713</v>
      </c>
      <c r="F392" s="4" t="s">
        <v>103</v>
      </c>
      <c r="G392" s="4" t="s">
        <v>28</v>
      </c>
      <c r="H392" s="4" t="s">
        <v>1714</v>
      </c>
      <c r="I392" s="4" t="s">
        <v>114</v>
      </c>
      <c r="J392" s="4" t="s">
        <v>106</v>
      </c>
      <c r="K392" s="4" t="s">
        <v>46</v>
      </c>
      <c r="L392" s="4" t="s">
        <v>78</v>
      </c>
      <c r="M392" s="4">
        <v>20</v>
      </c>
      <c r="N392" s="4">
        <v>1200</v>
      </c>
      <c r="O392" s="4">
        <v>15</v>
      </c>
      <c r="P392" s="4">
        <v>20400</v>
      </c>
      <c r="Q392" s="4">
        <v>4</v>
      </c>
      <c r="R392" s="4" t="s">
        <v>79</v>
      </c>
      <c r="S392" s="4" t="s">
        <v>35</v>
      </c>
      <c r="T392" s="4" t="s">
        <v>144</v>
      </c>
      <c r="U392" s="6" t="s">
        <v>1715</v>
      </c>
      <c r="V392" s="4" t="s">
        <v>64</v>
      </c>
    </row>
    <row r="393" spans="1:22">
      <c r="A393" s="7" t="s">
        <v>1716</v>
      </c>
      <c r="B393" s="8" t="s">
        <v>53</v>
      </c>
      <c r="C393" s="8" t="s">
        <v>222</v>
      </c>
      <c r="D393" s="8" t="s">
        <v>1717</v>
      </c>
      <c r="E393" s="8" t="s">
        <v>1718</v>
      </c>
      <c r="F393" s="8" t="s">
        <v>163</v>
      </c>
      <c r="G393" s="8" t="s">
        <v>28</v>
      </c>
      <c r="H393" s="8" t="s">
        <v>1719</v>
      </c>
      <c r="I393" s="8" t="s">
        <v>30</v>
      </c>
      <c r="J393" s="8" t="s">
        <v>31</v>
      </c>
      <c r="K393" s="8" t="s">
        <v>122</v>
      </c>
      <c r="L393" s="8" t="s">
        <v>227</v>
      </c>
      <c r="M393" s="8">
        <v>13</v>
      </c>
      <c r="N393" s="8">
        <v>20</v>
      </c>
      <c r="O393" s="8">
        <v>15</v>
      </c>
      <c r="P393" s="8">
        <v>221</v>
      </c>
      <c r="Q393" s="8">
        <v>4</v>
      </c>
      <c r="R393" s="8" t="s">
        <v>34</v>
      </c>
      <c r="S393" s="8" t="s">
        <v>35</v>
      </c>
      <c r="T393" s="8" t="s">
        <v>62</v>
      </c>
      <c r="U393" s="9" t="s">
        <v>1720</v>
      </c>
      <c r="V393" s="8" t="s">
        <v>64</v>
      </c>
    </row>
    <row r="394" spans="1:22">
      <c r="A394" s="3" t="s">
        <v>1721</v>
      </c>
      <c r="B394" s="4" t="s">
        <v>251</v>
      </c>
      <c r="C394" s="4" t="s">
        <v>72</v>
      </c>
      <c r="D394" s="4" t="s">
        <v>205</v>
      </c>
      <c r="E394" s="4" t="s">
        <v>206</v>
      </c>
      <c r="F394" s="4" t="s">
        <v>254</v>
      </c>
      <c r="G394" s="4" t="s">
        <v>28</v>
      </c>
      <c r="H394" s="4" t="s">
        <v>1722</v>
      </c>
      <c r="I394" s="4" t="s">
        <v>44</v>
      </c>
      <c r="J394" s="4" t="s">
        <v>45</v>
      </c>
      <c r="K394" s="4" t="s">
        <v>46</v>
      </c>
      <c r="L394" s="4" t="s">
        <v>78</v>
      </c>
      <c r="M394" s="4">
        <v>12</v>
      </c>
      <c r="N394" s="4">
        <v>1200</v>
      </c>
      <c r="O394" s="4">
        <v>10</v>
      </c>
      <c r="P394" s="4">
        <v>12960</v>
      </c>
      <c r="Q394" s="4">
        <v>3</v>
      </c>
      <c r="R394" s="4" t="s">
        <v>48</v>
      </c>
      <c r="S394" s="4" t="s">
        <v>35</v>
      </c>
      <c r="T394" s="4" t="s">
        <v>256</v>
      </c>
      <c r="U394" s="6" t="s">
        <v>1723</v>
      </c>
      <c r="V394" s="4" t="s">
        <v>64</v>
      </c>
    </row>
    <row r="395" spans="1:22">
      <c r="A395" s="7" t="s">
        <v>1724</v>
      </c>
      <c r="B395" s="8" t="s">
        <v>100</v>
      </c>
      <c r="C395" s="8" t="s">
        <v>169</v>
      </c>
      <c r="D395" s="8" t="s">
        <v>1705</v>
      </c>
      <c r="E395" s="8" t="s">
        <v>783</v>
      </c>
      <c r="F395" s="8" t="s">
        <v>103</v>
      </c>
      <c r="G395" s="8" t="s">
        <v>28</v>
      </c>
      <c r="H395" s="8" t="s">
        <v>1725</v>
      </c>
      <c r="I395" s="8" t="s">
        <v>294</v>
      </c>
      <c r="J395" s="8" t="s">
        <v>295</v>
      </c>
      <c r="K395" s="8" t="s">
        <v>32</v>
      </c>
      <c r="L395" s="8" t="s">
        <v>174</v>
      </c>
      <c r="M395" s="8">
        <v>6</v>
      </c>
      <c r="N395" s="8">
        <v>8500</v>
      </c>
      <c r="O395" s="8">
        <v>5</v>
      </c>
      <c r="P395" s="8">
        <v>48450</v>
      </c>
      <c r="Q395" s="8">
        <v>5</v>
      </c>
      <c r="R395" s="8" t="s">
        <v>34</v>
      </c>
      <c r="S395" s="8" t="s">
        <v>115</v>
      </c>
      <c r="T395" s="8" t="s">
        <v>144</v>
      </c>
      <c r="U395" s="9" t="s">
        <v>1726</v>
      </c>
      <c r="V395" s="8" t="s">
        <v>69</v>
      </c>
    </row>
    <row r="396" spans="1:22">
      <c r="A396" s="3" t="s">
        <v>1727</v>
      </c>
      <c r="B396" s="4" t="s">
        <v>23</v>
      </c>
      <c r="C396" s="4" t="s">
        <v>169</v>
      </c>
      <c r="D396" s="4" t="s">
        <v>1302</v>
      </c>
      <c r="E396" s="4" t="s">
        <v>1728</v>
      </c>
      <c r="F396" s="4" t="s">
        <v>27</v>
      </c>
      <c r="G396" s="4" t="s">
        <v>28</v>
      </c>
      <c r="H396" s="4" t="s">
        <v>1729</v>
      </c>
      <c r="I396" s="4" t="s">
        <v>138</v>
      </c>
      <c r="J396" s="4" t="s">
        <v>106</v>
      </c>
      <c r="K396" s="4" t="s">
        <v>32</v>
      </c>
      <c r="L396" s="4" t="s">
        <v>174</v>
      </c>
      <c r="M396" s="4">
        <v>15</v>
      </c>
      <c r="N396" s="4">
        <v>8500</v>
      </c>
      <c r="O396" s="4">
        <v>10</v>
      </c>
      <c r="P396" s="4">
        <v>114750</v>
      </c>
      <c r="Q396" s="4">
        <v>1</v>
      </c>
      <c r="R396" s="4" t="s">
        <v>34</v>
      </c>
      <c r="S396" s="4" t="s">
        <v>115</v>
      </c>
      <c r="T396" s="4" t="s">
        <v>50</v>
      </c>
      <c r="U396" s="6" t="s">
        <v>1730</v>
      </c>
      <c r="V396" s="4" t="s">
        <v>38</v>
      </c>
    </row>
    <row r="397" spans="1:22">
      <c r="A397" s="7" t="s">
        <v>1731</v>
      </c>
      <c r="B397" s="8" t="s">
        <v>127</v>
      </c>
      <c r="C397" s="8" t="s">
        <v>40</v>
      </c>
      <c r="D397" s="8" t="s">
        <v>1732</v>
      </c>
      <c r="E397" s="8" t="s">
        <v>1733</v>
      </c>
      <c r="F397" s="8" t="s">
        <v>200</v>
      </c>
      <c r="G397" s="8" t="s">
        <v>76</v>
      </c>
      <c r="H397" s="8" t="s">
        <v>1734</v>
      </c>
      <c r="I397" s="8" t="s">
        <v>30</v>
      </c>
      <c r="J397" s="8" t="s">
        <v>31</v>
      </c>
      <c r="K397" s="8" t="s">
        <v>46</v>
      </c>
      <c r="L397" s="8" t="s">
        <v>47</v>
      </c>
      <c r="M397" s="8">
        <v>19</v>
      </c>
      <c r="N397" s="8">
        <v>12000</v>
      </c>
      <c r="O397" s="8">
        <v>20</v>
      </c>
      <c r="P397" s="8">
        <v>182400</v>
      </c>
      <c r="Q397" s="8">
        <v>5</v>
      </c>
      <c r="R397" s="8" t="s">
        <v>34</v>
      </c>
      <c r="S397" s="8" t="s">
        <v>115</v>
      </c>
      <c r="T397" s="8" t="s">
        <v>132</v>
      </c>
      <c r="U397" s="9" t="s">
        <v>1735</v>
      </c>
      <c r="V397" s="8" t="s">
        <v>38</v>
      </c>
    </row>
    <row r="398" spans="1:22">
      <c r="A398" s="3" t="s">
        <v>1736</v>
      </c>
      <c r="B398" s="4" t="s">
        <v>83</v>
      </c>
      <c r="C398" s="4" t="s">
        <v>184</v>
      </c>
      <c r="D398" s="4" t="s">
        <v>142</v>
      </c>
      <c r="E398" s="4" t="s">
        <v>1737</v>
      </c>
      <c r="F398" s="4" t="s">
        <v>180</v>
      </c>
      <c r="G398" s="4" t="s">
        <v>76</v>
      </c>
      <c r="H398" s="4" t="s">
        <v>1738</v>
      </c>
      <c r="I398" s="4" t="s">
        <v>44</v>
      </c>
      <c r="J398" s="4" t="s">
        <v>45</v>
      </c>
      <c r="K398" s="4" t="s">
        <v>46</v>
      </c>
      <c r="L398" s="4" t="s">
        <v>189</v>
      </c>
      <c r="M398" s="4">
        <v>5</v>
      </c>
      <c r="N398" s="4">
        <v>700</v>
      </c>
      <c r="O398" s="4">
        <v>0</v>
      </c>
      <c r="P398" s="4">
        <v>3500</v>
      </c>
      <c r="Q398" s="4">
        <v>2</v>
      </c>
      <c r="R398" s="4" t="s">
        <v>79</v>
      </c>
      <c r="S398" s="4" t="s">
        <v>61</v>
      </c>
      <c r="T398" s="4" t="s">
        <v>89</v>
      </c>
      <c r="U398" s="6" t="s">
        <v>1739</v>
      </c>
      <c r="V398" s="4" t="s">
        <v>69</v>
      </c>
    </row>
    <row r="399" spans="1:22">
      <c r="A399" s="7" t="s">
        <v>1740</v>
      </c>
      <c r="B399" s="8" t="s">
        <v>83</v>
      </c>
      <c r="C399" s="8" t="s">
        <v>40</v>
      </c>
      <c r="D399" s="8" t="s">
        <v>1654</v>
      </c>
      <c r="E399" s="8" t="s">
        <v>765</v>
      </c>
      <c r="F399" s="8" t="s">
        <v>180</v>
      </c>
      <c r="G399" s="8" t="s">
        <v>76</v>
      </c>
      <c r="H399" s="8" t="s">
        <v>1741</v>
      </c>
      <c r="I399" s="8" t="s">
        <v>294</v>
      </c>
      <c r="J399" s="8" t="s">
        <v>295</v>
      </c>
      <c r="K399" s="8" t="s">
        <v>46</v>
      </c>
      <c r="L399" s="8" t="s">
        <v>47</v>
      </c>
      <c r="M399" s="8">
        <v>19</v>
      </c>
      <c r="N399" s="8">
        <v>12000</v>
      </c>
      <c r="O399" s="8">
        <v>0</v>
      </c>
      <c r="P399" s="8">
        <v>228000</v>
      </c>
      <c r="Q399" s="8">
        <v>4</v>
      </c>
      <c r="R399" s="8" t="s">
        <v>88</v>
      </c>
      <c r="S399" s="8" t="s">
        <v>61</v>
      </c>
      <c r="T399" s="8" t="s">
        <v>89</v>
      </c>
      <c r="U399" s="9" t="s">
        <v>1742</v>
      </c>
      <c r="V399" s="8" t="s">
        <v>64</v>
      </c>
    </row>
    <row r="400" spans="1:22">
      <c r="A400" s="3" t="s">
        <v>1743</v>
      </c>
      <c r="B400" s="4" t="s">
        <v>327</v>
      </c>
      <c r="C400" s="4" t="s">
        <v>184</v>
      </c>
      <c r="D400" s="4"/>
      <c r="E400" s="4" t="s">
        <v>1225</v>
      </c>
      <c r="F400" s="4" t="s">
        <v>394</v>
      </c>
      <c r="G400" s="4" t="s">
        <v>76</v>
      </c>
      <c r="H400" s="4" t="s">
        <v>1744</v>
      </c>
      <c r="I400" s="4" t="s">
        <v>59</v>
      </c>
      <c r="J400" s="4" t="s">
        <v>31</v>
      </c>
      <c r="K400" s="4" t="s">
        <v>46</v>
      </c>
      <c r="L400" s="4" t="s">
        <v>189</v>
      </c>
      <c r="M400" s="4">
        <v>12</v>
      </c>
      <c r="N400" s="4">
        <v>700</v>
      </c>
      <c r="O400" s="4">
        <v>15</v>
      </c>
      <c r="P400" s="4">
        <v>7140</v>
      </c>
      <c r="Q400" s="4">
        <v>3</v>
      </c>
      <c r="R400" s="4" t="s">
        <v>79</v>
      </c>
      <c r="S400" s="4" t="s">
        <v>35</v>
      </c>
      <c r="T400" s="4" t="s">
        <v>332</v>
      </c>
      <c r="U400" s="6" t="s">
        <v>1745</v>
      </c>
      <c r="V400" s="4" t="s">
        <v>38</v>
      </c>
    </row>
    <row r="401" spans="1:22">
      <c r="A401" s="7" t="s">
        <v>1746</v>
      </c>
      <c r="B401" s="8" t="s">
        <v>23</v>
      </c>
      <c r="C401" s="8" t="s">
        <v>72</v>
      </c>
      <c r="D401" s="8" t="s">
        <v>1747</v>
      </c>
      <c r="E401" s="8" t="s">
        <v>707</v>
      </c>
      <c r="F401" s="8" t="s">
        <v>27</v>
      </c>
      <c r="G401" s="8" t="s">
        <v>28</v>
      </c>
      <c r="H401" s="8" t="s">
        <v>1748</v>
      </c>
      <c r="I401" s="8" t="s">
        <v>44</v>
      </c>
      <c r="J401" s="8" t="s">
        <v>45</v>
      </c>
      <c r="K401" s="8" t="s">
        <v>46</v>
      </c>
      <c r="L401" s="8" t="s">
        <v>78</v>
      </c>
      <c r="M401" s="8">
        <v>16</v>
      </c>
      <c r="N401" s="8">
        <v>1200</v>
      </c>
      <c r="O401" s="8">
        <v>20</v>
      </c>
      <c r="P401" s="8">
        <v>15360</v>
      </c>
      <c r="Q401" s="8">
        <v>1</v>
      </c>
      <c r="R401" s="8" t="s">
        <v>34</v>
      </c>
      <c r="S401" s="8" t="s">
        <v>49</v>
      </c>
      <c r="T401" s="8" t="s">
        <v>50</v>
      </c>
      <c r="U401" s="9" t="s">
        <v>1749</v>
      </c>
      <c r="V401" s="8" t="s">
        <v>64</v>
      </c>
    </row>
    <row r="402" spans="1:22">
      <c r="A402" s="3" t="s">
        <v>1750</v>
      </c>
      <c r="B402" s="4" t="s">
        <v>71</v>
      </c>
      <c r="C402" s="4" t="s">
        <v>169</v>
      </c>
      <c r="D402" s="4" t="s">
        <v>1052</v>
      </c>
      <c r="E402" s="4" t="s">
        <v>84</v>
      </c>
      <c r="F402" s="4" t="s">
        <v>217</v>
      </c>
      <c r="G402" s="4" t="s">
        <v>76</v>
      </c>
      <c r="H402" s="4" t="s">
        <v>1751</v>
      </c>
      <c r="I402" s="4" t="s">
        <v>30</v>
      </c>
      <c r="J402" s="4" t="s">
        <v>31</v>
      </c>
      <c r="K402" s="4" t="s">
        <v>32</v>
      </c>
      <c r="L402" s="4" t="s">
        <v>174</v>
      </c>
      <c r="M402" s="4">
        <v>10</v>
      </c>
      <c r="N402" s="4">
        <v>8500</v>
      </c>
      <c r="O402" s="4">
        <v>5</v>
      </c>
      <c r="P402" s="4">
        <v>80750</v>
      </c>
      <c r="Q402" s="4">
        <v>5</v>
      </c>
      <c r="R402" s="4" t="s">
        <v>48</v>
      </c>
      <c r="S402" s="4" t="s">
        <v>35</v>
      </c>
      <c r="T402" s="4" t="s">
        <v>80</v>
      </c>
      <c r="U402" s="6" t="s">
        <v>1752</v>
      </c>
      <c r="V402" s="4" t="s">
        <v>38</v>
      </c>
    </row>
    <row r="403" spans="1:22">
      <c r="A403" s="7" t="s">
        <v>1753</v>
      </c>
      <c r="B403" s="8" t="s">
        <v>23</v>
      </c>
      <c r="C403" s="8" t="s">
        <v>222</v>
      </c>
      <c r="D403" s="8" t="s">
        <v>1373</v>
      </c>
      <c r="E403" s="8" t="s">
        <v>386</v>
      </c>
      <c r="F403" s="8" t="s">
        <v>27</v>
      </c>
      <c r="G403" s="8" t="s">
        <v>28</v>
      </c>
      <c r="H403" s="8" t="s">
        <v>1754</v>
      </c>
      <c r="I403" s="8" t="s">
        <v>138</v>
      </c>
      <c r="J403" s="8" t="s">
        <v>106</v>
      </c>
      <c r="K403" s="8" t="s">
        <v>122</v>
      </c>
      <c r="L403" s="8" t="s">
        <v>227</v>
      </c>
      <c r="M403" s="8">
        <v>18</v>
      </c>
      <c r="N403" s="8">
        <v>20</v>
      </c>
      <c r="O403" s="8">
        <v>20</v>
      </c>
      <c r="P403" s="8">
        <v>288</v>
      </c>
      <c r="Q403" s="8">
        <v>1</v>
      </c>
      <c r="R403" s="8" t="s">
        <v>88</v>
      </c>
      <c r="S403" s="8" t="s">
        <v>35</v>
      </c>
      <c r="T403" s="8" t="s">
        <v>50</v>
      </c>
      <c r="U403" s="9" t="s">
        <v>1755</v>
      </c>
      <c r="V403" s="8" t="s">
        <v>64</v>
      </c>
    </row>
    <row r="404" spans="1:22">
      <c r="A404" s="3" t="s">
        <v>1756</v>
      </c>
      <c r="B404" s="4" t="s">
        <v>71</v>
      </c>
      <c r="C404" s="4" t="s">
        <v>169</v>
      </c>
      <c r="D404" s="4" t="s">
        <v>241</v>
      </c>
      <c r="E404" s="4" t="s">
        <v>404</v>
      </c>
      <c r="F404" s="4" t="s">
        <v>217</v>
      </c>
      <c r="G404" s="4" t="s">
        <v>76</v>
      </c>
      <c r="H404" s="4" t="s">
        <v>1757</v>
      </c>
      <c r="I404" s="4" t="s">
        <v>105</v>
      </c>
      <c r="J404" s="4" t="s">
        <v>106</v>
      </c>
      <c r="K404" s="4" t="s">
        <v>32</v>
      </c>
      <c r="L404" s="4" t="s">
        <v>174</v>
      </c>
      <c r="M404" s="4">
        <v>9</v>
      </c>
      <c r="N404" s="4">
        <v>8500</v>
      </c>
      <c r="O404" s="4">
        <v>0</v>
      </c>
      <c r="P404" s="4">
        <v>76500</v>
      </c>
      <c r="Q404" s="4">
        <v>2</v>
      </c>
      <c r="R404" s="4" t="s">
        <v>79</v>
      </c>
      <c r="S404" s="4" t="s">
        <v>35</v>
      </c>
      <c r="T404" s="4" t="s">
        <v>80</v>
      </c>
      <c r="U404" s="6" t="s">
        <v>1758</v>
      </c>
      <c r="V404" s="4" t="s">
        <v>64</v>
      </c>
    </row>
    <row r="405" spans="1:22">
      <c r="A405" s="7" t="s">
        <v>1759</v>
      </c>
      <c r="B405" s="8" t="s">
        <v>23</v>
      </c>
      <c r="C405" s="8" t="s">
        <v>169</v>
      </c>
      <c r="D405" s="8" t="s">
        <v>1221</v>
      </c>
      <c r="E405" s="8" t="s">
        <v>1760</v>
      </c>
      <c r="F405" s="8" t="s">
        <v>27</v>
      </c>
      <c r="G405" s="8" t="s">
        <v>28</v>
      </c>
      <c r="H405" s="8" t="s">
        <v>1761</v>
      </c>
      <c r="I405" s="8" t="s">
        <v>105</v>
      </c>
      <c r="J405" s="8" t="s">
        <v>106</v>
      </c>
      <c r="K405" s="8" t="s">
        <v>32</v>
      </c>
      <c r="L405" s="8" t="s">
        <v>174</v>
      </c>
      <c r="M405" s="8">
        <v>8</v>
      </c>
      <c r="N405" s="8">
        <v>8500</v>
      </c>
      <c r="O405" s="8">
        <v>10</v>
      </c>
      <c r="P405" s="8">
        <v>61200</v>
      </c>
      <c r="Q405" s="8">
        <v>4</v>
      </c>
      <c r="R405" s="8" t="s">
        <v>34</v>
      </c>
      <c r="S405" s="8" t="s">
        <v>115</v>
      </c>
      <c r="T405" s="8" t="s">
        <v>50</v>
      </c>
      <c r="U405" s="9" t="s">
        <v>1762</v>
      </c>
      <c r="V405" s="8" t="s">
        <v>69</v>
      </c>
    </row>
    <row r="406" spans="1:22">
      <c r="A406" s="3" t="s">
        <v>1763</v>
      </c>
      <c r="B406" s="4" t="s">
        <v>53</v>
      </c>
      <c r="C406" s="4" t="s">
        <v>222</v>
      </c>
      <c r="D406" s="4" t="s">
        <v>483</v>
      </c>
      <c r="E406" s="4" t="s">
        <v>1764</v>
      </c>
      <c r="F406" s="4" t="s">
        <v>163</v>
      </c>
      <c r="G406" s="4" t="s">
        <v>28</v>
      </c>
      <c r="H406" s="4" t="s">
        <v>1765</v>
      </c>
      <c r="I406" s="4" t="s">
        <v>114</v>
      </c>
      <c r="J406" s="4" t="s">
        <v>106</v>
      </c>
      <c r="K406" s="4" t="s">
        <v>122</v>
      </c>
      <c r="L406" s="4" t="s">
        <v>227</v>
      </c>
      <c r="M406" s="4">
        <v>3</v>
      </c>
      <c r="N406" s="4">
        <v>20</v>
      </c>
      <c r="O406" s="4">
        <v>10</v>
      </c>
      <c r="P406" s="4">
        <v>54</v>
      </c>
      <c r="Q406" s="4">
        <v>3</v>
      </c>
      <c r="R406" s="4" t="s">
        <v>79</v>
      </c>
      <c r="S406" s="4" t="s">
        <v>151</v>
      </c>
      <c r="T406" s="4" t="s">
        <v>62</v>
      </c>
      <c r="U406" s="6" t="s">
        <v>1766</v>
      </c>
      <c r="V406" s="4" t="s">
        <v>64</v>
      </c>
    </row>
    <row r="407" spans="1:22">
      <c r="A407" s="7" t="s">
        <v>1767</v>
      </c>
      <c r="B407" s="8" t="s">
        <v>168</v>
      </c>
      <c r="C407" s="8" t="s">
        <v>169</v>
      </c>
      <c r="D407" s="8" t="s">
        <v>232</v>
      </c>
      <c r="E407" s="8" t="s">
        <v>641</v>
      </c>
      <c r="F407" s="8" t="s">
        <v>361</v>
      </c>
      <c r="G407" s="8" t="s">
        <v>28</v>
      </c>
      <c r="H407" s="8" t="s">
        <v>1768</v>
      </c>
      <c r="I407" s="8" t="s">
        <v>294</v>
      </c>
      <c r="J407" s="8" t="s">
        <v>295</v>
      </c>
      <c r="K407" s="8" t="s">
        <v>32</v>
      </c>
      <c r="L407" s="8" t="s">
        <v>174</v>
      </c>
      <c r="M407" s="8">
        <v>18</v>
      </c>
      <c r="N407" s="8">
        <v>8500</v>
      </c>
      <c r="O407" s="8">
        <v>10</v>
      </c>
      <c r="P407" s="8">
        <v>137700</v>
      </c>
      <c r="Q407" s="8">
        <v>4</v>
      </c>
      <c r="R407" s="8" t="s">
        <v>34</v>
      </c>
      <c r="S407" s="8" t="s">
        <v>49</v>
      </c>
      <c r="T407" s="8" t="s">
        <v>175</v>
      </c>
      <c r="U407" s="9" t="s">
        <v>1769</v>
      </c>
      <c r="V407" s="8" t="s">
        <v>69</v>
      </c>
    </row>
    <row r="408" spans="1:22">
      <c r="A408" s="3" t="s">
        <v>1770</v>
      </c>
      <c r="B408" s="4" t="s">
        <v>53</v>
      </c>
      <c r="C408" s="4" t="s">
        <v>259</v>
      </c>
      <c r="D408" s="4" t="s">
        <v>308</v>
      </c>
      <c r="E408" s="4" t="s">
        <v>281</v>
      </c>
      <c r="F408" s="4" t="s">
        <v>163</v>
      </c>
      <c r="G408" s="4" t="s">
        <v>28</v>
      </c>
      <c r="H408" s="4" t="s">
        <v>1771</v>
      </c>
      <c r="I408" s="4" t="s">
        <v>114</v>
      </c>
      <c r="J408" s="4" t="s">
        <v>106</v>
      </c>
      <c r="K408" s="4" t="s">
        <v>122</v>
      </c>
      <c r="L408" s="4" t="s">
        <v>263</v>
      </c>
      <c r="M408" s="4">
        <v>5</v>
      </c>
      <c r="N408" s="4">
        <v>45</v>
      </c>
      <c r="O408" s="4">
        <v>10</v>
      </c>
      <c r="P408" s="4">
        <v>202.5</v>
      </c>
      <c r="Q408" s="4">
        <v>3</v>
      </c>
      <c r="R408" s="4" t="s">
        <v>34</v>
      </c>
      <c r="S408" s="4" t="s">
        <v>115</v>
      </c>
      <c r="T408" s="4" t="s">
        <v>62</v>
      </c>
      <c r="U408" s="6" t="s">
        <v>1772</v>
      </c>
      <c r="V408" s="4" t="s">
        <v>64</v>
      </c>
    </row>
    <row r="409" spans="1:22">
      <c r="A409" s="7" t="s">
        <v>1773</v>
      </c>
      <c r="B409" s="8" t="s">
        <v>71</v>
      </c>
      <c r="C409" s="8" t="s">
        <v>259</v>
      </c>
      <c r="D409" s="8" t="s">
        <v>683</v>
      </c>
      <c r="E409" s="8" t="s">
        <v>684</v>
      </c>
      <c r="F409" s="8" t="s">
        <v>217</v>
      </c>
      <c r="G409" s="8" t="s">
        <v>76</v>
      </c>
      <c r="H409" s="8" t="s">
        <v>1774</v>
      </c>
      <c r="I409" s="8" t="s">
        <v>105</v>
      </c>
      <c r="J409" s="8" t="s">
        <v>106</v>
      </c>
      <c r="K409" s="8" t="s">
        <v>122</v>
      </c>
      <c r="L409" s="8" t="s">
        <v>263</v>
      </c>
      <c r="M409" s="8">
        <v>2</v>
      </c>
      <c r="N409" s="8">
        <v>45</v>
      </c>
      <c r="O409" s="8">
        <v>20</v>
      </c>
      <c r="P409" s="8">
        <v>72</v>
      </c>
      <c r="Q409" s="8">
        <v>5</v>
      </c>
      <c r="R409" s="8" t="s">
        <v>88</v>
      </c>
      <c r="S409" s="8" t="s">
        <v>61</v>
      </c>
      <c r="T409" s="8" t="s">
        <v>80</v>
      </c>
      <c r="U409" s="9" t="s">
        <v>1775</v>
      </c>
      <c r="V409" s="8" t="s">
        <v>69</v>
      </c>
    </row>
    <row r="410" spans="1:22">
      <c r="A410" s="3" t="s">
        <v>1776</v>
      </c>
      <c r="B410" s="4" t="s">
        <v>100</v>
      </c>
      <c r="C410" s="4" t="s">
        <v>259</v>
      </c>
      <c r="D410" s="4" t="s">
        <v>1379</v>
      </c>
      <c r="E410" s="4" t="s">
        <v>900</v>
      </c>
      <c r="F410" s="4" t="s">
        <v>103</v>
      </c>
      <c r="G410" s="4" t="s">
        <v>28</v>
      </c>
      <c r="H410" s="4" t="s">
        <v>1777</v>
      </c>
      <c r="I410" s="4" t="s">
        <v>30</v>
      </c>
      <c r="J410" s="4" t="s">
        <v>31</v>
      </c>
      <c r="K410" s="4" t="s">
        <v>122</v>
      </c>
      <c r="L410" s="4" t="s">
        <v>263</v>
      </c>
      <c r="M410" s="4">
        <v>18</v>
      </c>
      <c r="N410" s="4">
        <v>45</v>
      </c>
      <c r="O410" s="4">
        <v>10</v>
      </c>
      <c r="P410" s="4">
        <v>729</v>
      </c>
      <c r="Q410" s="4">
        <v>2</v>
      </c>
      <c r="R410" s="4" t="s">
        <v>48</v>
      </c>
      <c r="S410" s="4" t="s">
        <v>115</v>
      </c>
      <c r="T410" s="4" t="s">
        <v>144</v>
      </c>
      <c r="U410" s="6" t="s">
        <v>1778</v>
      </c>
      <c r="V410" s="4" t="s">
        <v>64</v>
      </c>
    </row>
    <row r="411" spans="1:22">
      <c r="A411" s="7" t="s">
        <v>1779</v>
      </c>
      <c r="B411" s="8" t="s">
        <v>127</v>
      </c>
      <c r="C411" s="8" t="s">
        <v>72</v>
      </c>
      <c r="D411" s="8" t="s">
        <v>463</v>
      </c>
      <c r="E411" s="8" t="s">
        <v>216</v>
      </c>
      <c r="F411" s="8" t="s">
        <v>200</v>
      </c>
      <c r="G411" s="8" t="s">
        <v>76</v>
      </c>
      <c r="H411" s="8" t="s">
        <v>1780</v>
      </c>
      <c r="I411" s="8" t="s">
        <v>294</v>
      </c>
      <c r="J411" s="8" t="s">
        <v>295</v>
      </c>
      <c r="K411" s="8" t="s">
        <v>46</v>
      </c>
      <c r="L411" s="8" t="s">
        <v>78</v>
      </c>
      <c r="M411" s="8">
        <v>13</v>
      </c>
      <c r="N411" s="8">
        <v>1200</v>
      </c>
      <c r="O411" s="8">
        <v>5</v>
      </c>
      <c r="P411" s="8">
        <v>14820</v>
      </c>
      <c r="Q411" s="8">
        <v>4</v>
      </c>
      <c r="R411" s="8" t="s">
        <v>79</v>
      </c>
      <c r="S411" s="8" t="s">
        <v>115</v>
      </c>
      <c r="T411" s="8" t="s">
        <v>132</v>
      </c>
      <c r="U411" s="9" t="s">
        <v>1781</v>
      </c>
      <c r="V411" s="8" t="s">
        <v>38</v>
      </c>
    </row>
    <row r="412" spans="1:22">
      <c r="A412" s="3" t="s">
        <v>1782</v>
      </c>
      <c r="B412" s="4" t="s">
        <v>23</v>
      </c>
      <c r="C412" s="4" t="s">
        <v>222</v>
      </c>
      <c r="D412" s="4" t="s">
        <v>1344</v>
      </c>
      <c r="E412" s="4" t="s">
        <v>1783</v>
      </c>
      <c r="F412" s="4" t="s">
        <v>27</v>
      </c>
      <c r="G412" s="4" t="s">
        <v>28</v>
      </c>
      <c r="H412" s="4" t="s">
        <v>1784</v>
      </c>
      <c r="I412" s="4" t="s">
        <v>30</v>
      </c>
      <c r="J412" s="4" t="s">
        <v>31</v>
      </c>
      <c r="K412" s="4" t="s">
        <v>122</v>
      </c>
      <c r="L412" s="4" t="s">
        <v>227</v>
      </c>
      <c r="M412" s="4">
        <v>14</v>
      </c>
      <c r="N412" s="4">
        <v>20</v>
      </c>
      <c r="O412" s="4">
        <v>20</v>
      </c>
      <c r="P412" s="4">
        <v>224</v>
      </c>
      <c r="Q412" s="4">
        <v>5</v>
      </c>
      <c r="R412" s="4" t="s">
        <v>88</v>
      </c>
      <c r="S412" s="4" t="s">
        <v>49</v>
      </c>
      <c r="T412" s="4" t="s">
        <v>50</v>
      </c>
      <c r="U412" s="6" t="s">
        <v>1785</v>
      </c>
      <c r="V412" s="4" t="s">
        <v>64</v>
      </c>
    </row>
    <row r="413" spans="1:22">
      <c r="A413" s="7" t="s">
        <v>1786</v>
      </c>
      <c r="B413" s="8" t="s">
        <v>100</v>
      </c>
      <c r="C413" s="8" t="s">
        <v>92</v>
      </c>
      <c r="D413" s="8" t="s">
        <v>1787</v>
      </c>
      <c r="E413" s="8" t="s">
        <v>1689</v>
      </c>
      <c r="F413" s="8" t="s">
        <v>103</v>
      </c>
      <c r="G413" s="8" t="s">
        <v>28</v>
      </c>
      <c r="H413" s="8" t="s">
        <v>1788</v>
      </c>
      <c r="I413" s="8" t="s">
        <v>30</v>
      </c>
      <c r="J413" s="8" t="s">
        <v>31</v>
      </c>
      <c r="K413" s="8" t="s">
        <v>32</v>
      </c>
      <c r="L413" s="8" t="s">
        <v>97</v>
      </c>
      <c r="M413" s="8">
        <v>16</v>
      </c>
      <c r="N413" s="8">
        <v>3500</v>
      </c>
      <c r="O413" s="8">
        <v>15</v>
      </c>
      <c r="P413" s="8">
        <v>47600</v>
      </c>
      <c r="Q413" s="8">
        <v>3</v>
      </c>
      <c r="R413" s="8" t="s">
        <v>88</v>
      </c>
      <c r="S413" s="8" t="s">
        <v>61</v>
      </c>
      <c r="T413" s="8" t="s">
        <v>144</v>
      </c>
      <c r="U413" s="9" t="s">
        <v>1789</v>
      </c>
      <c r="V413" s="8" t="s">
        <v>69</v>
      </c>
    </row>
    <row r="414" spans="1:22">
      <c r="A414" s="3" t="s">
        <v>1790</v>
      </c>
      <c r="B414" s="4" t="s">
        <v>251</v>
      </c>
      <c r="C414" s="4" t="s">
        <v>222</v>
      </c>
      <c r="D414" s="4" t="s">
        <v>987</v>
      </c>
      <c r="E414" s="4" t="s">
        <v>1110</v>
      </c>
      <c r="F414" s="4" t="s">
        <v>254</v>
      </c>
      <c r="G414" s="4" t="s">
        <v>28</v>
      </c>
      <c r="H414" s="4" t="s">
        <v>1791</v>
      </c>
      <c r="I414" s="4" t="s">
        <v>59</v>
      </c>
      <c r="J414" s="4" t="s">
        <v>31</v>
      </c>
      <c r="K414" s="4" t="s">
        <v>122</v>
      </c>
      <c r="L414" s="4" t="s">
        <v>227</v>
      </c>
      <c r="M414" s="4">
        <v>20</v>
      </c>
      <c r="N414" s="4">
        <v>20</v>
      </c>
      <c r="O414" s="4">
        <v>15</v>
      </c>
      <c r="P414" s="4">
        <v>340</v>
      </c>
      <c r="Q414" s="4">
        <v>1</v>
      </c>
      <c r="R414" s="4" t="s">
        <v>48</v>
      </c>
      <c r="S414" s="4" t="s">
        <v>61</v>
      </c>
      <c r="T414" s="4" t="s">
        <v>256</v>
      </c>
      <c r="U414" s="6" t="s">
        <v>1792</v>
      </c>
      <c r="V414" s="4" t="s">
        <v>69</v>
      </c>
    </row>
    <row r="415" spans="1:22">
      <c r="A415" s="7" t="s">
        <v>1793</v>
      </c>
      <c r="B415" s="8" t="s">
        <v>168</v>
      </c>
      <c r="C415" s="8" t="s">
        <v>54</v>
      </c>
      <c r="D415" s="8" t="s">
        <v>652</v>
      </c>
      <c r="E415" s="8" t="s">
        <v>666</v>
      </c>
      <c r="F415" s="8" t="s">
        <v>361</v>
      </c>
      <c r="G415" s="8" t="s">
        <v>28</v>
      </c>
      <c r="H415" s="8" t="s">
        <v>1794</v>
      </c>
      <c r="I415" s="8" t="s">
        <v>138</v>
      </c>
      <c r="J415" s="8" t="s">
        <v>106</v>
      </c>
      <c r="K415" s="8" t="s">
        <v>46</v>
      </c>
      <c r="L415" s="8" t="s">
        <v>60</v>
      </c>
      <c r="M415" s="8">
        <v>1</v>
      </c>
      <c r="N415" s="8">
        <v>55000</v>
      </c>
      <c r="O415" s="8">
        <v>15</v>
      </c>
      <c r="P415" s="8">
        <v>46750</v>
      </c>
      <c r="Q415" s="8">
        <v>2</v>
      </c>
      <c r="R415" s="8" t="s">
        <v>88</v>
      </c>
      <c r="S415" s="8" t="s">
        <v>115</v>
      </c>
      <c r="T415" s="8" t="s">
        <v>175</v>
      </c>
      <c r="U415" s="9" t="s">
        <v>1795</v>
      </c>
      <c r="V415" s="8" t="s">
        <v>69</v>
      </c>
    </row>
    <row r="416" spans="1:22">
      <c r="A416" s="3" t="s">
        <v>1796</v>
      </c>
      <c r="B416" s="4" t="s">
        <v>100</v>
      </c>
      <c r="C416" s="4" t="s">
        <v>118</v>
      </c>
      <c r="D416" s="4" t="s">
        <v>142</v>
      </c>
      <c r="E416" s="4" t="s">
        <v>620</v>
      </c>
      <c r="F416" s="4" t="s">
        <v>103</v>
      </c>
      <c r="G416" s="4" t="s">
        <v>28</v>
      </c>
      <c r="H416" s="4" t="s">
        <v>1797</v>
      </c>
      <c r="I416" s="4" t="s">
        <v>138</v>
      </c>
      <c r="J416" s="4" t="s">
        <v>106</v>
      </c>
      <c r="K416" s="4" t="s">
        <v>122</v>
      </c>
      <c r="L416" s="4" t="s">
        <v>123</v>
      </c>
      <c r="M416" s="4">
        <v>15</v>
      </c>
      <c r="N416" s="4">
        <v>60</v>
      </c>
      <c r="O416" s="4">
        <v>5</v>
      </c>
      <c r="P416" s="4">
        <v>855</v>
      </c>
      <c r="Q416" s="4">
        <v>4</v>
      </c>
      <c r="R416" s="4" t="s">
        <v>48</v>
      </c>
      <c r="S416" s="4" t="s">
        <v>61</v>
      </c>
      <c r="T416" s="4" t="s">
        <v>144</v>
      </c>
      <c r="U416" s="6" t="s">
        <v>1798</v>
      </c>
      <c r="V416" s="4" t="s">
        <v>38</v>
      </c>
    </row>
    <row r="417" spans="1:22">
      <c r="A417" s="7" t="s">
        <v>1799</v>
      </c>
      <c r="B417" s="8" t="s">
        <v>83</v>
      </c>
      <c r="C417" s="8" t="s">
        <v>184</v>
      </c>
      <c r="D417" s="8" t="s">
        <v>1800</v>
      </c>
      <c r="E417" s="8" t="s">
        <v>66</v>
      </c>
      <c r="F417" s="8" t="s">
        <v>180</v>
      </c>
      <c r="G417" s="8" t="s">
        <v>76</v>
      </c>
      <c r="H417" s="8" t="s">
        <v>1801</v>
      </c>
      <c r="I417" s="8" t="s">
        <v>105</v>
      </c>
      <c r="J417" s="8" t="s">
        <v>106</v>
      </c>
      <c r="K417" s="8" t="s">
        <v>46</v>
      </c>
      <c r="L417" s="8" t="s">
        <v>189</v>
      </c>
      <c r="M417" s="8">
        <v>15</v>
      </c>
      <c r="N417" s="8">
        <v>700</v>
      </c>
      <c r="O417" s="8">
        <v>0</v>
      </c>
      <c r="P417" s="8">
        <v>10500</v>
      </c>
      <c r="Q417" s="8">
        <v>5</v>
      </c>
      <c r="R417" s="8" t="s">
        <v>48</v>
      </c>
      <c r="S417" s="8" t="s">
        <v>115</v>
      </c>
      <c r="T417" s="8" t="s">
        <v>89</v>
      </c>
      <c r="U417" s="9" t="s">
        <v>1802</v>
      </c>
      <c r="V417" s="8" t="s">
        <v>38</v>
      </c>
    </row>
    <row r="418" spans="1:22">
      <c r="A418" s="3" t="s">
        <v>1803</v>
      </c>
      <c r="B418" s="4" t="s">
        <v>221</v>
      </c>
      <c r="C418" s="4" t="s">
        <v>40</v>
      </c>
      <c r="D418" s="4" t="s">
        <v>1199</v>
      </c>
      <c r="E418" s="4" t="s">
        <v>440</v>
      </c>
      <c r="F418" s="4" t="s">
        <v>225</v>
      </c>
      <c r="G418" s="4" t="s">
        <v>76</v>
      </c>
      <c r="H418" s="4" t="s">
        <v>1804</v>
      </c>
      <c r="I418" s="4" t="s">
        <v>294</v>
      </c>
      <c r="J418" s="4" t="s">
        <v>295</v>
      </c>
      <c r="K418" s="4" t="s">
        <v>46</v>
      </c>
      <c r="L418" s="4" t="s">
        <v>47</v>
      </c>
      <c r="M418" s="4">
        <v>13</v>
      </c>
      <c r="N418" s="4">
        <v>12000</v>
      </c>
      <c r="O418" s="4">
        <v>10</v>
      </c>
      <c r="P418" s="4">
        <v>140400</v>
      </c>
      <c r="Q418" s="4">
        <v>1</v>
      </c>
      <c r="R418" s="4" t="s">
        <v>34</v>
      </c>
      <c r="S418" s="4" t="s">
        <v>151</v>
      </c>
      <c r="T418" s="4" t="s">
        <v>228</v>
      </c>
      <c r="U418" s="6" t="s">
        <v>1805</v>
      </c>
      <c r="V418" s="4" t="s">
        <v>69</v>
      </c>
    </row>
    <row r="419" spans="1:22">
      <c r="A419" s="7" t="s">
        <v>1806</v>
      </c>
      <c r="B419" s="8" t="s">
        <v>83</v>
      </c>
      <c r="C419" s="8" t="s">
        <v>40</v>
      </c>
      <c r="D419" s="8" t="s">
        <v>1807</v>
      </c>
      <c r="E419" s="8" t="s">
        <v>1081</v>
      </c>
      <c r="F419" s="8" t="s">
        <v>180</v>
      </c>
      <c r="G419" s="8" t="s">
        <v>76</v>
      </c>
      <c r="H419" s="8" t="s">
        <v>1808</v>
      </c>
      <c r="I419" s="8" t="s">
        <v>30</v>
      </c>
      <c r="J419" s="8" t="s">
        <v>31</v>
      </c>
      <c r="K419" s="8" t="s">
        <v>46</v>
      </c>
      <c r="L419" s="8" t="s">
        <v>47</v>
      </c>
      <c r="M419" s="8">
        <v>12</v>
      </c>
      <c r="N419" s="8">
        <v>12000</v>
      </c>
      <c r="O419" s="8">
        <v>20</v>
      </c>
      <c r="P419" s="8">
        <v>115200</v>
      </c>
      <c r="Q419" s="8">
        <v>2</v>
      </c>
      <c r="R419" s="8" t="s">
        <v>34</v>
      </c>
      <c r="S419" s="8" t="s">
        <v>35</v>
      </c>
      <c r="T419" s="8" t="s">
        <v>89</v>
      </c>
      <c r="U419" s="9" t="s">
        <v>1809</v>
      </c>
      <c r="V419" s="8" t="s">
        <v>38</v>
      </c>
    </row>
    <row r="420" spans="1:22">
      <c r="A420" s="3" t="s">
        <v>1810</v>
      </c>
      <c r="B420" s="4" t="s">
        <v>83</v>
      </c>
      <c r="C420" s="4" t="s">
        <v>259</v>
      </c>
      <c r="D420" s="4" t="s">
        <v>119</v>
      </c>
      <c r="E420" s="4" t="s">
        <v>1298</v>
      </c>
      <c r="F420" s="4" t="s">
        <v>180</v>
      </c>
      <c r="G420" s="4" t="s">
        <v>76</v>
      </c>
      <c r="H420" s="4" t="s">
        <v>1811</v>
      </c>
      <c r="I420" s="4" t="s">
        <v>105</v>
      </c>
      <c r="J420" s="4" t="s">
        <v>106</v>
      </c>
      <c r="K420" s="4" t="s">
        <v>122</v>
      </c>
      <c r="L420" s="4" t="s">
        <v>263</v>
      </c>
      <c r="M420" s="4">
        <v>10</v>
      </c>
      <c r="N420" s="4">
        <v>45</v>
      </c>
      <c r="O420" s="4">
        <v>0</v>
      </c>
      <c r="P420" s="4">
        <v>450</v>
      </c>
      <c r="Q420" s="4">
        <v>5</v>
      </c>
      <c r="R420" s="4" t="s">
        <v>79</v>
      </c>
      <c r="S420" s="4" t="s">
        <v>115</v>
      </c>
      <c r="T420" s="4" t="s">
        <v>89</v>
      </c>
      <c r="U420" s="6" t="s">
        <v>1812</v>
      </c>
      <c r="V420" s="4" t="s">
        <v>69</v>
      </c>
    </row>
    <row r="421" spans="1:22">
      <c r="A421" s="7" t="s">
        <v>1813</v>
      </c>
      <c r="B421" s="8" t="s">
        <v>127</v>
      </c>
      <c r="C421" s="8" t="s">
        <v>72</v>
      </c>
      <c r="D421" s="8" t="s">
        <v>41</v>
      </c>
      <c r="E421" s="8" t="s">
        <v>596</v>
      </c>
      <c r="F421" s="8" t="s">
        <v>200</v>
      </c>
      <c r="G421" s="8" t="s">
        <v>76</v>
      </c>
      <c r="H421" s="8" t="s">
        <v>1814</v>
      </c>
      <c r="I421" s="8" t="s">
        <v>105</v>
      </c>
      <c r="J421" s="8" t="s">
        <v>106</v>
      </c>
      <c r="K421" s="8" t="s">
        <v>46</v>
      </c>
      <c r="L421" s="8" t="s">
        <v>78</v>
      </c>
      <c r="M421" s="8">
        <v>20</v>
      </c>
      <c r="N421" s="8">
        <v>1200</v>
      </c>
      <c r="O421" s="8">
        <v>20</v>
      </c>
      <c r="P421" s="8">
        <v>19200</v>
      </c>
      <c r="Q421" s="8">
        <v>5</v>
      </c>
      <c r="R421" s="8" t="s">
        <v>48</v>
      </c>
      <c r="S421" s="8" t="s">
        <v>61</v>
      </c>
      <c r="T421" s="8" t="s">
        <v>132</v>
      </c>
      <c r="U421" s="9" t="s">
        <v>1815</v>
      </c>
      <c r="V421" s="8" t="s">
        <v>69</v>
      </c>
    </row>
    <row r="422" spans="1:22">
      <c r="A422" s="3" t="s">
        <v>1816</v>
      </c>
      <c r="B422" s="4" t="s">
        <v>71</v>
      </c>
      <c r="C422" s="4" t="s">
        <v>72</v>
      </c>
      <c r="D422" s="4" t="s">
        <v>128</v>
      </c>
      <c r="E422" s="4" t="s">
        <v>1817</v>
      </c>
      <c r="F422" s="4" t="s">
        <v>217</v>
      </c>
      <c r="G422" s="4" t="s">
        <v>76</v>
      </c>
      <c r="H422" s="4" t="s">
        <v>1818</v>
      </c>
      <c r="I422" s="4" t="s">
        <v>114</v>
      </c>
      <c r="J422" s="4" t="s">
        <v>106</v>
      </c>
      <c r="K422" s="4" t="s">
        <v>46</v>
      </c>
      <c r="L422" s="4" t="s">
        <v>78</v>
      </c>
      <c r="M422" s="4">
        <v>8</v>
      </c>
      <c r="N422" s="4">
        <v>1200</v>
      </c>
      <c r="O422" s="4">
        <v>10</v>
      </c>
      <c r="P422" s="4">
        <v>8640</v>
      </c>
      <c r="Q422" s="4">
        <v>4</v>
      </c>
      <c r="R422" s="4" t="s">
        <v>48</v>
      </c>
      <c r="S422" s="4" t="s">
        <v>61</v>
      </c>
      <c r="T422" s="4" t="s">
        <v>80</v>
      </c>
      <c r="U422" s="6" t="s">
        <v>1819</v>
      </c>
      <c r="V422" s="4" t="s">
        <v>38</v>
      </c>
    </row>
    <row r="423" spans="1:22">
      <c r="A423" s="7" t="s">
        <v>1820</v>
      </c>
      <c r="B423" s="8" t="s">
        <v>127</v>
      </c>
      <c r="C423" s="8" t="s">
        <v>72</v>
      </c>
      <c r="D423" s="8" t="s">
        <v>1085</v>
      </c>
      <c r="E423" s="8" t="s">
        <v>1086</v>
      </c>
      <c r="F423" s="8" t="s">
        <v>200</v>
      </c>
      <c r="G423" s="8" t="s">
        <v>76</v>
      </c>
      <c r="H423" s="8" t="s">
        <v>1821</v>
      </c>
      <c r="I423" s="8" t="s">
        <v>212</v>
      </c>
      <c r="J423" s="8" t="s">
        <v>45</v>
      </c>
      <c r="K423" s="8" t="s">
        <v>46</v>
      </c>
      <c r="L423" s="8" t="s">
        <v>78</v>
      </c>
      <c r="M423" s="8">
        <v>8</v>
      </c>
      <c r="N423" s="8">
        <v>1200</v>
      </c>
      <c r="O423" s="8">
        <v>10</v>
      </c>
      <c r="P423" s="8">
        <v>8640</v>
      </c>
      <c r="Q423" s="8">
        <v>5</v>
      </c>
      <c r="R423" s="8" t="s">
        <v>79</v>
      </c>
      <c r="S423" s="8" t="s">
        <v>49</v>
      </c>
      <c r="T423" s="8" t="s">
        <v>132</v>
      </c>
      <c r="U423" s="9" t="s">
        <v>1822</v>
      </c>
      <c r="V423" s="8" t="s">
        <v>69</v>
      </c>
    </row>
    <row r="424" spans="1:22">
      <c r="A424" s="3" t="s">
        <v>1823</v>
      </c>
      <c r="B424" s="4" t="s">
        <v>327</v>
      </c>
      <c r="C424" s="4" t="s">
        <v>24</v>
      </c>
      <c r="D424" s="4" t="s">
        <v>1824</v>
      </c>
      <c r="E424" s="4" t="s">
        <v>1444</v>
      </c>
      <c r="F424" s="4" t="s">
        <v>394</v>
      </c>
      <c r="G424" s="4" t="s">
        <v>76</v>
      </c>
      <c r="H424" s="4" t="s">
        <v>1825</v>
      </c>
      <c r="I424" s="4" t="s">
        <v>212</v>
      </c>
      <c r="J424" s="4" t="s">
        <v>45</v>
      </c>
      <c r="K424" s="4" t="s">
        <v>32</v>
      </c>
      <c r="L424" s="4" t="s">
        <v>33</v>
      </c>
      <c r="M424" s="4">
        <v>9</v>
      </c>
      <c r="N424" s="4">
        <v>2200</v>
      </c>
      <c r="O424" s="4">
        <v>20</v>
      </c>
      <c r="P424" s="4">
        <v>15840</v>
      </c>
      <c r="Q424" s="4">
        <v>1</v>
      </c>
      <c r="R424" s="4" t="s">
        <v>48</v>
      </c>
      <c r="S424" s="4" t="s">
        <v>115</v>
      </c>
      <c r="T424" s="4" t="s">
        <v>332</v>
      </c>
      <c r="U424" s="6" t="s">
        <v>1826</v>
      </c>
      <c r="V424" s="4" t="s">
        <v>38</v>
      </c>
    </row>
    <row r="425" spans="1:22">
      <c r="A425" s="7" t="s">
        <v>1827</v>
      </c>
      <c r="B425" s="8" t="s">
        <v>127</v>
      </c>
      <c r="C425" s="8" t="s">
        <v>222</v>
      </c>
      <c r="D425" s="8" t="s">
        <v>1268</v>
      </c>
      <c r="E425" s="8" t="s">
        <v>760</v>
      </c>
      <c r="F425" s="8" t="s">
        <v>200</v>
      </c>
      <c r="G425" s="8" t="s">
        <v>76</v>
      </c>
      <c r="H425" s="8" t="s">
        <v>1828</v>
      </c>
      <c r="I425" s="8" t="s">
        <v>294</v>
      </c>
      <c r="J425" s="8" t="s">
        <v>295</v>
      </c>
      <c r="K425" s="8" t="s">
        <v>122</v>
      </c>
      <c r="L425" s="8" t="s">
        <v>227</v>
      </c>
      <c r="M425" s="8">
        <v>8</v>
      </c>
      <c r="N425" s="8">
        <v>20</v>
      </c>
      <c r="O425" s="8">
        <v>20</v>
      </c>
      <c r="P425" s="8">
        <v>128</v>
      </c>
      <c r="Q425" s="8">
        <v>4</v>
      </c>
      <c r="R425" s="8" t="s">
        <v>34</v>
      </c>
      <c r="S425" s="8" t="s">
        <v>35</v>
      </c>
      <c r="T425" s="8" t="s">
        <v>132</v>
      </c>
      <c r="U425" s="9" t="s">
        <v>1829</v>
      </c>
      <c r="V425" s="8" t="s">
        <v>69</v>
      </c>
    </row>
    <row r="426" spans="1:22">
      <c r="A426" s="3" t="s">
        <v>1830</v>
      </c>
      <c r="B426" s="4" t="s">
        <v>221</v>
      </c>
      <c r="C426" s="4" t="s">
        <v>54</v>
      </c>
      <c r="D426" s="4" t="s">
        <v>1176</v>
      </c>
      <c r="E426" s="4" t="s">
        <v>1831</v>
      </c>
      <c r="F426" s="4" t="s">
        <v>225</v>
      </c>
      <c r="G426" s="4" t="s">
        <v>76</v>
      </c>
      <c r="H426" s="4" t="s">
        <v>1006</v>
      </c>
      <c r="I426" s="4" t="s">
        <v>114</v>
      </c>
      <c r="J426" s="4" t="s">
        <v>106</v>
      </c>
      <c r="K426" s="4" t="s">
        <v>46</v>
      </c>
      <c r="L426" s="4" t="s">
        <v>60</v>
      </c>
      <c r="M426" s="4">
        <v>5</v>
      </c>
      <c r="N426" s="4">
        <v>55000</v>
      </c>
      <c r="O426" s="4">
        <v>0</v>
      </c>
      <c r="P426" s="4">
        <v>275000</v>
      </c>
      <c r="Q426" s="4">
        <v>1</v>
      </c>
      <c r="R426" s="4" t="s">
        <v>79</v>
      </c>
      <c r="S426" s="4" t="s">
        <v>115</v>
      </c>
      <c r="T426" s="4" t="s">
        <v>228</v>
      </c>
      <c r="U426" s="6" t="s">
        <v>1832</v>
      </c>
      <c r="V426" s="4" t="s">
        <v>38</v>
      </c>
    </row>
    <row r="427" spans="1:22">
      <c r="A427" s="7" t="s">
        <v>1833</v>
      </c>
      <c r="B427" s="8" t="s">
        <v>100</v>
      </c>
      <c r="C427" s="8" t="s">
        <v>72</v>
      </c>
      <c r="D427" s="8" t="s">
        <v>1834</v>
      </c>
      <c r="E427" s="8" t="s">
        <v>636</v>
      </c>
      <c r="F427" s="8" t="s">
        <v>103</v>
      </c>
      <c r="G427" s="8" t="s">
        <v>28</v>
      </c>
      <c r="H427" s="8" t="s">
        <v>1835</v>
      </c>
      <c r="I427" s="8" t="s">
        <v>105</v>
      </c>
      <c r="J427" s="8" t="s">
        <v>106</v>
      </c>
      <c r="K427" s="8" t="s">
        <v>46</v>
      </c>
      <c r="L427" s="8" t="s">
        <v>78</v>
      </c>
      <c r="M427" s="8">
        <v>13</v>
      </c>
      <c r="N427" s="8">
        <v>1200</v>
      </c>
      <c r="O427" s="8">
        <v>5</v>
      </c>
      <c r="P427" s="8">
        <v>14820</v>
      </c>
      <c r="Q427" s="8">
        <v>2</v>
      </c>
      <c r="R427" s="8" t="s">
        <v>79</v>
      </c>
      <c r="S427" s="8" t="s">
        <v>35</v>
      </c>
      <c r="T427" s="8" t="s">
        <v>144</v>
      </c>
      <c r="U427" s="9" t="s">
        <v>1836</v>
      </c>
      <c r="V427" s="8" t="s">
        <v>69</v>
      </c>
    </row>
    <row r="428" spans="1:22">
      <c r="A428" s="3" t="s">
        <v>1837</v>
      </c>
      <c r="B428" s="4" t="s">
        <v>83</v>
      </c>
      <c r="C428" s="4" t="s">
        <v>169</v>
      </c>
      <c r="D428" s="4" t="s">
        <v>1484</v>
      </c>
      <c r="E428" s="4" t="s">
        <v>1838</v>
      </c>
      <c r="F428" s="4" t="s">
        <v>180</v>
      </c>
      <c r="G428" s="4" t="s">
        <v>76</v>
      </c>
      <c r="H428" s="4" t="s">
        <v>1839</v>
      </c>
      <c r="I428" s="4" t="s">
        <v>212</v>
      </c>
      <c r="J428" s="4" t="s">
        <v>45</v>
      </c>
      <c r="K428" s="4" t="s">
        <v>32</v>
      </c>
      <c r="L428" s="4" t="s">
        <v>174</v>
      </c>
      <c r="M428" s="4">
        <v>13</v>
      </c>
      <c r="N428" s="4">
        <v>8500</v>
      </c>
      <c r="O428" s="4">
        <v>20</v>
      </c>
      <c r="P428" s="4">
        <v>88400</v>
      </c>
      <c r="Q428" s="4">
        <v>5</v>
      </c>
      <c r="R428" s="4" t="s">
        <v>34</v>
      </c>
      <c r="S428" s="4" t="s">
        <v>49</v>
      </c>
      <c r="T428" s="4" t="s">
        <v>89</v>
      </c>
      <c r="U428" s="6" t="s">
        <v>1840</v>
      </c>
      <c r="V428" s="4" t="s">
        <v>64</v>
      </c>
    </row>
    <row r="429" spans="1:22">
      <c r="A429" s="7" t="s">
        <v>1841</v>
      </c>
      <c r="B429" s="8" t="s">
        <v>71</v>
      </c>
      <c r="C429" s="8" t="s">
        <v>118</v>
      </c>
      <c r="D429" s="8" t="s">
        <v>765</v>
      </c>
      <c r="E429" s="8" t="s">
        <v>1842</v>
      </c>
      <c r="F429" s="8" t="s">
        <v>217</v>
      </c>
      <c r="G429" s="8" t="s">
        <v>76</v>
      </c>
      <c r="H429" s="8" t="s">
        <v>1843</v>
      </c>
      <c r="I429" s="8" t="s">
        <v>114</v>
      </c>
      <c r="J429" s="8" t="s">
        <v>106</v>
      </c>
      <c r="K429" s="8" t="s">
        <v>122</v>
      </c>
      <c r="L429" s="8" t="s">
        <v>123</v>
      </c>
      <c r="M429" s="8">
        <v>14</v>
      </c>
      <c r="N429" s="8">
        <v>60</v>
      </c>
      <c r="O429" s="8">
        <v>10</v>
      </c>
      <c r="P429" s="8">
        <v>756</v>
      </c>
      <c r="Q429" s="8">
        <v>1</v>
      </c>
      <c r="R429" s="8" t="s">
        <v>34</v>
      </c>
      <c r="S429" s="8" t="s">
        <v>61</v>
      </c>
      <c r="T429" s="8" t="s">
        <v>80</v>
      </c>
      <c r="U429" s="9" t="s">
        <v>1844</v>
      </c>
      <c r="V429" s="8" t="s">
        <v>69</v>
      </c>
    </row>
    <row r="430" spans="1:22">
      <c r="A430" s="3" t="s">
        <v>1845</v>
      </c>
      <c r="B430" s="4" t="s">
        <v>251</v>
      </c>
      <c r="C430" s="4" t="s">
        <v>24</v>
      </c>
      <c r="D430" s="4" t="s">
        <v>336</v>
      </c>
      <c r="E430" s="4" t="s">
        <v>606</v>
      </c>
      <c r="F430" s="4" t="s">
        <v>254</v>
      </c>
      <c r="G430" s="4" t="s">
        <v>28</v>
      </c>
      <c r="H430" s="4" t="s">
        <v>1846</v>
      </c>
      <c r="I430" s="4" t="s">
        <v>59</v>
      </c>
      <c r="J430" s="4" t="s">
        <v>31</v>
      </c>
      <c r="K430" s="4" t="s">
        <v>32</v>
      </c>
      <c r="L430" s="4" t="s">
        <v>33</v>
      </c>
      <c r="M430" s="4">
        <v>15</v>
      </c>
      <c r="N430" s="4">
        <v>2200</v>
      </c>
      <c r="O430" s="4">
        <v>0</v>
      </c>
      <c r="P430" s="4">
        <v>33000</v>
      </c>
      <c r="Q430" s="4">
        <v>1</v>
      </c>
      <c r="R430" s="4" t="s">
        <v>34</v>
      </c>
      <c r="S430" s="4" t="s">
        <v>61</v>
      </c>
      <c r="T430" s="4" t="s">
        <v>256</v>
      </c>
      <c r="U430" s="6" t="s">
        <v>1847</v>
      </c>
      <c r="V430" s="4" t="s">
        <v>38</v>
      </c>
    </row>
    <row r="431" spans="1:22">
      <c r="A431" s="7" t="s">
        <v>1848</v>
      </c>
      <c r="B431" s="8" t="s">
        <v>83</v>
      </c>
      <c r="C431" s="8" t="s">
        <v>118</v>
      </c>
      <c r="D431" s="8" t="s">
        <v>1849</v>
      </c>
      <c r="E431" s="8" t="s">
        <v>1850</v>
      </c>
      <c r="F431" s="8" t="s">
        <v>180</v>
      </c>
      <c r="G431" s="8" t="s">
        <v>76</v>
      </c>
      <c r="H431" s="8" t="s">
        <v>1851</v>
      </c>
      <c r="I431" s="8" t="s">
        <v>212</v>
      </c>
      <c r="J431" s="8" t="s">
        <v>45</v>
      </c>
      <c r="K431" s="8" t="s">
        <v>122</v>
      </c>
      <c r="L431" s="8" t="s">
        <v>123</v>
      </c>
      <c r="M431" s="8">
        <v>19</v>
      </c>
      <c r="N431" s="8">
        <v>60</v>
      </c>
      <c r="O431" s="8">
        <v>20</v>
      </c>
      <c r="P431" s="8">
        <v>912</v>
      </c>
      <c r="Q431" s="8">
        <v>3</v>
      </c>
      <c r="R431" s="8" t="s">
        <v>34</v>
      </c>
      <c r="S431" s="8" t="s">
        <v>151</v>
      </c>
      <c r="T431" s="8" t="s">
        <v>89</v>
      </c>
      <c r="U431" s="9" t="s">
        <v>1852</v>
      </c>
      <c r="V431" s="8" t="s">
        <v>64</v>
      </c>
    </row>
    <row r="432" spans="1:22">
      <c r="A432" s="3" t="s">
        <v>1853</v>
      </c>
      <c r="B432" s="4" t="s">
        <v>53</v>
      </c>
      <c r="C432" s="4" t="s">
        <v>259</v>
      </c>
      <c r="D432" s="4" t="s">
        <v>1760</v>
      </c>
      <c r="E432" s="4" t="s">
        <v>341</v>
      </c>
      <c r="F432" s="4" t="s">
        <v>163</v>
      </c>
      <c r="G432" s="4" t="s">
        <v>28</v>
      </c>
      <c r="H432" s="4" t="s">
        <v>1854</v>
      </c>
      <c r="I432" s="4" t="s">
        <v>212</v>
      </c>
      <c r="J432" s="4" t="s">
        <v>45</v>
      </c>
      <c r="K432" s="4" t="s">
        <v>122</v>
      </c>
      <c r="L432" s="4" t="s">
        <v>263</v>
      </c>
      <c r="M432" s="4">
        <v>13</v>
      </c>
      <c r="N432" s="4">
        <v>45</v>
      </c>
      <c r="O432" s="4">
        <v>15</v>
      </c>
      <c r="P432" s="4">
        <v>497.25</v>
      </c>
      <c r="Q432" s="4">
        <v>2</v>
      </c>
      <c r="R432" s="4" t="s">
        <v>34</v>
      </c>
      <c r="S432" s="4" t="s">
        <v>49</v>
      </c>
      <c r="T432" s="4" t="s">
        <v>62</v>
      </c>
      <c r="U432" s="6" t="s">
        <v>1855</v>
      </c>
      <c r="V432" s="4" t="s">
        <v>38</v>
      </c>
    </row>
    <row r="433" spans="1:22">
      <c r="A433" s="7" t="s">
        <v>1856</v>
      </c>
      <c r="B433" s="8" t="s">
        <v>251</v>
      </c>
      <c r="C433" s="8" t="s">
        <v>40</v>
      </c>
      <c r="D433" s="8" t="s">
        <v>998</v>
      </c>
      <c r="E433" s="8" t="s">
        <v>1128</v>
      </c>
      <c r="F433" s="8" t="s">
        <v>254</v>
      </c>
      <c r="G433" s="8" t="s">
        <v>28</v>
      </c>
      <c r="H433" s="8" t="s">
        <v>1857</v>
      </c>
      <c r="I433" s="8" t="s">
        <v>105</v>
      </c>
      <c r="J433" s="8" t="s">
        <v>106</v>
      </c>
      <c r="K433" s="8" t="s">
        <v>46</v>
      </c>
      <c r="L433" s="8" t="s">
        <v>47</v>
      </c>
      <c r="M433" s="8">
        <v>7</v>
      </c>
      <c r="N433" s="8">
        <v>12000</v>
      </c>
      <c r="O433" s="8">
        <v>5</v>
      </c>
      <c r="P433" s="8">
        <v>79800</v>
      </c>
      <c r="Q433" s="8">
        <v>4</v>
      </c>
      <c r="R433" s="8" t="s">
        <v>79</v>
      </c>
      <c r="S433" s="8" t="s">
        <v>151</v>
      </c>
      <c r="T433" s="8" t="s">
        <v>256</v>
      </c>
      <c r="U433" s="9" t="s">
        <v>1858</v>
      </c>
      <c r="V433" s="8" t="s">
        <v>69</v>
      </c>
    </row>
    <row r="434" spans="1:22">
      <c r="A434" s="3" t="s">
        <v>1859</v>
      </c>
      <c r="B434" s="4" t="s">
        <v>327</v>
      </c>
      <c r="C434" s="4" t="s">
        <v>222</v>
      </c>
      <c r="D434" s="4" t="s">
        <v>601</v>
      </c>
      <c r="E434" s="4"/>
      <c r="F434" s="4" t="s">
        <v>394</v>
      </c>
      <c r="G434" s="4" t="s">
        <v>76</v>
      </c>
      <c r="H434" s="4" t="s">
        <v>1860</v>
      </c>
      <c r="I434" s="4" t="s">
        <v>294</v>
      </c>
      <c r="J434" s="4" t="s">
        <v>295</v>
      </c>
      <c r="K434" s="4" t="s">
        <v>122</v>
      </c>
      <c r="L434" s="4" t="s">
        <v>227</v>
      </c>
      <c r="M434" s="4">
        <v>8</v>
      </c>
      <c r="N434" s="4">
        <v>20</v>
      </c>
      <c r="O434" s="4">
        <v>0</v>
      </c>
      <c r="P434" s="4">
        <v>160</v>
      </c>
      <c r="Q434" s="4">
        <v>4</v>
      </c>
      <c r="R434" s="4" t="s">
        <v>79</v>
      </c>
      <c r="S434" s="4" t="s">
        <v>61</v>
      </c>
      <c r="T434" s="4" t="s">
        <v>332</v>
      </c>
      <c r="U434" s="6" t="s">
        <v>1861</v>
      </c>
      <c r="V434" s="4" t="s">
        <v>64</v>
      </c>
    </row>
    <row r="435" spans="1:22">
      <c r="A435" s="7" t="s">
        <v>1862</v>
      </c>
      <c r="B435" s="8" t="s">
        <v>23</v>
      </c>
      <c r="C435" s="8" t="s">
        <v>92</v>
      </c>
      <c r="D435" s="8" t="s">
        <v>1863</v>
      </c>
      <c r="E435" s="8" t="s">
        <v>900</v>
      </c>
      <c r="F435" s="8" t="s">
        <v>27</v>
      </c>
      <c r="G435" s="8" t="s">
        <v>28</v>
      </c>
      <c r="H435" s="8" t="s">
        <v>1864</v>
      </c>
      <c r="I435" s="8" t="s">
        <v>294</v>
      </c>
      <c r="J435" s="8" t="s">
        <v>295</v>
      </c>
      <c r="K435" s="8" t="s">
        <v>32</v>
      </c>
      <c r="L435" s="8" t="s">
        <v>97</v>
      </c>
      <c r="M435" s="8">
        <v>16</v>
      </c>
      <c r="N435" s="8">
        <v>3500</v>
      </c>
      <c r="O435" s="8">
        <v>5</v>
      </c>
      <c r="P435" s="8">
        <v>53200</v>
      </c>
      <c r="Q435" s="8">
        <v>1</v>
      </c>
      <c r="R435" s="8" t="s">
        <v>79</v>
      </c>
      <c r="S435" s="8" t="s">
        <v>61</v>
      </c>
      <c r="T435" s="8" t="s">
        <v>50</v>
      </c>
      <c r="U435" s="9" t="s">
        <v>1865</v>
      </c>
      <c r="V435" s="8" t="s">
        <v>69</v>
      </c>
    </row>
    <row r="436" spans="1:22">
      <c r="A436" s="3" t="s">
        <v>1866</v>
      </c>
      <c r="B436" s="4" t="s">
        <v>327</v>
      </c>
      <c r="C436" s="4" t="s">
        <v>169</v>
      </c>
      <c r="D436" s="4" t="s">
        <v>1867</v>
      </c>
      <c r="E436" s="4" t="s">
        <v>1157</v>
      </c>
      <c r="F436" s="4" t="s">
        <v>394</v>
      </c>
      <c r="G436" s="4" t="s">
        <v>76</v>
      </c>
      <c r="H436" s="4" t="s">
        <v>1868</v>
      </c>
      <c r="I436" s="4" t="s">
        <v>105</v>
      </c>
      <c r="J436" s="4" t="s">
        <v>106</v>
      </c>
      <c r="K436" s="4" t="s">
        <v>32</v>
      </c>
      <c r="L436" s="4" t="s">
        <v>174</v>
      </c>
      <c r="M436" s="4">
        <v>12</v>
      </c>
      <c r="N436" s="4">
        <v>8500</v>
      </c>
      <c r="O436" s="4">
        <v>10</v>
      </c>
      <c r="P436" s="4">
        <v>91800</v>
      </c>
      <c r="Q436" s="4">
        <v>3</v>
      </c>
      <c r="R436" s="4" t="s">
        <v>79</v>
      </c>
      <c r="S436" s="4" t="s">
        <v>35</v>
      </c>
      <c r="T436" s="4" t="s">
        <v>332</v>
      </c>
      <c r="U436" s="6" t="s">
        <v>1869</v>
      </c>
      <c r="V436" s="4" t="s">
        <v>38</v>
      </c>
    </row>
    <row r="437" spans="1:22">
      <c r="A437" s="7" t="s">
        <v>1870</v>
      </c>
      <c r="B437" s="8" t="s">
        <v>23</v>
      </c>
      <c r="C437" s="8" t="s">
        <v>118</v>
      </c>
      <c r="D437" s="8" t="s">
        <v>539</v>
      </c>
      <c r="E437" s="8" t="s">
        <v>1114</v>
      </c>
      <c r="F437" s="8" t="s">
        <v>27</v>
      </c>
      <c r="G437" s="8" t="s">
        <v>28</v>
      </c>
      <c r="H437" s="8" t="s">
        <v>1871</v>
      </c>
      <c r="I437" s="8" t="s">
        <v>138</v>
      </c>
      <c r="J437" s="8" t="s">
        <v>106</v>
      </c>
      <c r="K437" s="8" t="s">
        <v>122</v>
      </c>
      <c r="L437" s="8" t="s">
        <v>123</v>
      </c>
      <c r="M437" s="8">
        <v>1</v>
      </c>
      <c r="N437" s="8">
        <v>60</v>
      </c>
      <c r="O437" s="8">
        <v>20</v>
      </c>
      <c r="P437" s="8">
        <v>48</v>
      </c>
      <c r="Q437" s="8">
        <v>2</v>
      </c>
      <c r="R437" s="8" t="s">
        <v>79</v>
      </c>
      <c r="S437" s="8" t="s">
        <v>151</v>
      </c>
      <c r="T437" s="8" t="s">
        <v>50</v>
      </c>
      <c r="U437" s="9" t="s">
        <v>1872</v>
      </c>
      <c r="V437" s="8" t="s">
        <v>38</v>
      </c>
    </row>
    <row r="438" spans="1:22">
      <c r="A438" s="3" t="s">
        <v>1873</v>
      </c>
      <c r="B438" s="4" t="s">
        <v>127</v>
      </c>
      <c r="C438" s="4" t="s">
        <v>118</v>
      </c>
      <c r="D438" s="4" t="s">
        <v>507</v>
      </c>
      <c r="E438" s="4" t="s">
        <v>535</v>
      </c>
      <c r="F438" s="4" t="s">
        <v>200</v>
      </c>
      <c r="G438" s="4" t="s">
        <v>76</v>
      </c>
      <c r="H438" s="4" t="s">
        <v>1874</v>
      </c>
      <c r="I438" s="4" t="s">
        <v>30</v>
      </c>
      <c r="J438" s="4" t="s">
        <v>31</v>
      </c>
      <c r="K438" s="4" t="s">
        <v>122</v>
      </c>
      <c r="L438" s="4" t="s">
        <v>123</v>
      </c>
      <c r="M438" s="4">
        <v>3</v>
      </c>
      <c r="N438" s="4">
        <v>60</v>
      </c>
      <c r="O438" s="4">
        <v>15</v>
      </c>
      <c r="P438" s="4">
        <v>153</v>
      </c>
      <c r="Q438" s="4">
        <v>4</v>
      </c>
      <c r="R438" s="4" t="s">
        <v>79</v>
      </c>
      <c r="S438" s="4" t="s">
        <v>35</v>
      </c>
      <c r="T438" s="4" t="s">
        <v>132</v>
      </c>
      <c r="U438" s="6" t="s">
        <v>1875</v>
      </c>
      <c r="V438" s="4" t="s">
        <v>38</v>
      </c>
    </row>
    <row r="439" spans="1:22">
      <c r="A439" s="7" t="s">
        <v>1876</v>
      </c>
      <c r="B439" s="8" t="s">
        <v>100</v>
      </c>
      <c r="C439" s="8" t="s">
        <v>184</v>
      </c>
      <c r="D439" s="8" t="s">
        <v>568</v>
      </c>
      <c r="E439" s="8" t="s">
        <v>119</v>
      </c>
      <c r="F439" s="8" t="s">
        <v>103</v>
      </c>
      <c r="G439" s="8" t="s">
        <v>28</v>
      </c>
      <c r="H439" s="8" t="s">
        <v>1877</v>
      </c>
      <c r="I439" s="8" t="s">
        <v>294</v>
      </c>
      <c r="J439" s="8" t="s">
        <v>295</v>
      </c>
      <c r="K439" s="8" t="s">
        <v>46</v>
      </c>
      <c r="L439" s="8" t="s">
        <v>189</v>
      </c>
      <c r="M439" s="8">
        <v>10</v>
      </c>
      <c r="N439" s="8">
        <v>700</v>
      </c>
      <c r="O439" s="8">
        <v>15</v>
      </c>
      <c r="P439" s="8">
        <v>5950</v>
      </c>
      <c r="Q439" s="8">
        <v>3</v>
      </c>
      <c r="R439" s="8" t="s">
        <v>48</v>
      </c>
      <c r="S439" s="8" t="s">
        <v>35</v>
      </c>
      <c r="T439" s="8" t="s">
        <v>144</v>
      </c>
      <c r="U439" s="9" t="s">
        <v>1878</v>
      </c>
      <c r="V439" s="8" t="s">
        <v>64</v>
      </c>
    </row>
    <row r="440" spans="1:22">
      <c r="A440" s="3" t="s">
        <v>1879</v>
      </c>
      <c r="B440" s="4" t="s">
        <v>83</v>
      </c>
      <c r="C440" s="4" t="s">
        <v>222</v>
      </c>
      <c r="D440" s="4" t="s">
        <v>1880</v>
      </c>
      <c r="E440" s="4" t="s">
        <v>1881</v>
      </c>
      <c r="F440" s="4" t="s">
        <v>180</v>
      </c>
      <c r="G440" s="4" t="s">
        <v>76</v>
      </c>
      <c r="H440" s="4" t="s">
        <v>1882</v>
      </c>
      <c r="I440" s="4" t="s">
        <v>138</v>
      </c>
      <c r="J440" s="4" t="s">
        <v>106</v>
      </c>
      <c r="K440" s="4" t="s">
        <v>122</v>
      </c>
      <c r="L440" s="4" t="s">
        <v>227</v>
      </c>
      <c r="M440" s="4">
        <v>2</v>
      </c>
      <c r="N440" s="4">
        <v>20</v>
      </c>
      <c r="O440" s="4">
        <v>10</v>
      </c>
      <c r="P440" s="4">
        <v>36</v>
      </c>
      <c r="Q440" s="4">
        <v>2</v>
      </c>
      <c r="R440" s="4" t="s">
        <v>88</v>
      </c>
      <c r="S440" s="4" t="s">
        <v>61</v>
      </c>
      <c r="T440" s="4" t="s">
        <v>89</v>
      </c>
      <c r="U440" s="6" t="s">
        <v>1883</v>
      </c>
      <c r="V440" s="4" t="s">
        <v>38</v>
      </c>
    </row>
    <row r="441" spans="1:22">
      <c r="A441" s="7" t="s">
        <v>1884</v>
      </c>
      <c r="B441" s="8" t="s">
        <v>83</v>
      </c>
      <c r="C441" s="8" t="s">
        <v>222</v>
      </c>
      <c r="D441" s="8" t="s">
        <v>1885</v>
      </c>
      <c r="E441" s="8" t="s">
        <v>1199</v>
      </c>
      <c r="F441" s="8" t="s">
        <v>180</v>
      </c>
      <c r="G441" s="8" t="s">
        <v>76</v>
      </c>
      <c r="H441" s="8" t="s">
        <v>1886</v>
      </c>
      <c r="I441" s="8" t="s">
        <v>44</v>
      </c>
      <c r="J441" s="8" t="s">
        <v>45</v>
      </c>
      <c r="K441" s="8" t="s">
        <v>122</v>
      </c>
      <c r="L441" s="8" t="s">
        <v>227</v>
      </c>
      <c r="M441" s="8">
        <v>14</v>
      </c>
      <c r="N441" s="8">
        <v>20</v>
      </c>
      <c r="O441" s="8">
        <v>20</v>
      </c>
      <c r="P441" s="8">
        <v>224</v>
      </c>
      <c r="Q441" s="8">
        <v>5</v>
      </c>
      <c r="R441" s="8" t="s">
        <v>34</v>
      </c>
      <c r="S441" s="8" t="s">
        <v>151</v>
      </c>
      <c r="T441" s="8" t="s">
        <v>89</v>
      </c>
      <c r="U441" s="9" t="s">
        <v>1887</v>
      </c>
      <c r="V441" s="8" t="s">
        <v>64</v>
      </c>
    </row>
    <row r="442" spans="1:22">
      <c r="A442" s="3" t="s">
        <v>1888</v>
      </c>
      <c r="B442" s="4" t="s">
        <v>327</v>
      </c>
      <c r="C442" s="4" t="s">
        <v>92</v>
      </c>
      <c r="D442" s="4" t="s">
        <v>1713</v>
      </c>
      <c r="E442" s="4" t="s">
        <v>193</v>
      </c>
      <c r="F442" s="4" t="s">
        <v>394</v>
      </c>
      <c r="G442" s="4" t="s">
        <v>76</v>
      </c>
      <c r="H442" s="4" t="s">
        <v>1889</v>
      </c>
      <c r="I442" s="4" t="s">
        <v>138</v>
      </c>
      <c r="J442" s="4" t="s">
        <v>106</v>
      </c>
      <c r="K442" s="4" t="s">
        <v>32</v>
      </c>
      <c r="L442" s="4" t="s">
        <v>97</v>
      </c>
      <c r="M442" s="4">
        <v>4</v>
      </c>
      <c r="N442" s="4">
        <v>3500</v>
      </c>
      <c r="O442" s="4">
        <v>0</v>
      </c>
      <c r="P442" s="4">
        <v>14000</v>
      </c>
      <c r="Q442" s="4">
        <v>2</v>
      </c>
      <c r="R442" s="4" t="s">
        <v>88</v>
      </c>
      <c r="S442" s="4" t="s">
        <v>35</v>
      </c>
      <c r="T442" s="4" t="s">
        <v>332</v>
      </c>
      <c r="U442" s="6" t="s">
        <v>1890</v>
      </c>
      <c r="V442" s="4" t="s">
        <v>69</v>
      </c>
    </row>
    <row r="443" spans="1:22">
      <c r="A443" s="7" t="s">
        <v>1891</v>
      </c>
      <c r="B443" s="8" t="s">
        <v>83</v>
      </c>
      <c r="C443" s="8" t="s">
        <v>92</v>
      </c>
      <c r="D443" s="8" t="s">
        <v>318</v>
      </c>
      <c r="E443" s="8" t="s">
        <v>1119</v>
      </c>
      <c r="F443" s="8" t="s">
        <v>180</v>
      </c>
      <c r="G443" s="8" t="s">
        <v>76</v>
      </c>
      <c r="H443" s="8" t="s">
        <v>1892</v>
      </c>
      <c r="I443" s="8" t="s">
        <v>212</v>
      </c>
      <c r="J443" s="8" t="s">
        <v>45</v>
      </c>
      <c r="K443" s="8" t="s">
        <v>32</v>
      </c>
      <c r="L443" s="8" t="s">
        <v>97</v>
      </c>
      <c r="M443" s="8">
        <v>9</v>
      </c>
      <c r="N443" s="8">
        <v>3500</v>
      </c>
      <c r="O443" s="8">
        <v>5</v>
      </c>
      <c r="P443" s="8">
        <v>29925</v>
      </c>
      <c r="Q443" s="8">
        <v>3</v>
      </c>
      <c r="R443" s="8" t="s">
        <v>79</v>
      </c>
      <c r="S443" s="8" t="s">
        <v>61</v>
      </c>
      <c r="T443" s="8" t="s">
        <v>89</v>
      </c>
      <c r="U443" s="9" t="s">
        <v>1893</v>
      </c>
      <c r="V443" s="8" t="s">
        <v>38</v>
      </c>
    </row>
    <row r="444" spans="1:22">
      <c r="A444" s="3" t="s">
        <v>1894</v>
      </c>
      <c r="B444" s="4" t="s">
        <v>127</v>
      </c>
      <c r="C444" s="4" t="s">
        <v>118</v>
      </c>
      <c r="D444" s="4" t="s">
        <v>683</v>
      </c>
      <c r="E444" s="4" t="s">
        <v>1465</v>
      </c>
      <c r="F444" s="4" t="s">
        <v>200</v>
      </c>
      <c r="G444" s="4" t="s">
        <v>76</v>
      </c>
      <c r="H444" s="4" t="s">
        <v>1895</v>
      </c>
      <c r="I444" s="4" t="s">
        <v>105</v>
      </c>
      <c r="J444" s="4" t="s">
        <v>106</v>
      </c>
      <c r="K444" s="4" t="s">
        <v>122</v>
      </c>
      <c r="L444" s="4" t="s">
        <v>123</v>
      </c>
      <c r="M444" s="4">
        <v>9</v>
      </c>
      <c r="N444" s="4">
        <v>60</v>
      </c>
      <c r="O444" s="4">
        <v>0</v>
      </c>
      <c r="P444" s="4">
        <v>540</v>
      </c>
      <c r="Q444" s="4">
        <v>3</v>
      </c>
      <c r="R444" s="4" t="s">
        <v>88</v>
      </c>
      <c r="S444" s="4" t="s">
        <v>35</v>
      </c>
      <c r="T444" s="4" t="s">
        <v>132</v>
      </c>
      <c r="U444" s="6" t="s">
        <v>1896</v>
      </c>
      <c r="V444" s="4" t="s">
        <v>64</v>
      </c>
    </row>
    <row r="445" spans="1:22">
      <c r="A445" s="7" t="s">
        <v>1897</v>
      </c>
      <c r="B445" s="8" t="s">
        <v>168</v>
      </c>
      <c r="C445" s="8" t="s">
        <v>72</v>
      </c>
      <c r="D445" s="8" t="s">
        <v>1898</v>
      </c>
      <c r="E445" s="8" t="s">
        <v>1263</v>
      </c>
      <c r="F445" s="8" t="s">
        <v>361</v>
      </c>
      <c r="G445" s="8" t="s">
        <v>28</v>
      </c>
      <c r="H445" s="8" t="s">
        <v>1899</v>
      </c>
      <c r="I445" s="8" t="s">
        <v>138</v>
      </c>
      <c r="J445" s="8" t="s">
        <v>106</v>
      </c>
      <c r="K445" s="8" t="s">
        <v>46</v>
      </c>
      <c r="L445" s="8" t="s">
        <v>78</v>
      </c>
      <c r="M445" s="8">
        <v>4</v>
      </c>
      <c r="N445" s="8">
        <v>1200</v>
      </c>
      <c r="O445" s="8">
        <v>0</v>
      </c>
      <c r="P445" s="8">
        <v>4800</v>
      </c>
      <c r="Q445" s="8">
        <v>1</v>
      </c>
      <c r="R445" s="8" t="s">
        <v>48</v>
      </c>
      <c r="S445" s="8" t="s">
        <v>61</v>
      </c>
      <c r="T445" s="8" t="s">
        <v>175</v>
      </c>
      <c r="U445" s="9" t="s">
        <v>1900</v>
      </c>
      <c r="V445" s="8" t="s">
        <v>38</v>
      </c>
    </row>
    <row r="446" spans="1:22">
      <c r="A446" s="3" t="s">
        <v>1901</v>
      </c>
      <c r="B446" s="4" t="s">
        <v>53</v>
      </c>
      <c r="C446" s="4" t="s">
        <v>54</v>
      </c>
      <c r="D446" s="4" t="s">
        <v>1620</v>
      </c>
      <c r="E446" s="4" t="s">
        <v>302</v>
      </c>
      <c r="F446" s="4" t="s">
        <v>163</v>
      </c>
      <c r="G446" s="4" t="s">
        <v>28</v>
      </c>
      <c r="H446" s="4" t="s">
        <v>1902</v>
      </c>
      <c r="I446" s="4" t="s">
        <v>30</v>
      </c>
      <c r="J446" s="4" t="s">
        <v>31</v>
      </c>
      <c r="K446" s="4" t="s">
        <v>46</v>
      </c>
      <c r="L446" s="4" t="s">
        <v>60</v>
      </c>
      <c r="M446" s="4">
        <v>10</v>
      </c>
      <c r="N446" s="4">
        <v>55000</v>
      </c>
      <c r="O446" s="4">
        <v>5</v>
      </c>
      <c r="P446" s="4">
        <v>522500</v>
      </c>
      <c r="Q446" s="4">
        <v>5</v>
      </c>
      <c r="R446" s="4" t="s">
        <v>88</v>
      </c>
      <c r="S446" s="4" t="s">
        <v>115</v>
      </c>
      <c r="T446" s="4" t="s">
        <v>62</v>
      </c>
      <c r="U446" s="6" t="s">
        <v>1903</v>
      </c>
      <c r="V446" s="4" t="s">
        <v>38</v>
      </c>
    </row>
    <row r="447" spans="1:22">
      <c r="A447" s="7" t="s">
        <v>1904</v>
      </c>
      <c r="B447" s="8" t="s">
        <v>221</v>
      </c>
      <c r="C447" s="8" t="s">
        <v>259</v>
      </c>
      <c r="D447" s="8" t="s">
        <v>1905</v>
      </c>
      <c r="E447" s="8" t="s">
        <v>881</v>
      </c>
      <c r="F447" s="8" t="s">
        <v>225</v>
      </c>
      <c r="G447" s="8" t="s">
        <v>76</v>
      </c>
      <c r="H447" s="8" t="s">
        <v>1906</v>
      </c>
      <c r="I447" s="8" t="s">
        <v>30</v>
      </c>
      <c r="J447" s="8" t="s">
        <v>31</v>
      </c>
      <c r="K447" s="8" t="s">
        <v>122</v>
      </c>
      <c r="L447" s="8" t="s">
        <v>263</v>
      </c>
      <c r="M447" s="8">
        <v>20</v>
      </c>
      <c r="N447" s="8">
        <v>45</v>
      </c>
      <c r="O447" s="8">
        <v>15</v>
      </c>
      <c r="P447" s="8">
        <v>765</v>
      </c>
      <c r="Q447" s="8">
        <v>2</v>
      </c>
      <c r="R447" s="8" t="s">
        <v>79</v>
      </c>
      <c r="S447" s="8" t="s">
        <v>35</v>
      </c>
      <c r="T447" s="8" t="s">
        <v>228</v>
      </c>
      <c r="U447" s="9" t="s">
        <v>1907</v>
      </c>
      <c r="V447" s="8" t="s">
        <v>69</v>
      </c>
    </row>
    <row r="448" spans="1:22">
      <c r="A448" s="3" t="s">
        <v>1908</v>
      </c>
      <c r="B448" s="4" t="s">
        <v>23</v>
      </c>
      <c r="C448" s="4" t="s">
        <v>222</v>
      </c>
      <c r="D448" s="4" t="s">
        <v>314</v>
      </c>
      <c r="E448" s="4" t="s">
        <v>170</v>
      </c>
      <c r="F448" s="4" t="s">
        <v>27</v>
      </c>
      <c r="G448" s="4" t="s">
        <v>28</v>
      </c>
      <c r="H448" s="4" t="s">
        <v>1909</v>
      </c>
      <c r="I448" s="4" t="s">
        <v>105</v>
      </c>
      <c r="J448" s="4" t="s">
        <v>106</v>
      </c>
      <c r="K448" s="4" t="s">
        <v>122</v>
      </c>
      <c r="L448" s="4" t="s">
        <v>227</v>
      </c>
      <c r="M448" s="4">
        <v>9</v>
      </c>
      <c r="N448" s="4">
        <v>20</v>
      </c>
      <c r="O448" s="4">
        <v>20</v>
      </c>
      <c r="P448" s="4">
        <v>144</v>
      </c>
      <c r="Q448" s="4">
        <v>3</v>
      </c>
      <c r="R448" s="4" t="s">
        <v>79</v>
      </c>
      <c r="S448" s="4" t="s">
        <v>61</v>
      </c>
      <c r="T448" s="4" t="s">
        <v>50</v>
      </c>
      <c r="U448" s="6" t="s">
        <v>1910</v>
      </c>
      <c r="V448" s="4" t="s">
        <v>38</v>
      </c>
    </row>
    <row r="449" spans="1:22">
      <c r="A449" s="7" t="s">
        <v>1911</v>
      </c>
      <c r="B449" s="8" t="s">
        <v>23</v>
      </c>
      <c r="C449" s="8" t="s">
        <v>54</v>
      </c>
      <c r="D449" s="8" t="s">
        <v>1912</v>
      </c>
      <c r="E449" s="8" t="s">
        <v>910</v>
      </c>
      <c r="F449" s="8" t="s">
        <v>27</v>
      </c>
      <c r="G449" s="8" t="s">
        <v>28</v>
      </c>
      <c r="H449" s="8" t="s">
        <v>1913</v>
      </c>
      <c r="I449" s="8" t="s">
        <v>114</v>
      </c>
      <c r="J449" s="8" t="s">
        <v>106</v>
      </c>
      <c r="K449" s="8" t="s">
        <v>46</v>
      </c>
      <c r="L449" s="8" t="s">
        <v>60</v>
      </c>
      <c r="M449" s="8">
        <v>8</v>
      </c>
      <c r="N449" s="8">
        <v>55000</v>
      </c>
      <c r="O449" s="8">
        <v>0</v>
      </c>
      <c r="P449" s="8">
        <v>440000</v>
      </c>
      <c r="Q449" s="8">
        <v>4</v>
      </c>
      <c r="R449" s="8" t="s">
        <v>34</v>
      </c>
      <c r="S449" s="8" t="s">
        <v>115</v>
      </c>
      <c r="T449" s="8" t="s">
        <v>50</v>
      </c>
      <c r="U449" s="9" t="s">
        <v>1914</v>
      </c>
      <c r="V449" s="8" t="s">
        <v>38</v>
      </c>
    </row>
    <row r="450" spans="1:22">
      <c r="A450" s="3" t="s">
        <v>1915</v>
      </c>
      <c r="B450" s="4" t="s">
        <v>327</v>
      </c>
      <c r="C450" s="4" t="s">
        <v>72</v>
      </c>
      <c r="D450" s="4" t="s">
        <v>1916</v>
      </c>
      <c r="E450" s="4" t="s">
        <v>1430</v>
      </c>
      <c r="F450" s="4" t="s">
        <v>394</v>
      </c>
      <c r="G450" s="4" t="s">
        <v>76</v>
      </c>
      <c r="H450" s="4" t="s">
        <v>1917</v>
      </c>
      <c r="I450" s="4" t="s">
        <v>138</v>
      </c>
      <c r="J450" s="4" t="s">
        <v>106</v>
      </c>
      <c r="K450" s="4" t="s">
        <v>46</v>
      </c>
      <c r="L450" s="4" t="s">
        <v>78</v>
      </c>
      <c r="M450" s="4">
        <v>4</v>
      </c>
      <c r="N450" s="4">
        <v>1200</v>
      </c>
      <c r="O450" s="4">
        <v>10</v>
      </c>
      <c r="P450" s="4">
        <v>4320</v>
      </c>
      <c r="Q450" s="4">
        <v>4</v>
      </c>
      <c r="R450" s="4" t="s">
        <v>88</v>
      </c>
      <c r="S450" s="4" t="s">
        <v>35</v>
      </c>
      <c r="T450" s="5" t="s">
        <v>1918</v>
      </c>
      <c r="U450" s="6" t="s">
        <v>1919</v>
      </c>
      <c r="V450" s="4" t="s">
        <v>69</v>
      </c>
    </row>
    <row r="451" spans="1:22">
      <c r="A451" s="7" t="s">
        <v>1920</v>
      </c>
      <c r="B451" s="8" t="s">
        <v>327</v>
      </c>
      <c r="C451" s="8" t="s">
        <v>169</v>
      </c>
      <c r="D451" s="8" t="s">
        <v>518</v>
      </c>
      <c r="E451" s="8" t="s">
        <v>426</v>
      </c>
      <c r="F451" s="8" t="s">
        <v>394</v>
      </c>
      <c r="G451" s="8" t="s">
        <v>76</v>
      </c>
      <c r="H451" s="8" t="s">
        <v>1921</v>
      </c>
      <c r="I451" s="8" t="s">
        <v>294</v>
      </c>
      <c r="J451" s="8" t="s">
        <v>295</v>
      </c>
      <c r="K451" s="8" t="s">
        <v>32</v>
      </c>
      <c r="L451" s="8" t="s">
        <v>174</v>
      </c>
      <c r="M451" s="8">
        <v>14</v>
      </c>
      <c r="N451" s="8">
        <v>8500</v>
      </c>
      <c r="O451" s="8">
        <v>10</v>
      </c>
      <c r="P451" s="8">
        <v>107100</v>
      </c>
      <c r="Q451" s="8">
        <v>4</v>
      </c>
      <c r="R451" s="8" t="s">
        <v>34</v>
      </c>
      <c r="S451" s="8" t="s">
        <v>35</v>
      </c>
      <c r="T451" s="8" t="s">
        <v>332</v>
      </c>
      <c r="U451" s="9" t="s">
        <v>1922</v>
      </c>
      <c r="V451" s="8" t="s">
        <v>38</v>
      </c>
    </row>
    <row r="452" spans="1:22">
      <c r="A452" s="3" t="s">
        <v>1923</v>
      </c>
      <c r="B452" s="4" t="s">
        <v>71</v>
      </c>
      <c r="C452" s="4" t="s">
        <v>259</v>
      </c>
      <c r="D452" s="4" t="s">
        <v>683</v>
      </c>
      <c r="E452" s="4" t="s">
        <v>1924</v>
      </c>
      <c r="F452" s="4" t="s">
        <v>217</v>
      </c>
      <c r="G452" s="4" t="s">
        <v>76</v>
      </c>
      <c r="H452" s="4" t="s">
        <v>1925</v>
      </c>
      <c r="I452" s="4" t="s">
        <v>30</v>
      </c>
      <c r="J452" s="4" t="s">
        <v>31</v>
      </c>
      <c r="K452" s="4" t="s">
        <v>122</v>
      </c>
      <c r="L452" s="4" t="s">
        <v>263</v>
      </c>
      <c r="M452" s="4">
        <v>1</v>
      </c>
      <c r="N452" s="4">
        <v>45</v>
      </c>
      <c r="O452" s="4">
        <v>0</v>
      </c>
      <c r="P452" s="4">
        <v>45</v>
      </c>
      <c r="Q452" s="4">
        <v>3</v>
      </c>
      <c r="R452" s="4" t="s">
        <v>88</v>
      </c>
      <c r="S452" s="4" t="s">
        <v>151</v>
      </c>
      <c r="T452" s="4" t="s">
        <v>80</v>
      </c>
      <c r="U452" s="6" t="s">
        <v>1926</v>
      </c>
      <c r="V452" s="4" t="s">
        <v>69</v>
      </c>
    </row>
    <row r="453" spans="1:22">
      <c r="A453" s="7" t="s">
        <v>1927</v>
      </c>
      <c r="B453" s="8" t="s">
        <v>71</v>
      </c>
      <c r="C453" s="8" t="s">
        <v>54</v>
      </c>
      <c r="D453" s="8" t="s">
        <v>901</v>
      </c>
      <c r="E453" s="8" t="s">
        <v>1069</v>
      </c>
      <c r="F453" s="8" t="s">
        <v>217</v>
      </c>
      <c r="G453" s="8" t="s">
        <v>76</v>
      </c>
      <c r="H453" s="8" t="s">
        <v>1928</v>
      </c>
      <c r="I453" s="8" t="s">
        <v>44</v>
      </c>
      <c r="J453" s="8" t="s">
        <v>45</v>
      </c>
      <c r="K453" s="8" t="s">
        <v>46</v>
      </c>
      <c r="L453" s="8" t="s">
        <v>60</v>
      </c>
      <c r="M453" s="8">
        <v>16</v>
      </c>
      <c r="N453" s="8">
        <v>55000</v>
      </c>
      <c r="O453" s="8">
        <v>15</v>
      </c>
      <c r="P453" s="8">
        <v>748000</v>
      </c>
      <c r="Q453" s="8">
        <v>1</v>
      </c>
      <c r="R453" s="8" t="s">
        <v>79</v>
      </c>
      <c r="S453" s="8" t="s">
        <v>151</v>
      </c>
      <c r="T453" s="8" t="s">
        <v>80</v>
      </c>
      <c r="U453" s="9" t="s">
        <v>1929</v>
      </c>
      <c r="V453" s="8" t="s">
        <v>69</v>
      </c>
    </row>
    <row r="454" spans="1:22">
      <c r="A454" s="3" t="s">
        <v>1930</v>
      </c>
      <c r="B454" s="4" t="s">
        <v>53</v>
      </c>
      <c r="C454" s="4" t="s">
        <v>184</v>
      </c>
      <c r="D454" s="4" t="s">
        <v>1931</v>
      </c>
      <c r="E454" s="4" t="s">
        <v>1932</v>
      </c>
      <c r="F454" s="4" t="s">
        <v>163</v>
      </c>
      <c r="G454" s="4" t="s">
        <v>28</v>
      </c>
      <c r="H454" s="4" t="s">
        <v>1933</v>
      </c>
      <c r="I454" s="4" t="s">
        <v>138</v>
      </c>
      <c r="J454" s="4" t="s">
        <v>106</v>
      </c>
      <c r="K454" s="4" t="s">
        <v>46</v>
      </c>
      <c r="L454" s="4" t="s">
        <v>189</v>
      </c>
      <c r="M454" s="4">
        <v>8</v>
      </c>
      <c r="N454" s="4">
        <v>700</v>
      </c>
      <c r="O454" s="4">
        <v>0</v>
      </c>
      <c r="P454" s="4">
        <v>5600</v>
      </c>
      <c r="Q454" s="4">
        <v>3</v>
      </c>
      <c r="R454" s="4" t="s">
        <v>34</v>
      </c>
      <c r="S454" s="4" t="s">
        <v>49</v>
      </c>
      <c r="T454" s="4" t="s">
        <v>62</v>
      </c>
      <c r="U454" s="6" t="s">
        <v>1934</v>
      </c>
      <c r="V454" s="4" t="s">
        <v>38</v>
      </c>
    </row>
    <row r="455" spans="1:22">
      <c r="A455" s="7" t="s">
        <v>1935</v>
      </c>
      <c r="B455" s="8" t="s">
        <v>251</v>
      </c>
      <c r="C455" s="8" t="s">
        <v>72</v>
      </c>
      <c r="D455" s="8" t="s">
        <v>66</v>
      </c>
      <c r="E455" s="8" t="s">
        <v>1936</v>
      </c>
      <c r="F455" s="8" t="s">
        <v>254</v>
      </c>
      <c r="G455" s="8" t="s">
        <v>28</v>
      </c>
      <c r="H455" s="8" t="s">
        <v>1937</v>
      </c>
      <c r="I455" s="8" t="s">
        <v>138</v>
      </c>
      <c r="J455" s="8" t="s">
        <v>106</v>
      </c>
      <c r="K455" s="8" t="s">
        <v>46</v>
      </c>
      <c r="L455" s="8" t="s">
        <v>78</v>
      </c>
      <c r="M455" s="8">
        <v>3</v>
      </c>
      <c r="N455" s="8">
        <v>1200</v>
      </c>
      <c r="O455" s="8">
        <v>0</v>
      </c>
      <c r="P455" s="8">
        <v>3600</v>
      </c>
      <c r="Q455" s="8">
        <v>1</v>
      </c>
      <c r="R455" s="8" t="s">
        <v>79</v>
      </c>
      <c r="S455" s="8" t="s">
        <v>49</v>
      </c>
      <c r="T455" s="8" t="s">
        <v>256</v>
      </c>
      <c r="U455" s="9" t="s">
        <v>1938</v>
      </c>
      <c r="V455" s="8" t="s">
        <v>69</v>
      </c>
    </row>
    <row r="456" spans="1:22">
      <c r="A456" s="3" t="s">
        <v>1939</v>
      </c>
      <c r="B456" s="4" t="s">
        <v>71</v>
      </c>
      <c r="C456" s="4" t="s">
        <v>92</v>
      </c>
      <c r="D456" s="4" t="s">
        <v>988</v>
      </c>
      <c r="E456" s="4" t="s">
        <v>387</v>
      </c>
      <c r="F456" s="4" t="s">
        <v>217</v>
      </c>
      <c r="G456" s="4" t="s">
        <v>76</v>
      </c>
      <c r="H456" s="4" t="s">
        <v>1940</v>
      </c>
      <c r="I456" s="4" t="s">
        <v>294</v>
      </c>
      <c r="J456" s="4" t="s">
        <v>295</v>
      </c>
      <c r="K456" s="4" t="s">
        <v>32</v>
      </c>
      <c r="L456" s="4" t="s">
        <v>97</v>
      </c>
      <c r="M456" s="4">
        <v>7</v>
      </c>
      <c r="N456" s="4">
        <v>3500</v>
      </c>
      <c r="O456" s="4">
        <v>15</v>
      </c>
      <c r="P456" s="4">
        <v>20825</v>
      </c>
      <c r="Q456" s="4">
        <v>4</v>
      </c>
      <c r="R456" s="4" t="s">
        <v>79</v>
      </c>
      <c r="S456" s="4" t="s">
        <v>61</v>
      </c>
      <c r="T456" s="4" t="s">
        <v>80</v>
      </c>
      <c r="U456" s="6" t="s">
        <v>1941</v>
      </c>
      <c r="V456" s="4" t="s">
        <v>64</v>
      </c>
    </row>
    <row r="457" spans="1:22">
      <c r="A457" s="7" t="s">
        <v>1942</v>
      </c>
      <c r="B457" s="8" t="s">
        <v>53</v>
      </c>
      <c r="C457" s="8" t="s">
        <v>54</v>
      </c>
      <c r="D457" s="8" t="s">
        <v>1932</v>
      </c>
      <c r="E457" s="8" t="s">
        <v>740</v>
      </c>
      <c r="F457" s="8" t="s">
        <v>163</v>
      </c>
      <c r="G457" s="8" t="s">
        <v>28</v>
      </c>
      <c r="H457" s="8" t="s">
        <v>1943</v>
      </c>
      <c r="I457" s="8" t="s">
        <v>114</v>
      </c>
      <c r="J457" s="8" t="s">
        <v>106</v>
      </c>
      <c r="K457" s="8" t="s">
        <v>46</v>
      </c>
      <c r="L457" s="8" t="s">
        <v>60</v>
      </c>
      <c r="M457" s="8">
        <v>9</v>
      </c>
      <c r="N457" s="8">
        <v>55000</v>
      </c>
      <c r="O457" s="8">
        <v>15</v>
      </c>
      <c r="P457" s="8">
        <v>420750</v>
      </c>
      <c r="Q457" s="8">
        <v>3</v>
      </c>
      <c r="R457" s="8" t="s">
        <v>88</v>
      </c>
      <c r="S457" s="8" t="s">
        <v>35</v>
      </c>
      <c r="T457" s="8" t="s">
        <v>62</v>
      </c>
      <c r="U457" s="9" t="s">
        <v>1944</v>
      </c>
      <c r="V457" s="8" t="s">
        <v>69</v>
      </c>
    </row>
    <row r="458" spans="1:22">
      <c r="A458" s="3" t="s">
        <v>1945</v>
      </c>
      <c r="B458" s="4" t="s">
        <v>327</v>
      </c>
      <c r="C458" s="4" t="s">
        <v>40</v>
      </c>
      <c r="D458" s="4" t="s">
        <v>185</v>
      </c>
      <c r="E458" s="4" t="s">
        <v>918</v>
      </c>
      <c r="F458" s="4" t="s">
        <v>394</v>
      </c>
      <c r="G458" s="4" t="s">
        <v>76</v>
      </c>
      <c r="H458" s="4" t="s">
        <v>1946</v>
      </c>
      <c r="I458" s="4" t="s">
        <v>59</v>
      </c>
      <c r="J458" s="4" t="s">
        <v>31</v>
      </c>
      <c r="K458" s="4" t="s">
        <v>46</v>
      </c>
      <c r="L458" s="4" t="s">
        <v>47</v>
      </c>
      <c r="M458" s="4">
        <v>12</v>
      </c>
      <c r="N458" s="4">
        <v>12000</v>
      </c>
      <c r="O458" s="4">
        <v>0</v>
      </c>
      <c r="P458" s="4">
        <v>144000</v>
      </c>
      <c r="Q458" s="4">
        <v>3</v>
      </c>
      <c r="R458" s="4" t="s">
        <v>79</v>
      </c>
      <c r="S458" s="4" t="s">
        <v>151</v>
      </c>
      <c r="T458" s="4" t="s">
        <v>332</v>
      </c>
      <c r="U458" s="6" t="s">
        <v>1947</v>
      </c>
      <c r="V458" s="4" t="s">
        <v>69</v>
      </c>
    </row>
    <row r="459" spans="1:22">
      <c r="A459" s="7" t="s">
        <v>1948</v>
      </c>
      <c r="B459" s="8" t="s">
        <v>100</v>
      </c>
      <c r="C459" s="8" t="s">
        <v>118</v>
      </c>
      <c r="D459" s="8" t="s">
        <v>42</v>
      </c>
      <c r="E459" s="8" t="s">
        <v>597</v>
      </c>
      <c r="F459" s="8" t="s">
        <v>103</v>
      </c>
      <c r="G459" s="8" t="s">
        <v>28</v>
      </c>
      <c r="H459" s="8" t="s">
        <v>1949</v>
      </c>
      <c r="I459" s="8" t="s">
        <v>138</v>
      </c>
      <c r="J459" s="8" t="s">
        <v>106</v>
      </c>
      <c r="K459" s="8" t="s">
        <v>122</v>
      </c>
      <c r="L459" s="8" t="s">
        <v>123</v>
      </c>
      <c r="M459" s="8">
        <v>7</v>
      </c>
      <c r="N459" s="8">
        <v>60</v>
      </c>
      <c r="O459" s="8">
        <v>10</v>
      </c>
      <c r="P459" s="8">
        <v>378</v>
      </c>
      <c r="Q459" s="8">
        <v>4</v>
      </c>
      <c r="R459" s="8" t="s">
        <v>34</v>
      </c>
      <c r="S459" s="8" t="s">
        <v>49</v>
      </c>
      <c r="T459" s="8" t="s">
        <v>144</v>
      </c>
      <c r="U459" s="9" t="s">
        <v>1950</v>
      </c>
      <c r="V459" s="8" t="s">
        <v>69</v>
      </c>
    </row>
    <row r="460" spans="1:22">
      <c r="A460" s="3" t="s">
        <v>1951</v>
      </c>
      <c r="B460" s="4" t="s">
        <v>221</v>
      </c>
      <c r="C460" s="4" t="s">
        <v>24</v>
      </c>
      <c r="D460" s="4" t="s">
        <v>377</v>
      </c>
      <c r="E460" s="4" t="s">
        <v>674</v>
      </c>
      <c r="F460" s="4" t="s">
        <v>225</v>
      </c>
      <c r="G460" s="4" t="s">
        <v>76</v>
      </c>
      <c r="H460" s="4" t="s">
        <v>1952</v>
      </c>
      <c r="I460" s="4" t="s">
        <v>105</v>
      </c>
      <c r="J460" s="4" t="s">
        <v>106</v>
      </c>
      <c r="K460" s="4" t="s">
        <v>32</v>
      </c>
      <c r="L460" s="4" t="s">
        <v>33</v>
      </c>
      <c r="M460" s="4">
        <v>17</v>
      </c>
      <c r="N460" s="4">
        <v>2200</v>
      </c>
      <c r="O460" s="4">
        <v>15</v>
      </c>
      <c r="P460" s="4">
        <v>31790</v>
      </c>
      <c r="Q460" s="4">
        <v>3</v>
      </c>
      <c r="R460" s="4" t="s">
        <v>88</v>
      </c>
      <c r="S460" s="4" t="s">
        <v>151</v>
      </c>
      <c r="T460" s="4" t="s">
        <v>228</v>
      </c>
      <c r="U460" s="6" t="s">
        <v>1953</v>
      </c>
      <c r="V460" s="4" t="s">
        <v>64</v>
      </c>
    </row>
    <row r="461" spans="1:22">
      <c r="A461" s="7" t="s">
        <v>1954</v>
      </c>
      <c r="B461" s="8" t="s">
        <v>327</v>
      </c>
      <c r="C461" s="8" t="s">
        <v>184</v>
      </c>
      <c r="D461" s="8" t="s">
        <v>351</v>
      </c>
      <c r="E461" s="8" t="s">
        <v>1537</v>
      </c>
      <c r="F461" s="8" t="s">
        <v>394</v>
      </c>
      <c r="G461" s="8" t="s">
        <v>76</v>
      </c>
      <c r="H461" s="8" t="s">
        <v>1955</v>
      </c>
      <c r="I461" s="8" t="s">
        <v>59</v>
      </c>
      <c r="J461" s="8" t="s">
        <v>31</v>
      </c>
      <c r="K461" s="8" t="s">
        <v>46</v>
      </c>
      <c r="L461" s="8" t="s">
        <v>189</v>
      </c>
      <c r="M461" s="8">
        <v>17</v>
      </c>
      <c r="N461" s="8">
        <v>700</v>
      </c>
      <c r="O461" s="8">
        <v>10</v>
      </c>
      <c r="P461" s="8">
        <v>10710</v>
      </c>
      <c r="Q461" s="8">
        <v>2</v>
      </c>
      <c r="R461" s="8" t="s">
        <v>34</v>
      </c>
      <c r="S461" s="8" t="s">
        <v>61</v>
      </c>
      <c r="T461" s="8" t="s">
        <v>332</v>
      </c>
      <c r="U461" s="9" t="s">
        <v>1956</v>
      </c>
      <c r="V461" s="8" t="s">
        <v>64</v>
      </c>
    </row>
    <row r="462" spans="1:22">
      <c r="A462" s="3" t="s">
        <v>1957</v>
      </c>
      <c r="B462" s="4" t="s">
        <v>327</v>
      </c>
      <c r="C462" s="4" t="s">
        <v>54</v>
      </c>
      <c r="D462" s="4" t="s">
        <v>1958</v>
      </c>
      <c r="E462" s="4" t="s">
        <v>1188</v>
      </c>
      <c r="F462" s="4" t="s">
        <v>394</v>
      </c>
      <c r="G462" s="4" t="s">
        <v>76</v>
      </c>
      <c r="H462" s="4" t="s">
        <v>1959</v>
      </c>
      <c r="I462" s="4" t="s">
        <v>44</v>
      </c>
      <c r="J462" s="4" t="s">
        <v>45</v>
      </c>
      <c r="K462" s="4" t="s">
        <v>46</v>
      </c>
      <c r="L462" s="4" t="s">
        <v>60</v>
      </c>
      <c r="M462" s="4">
        <v>19</v>
      </c>
      <c r="N462" s="4">
        <v>55000</v>
      </c>
      <c r="O462" s="4">
        <v>20</v>
      </c>
      <c r="P462" s="4">
        <v>836000</v>
      </c>
      <c r="Q462" s="4">
        <v>5</v>
      </c>
      <c r="R462" s="4" t="s">
        <v>48</v>
      </c>
      <c r="S462" s="4" t="s">
        <v>61</v>
      </c>
      <c r="T462" s="4" t="s">
        <v>332</v>
      </c>
      <c r="U462" s="6" t="s">
        <v>1960</v>
      </c>
      <c r="V462" s="4" t="s">
        <v>38</v>
      </c>
    </row>
    <row r="463" spans="1:22">
      <c r="A463" s="7" t="s">
        <v>1961</v>
      </c>
      <c r="B463" s="8" t="s">
        <v>127</v>
      </c>
      <c r="C463" s="8" t="s">
        <v>118</v>
      </c>
      <c r="D463" s="8" t="s">
        <v>1172</v>
      </c>
      <c r="E463" s="8" t="s">
        <v>128</v>
      </c>
      <c r="F463" s="8" t="s">
        <v>200</v>
      </c>
      <c r="G463" s="8" t="s">
        <v>76</v>
      </c>
      <c r="H463" s="8" t="s">
        <v>1962</v>
      </c>
      <c r="I463" s="8" t="s">
        <v>44</v>
      </c>
      <c r="J463" s="8" t="s">
        <v>45</v>
      </c>
      <c r="K463" s="8" t="s">
        <v>122</v>
      </c>
      <c r="L463" s="8" t="s">
        <v>123</v>
      </c>
      <c r="M463" s="8">
        <v>1</v>
      </c>
      <c r="N463" s="8">
        <v>60</v>
      </c>
      <c r="O463" s="8">
        <v>10</v>
      </c>
      <c r="P463" s="8">
        <v>54</v>
      </c>
      <c r="Q463" s="8">
        <v>4</v>
      </c>
      <c r="R463" s="8" t="s">
        <v>48</v>
      </c>
      <c r="S463" s="8"/>
      <c r="T463" s="10" t="s">
        <v>1963</v>
      </c>
      <c r="U463" s="9" t="s">
        <v>1964</v>
      </c>
      <c r="V463" s="8" t="s">
        <v>69</v>
      </c>
    </row>
    <row r="464" spans="1:22">
      <c r="A464" s="3" t="s">
        <v>1965</v>
      </c>
      <c r="B464" s="4" t="s">
        <v>71</v>
      </c>
      <c r="C464" s="4" t="s">
        <v>92</v>
      </c>
      <c r="D464" s="4" t="s">
        <v>1142</v>
      </c>
      <c r="E464" s="4" t="s">
        <v>554</v>
      </c>
      <c r="F464" s="4" t="s">
        <v>217</v>
      </c>
      <c r="G464" s="4" t="s">
        <v>76</v>
      </c>
      <c r="H464" s="4" t="s">
        <v>1966</v>
      </c>
      <c r="I464" s="4" t="s">
        <v>30</v>
      </c>
      <c r="J464" s="4" t="s">
        <v>31</v>
      </c>
      <c r="K464" s="4" t="s">
        <v>32</v>
      </c>
      <c r="L464" s="4" t="s">
        <v>97</v>
      </c>
      <c r="M464" s="4">
        <v>16</v>
      </c>
      <c r="N464" s="4">
        <v>3500</v>
      </c>
      <c r="O464" s="4">
        <v>0</v>
      </c>
      <c r="P464" s="4">
        <v>56000</v>
      </c>
      <c r="Q464" s="4">
        <v>4</v>
      </c>
      <c r="R464" s="4" t="s">
        <v>48</v>
      </c>
      <c r="S464" s="4" t="s">
        <v>35</v>
      </c>
      <c r="T464" s="4" t="s">
        <v>80</v>
      </c>
      <c r="U464" s="6" t="s">
        <v>1967</v>
      </c>
      <c r="V464" s="4" t="s">
        <v>64</v>
      </c>
    </row>
    <row r="465" spans="1:22">
      <c r="A465" s="7" t="s">
        <v>1968</v>
      </c>
      <c r="B465" s="8" t="s">
        <v>127</v>
      </c>
      <c r="C465" s="8" t="s">
        <v>222</v>
      </c>
      <c r="D465" s="8" t="s">
        <v>957</v>
      </c>
      <c r="E465" s="8" t="s">
        <v>766</v>
      </c>
      <c r="F465" s="8" t="s">
        <v>200</v>
      </c>
      <c r="G465" s="8" t="s">
        <v>76</v>
      </c>
      <c r="H465" s="8" t="s">
        <v>1295</v>
      </c>
      <c r="I465" s="8" t="s">
        <v>114</v>
      </c>
      <c r="J465" s="8" t="s">
        <v>106</v>
      </c>
      <c r="K465" s="8" t="s">
        <v>122</v>
      </c>
      <c r="L465" s="8" t="s">
        <v>227</v>
      </c>
      <c r="M465" s="8">
        <v>14</v>
      </c>
      <c r="N465" s="8">
        <v>20</v>
      </c>
      <c r="O465" s="8">
        <v>10</v>
      </c>
      <c r="P465" s="8">
        <v>252</v>
      </c>
      <c r="Q465" s="8">
        <v>1</v>
      </c>
      <c r="R465" s="8" t="s">
        <v>48</v>
      </c>
      <c r="S465" s="8" t="s">
        <v>61</v>
      </c>
      <c r="T465" s="8" t="s">
        <v>132</v>
      </c>
      <c r="U465" s="9" t="s">
        <v>1969</v>
      </c>
      <c r="V465" s="8" t="s">
        <v>64</v>
      </c>
    </row>
    <row r="466" spans="1:22">
      <c r="A466" s="3" t="s">
        <v>1970</v>
      </c>
      <c r="B466" s="4" t="s">
        <v>71</v>
      </c>
      <c r="C466" s="4" t="s">
        <v>24</v>
      </c>
      <c r="D466" s="4" t="s">
        <v>473</v>
      </c>
      <c r="E466" s="4" t="s">
        <v>454</v>
      </c>
      <c r="F466" s="4" t="s">
        <v>217</v>
      </c>
      <c r="G466" s="4" t="s">
        <v>76</v>
      </c>
      <c r="H466" s="4" t="s">
        <v>1971</v>
      </c>
      <c r="I466" s="4" t="s">
        <v>59</v>
      </c>
      <c r="J466" s="4" t="s">
        <v>31</v>
      </c>
      <c r="K466" s="4" t="s">
        <v>32</v>
      </c>
      <c r="L466" s="4" t="s">
        <v>33</v>
      </c>
      <c r="M466" s="4">
        <v>11</v>
      </c>
      <c r="N466" s="4">
        <v>2200</v>
      </c>
      <c r="O466" s="4">
        <v>15</v>
      </c>
      <c r="P466" s="4">
        <v>20570</v>
      </c>
      <c r="Q466" s="4">
        <v>4</v>
      </c>
      <c r="R466" s="4" t="s">
        <v>48</v>
      </c>
      <c r="S466" s="4" t="s">
        <v>49</v>
      </c>
      <c r="T466" s="4" t="s">
        <v>80</v>
      </c>
      <c r="U466" s="6" t="s">
        <v>1972</v>
      </c>
      <c r="V466" s="4" t="s">
        <v>69</v>
      </c>
    </row>
    <row r="467" spans="1:22">
      <c r="A467" s="7" t="s">
        <v>1973</v>
      </c>
      <c r="B467" s="8" t="s">
        <v>83</v>
      </c>
      <c r="C467" s="8" t="s">
        <v>54</v>
      </c>
      <c r="D467" s="8" t="s">
        <v>756</v>
      </c>
      <c r="E467" s="8" t="s">
        <v>1282</v>
      </c>
      <c r="F467" s="8" t="s">
        <v>180</v>
      </c>
      <c r="G467" s="8" t="s">
        <v>76</v>
      </c>
      <c r="H467" s="8" t="s">
        <v>1974</v>
      </c>
      <c r="I467" s="8" t="s">
        <v>212</v>
      </c>
      <c r="J467" s="8" t="s">
        <v>45</v>
      </c>
      <c r="K467" s="8" t="s">
        <v>46</v>
      </c>
      <c r="L467" s="8" t="s">
        <v>60</v>
      </c>
      <c r="M467" s="8">
        <v>2</v>
      </c>
      <c r="N467" s="8">
        <v>55000</v>
      </c>
      <c r="O467" s="8">
        <v>0</v>
      </c>
      <c r="P467" s="8">
        <v>110000</v>
      </c>
      <c r="Q467" s="8">
        <v>4</v>
      </c>
      <c r="R467" s="8" t="s">
        <v>48</v>
      </c>
      <c r="S467" s="8" t="s">
        <v>49</v>
      </c>
      <c r="T467" s="8" t="s">
        <v>89</v>
      </c>
      <c r="U467" s="9" t="s">
        <v>1975</v>
      </c>
      <c r="V467" s="8" t="s">
        <v>69</v>
      </c>
    </row>
    <row r="468" spans="1:22">
      <c r="A468" s="3" t="s">
        <v>1976</v>
      </c>
      <c r="B468" s="4" t="s">
        <v>53</v>
      </c>
      <c r="C468" s="4" t="s">
        <v>24</v>
      </c>
      <c r="D468" s="4" t="s">
        <v>512</v>
      </c>
      <c r="E468" s="4" t="s">
        <v>513</v>
      </c>
      <c r="F468" s="4" t="s">
        <v>163</v>
      </c>
      <c r="G468" s="4" t="s">
        <v>28</v>
      </c>
      <c r="H468" s="4" t="s">
        <v>1977</v>
      </c>
      <c r="I468" s="4" t="s">
        <v>114</v>
      </c>
      <c r="J468" s="4" t="s">
        <v>106</v>
      </c>
      <c r="K468" s="4" t="s">
        <v>32</v>
      </c>
      <c r="L468" s="4" t="s">
        <v>33</v>
      </c>
      <c r="M468" s="4">
        <v>7</v>
      </c>
      <c r="N468" s="4">
        <v>2200</v>
      </c>
      <c r="O468" s="4">
        <v>5</v>
      </c>
      <c r="P468" s="4">
        <v>14630</v>
      </c>
      <c r="Q468" s="4">
        <v>4</v>
      </c>
      <c r="R468" s="4" t="s">
        <v>79</v>
      </c>
      <c r="S468" s="4" t="s">
        <v>115</v>
      </c>
      <c r="T468" s="4" t="s">
        <v>62</v>
      </c>
      <c r="U468" s="6" t="s">
        <v>1978</v>
      </c>
      <c r="V468" s="4" t="s">
        <v>69</v>
      </c>
    </row>
    <row r="469" spans="1:22">
      <c r="A469" s="7" t="s">
        <v>1979</v>
      </c>
      <c r="B469" s="8" t="s">
        <v>23</v>
      </c>
      <c r="C469" s="8" t="s">
        <v>259</v>
      </c>
      <c r="D469" s="8" t="s">
        <v>1507</v>
      </c>
      <c r="E469" s="8" t="s">
        <v>577</v>
      </c>
      <c r="F469" s="8" t="s">
        <v>27</v>
      </c>
      <c r="G469" s="8" t="s">
        <v>28</v>
      </c>
      <c r="H469" s="8" t="s">
        <v>1980</v>
      </c>
      <c r="I469" s="8" t="s">
        <v>138</v>
      </c>
      <c r="J469" s="8" t="s">
        <v>106</v>
      </c>
      <c r="K469" s="8" t="s">
        <v>122</v>
      </c>
      <c r="L469" s="8" t="s">
        <v>263</v>
      </c>
      <c r="M469" s="8">
        <v>11</v>
      </c>
      <c r="N469" s="8">
        <v>45</v>
      </c>
      <c r="O469" s="8">
        <v>15</v>
      </c>
      <c r="P469" s="8">
        <v>420.75</v>
      </c>
      <c r="Q469" s="8">
        <v>4</v>
      </c>
      <c r="R469" s="8" t="s">
        <v>79</v>
      </c>
      <c r="S469" s="8" t="s">
        <v>61</v>
      </c>
      <c r="T469" s="8" t="s">
        <v>50</v>
      </c>
      <c r="U469" s="9" t="s">
        <v>1981</v>
      </c>
      <c r="V469" s="8" t="s">
        <v>64</v>
      </c>
    </row>
    <row r="470" spans="1:22">
      <c r="A470" s="3" t="s">
        <v>1982</v>
      </c>
      <c r="B470" s="4" t="s">
        <v>100</v>
      </c>
      <c r="C470" s="4" t="s">
        <v>118</v>
      </c>
      <c r="D470" s="4" t="s">
        <v>1114</v>
      </c>
      <c r="E470" s="4" t="s">
        <v>210</v>
      </c>
      <c r="F470" s="4" t="s">
        <v>103</v>
      </c>
      <c r="G470" s="4" t="s">
        <v>28</v>
      </c>
      <c r="H470" s="4" t="s">
        <v>1983</v>
      </c>
      <c r="I470" s="4" t="s">
        <v>105</v>
      </c>
      <c r="J470" s="4" t="s">
        <v>106</v>
      </c>
      <c r="K470" s="4" t="s">
        <v>122</v>
      </c>
      <c r="L470" s="4" t="s">
        <v>123</v>
      </c>
      <c r="M470" s="4">
        <v>16</v>
      </c>
      <c r="N470" s="4">
        <v>60</v>
      </c>
      <c r="O470" s="4">
        <v>5</v>
      </c>
      <c r="P470" s="4">
        <v>912</v>
      </c>
      <c r="Q470" s="4">
        <v>2</v>
      </c>
      <c r="R470" s="4" t="s">
        <v>34</v>
      </c>
      <c r="S470" s="4" t="s">
        <v>115</v>
      </c>
      <c r="T470" s="4" t="s">
        <v>144</v>
      </c>
      <c r="U470" s="6" t="s">
        <v>1984</v>
      </c>
      <c r="V470" s="4" t="s">
        <v>69</v>
      </c>
    </row>
    <row r="471" spans="1:22">
      <c r="A471" s="7" t="s">
        <v>1985</v>
      </c>
      <c r="B471" s="8" t="s">
        <v>327</v>
      </c>
      <c r="C471" s="8" t="s">
        <v>54</v>
      </c>
      <c r="D471" s="8" t="s">
        <v>1102</v>
      </c>
      <c r="E471" s="8" t="s">
        <v>864</v>
      </c>
      <c r="F471" s="8" t="s">
        <v>394</v>
      </c>
      <c r="G471" s="8" t="s">
        <v>76</v>
      </c>
      <c r="H471" s="8" t="s">
        <v>1986</v>
      </c>
      <c r="I471" s="8" t="s">
        <v>114</v>
      </c>
      <c r="J471" s="8" t="s">
        <v>106</v>
      </c>
      <c r="K471" s="8" t="s">
        <v>46</v>
      </c>
      <c r="L471" s="8" t="s">
        <v>60</v>
      </c>
      <c r="M471" s="8">
        <v>18</v>
      </c>
      <c r="N471" s="8">
        <v>55000</v>
      </c>
      <c r="O471" s="8">
        <v>0</v>
      </c>
      <c r="P471" s="8">
        <v>990000</v>
      </c>
      <c r="Q471" s="8">
        <v>5</v>
      </c>
      <c r="R471" s="8" t="s">
        <v>48</v>
      </c>
      <c r="S471" s="8" t="s">
        <v>49</v>
      </c>
      <c r="T471" s="8" t="s">
        <v>332</v>
      </c>
      <c r="U471" s="9" t="s">
        <v>1987</v>
      </c>
      <c r="V471" s="8" t="s">
        <v>64</v>
      </c>
    </row>
    <row r="472" spans="1:22">
      <c r="A472" s="3" t="s">
        <v>1988</v>
      </c>
      <c r="B472" s="4" t="s">
        <v>23</v>
      </c>
      <c r="C472" s="4" t="s">
        <v>72</v>
      </c>
      <c r="D472" s="4" t="s">
        <v>1989</v>
      </c>
      <c r="E472" s="4" t="s">
        <v>1880</v>
      </c>
      <c r="F472" s="4" t="s">
        <v>27</v>
      </c>
      <c r="G472" s="4" t="s">
        <v>28</v>
      </c>
      <c r="H472" s="4" t="s">
        <v>1990</v>
      </c>
      <c r="I472" s="4" t="s">
        <v>59</v>
      </c>
      <c r="J472" s="4" t="s">
        <v>31</v>
      </c>
      <c r="K472" s="4" t="s">
        <v>46</v>
      </c>
      <c r="L472" s="4" t="s">
        <v>78</v>
      </c>
      <c r="M472" s="4">
        <v>17</v>
      </c>
      <c r="N472" s="4">
        <v>1200</v>
      </c>
      <c r="O472" s="4">
        <v>5</v>
      </c>
      <c r="P472" s="4">
        <v>19380</v>
      </c>
      <c r="Q472" s="4">
        <v>1</v>
      </c>
      <c r="R472" s="4" t="s">
        <v>48</v>
      </c>
      <c r="S472" s="4" t="s">
        <v>35</v>
      </c>
      <c r="T472" s="4" t="s">
        <v>50</v>
      </c>
      <c r="U472" s="6" t="s">
        <v>1991</v>
      </c>
      <c r="V472" s="4" t="s">
        <v>64</v>
      </c>
    </row>
    <row r="473" spans="1:22">
      <c r="A473" s="7" t="s">
        <v>1992</v>
      </c>
      <c r="B473" s="8" t="s">
        <v>53</v>
      </c>
      <c r="C473" s="8" t="s">
        <v>54</v>
      </c>
      <c r="D473" s="8" t="s">
        <v>41</v>
      </c>
      <c r="E473" s="8" t="s">
        <v>199</v>
      </c>
      <c r="F473" s="8" t="s">
        <v>163</v>
      </c>
      <c r="G473" s="8" t="s">
        <v>28</v>
      </c>
      <c r="H473" s="8" t="s">
        <v>1993</v>
      </c>
      <c r="I473" s="8" t="s">
        <v>114</v>
      </c>
      <c r="J473" s="8" t="s">
        <v>106</v>
      </c>
      <c r="K473" s="8" t="s">
        <v>46</v>
      </c>
      <c r="L473" s="8" t="s">
        <v>60</v>
      </c>
      <c r="M473" s="8">
        <v>11</v>
      </c>
      <c r="N473" s="8">
        <v>55000</v>
      </c>
      <c r="O473" s="8">
        <v>0</v>
      </c>
      <c r="P473" s="8">
        <v>605000</v>
      </c>
      <c r="Q473" s="8">
        <v>2</v>
      </c>
      <c r="R473" s="8" t="s">
        <v>34</v>
      </c>
      <c r="S473" s="8" t="s">
        <v>61</v>
      </c>
      <c r="T473" s="8" t="s">
        <v>62</v>
      </c>
      <c r="U473" s="9" t="s">
        <v>1994</v>
      </c>
      <c r="V473" s="8" t="s">
        <v>64</v>
      </c>
    </row>
    <row r="474" spans="1:22">
      <c r="A474" s="3" t="s">
        <v>1995</v>
      </c>
      <c r="B474" s="4" t="s">
        <v>251</v>
      </c>
      <c r="C474" s="4" t="s">
        <v>184</v>
      </c>
      <c r="D474" s="4" t="s">
        <v>236</v>
      </c>
      <c r="E474" s="4" t="s">
        <v>678</v>
      </c>
      <c r="F474" s="4" t="s">
        <v>254</v>
      </c>
      <c r="G474" s="4" t="s">
        <v>28</v>
      </c>
      <c r="H474" s="4" t="s">
        <v>1996</v>
      </c>
      <c r="I474" s="4" t="s">
        <v>44</v>
      </c>
      <c r="J474" s="4" t="s">
        <v>45</v>
      </c>
      <c r="K474" s="4" t="s">
        <v>46</v>
      </c>
      <c r="L474" s="4" t="s">
        <v>189</v>
      </c>
      <c r="M474" s="4">
        <v>20</v>
      </c>
      <c r="N474" s="4">
        <v>700</v>
      </c>
      <c r="O474" s="4">
        <v>20</v>
      </c>
      <c r="P474" s="4">
        <v>11200</v>
      </c>
      <c r="Q474" s="4">
        <v>5</v>
      </c>
      <c r="R474" s="4" t="s">
        <v>48</v>
      </c>
      <c r="S474" s="4" t="s">
        <v>61</v>
      </c>
      <c r="T474" s="4" t="s">
        <v>256</v>
      </c>
      <c r="U474" s="6" t="s">
        <v>1997</v>
      </c>
      <c r="V474" s="4" t="s">
        <v>38</v>
      </c>
    </row>
    <row r="475" spans="1:22">
      <c r="A475" s="7" t="s">
        <v>1998</v>
      </c>
      <c r="B475" s="8" t="s">
        <v>71</v>
      </c>
      <c r="C475" s="8" t="s">
        <v>222</v>
      </c>
      <c r="D475" s="8" t="s">
        <v>484</v>
      </c>
      <c r="E475" s="8" t="s">
        <v>322</v>
      </c>
      <c r="F475" s="8" t="s">
        <v>217</v>
      </c>
      <c r="G475" s="8" t="s">
        <v>76</v>
      </c>
      <c r="H475" s="8" t="s">
        <v>1999</v>
      </c>
      <c r="I475" s="8" t="s">
        <v>44</v>
      </c>
      <c r="J475" s="8" t="s">
        <v>45</v>
      </c>
      <c r="K475" s="8" t="s">
        <v>122</v>
      </c>
      <c r="L475" s="8" t="s">
        <v>227</v>
      </c>
      <c r="M475" s="8">
        <v>5</v>
      </c>
      <c r="N475" s="8">
        <v>20</v>
      </c>
      <c r="O475" s="8">
        <v>5</v>
      </c>
      <c r="P475" s="8">
        <v>95</v>
      </c>
      <c r="Q475" s="8">
        <v>4</v>
      </c>
      <c r="R475" s="8" t="s">
        <v>34</v>
      </c>
      <c r="S475" s="8" t="s">
        <v>49</v>
      </c>
      <c r="T475" s="8" t="s">
        <v>80</v>
      </c>
      <c r="U475" s="9" t="s">
        <v>2000</v>
      </c>
      <c r="V475" s="8" t="s">
        <v>69</v>
      </c>
    </row>
    <row r="476" spans="1:22">
      <c r="A476" s="3" t="s">
        <v>2001</v>
      </c>
      <c r="B476" s="4" t="s">
        <v>327</v>
      </c>
      <c r="C476" s="4" t="s">
        <v>54</v>
      </c>
      <c r="D476" s="4" t="s">
        <v>765</v>
      </c>
      <c r="E476" s="4" t="s">
        <v>1373</v>
      </c>
      <c r="F476" s="4" t="s">
        <v>394</v>
      </c>
      <c r="G476" s="4" t="s">
        <v>76</v>
      </c>
      <c r="H476" s="4" t="s">
        <v>2002</v>
      </c>
      <c r="I476" s="4" t="s">
        <v>105</v>
      </c>
      <c r="J476" s="4" t="s">
        <v>106</v>
      </c>
      <c r="K476" s="4" t="s">
        <v>46</v>
      </c>
      <c r="L476" s="4" t="s">
        <v>60</v>
      </c>
      <c r="M476" s="4">
        <v>13</v>
      </c>
      <c r="N476" s="4">
        <v>55000</v>
      </c>
      <c r="O476" s="4">
        <v>5</v>
      </c>
      <c r="P476" s="4">
        <v>679250</v>
      </c>
      <c r="Q476" s="4">
        <v>1</v>
      </c>
      <c r="R476" s="4" t="s">
        <v>48</v>
      </c>
      <c r="S476" s="4" t="s">
        <v>49</v>
      </c>
      <c r="T476" s="4" t="s">
        <v>332</v>
      </c>
      <c r="U476" s="6" t="s">
        <v>2003</v>
      </c>
      <c r="V476" s="4" t="s">
        <v>64</v>
      </c>
    </row>
    <row r="477" spans="1:22">
      <c r="A477" s="7" t="s">
        <v>2004</v>
      </c>
      <c r="B477" s="8" t="s">
        <v>127</v>
      </c>
      <c r="C477" s="8" t="s">
        <v>54</v>
      </c>
      <c r="D477" s="8" t="s">
        <v>102</v>
      </c>
      <c r="E477" s="8" t="s">
        <v>1114</v>
      </c>
      <c r="F477" s="8" t="s">
        <v>200</v>
      </c>
      <c r="G477" s="8" t="s">
        <v>76</v>
      </c>
      <c r="H477" s="8" t="s">
        <v>2005</v>
      </c>
      <c r="I477" s="8" t="s">
        <v>294</v>
      </c>
      <c r="J477" s="8" t="s">
        <v>295</v>
      </c>
      <c r="K477" s="8" t="s">
        <v>46</v>
      </c>
      <c r="L477" s="8" t="s">
        <v>60</v>
      </c>
      <c r="M477" s="8">
        <v>12</v>
      </c>
      <c r="N477" s="8">
        <v>55000</v>
      </c>
      <c r="O477" s="8">
        <v>5</v>
      </c>
      <c r="P477" s="8">
        <v>627000</v>
      </c>
      <c r="Q477" s="8">
        <v>1</v>
      </c>
      <c r="R477" s="8" t="s">
        <v>48</v>
      </c>
      <c r="S477" s="8" t="s">
        <v>115</v>
      </c>
      <c r="T477" s="8" t="s">
        <v>132</v>
      </c>
      <c r="U477" s="9" t="s">
        <v>2006</v>
      </c>
      <c r="V477" s="8" t="s">
        <v>69</v>
      </c>
    </row>
    <row r="478" spans="1:22">
      <c r="A478" s="3" t="s">
        <v>2007</v>
      </c>
      <c r="B478" s="4" t="s">
        <v>53</v>
      </c>
      <c r="C478" s="4" t="s">
        <v>259</v>
      </c>
      <c r="D478" s="4" t="s">
        <v>761</v>
      </c>
      <c r="E478" s="4" t="s">
        <v>1705</v>
      </c>
      <c r="F478" s="4" t="s">
        <v>163</v>
      </c>
      <c r="G478" s="4" t="s">
        <v>28</v>
      </c>
      <c r="H478" s="4" t="s">
        <v>2008</v>
      </c>
      <c r="I478" s="4" t="s">
        <v>105</v>
      </c>
      <c r="J478" s="4" t="s">
        <v>106</v>
      </c>
      <c r="K478" s="4" t="s">
        <v>122</v>
      </c>
      <c r="L478" s="4" t="s">
        <v>263</v>
      </c>
      <c r="M478" s="4">
        <v>16</v>
      </c>
      <c r="N478" s="4">
        <v>45</v>
      </c>
      <c r="O478" s="4">
        <v>20</v>
      </c>
      <c r="P478" s="4">
        <v>576</v>
      </c>
      <c r="Q478" s="4">
        <v>2</v>
      </c>
      <c r="R478" s="4" t="s">
        <v>34</v>
      </c>
      <c r="S478" s="4" t="s">
        <v>49</v>
      </c>
      <c r="T478" s="4" t="s">
        <v>62</v>
      </c>
      <c r="U478" s="6" t="s">
        <v>2009</v>
      </c>
      <c r="V478" s="4" t="s">
        <v>64</v>
      </c>
    </row>
    <row r="479" spans="1:22">
      <c r="A479" s="7" t="s">
        <v>2010</v>
      </c>
      <c r="B479" s="8" t="s">
        <v>23</v>
      </c>
      <c r="C479" s="8" t="s">
        <v>72</v>
      </c>
      <c r="D479" s="8" t="s">
        <v>25</v>
      </c>
      <c r="E479" s="8" t="s">
        <v>73</v>
      </c>
      <c r="F479" s="8" t="s">
        <v>27</v>
      </c>
      <c r="G479" s="8" t="s">
        <v>28</v>
      </c>
      <c r="H479" s="8" t="s">
        <v>2011</v>
      </c>
      <c r="I479" s="8" t="s">
        <v>59</v>
      </c>
      <c r="J479" s="8" t="s">
        <v>31</v>
      </c>
      <c r="K479" s="8" t="s">
        <v>46</v>
      </c>
      <c r="L479" s="8" t="s">
        <v>78</v>
      </c>
      <c r="M479" s="8">
        <v>5</v>
      </c>
      <c r="N479" s="8">
        <v>1200</v>
      </c>
      <c r="O479" s="8">
        <v>10</v>
      </c>
      <c r="P479" s="8">
        <v>5400</v>
      </c>
      <c r="Q479" s="8">
        <v>1</v>
      </c>
      <c r="R479" s="8" t="s">
        <v>34</v>
      </c>
      <c r="S479" s="8"/>
      <c r="T479" s="10" t="s">
        <v>2012</v>
      </c>
      <c r="U479" s="9" t="s">
        <v>2013</v>
      </c>
      <c r="V479" s="8" t="s">
        <v>38</v>
      </c>
    </row>
    <row r="480" spans="1:22">
      <c r="A480" s="3" t="s">
        <v>2014</v>
      </c>
      <c r="B480" s="4" t="s">
        <v>168</v>
      </c>
      <c r="C480" s="4" t="s">
        <v>259</v>
      </c>
      <c r="D480" s="4" t="s">
        <v>282</v>
      </c>
      <c r="E480" s="4" t="s">
        <v>702</v>
      </c>
      <c r="F480" s="4" t="s">
        <v>2015</v>
      </c>
      <c r="G480" s="4" t="s">
        <v>28</v>
      </c>
      <c r="H480" s="4" t="s">
        <v>2016</v>
      </c>
      <c r="I480" s="4" t="s">
        <v>294</v>
      </c>
      <c r="J480" s="4" t="s">
        <v>295</v>
      </c>
      <c r="K480" s="4" t="s">
        <v>122</v>
      </c>
      <c r="L480" s="4" t="s">
        <v>263</v>
      </c>
      <c r="M480" s="4">
        <v>2</v>
      </c>
      <c r="N480" s="4">
        <v>45</v>
      </c>
      <c r="O480" s="4">
        <v>10</v>
      </c>
      <c r="P480" s="4">
        <v>81</v>
      </c>
      <c r="Q480" s="4">
        <v>4</v>
      </c>
      <c r="R480" s="4" t="s">
        <v>88</v>
      </c>
      <c r="S480" s="4" t="s">
        <v>49</v>
      </c>
      <c r="T480" s="4" t="s">
        <v>175</v>
      </c>
      <c r="U480" s="6" t="s">
        <v>2017</v>
      </c>
      <c r="V480" s="4" t="s">
        <v>64</v>
      </c>
    </row>
    <row r="481" spans="1:22">
      <c r="A481" s="7" t="s">
        <v>2018</v>
      </c>
      <c r="B481" s="8" t="s">
        <v>127</v>
      </c>
      <c r="C481" s="8" t="s">
        <v>40</v>
      </c>
      <c r="D481" s="8" t="s">
        <v>85</v>
      </c>
      <c r="E481" s="8" t="s">
        <v>587</v>
      </c>
      <c r="F481" s="8" t="s">
        <v>200</v>
      </c>
      <c r="G481" s="8" t="s">
        <v>76</v>
      </c>
      <c r="H481" s="8" t="s">
        <v>2019</v>
      </c>
      <c r="I481" s="8" t="s">
        <v>138</v>
      </c>
      <c r="J481" s="8" t="s">
        <v>106</v>
      </c>
      <c r="K481" s="8" t="s">
        <v>46</v>
      </c>
      <c r="L481" s="8" t="s">
        <v>47</v>
      </c>
      <c r="M481" s="8">
        <v>3</v>
      </c>
      <c r="N481" s="8">
        <v>12000</v>
      </c>
      <c r="O481" s="8">
        <v>0</v>
      </c>
      <c r="P481" s="8">
        <v>36000</v>
      </c>
      <c r="Q481" s="8">
        <v>2</v>
      </c>
      <c r="R481" s="8" t="s">
        <v>88</v>
      </c>
      <c r="S481" s="8" t="s">
        <v>151</v>
      </c>
      <c r="T481" s="8" t="s">
        <v>132</v>
      </c>
      <c r="U481" s="9" t="s">
        <v>2020</v>
      </c>
      <c r="V481" s="8" t="s">
        <v>64</v>
      </c>
    </row>
    <row r="482" spans="1:22">
      <c r="A482" s="3" t="s">
        <v>2021</v>
      </c>
      <c r="B482" s="4" t="s">
        <v>23</v>
      </c>
      <c r="C482" s="4" t="s">
        <v>40</v>
      </c>
      <c r="D482" s="4" t="s">
        <v>2022</v>
      </c>
      <c r="E482" s="4" t="s">
        <v>1863</v>
      </c>
      <c r="F482" s="4" t="s">
        <v>95</v>
      </c>
      <c r="G482" s="4" t="s">
        <v>28</v>
      </c>
      <c r="H482" s="4" t="s">
        <v>2023</v>
      </c>
      <c r="I482" s="4" t="s">
        <v>59</v>
      </c>
      <c r="J482" s="4" t="s">
        <v>31</v>
      </c>
      <c r="K482" s="4" t="s">
        <v>46</v>
      </c>
      <c r="L482" s="4" t="s">
        <v>47</v>
      </c>
      <c r="M482" s="4">
        <v>3</v>
      </c>
      <c r="N482" s="4">
        <v>12000</v>
      </c>
      <c r="O482" s="4">
        <v>20</v>
      </c>
      <c r="P482" s="4">
        <v>28800</v>
      </c>
      <c r="Q482" s="4">
        <v>3</v>
      </c>
      <c r="R482" s="4" t="s">
        <v>88</v>
      </c>
      <c r="S482" s="4" t="s">
        <v>115</v>
      </c>
      <c r="T482" s="4" t="s">
        <v>50</v>
      </c>
      <c r="U482" s="6" t="s">
        <v>2024</v>
      </c>
      <c r="V482" s="4" t="s">
        <v>38</v>
      </c>
    </row>
    <row r="483" spans="1:22">
      <c r="A483" s="7" t="s">
        <v>2025</v>
      </c>
      <c r="B483" s="8" t="s">
        <v>127</v>
      </c>
      <c r="C483" s="8" t="s">
        <v>169</v>
      </c>
      <c r="D483" s="8" t="s">
        <v>892</v>
      </c>
      <c r="E483" s="8" t="s">
        <v>161</v>
      </c>
      <c r="F483" s="8" t="s">
        <v>200</v>
      </c>
      <c r="G483" s="8" t="s">
        <v>76</v>
      </c>
      <c r="H483" s="8" t="s">
        <v>2026</v>
      </c>
      <c r="I483" s="8" t="s">
        <v>294</v>
      </c>
      <c r="J483" s="8" t="s">
        <v>295</v>
      </c>
      <c r="K483" s="8" t="s">
        <v>32</v>
      </c>
      <c r="L483" s="8" t="s">
        <v>174</v>
      </c>
      <c r="M483" s="8">
        <v>9</v>
      </c>
      <c r="N483" s="8">
        <v>8500</v>
      </c>
      <c r="O483" s="8">
        <v>15</v>
      </c>
      <c r="P483" s="8">
        <v>65025</v>
      </c>
      <c r="Q483" s="8">
        <v>5</v>
      </c>
      <c r="R483" s="8" t="s">
        <v>34</v>
      </c>
      <c r="S483" s="8" t="s">
        <v>49</v>
      </c>
      <c r="T483" s="8" t="s">
        <v>132</v>
      </c>
      <c r="U483" s="9" t="s">
        <v>2027</v>
      </c>
      <c r="V483" s="8" t="s">
        <v>64</v>
      </c>
    </row>
    <row r="484" spans="1:22">
      <c r="A484" s="3" t="s">
        <v>2028</v>
      </c>
      <c r="B484" s="4" t="s">
        <v>71</v>
      </c>
      <c r="C484" s="4" t="s">
        <v>184</v>
      </c>
      <c r="D484" s="4" t="s">
        <v>261</v>
      </c>
      <c r="E484" s="4" t="s">
        <v>881</v>
      </c>
      <c r="F484" s="4" t="s">
        <v>2029</v>
      </c>
      <c r="G484" s="4" t="s">
        <v>76</v>
      </c>
      <c r="H484" s="4" t="s">
        <v>2030</v>
      </c>
      <c r="I484" s="4" t="s">
        <v>294</v>
      </c>
      <c r="J484" s="4" t="s">
        <v>295</v>
      </c>
      <c r="K484" s="4" t="s">
        <v>46</v>
      </c>
      <c r="L484" s="4" t="s">
        <v>189</v>
      </c>
      <c r="M484" s="4">
        <v>17</v>
      </c>
      <c r="N484" s="4">
        <v>700</v>
      </c>
      <c r="O484" s="4">
        <v>0</v>
      </c>
      <c r="P484" s="4">
        <v>11900</v>
      </c>
      <c r="Q484" s="4">
        <v>2</v>
      </c>
      <c r="R484" s="4" t="s">
        <v>34</v>
      </c>
      <c r="S484" s="4" t="s">
        <v>61</v>
      </c>
      <c r="T484" s="4" t="s">
        <v>80</v>
      </c>
      <c r="U484" s="6" t="s">
        <v>2031</v>
      </c>
      <c r="V484" s="4" t="s">
        <v>69</v>
      </c>
    </row>
    <row r="485" spans="1:22">
      <c r="A485" s="7" t="s">
        <v>2032</v>
      </c>
      <c r="B485" s="8" t="s">
        <v>23</v>
      </c>
      <c r="C485" s="8" t="s">
        <v>184</v>
      </c>
      <c r="D485" s="8" t="s">
        <v>1249</v>
      </c>
      <c r="E485" s="8" t="s">
        <v>1572</v>
      </c>
      <c r="F485" s="8" t="s">
        <v>27</v>
      </c>
      <c r="G485" s="8" t="s">
        <v>28</v>
      </c>
      <c r="H485" s="8" t="s">
        <v>2033</v>
      </c>
      <c r="I485" s="8" t="s">
        <v>30</v>
      </c>
      <c r="J485" s="8" t="s">
        <v>31</v>
      </c>
      <c r="K485" s="8" t="s">
        <v>46</v>
      </c>
      <c r="L485" s="8" t="s">
        <v>189</v>
      </c>
      <c r="M485" s="8">
        <v>20</v>
      </c>
      <c r="N485" s="8">
        <v>700</v>
      </c>
      <c r="O485" s="8">
        <v>5</v>
      </c>
      <c r="P485" s="8">
        <v>13300</v>
      </c>
      <c r="Q485" s="8">
        <v>2</v>
      </c>
      <c r="R485" s="8" t="s">
        <v>88</v>
      </c>
      <c r="S485" s="8" t="s">
        <v>35</v>
      </c>
      <c r="T485" s="8" t="s">
        <v>50</v>
      </c>
      <c r="U485" s="9" t="s">
        <v>2034</v>
      </c>
      <c r="V485" s="8" t="s">
        <v>38</v>
      </c>
    </row>
    <row r="486" spans="1:22">
      <c r="A486" s="3" t="s">
        <v>2035</v>
      </c>
      <c r="B486" s="4" t="s">
        <v>327</v>
      </c>
      <c r="C486" s="4" t="s">
        <v>72</v>
      </c>
      <c r="D486" s="4" t="s">
        <v>554</v>
      </c>
      <c r="E486" s="4" t="s">
        <v>65</v>
      </c>
      <c r="F486" s="4" t="s">
        <v>2036</v>
      </c>
      <c r="G486" s="4" t="s">
        <v>76</v>
      </c>
      <c r="H486" s="4" t="s">
        <v>2037</v>
      </c>
      <c r="I486" s="4" t="s">
        <v>138</v>
      </c>
      <c r="J486" s="4" t="s">
        <v>106</v>
      </c>
      <c r="K486" s="4" t="s">
        <v>46</v>
      </c>
      <c r="L486" s="4" t="s">
        <v>78</v>
      </c>
      <c r="M486" s="4">
        <v>13</v>
      </c>
      <c r="N486" s="4">
        <v>1200</v>
      </c>
      <c r="O486" s="4">
        <v>20</v>
      </c>
      <c r="P486" s="4">
        <v>12480</v>
      </c>
      <c r="Q486" s="4">
        <v>5</v>
      </c>
      <c r="R486" s="4" t="s">
        <v>79</v>
      </c>
      <c r="S486" s="4" t="s">
        <v>115</v>
      </c>
      <c r="T486" s="4" t="s">
        <v>332</v>
      </c>
      <c r="U486" s="6" t="s">
        <v>2038</v>
      </c>
      <c r="V486" s="4" t="s">
        <v>38</v>
      </c>
    </row>
    <row r="487" spans="1:22">
      <c r="A487" s="7" t="s">
        <v>2039</v>
      </c>
      <c r="B487" s="8" t="s">
        <v>100</v>
      </c>
      <c r="C487" s="8" t="s">
        <v>54</v>
      </c>
      <c r="D487" s="8" t="s">
        <v>2040</v>
      </c>
      <c r="E487" s="8" t="s">
        <v>1932</v>
      </c>
      <c r="F487" s="8" t="s">
        <v>103</v>
      </c>
      <c r="G487" s="8" t="s">
        <v>28</v>
      </c>
      <c r="H487" s="8" t="s">
        <v>1082</v>
      </c>
      <c r="I487" s="8" t="s">
        <v>212</v>
      </c>
      <c r="J487" s="8" t="s">
        <v>45</v>
      </c>
      <c r="K487" s="8" t="s">
        <v>46</v>
      </c>
      <c r="L487" s="8" t="s">
        <v>60</v>
      </c>
      <c r="M487" s="8">
        <v>20</v>
      </c>
      <c r="N487" s="8">
        <v>55000</v>
      </c>
      <c r="O487" s="8">
        <v>10</v>
      </c>
      <c r="P487" s="8">
        <v>990000</v>
      </c>
      <c r="Q487" s="8">
        <v>1</v>
      </c>
      <c r="R487" s="8" t="s">
        <v>88</v>
      </c>
      <c r="S487" s="8" t="s">
        <v>35</v>
      </c>
      <c r="T487" s="8" t="s">
        <v>144</v>
      </c>
      <c r="U487" s="9" t="s">
        <v>2041</v>
      </c>
      <c r="V487" s="8" t="s">
        <v>64</v>
      </c>
    </row>
    <row r="488" spans="1:22">
      <c r="A488" s="3" t="s">
        <v>2042</v>
      </c>
      <c r="B488" s="4" t="s">
        <v>251</v>
      </c>
      <c r="C488" s="4" t="s">
        <v>72</v>
      </c>
      <c r="D488" s="4" t="s">
        <v>531</v>
      </c>
      <c r="E488" s="4" t="s">
        <v>291</v>
      </c>
      <c r="F488" s="4" t="s">
        <v>254</v>
      </c>
      <c r="G488" s="4" t="s">
        <v>28</v>
      </c>
      <c r="H488" s="4" t="s">
        <v>2043</v>
      </c>
      <c r="I488" s="4" t="s">
        <v>294</v>
      </c>
      <c r="J488" s="4" t="s">
        <v>295</v>
      </c>
      <c r="K488" s="4" t="s">
        <v>46</v>
      </c>
      <c r="L488" s="4" t="s">
        <v>78</v>
      </c>
      <c r="M488" s="4">
        <v>8</v>
      </c>
      <c r="N488" s="4">
        <v>1200</v>
      </c>
      <c r="O488" s="4">
        <v>0</v>
      </c>
      <c r="P488" s="4">
        <v>9600</v>
      </c>
      <c r="Q488" s="4">
        <v>2</v>
      </c>
      <c r="R488" s="4" t="s">
        <v>48</v>
      </c>
      <c r="S488" s="4" t="s">
        <v>151</v>
      </c>
      <c r="T488" s="4" t="s">
        <v>256</v>
      </c>
      <c r="U488" s="6" t="s">
        <v>2044</v>
      </c>
      <c r="V488" s="4" t="s">
        <v>38</v>
      </c>
    </row>
    <row r="489" spans="1:22">
      <c r="A489" s="7" t="s">
        <v>2045</v>
      </c>
      <c r="B489" s="8" t="s">
        <v>53</v>
      </c>
      <c r="C489" s="8" t="s">
        <v>222</v>
      </c>
      <c r="D489" s="8" t="s">
        <v>2046</v>
      </c>
      <c r="E489" s="8" t="s">
        <v>1238</v>
      </c>
      <c r="F489" s="8" t="s">
        <v>163</v>
      </c>
      <c r="G489" s="8" t="s">
        <v>28</v>
      </c>
      <c r="H489" s="8" t="s">
        <v>2047</v>
      </c>
      <c r="I489" s="8" t="s">
        <v>294</v>
      </c>
      <c r="J489" s="8" t="s">
        <v>295</v>
      </c>
      <c r="K489" s="8" t="s">
        <v>122</v>
      </c>
      <c r="L489" s="8" t="s">
        <v>227</v>
      </c>
      <c r="M489" s="8">
        <v>18</v>
      </c>
      <c r="N489" s="8">
        <v>20</v>
      </c>
      <c r="O489" s="8">
        <v>10</v>
      </c>
      <c r="P489" s="8">
        <v>324</v>
      </c>
      <c r="Q489" s="8">
        <v>5</v>
      </c>
      <c r="R489" s="8" t="s">
        <v>79</v>
      </c>
      <c r="S489" s="8"/>
      <c r="T489" s="10" t="s">
        <v>2048</v>
      </c>
      <c r="U489" s="9" t="s">
        <v>2049</v>
      </c>
      <c r="V489" s="8" t="s">
        <v>64</v>
      </c>
    </row>
    <row r="490" spans="1:22">
      <c r="A490" s="3" t="s">
        <v>2050</v>
      </c>
      <c r="B490" s="4" t="s">
        <v>168</v>
      </c>
      <c r="C490" s="4" t="s">
        <v>40</v>
      </c>
      <c r="D490" s="4" t="s">
        <v>2051</v>
      </c>
      <c r="E490" s="4" t="s">
        <v>272</v>
      </c>
      <c r="F490" s="4" t="s">
        <v>361</v>
      </c>
      <c r="G490" s="4" t="s">
        <v>28</v>
      </c>
      <c r="H490" s="4" t="s">
        <v>2052</v>
      </c>
      <c r="I490" s="4" t="s">
        <v>114</v>
      </c>
      <c r="J490" s="4" t="s">
        <v>106</v>
      </c>
      <c r="K490" s="4" t="s">
        <v>46</v>
      </c>
      <c r="L490" s="4" t="s">
        <v>47</v>
      </c>
      <c r="M490" s="4">
        <v>11</v>
      </c>
      <c r="N490" s="4">
        <v>12000</v>
      </c>
      <c r="O490" s="4">
        <v>10</v>
      </c>
      <c r="P490" s="4">
        <v>118800</v>
      </c>
      <c r="Q490" s="4">
        <v>1</v>
      </c>
      <c r="R490" s="4" t="s">
        <v>79</v>
      </c>
      <c r="S490" s="4" t="s">
        <v>49</v>
      </c>
      <c r="T490" s="4" t="s">
        <v>175</v>
      </c>
      <c r="U490" s="6" t="s">
        <v>2053</v>
      </c>
      <c r="V490" s="4" t="s">
        <v>69</v>
      </c>
    </row>
    <row r="491" spans="1:22">
      <c r="A491" s="7" t="s">
        <v>2054</v>
      </c>
      <c r="B491" s="8" t="s">
        <v>327</v>
      </c>
      <c r="C491" s="8" t="s">
        <v>169</v>
      </c>
      <c r="D491" s="8" t="s">
        <v>142</v>
      </c>
      <c r="E491" s="8" t="s">
        <v>1378</v>
      </c>
      <c r="F491" s="8" t="s">
        <v>394</v>
      </c>
      <c r="G491" s="8" t="s">
        <v>76</v>
      </c>
      <c r="H491" s="8" t="s">
        <v>2055</v>
      </c>
      <c r="I491" s="8" t="s">
        <v>30</v>
      </c>
      <c r="J491" s="8" t="s">
        <v>31</v>
      </c>
      <c r="K491" s="8" t="s">
        <v>32</v>
      </c>
      <c r="L491" s="8" t="s">
        <v>174</v>
      </c>
      <c r="M491" s="8">
        <v>2</v>
      </c>
      <c r="N491" s="8">
        <v>8500</v>
      </c>
      <c r="O491" s="8">
        <v>5</v>
      </c>
      <c r="P491" s="8">
        <v>16150</v>
      </c>
      <c r="Q491" s="8">
        <v>1</v>
      </c>
      <c r="R491" s="8" t="s">
        <v>79</v>
      </c>
      <c r="S491" s="8" t="s">
        <v>61</v>
      </c>
      <c r="T491" s="8" t="s">
        <v>332</v>
      </c>
      <c r="U491" s="9" t="s">
        <v>2056</v>
      </c>
      <c r="V491" s="8" t="s">
        <v>38</v>
      </c>
    </row>
    <row r="492" spans="1:22">
      <c r="A492" s="3" t="s">
        <v>2057</v>
      </c>
      <c r="B492" s="4" t="s">
        <v>100</v>
      </c>
      <c r="C492" s="4" t="s">
        <v>24</v>
      </c>
      <c r="D492" s="4" t="s">
        <v>328</v>
      </c>
      <c r="E492" s="4" t="s">
        <v>1507</v>
      </c>
      <c r="F492" s="4" t="s">
        <v>2058</v>
      </c>
      <c r="G492" s="4" t="s">
        <v>28</v>
      </c>
      <c r="H492" s="4" t="s">
        <v>2059</v>
      </c>
      <c r="I492" s="4" t="s">
        <v>114</v>
      </c>
      <c r="J492" s="4" t="s">
        <v>106</v>
      </c>
      <c r="K492" s="4" t="s">
        <v>32</v>
      </c>
      <c r="L492" s="4" t="s">
        <v>33</v>
      </c>
      <c r="M492" s="4">
        <v>7</v>
      </c>
      <c r="N492" s="4">
        <v>2200</v>
      </c>
      <c r="O492" s="4">
        <v>0</v>
      </c>
      <c r="P492" s="4">
        <v>15400</v>
      </c>
      <c r="Q492" s="4">
        <v>5</v>
      </c>
      <c r="R492" s="4" t="s">
        <v>48</v>
      </c>
      <c r="S492" s="4" t="s">
        <v>35</v>
      </c>
      <c r="T492" s="4" t="s">
        <v>144</v>
      </c>
      <c r="U492" s="6" t="s">
        <v>2060</v>
      </c>
      <c r="V492" s="4" t="s">
        <v>64</v>
      </c>
    </row>
    <row r="493" spans="1:22">
      <c r="A493" s="7" t="s">
        <v>2061</v>
      </c>
      <c r="B493" s="8" t="s">
        <v>83</v>
      </c>
      <c r="C493" s="8" t="s">
        <v>169</v>
      </c>
      <c r="D493" s="8" t="s">
        <v>1916</v>
      </c>
      <c r="E493" s="8" t="s">
        <v>1098</v>
      </c>
      <c r="F493" s="8" t="s">
        <v>180</v>
      </c>
      <c r="G493" s="8" t="s">
        <v>76</v>
      </c>
      <c r="H493" s="8" t="s">
        <v>2062</v>
      </c>
      <c r="I493" s="8" t="s">
        <v>44</v>
      </c>
      <c r="J493" s="8" t="s">
        <v>45</v>
      </c>
      <c r="K493" s="8" t="s">
        <v>32</v>
      </c>
      <c r="L493" s="8" t="s">
        <v>174</v>
      </c>
      <c r="M493" s="8">
        <v>20</v>
      </c>
      <c r="N493" s="8">
        <v>8500</v>
      </c>
      <c r="O493" s="8">
        <v>0</v>
      </c>
      <c r="P493" s="8">
        <v>170000</v>
      </c>
      <c r="Q493" s="8">
        <v>3</v>
      </c>
      <c r="R493" s="8" t="s">
        <v>48</v>
      </c>
      <c r="S493" s="8" t="s">
        <v>49</v>
      </c>
      <c r="T493" s="8" t="s">
        <v>89</v>
      </c>
      <c r="U493" s="9" t="s">
        <v>2063</v>
      </c>
      <c r="V493" s="8" t="s">
        <v>38</v>
      </c>
    </row>
    <row r="494" spans="1:22">
      <c r="A494" s="3" t="s">
        <v>2064</v>
      </c>
      <c r="B494" s="4" t="s">
        <v>127</v>
      </c>
      <c r="C494" s="4" t="s">
        <v>72</v>
      </c>
      <c r="D494" s="4" t="s">
        <v>1106</v>
      </c>
      <c r="E494" s="4" t="s">
        <v>839</v>
      </c>
      <c r="F494" s="4" t="s">
        <v>2065</v>
      </c>
      <c r="G494" s="4" t="s">
        <v>76</v>
      </c>
      <c r="H494" s="4" t="s">
        <v>2066</v>
      </c>
      <c r="I494" s="4" t="s">
        <v>30</v>
      </c>
      <c r="J494" s="4" t="s">
        <v>31</v>
      </c>
      <c r="K494" s="4" t="s">
        <v>46</v>
      </c>
      <c r="L494" s="4" t="s">
        <v>78</v>
      </c>
      <c r="M494" s="4">
        <v>11</v>
      </c>
      <c r="N494" s="4">
        <v>1200</v>
      </c>
      <c r="O494" s="4">
        <v>5</v>
      </c>
      <c r="P494" s="4">
        <v>12540</v>
      </c>
      <c r="Q494" s="4">
        <v>2</v>
      </c>
      <c r="R494" s="4" t="s">
        <v>34</v>
      </c>
      <c r="S494" s="4" t="s">
        <v>35</v>
      </c>
      <c r="T494" s="4" t="s">
        <v>132</v>
      </c>
      <c r="U494" s="6" t="s">
        <v>2067</v>
      </c>
      <c r="V494" s="4" t="s">
        <v>64</v>
      </c>
    </row>
    <row r="495" spans="1:22">
      <c r="A495" s="7" t="s">
        <v>2068</v>
      </c>
      <c r="B495" s="8" t="s">
        <v>83</v>
      </c>
      <c r="C495" s="8" t="s">
        <v>184</v>
      </c>
      <c r="D495" s="8" t="s">
        <v>839</v>
      </c>
      <c r="E495" s="8" t="s">
        <v>756</v>
      </c>
      <c r="F495" s="8" t="s">
        <v>180</v>
      </c>
      <c r="G495" s="8" t="s">
        <v>76</v>
      </c>
      <c r="H495" s="8" t="s">
        <v>2069</v>
      </c>
      <c r="I495" s="8" t="s">
        <v>138</v>
      </c>
      <c r="J495" s="8" t="s">
        <v>106</v>
      </c>
      <c r="K495" s="8" t="s">
        <v>46</v>
      </c>
      <c r="L495" s="8" t="s">
        <v>189</v>
      </c>
      <c r="M495" s="8">
        <v>14</v>
      </c>
      <c r="N495" s="8">
        <v>700</v>
      </c>
      <c r="O495" s="8">
        <v>0</v>
      </c>
      <c r="P495" s="8">
        <v>9800</v>
      </c>
      <c r="Q495" s="8">
        <v>2</v>
      </c>
      <c r="R495" s="8" t="s">
        <v>79</v>
      </c>
      <c r="S495" s="8" t="s">
        <v>151</v>
      </c>
      <c r="T495" s="8" t="s">
        <v>89</v>
      </c>
      <c r="U495" s="9" t="s">
        <v>2070</v>
      </c>
      <c r="V495" s="8" t="s">
        <v>69</v>
      </c>
    </row>
    <row r="496" spans="1:22">
      <c r="A496" s="3" t="s">
        <v>2071</v>
      </c>
      <c r="B496" s="4" t="s">
        <v>71</v>
      </c>
      <c r="C496" s="4" t="s">
        <v>72</v>
      </c>
      <c r="D496" s="4" t="s">
        <v>793</v>
      </c>
      <c r="E496" s="4" t="s">
        <v>1650</v>
      </c>
      <c r="F496" s="4" t="s">
        <v>217</v>
      </c>
      <c r="G496" s="4" t="s">
        <v>76</v>
      </c>
      <c r="H496" s="4" t="s">
        <v>2072</v>
      </c>
      <c r="I496" s="4" t="s">
        <v>114</v>
      </c>
      <c r="J496" s="4" t="s">
        <v>106</v>
      </c>
      <c r="K496" s="4" t="s">
        <v>46</v>
      </c>
      <c r="L496" s="4" t="s">
        <v>78</v>
      </c>
      <c r="M496" s="4">
        <v>16</v>
      </c>
      <c r="N496" s="4">
        <v>1200</v>
      </c>
      <c r="O496" s="4">
        <v>15</v>
      </c>
      <c r="P496" s="4">
        <v>16320</v>
      </c>
      <c r="Q496" s="4">
        <v>4</v>
      </c>
      <c r="R496" s="4" t="s">
        <v>34</v>
      </c>
      <c r="S496" s="4" t="s">
        <v>151</v>
      </c>
      <c r="T496" s="4" t="s">
        <v>80</v>
      </c>
      <c r="U496" s="6" t="s">
        <v>2073</v>
      </c>
      <c r="V496" s="4" t="s">
        <v>64</v>
      </c>
    </row>
    <row r="497" spans="1:22">
      <c r="A497" s="7" t="s">
        <v>2074</v>
      </c>
      <c r="B497" s="8" t="s">
        <v>168</v>
      </c>
      <c r="C497" s="8" t="s">
        <v>24</v>
      </c>
      <c r="D497" s="8" t="s">
        <v>493</v>
      </c>
      <c r="E497" s="8" t="s">
        <v>1932</v>
      </c>
      <c r="F497" s="8" t="s">
        <v>2075</v>
      </c>
      <c r="G497" s="8" t="s">
        <v>28</v>
      </c>
      <c r="H497" s="8" t="s">
        <v>2076</v>
      </c>
      <c r="I497" s="8" t="s">
        <v>212</v>
      </c>
      <c r="J497" s="8" t="s">
        <v>45</v>
      </c>
      <c r="K497" s="8" t="s">
        <v>32</v>
      </c>
      <c r="L497" s="8" t="s">
        <v>33</v>
      </c>
      <c r="M497" s="8">
        <v>20</v>
      </c>
      <c r="N497" s="8">
        <v>2200</v>
      </c>
      <c r="O497" s="8">
        <v>0</v>
      </c>
      <c r="P497" s="8">
        <v>44000</v>
      </c>
      <c r="Q497" s="8">
        <v>5</v>
      </c>
      <c r="R497" s="8" t="s">
        <v>34</v>
      </c>
      <c r="S497" s="8" t="s">
        <v>35</v>
      </c>
      <c r="T497" s="8" t="s">
        <v>175</v>
      </c>
      <c r="U497" s="9" t="s">
        <v>2077</v>
      </c>
      <c r="V497" s="8" t="s">
        <v>69</v>
      </c>
    </row>
    <row r="498" spans="1:22">
      <c r="A498" s="3" t="s">
        <v>2078</v>
      </c>
      <c r="B498" s="4" t="s">
        <v>83</v>
      </c>
      <c r="C498" s="4" t="s">
        <v>40</v>
      </c>
      <c r="D498" s="4" t="s">
        <v>2051</v>
      </c>
      <c r="E498" s="4" t="s">
        <v>272</v>
      </c>
      <c r="F498" s="4" t="s">
        <v>180</v>
      </c>
      <c r="G498" s="4" t="s">
        <v>76</v>
      </c>
      <c r="H498" s="4" t="s">
        <v>2079</v>
      </c>
      <c r="I498" s="4" t="s">
        <v>212</v>
      </c>
      <c r="J498" s="4" t="s">
        <v>45</v>
      </c>
      <c r="K498" s="4" t="s">
        <v>46</v>
      </c>
      <c r="L498" s="4" t="s">
        <v>47</v>
      </c>
      <c r="M498" s="4">
        <v>12</v>
      </c>
      <c r="N498" s="4">
        <v>12000</v>
      </c>
      <c r="O498" s="4">
        <v>15</v>
      </c>
      <c r="P498" s="4">
        <v>122400</v>
      </c>
      <c r="Q498" s="4">
        <v>5</v>
      </c>
      <c r="R498" s="4" t="s">
        <v>34</v>
      </c>
      <c r="S498" s="4" t="s">
        <v>151</v>
      </c>
      <c r="T498" s="4" t="s">
        <v>89</v>
      </c>
      <c r="U498" s="6" t="s">
        <v>2080</v>
      </c>
      <c r="V498" s="4" t="s">
        <v>38</v>
      </c>
    </row>
    <row r="499" spans="1:22">
      <c r="A499" s="7" t="s">
        <v>2081</v>
      </c>
      <c r="B499" s="8" t="s">
        <v>221</v>
      </c>
      <c r="C499" s="8" t="s">
        <v>72</v>
      </c>
      <c r="D499" s="8" t="s">
        <v>610</v>
      </c>
      <c r="E499" s="8" t="s">
        <v>611</v>
      </c>
      <c r="F499" s="8" t="s">
        <v>225</v>
      </c>
      <c r="G499" s="8" t="s">
        <v>76</v>
      </c>
      <c r="H499" s="8" t="s">
        <v>2082</v>
      </c>
      <c r="I499" s="8" t="s">
        <v>44</v>
      </c>
      <c r="J499" s="8" t="s">
        <v>45</v>
      </c>
      <c r="K499" s="8" t="s">
        <v>46</v>
      </c>
      <c r="L499" s="8" t="s">
        <v>78</v>
      </c>
      <c r="M499" s="8">
        <v>3</v>
      </c>
      <c r="N499" s="8">
        <v>1200</v>
      </c>
      <c r="O499" s="8">
        <v>20</v>
      </c>
      <c r="P499" s="8">
        <v>2880</v>
      </c>
      <c r="Q499" s="8">
        <v>2</v>
      </c>
      <c r="R499" s="8" t="s">
        <v>48</v>
      </c>
      <c r="S499" s="8" t="s">
        <v>115</v>
      </c>
      <c r="T499" s="8" t="s">
        <v>907</v>
      </c>
      <c r="U499" s="9" t="s">
        <v>2083</v>
      </c>
      <c r="V499" s="8" t="s">
        <v>64</v>
      </c>
    </row>
    <row r="500" spans="1:22">
      <c r="A500" s="3" t="s">
        <v>2084</v>
      </c>
      <c r="B500" s="4" t="s">
        <v>100</v>
      </c>
      <c r="C500" s="4" t="s">
        <v>54</v>
      </c>
      <c r="D500" s="4" t="s">
        <v>276</v>
      </c>
      <c r="E500" s="4" t="s">
        <v>2085</v>
      </c>
      <c r="F500" s="4" t="s">
        <v>103</v>
      </c>
      <c r="G500" s="4" t="s">
        <v>28</v>
      </c>
      <c r="H500" s="4" t="s">
        <v>2086</v>
      </c>
      <c r="I500" s="4" t="s">
        <v>105</v>
      </c>
      <c r="J500" s="4" t="s">
        <v>106</v>
      </c>
      <c r="K500" s="4" t="s">
        <v>46</v>
      </c>
      <c r="L500" s="4" t="s">
        <v>2087</v>
      </c>
      <c r="M500" s="4">
        <v>6</v>
      </c>
      <c r="N500" s="4">
        <v>55000</v>
      </c>
      <c r="O500" s="4">
        <v>20</v>
      </c>
      <c r="P500" s="4">
        <v>264000</v>
      </c>
      <c r="Q500" s="4">
        <v>3</v>
      </c>
      <c r="R500" s="4" t="s">
        <v>34</v>
      </c>
      <c r="S500" s="4" t="s">
        <v>151</v>
      </c>
      <c r="T500" s="4" t="s">
        <v>144</v>
      </c>
      <c r="U500" s="6" t="s">
        <v>2088</v>
      </c>
      <c r="V500" s="4" t="s">
        <v>38</v>
      </c>
    </row>
    <row r="501" spans="1:22">
      <c r="A501" s="11" t="s">
        <v>2089</v>
      </c>
      <c r="B501" s="12" t="s">
        <v>100</v>
      </c>
      <c r="C501" s="12" t="s">
        <v>92</v>
      </c>
      <c r="D501" s="12" t="s">
        <v>2090</v>
      </c>
      <c r="E501" s="12" t="s">
        <v>129</v>
      </c>
      <c r="F501" s="12" t="s">
        <v>103</v>
      </c>
      <c r="G501" s="12" t="s">
        <v>28</v>
      </c>
      <c r="H501" s="12" t="s">
        <v>2091</v>
      </c>
      <c r="I501" s="12" t="s">
        <v>59</v>
      </c>
      <c r="J501" s="12" t="s">
        <v>31</v>
      </c>
      <c r="K501" s="12" t="s">
        <v>32</v>
      </c>
      <c r="L501" s="12" t="s">
        <v>97</v>
      </c>
      <c r="M501" s="12">
        <v>20</v>
      </c>
      <c r="N501" s="12">
        <v>3500</v>
      </c>
      <c r="O501" s="12">
        <v>0</v>
      </c>
      <c r="P501" s="12">
        <v>70000</v>
      </c>
      <c r="Q501" s="12">
        <v>1</v>
      </c>
      <c r="R501" s="12" t="s">
        <v>48</v>
      </c>
      <c r="S501" s="12" t="s">
        <v>151</v>
      </c>
      <c r="T501" s="12" t="s">
        <v>144</v>
      </c>
      <c r="U501" s="13" t="s">
        <v>2092</v>
      </c>
      <c r="V501" s="12" t="s">
        <v>64</v>
      </c>
    </row>
  </sheetData>
  <mergeCells count="5">
    <mergeCell ref="Z9:AC9"/>
    <mergeCell ref="Z11:AC11"/>
    <mergeCell ref="Z13:AD13"/>
    <mergeCell ref="Z15:AA15"/>
    <mergeCell ref="Z17:AC17"/>
  </mergeCells>
  <hyperlinks>
    <hyperlink ref="T2" r:id="rId1" xr:uid="{44BE056D-F360-477E-9723-0AE4770B8B40}"/>
    <hyperlink ref="T5" r:id="rId2" xr:uid="{43B1DE57-9D08-4A51-A327-FFF77AB7D4C5}"/>
    <hyperlink ref="T9" r:id="rId3" xr:uid="{7B237313-5BB9-46C8-AE65-247D8DA46A52}"/>
    <hyperlink ref="T11" r:id="rId4" xr:uid="{5D77BD45-CD7F-4334-9D33-50105591949B}"/>
    <hyperlink ref="T16" r:id="rId5" xr:uid="{625F8B92-FE43-4769-AE8C-26E2B87CB423}"/>
    <hyperlink ref="T15" r:id="rId6" xr:uid="{92DA8EEC-CDFF-438F-A7E0-ADE197E360F3}"/>
    <hyperlink ref="T20" r:id="rId7" xr:uid="{6E3F818B-2ACA-4BF0-B1B3-57E01217A9FB}"/>
    <hyperlink ref="T61" r:id="rId8" xr:uid="{681D25AB-46E5-4889-8E49-6DC23ABFAE39}"/>
    <hyperlink ref="T72" r:id="rId9" xr:uid="{907B947A-3A90-4772-BE2F-5A4DD94BFA49}"/>
    <hyperlink ref="T294" r:id="rId10" xr:uid="{79813C9D-98A5-407B-BA39-9A1FEA9EB2C6}"/>
    <hyperlink ref="T489" r:id="rId11" xr:uid="{59F5CD2B-4F27-4F0D-95AD-6726EFA66DE8}"/>
    <hyperlink ref="T479" r:id="rId12" xr:uid="{C146F78B-44ED-44AD-8977-2FCC4DE58824}"/>
    <hyperlink ref="T463" r:id="rId13" xr:uid="{B5A56198-CE3E-44BA-B384-28076F58B3BB}"/>
    <hyperlink ref="T450" r:id="rId14" xr:uid="{BBC50FDE-FC36-4533-BF50-65BB8A2FCD7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32349-DA66-44EA-8BE6-36E50A810ED6}">
  <dimension ref="A1:AL501"/>
  <sheetViews>
    <sheetView workbookViewId="0">
      <selection activeCell="AB16" sqref="AB16"/>
    </sheetView>
  </sheetViews>
  <sheetFormatPr defaultRowHeight="14.4"/>
  <cols>
    <col min="24" max="24" width="9" bestFit="1" customWidth="1"/>
    <col min="28" max="28" width="16.6640625" bestFit="1" customWidth="1"/>
    <col min="31" max="31" width="16.6640625" bestFit="1" customWidth="1"/>
    <col min="34" max="34" width="20.5546875" bestFit="1" customWidth="1"/>
    <col min="35" max="35" width="11" customWidth="1"/>
  </cols>
  <sheetData>
    <row r="1" spans="1:38" ht="15" thickBo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38" ht="21.6" thickTop="1">
      <c r="A2" s="3" t="s">
        <v>22</v>
      </c>
      <c r="B2" s="4" t="s">
        <v>23</v>
      </c>
      <c r="C2" s="4" t="s">
        <v>24</v>
      </c>
      <c r="D2" s="4" t="s">
        <v>25</v>
      </c>
      <c r="E2" s="4" t="s">
        <v>26</v>
      </c>
      <c r="F2" s="4" t="s">
        <v>27</v>
      </c>
      <c r="G2" s="4" t="s">
        <v>28</v>
      </c>
      <c r="H2" s="4" t="s">
        <v>29</v>
      </c>
      <c r="I2" s="4" t="s">
        <v>30</v>
      </c>
      <c r="J2" s="4" t="s">
        <v>31</v>
      </c>
      <c r="K2" s="4" t="s">
        <v>32</v>
      </c>
      <c r="L2" s="4" t="s">
        <v>33</v>
      </c>
      <c r="M2" s="4">
        <v>4</v>
      </c>
      <c r="N2" s="4">
        <v>2200</v>
      </c>
      <c r="O2" s="4">
        <v>10</v>
      </c>
      <c r="P2" s="4">
        <v>7920</v>
      </c>
      <c r="Q2" s="4">
        <v>4</v>
      </c>
      <c r="R2" s="4" t="s">
        <v>34</v>
      </c>
      <c r="S2" s="4" t="s">
        <v>35</v>
      </c>
      <c r="T2" s="5" t="s">
        <v>36</v>
      </c>
      <c r="U2" s="6" t="s">
        <v>37</v>
      </c>
      <c r="V2" s="4" t="s">
        <v>38</v>
      </c>
      <c r="X2" s="42" t="s">
        <v>2136</v>
      </c>
    </row>
    <row r="3" spans="1:38">
      <c r="A3" s="7" t="s">
        <v>39</v>
      </c>
      <c r="B3" s="8" t="s">
        <v>23</v>
      </c>
      <c r="C3" s="8" t="s">
        <v>40</v>
      </c>
      <c r="D3" s="8" t="s">
        <v>41</v>
      </c>
      <c r="E3" s="8" t="s">
        <v>42</v>
      </c>
      <c r="F3" s="8" t="s">
        <v>27</v>
      </c>
      <c r="G3" s="8" t="s">
        <v>28</v>
      </c>
      <c r="H3" s="8" t="s">
        <v>43</v>
      </c>
      <c r="I3" s="8" t="s">
        <v>44</v>
      </c>
      <c r="J3" s="8" t="s">
        <v>45</v>
      </c>
      <c r="K3" s="8" t="s">
        <v>46</v>
      </c>
      <c r="L3" s="8" t="s">
        <v>47</v>
      </c>
      <c r="M3" s="8">
        <v>17</v>
      </c>
      <c r="N3" s="8">
        <v>12000</v>
      </c>
      <c r="O3" s="8">
        <v>10</v>
      </c>
      <c r="P3" s="8">
        <v>183600</v>
      </c>
      <c r="Q3" s="8">
        <v>1</v>
      </c>
      <c r="R3" s="8" t="s">
        <v>48</v>
      </c>
      <c r="S3" s="8" t="s">
        <v>49</v>
      </c>
      <c r="T3" s="8" t="s">
        <v>50</v>
      </c>
      <c r="U3" s="9" t="s">
        <v>51</v>
      </c>
      <c r="V3" s="8" t="s">
        <v>38</v>
      </c>
    </row>
    <row r="4" spans="1:38" ht="25.8">
      <c r="A4" s="3" t="s">
        <v>52</v>
      </c>
      <c r="B4" s="4" t="s">
        <v>53</v>
      </c>
      <c r="C4" s="4" t="s">
        <v>54</v>
      </c>
      <c r="D4" s="4" t="s">
        <v>55</v>
      </c>
      <c r="E4" s="4" t="s">
        <v>56</v>
      </c>
      <c r="F4" s="4" t="s">
        <v>57</v>
      </c>
      <c r="G4" s="4" t="s">
        <v>28</v>
      </c>
      <c r="H4" s="4" t="s">
        <v>58</v>
      </c>
      <c r="I4" s="4" t="s">
        <v>59</v>
      </c>
      <c r="J4" s="4" t="s">
        <v>31</v>
      </c>
      <c r="K4" s="4" t="s">
        <v>46</v>
      </c>
      <c r="L4" s="4" t="s">
        <v>60</v>
      </c>
      <c r="M4" s="4">
        <v>5</v>
      </c>
      <c r="N4" s="4">
        <v>55000</v>
      </c>
      <c r="O4" s="4">
        <v>5</v>
      </c>
      <c r="P4" s="4">
        <v>261250</v>
      </c>
      <c r="Q4" s="4">
        <v>3</v>
      </c>
      <c r="R4" s="4" t="s">
        <v>48</v>
      </c>
      <c r="S4" s="4" t="s">
        <v>61</v>
      </c>
      <c r="T4" s="4" t="s">
        <v>62</v>
      </c>
      <c r="U4" s="6" t="s">
        <v>63</v>
      </c>
      <c r="V4" s="4" t="s">
        <v>64</v>
      </c>
      <c r="X4" s="43">
        <v>1</v>
      </c>
      <c r="Y4" s="43" t="s">
        <v>2137</v>
      </c>
      <c r="Z4" s="43"/>
      <c r="AA4" s="43"/>
      <c r="AB4" s="44"/>
      <c r="AC4" s="58">
        <f>SUMPRODUCT($M$2:$M$501,$N$2:$N$501)</f>
        <v>36604875</v>
      </c>
      <c r="AD4" s="58"/>
      <c r="AF4" s="41"/>
      <c r="AG4" s="41"/>
      <c r="AH4" s="41"/>
    </row>
    <row r="5" spans="1:38" ht="25.8">
      <c r="A5" s="7" t="s">
        <v>39</v>
      </c>
      <c r="B5" s="8" t="s">
        <v>23</v>
      </c>
      <c r="C5" s="8" t="s">
        <v>24</v>
      </c>
      <c r="D5" s="8" t="s">
        <v>65</v>
      </c>
      <c r="E5" s="8" t="s">
        <v>66</v>
      </c>
      <c r="F5" s="8" t="s">
        <v>27</v>
      </c>
      <c r="G5" s="8" t="s">
        <v>28</v>
      </c>
      <c r="H5" s="8" t="s">
        <v>67</v>
      </c>
      <c r="I5" s="8" t="s">
        <v>59</v>
      </c>
      <c r="J5" s="8" t="s">
        <v>31</v>
      </c>
      <c r="K5" s="8" t="s">
        <v>32</v>
      </c>
      <c r="L5" s="8" t="s">
        <v>33</v>
      </c>
      <c r="M5" s="8">
        <v>5</v>
      </c>
      <c r="N5" s="8">
        <v>2200</v>
      </c>
      <c r="O5" s="8">
        <v>5</v>
      </c>
      <c r="P5" s="8">
        <v>10450</v>
      </c>
      <c r="Q5" s="8">
        <v>5</v>
      </c>
      <c r="R5" s="8" t="s">
        <v>48</v>
      </c>
      <c r="S5" s="8" t="s">
        <v>61</v>
      </c>
      <c r="T5" s="10" t="s">
        <v>50</v>
      </c>
      <c r="U5" s="9" t="s">
        <v>68</v>
      </c>
      <c r="V5" s="8" t="s">
        <v>69</v>
      </c>
      <c r="X5" s="41"/>
      <c r="Y5" s="41"/>
      <c r="Z5" s="41"/>
      <c r="AA5" s="41"/>
      <c r="AB5" s="41"/>
      <c r="AC5" s="41"/>
      <c r="AD5" s="41"/>
      <c r="AE5" s="41"/>
      <c r="AF5" s="41"/>
      <c r="AG5" s="41"/>
      <c r="AH5" s="41"/>
    </row>
    <row r="6" spans="1:38" ht="25.8">
      <c r="A6" s="3" t="s">
        <v>70</v>
      </c>
      <c r="B6" s="4" t="s">
        <v>71</v>
      </c>
      <c r="C6" s="4" t="s">
        <v>72</v>
      </c>
      <c r="D6" s="4" t="s">
        <v>73</v>
      </c>
      <c r="E6" s="4" t="s">
        <v>74</v>
      </c>
      <c r="F6" s="4" t="s">
        <v>75</v>
      </c>
      <c r="G6" s="4" t="s">
        <v>76</v>
      </c>
      <c r="H6" s="4" t="s">
        <v>77</v>
      </c>
      <c r="I6" s="4" t="s">
        <v>44</v>
      </c>
      <c r="J6" s="4" t="s">
        <v>45</v>
      </c>
      <c r="K6" s="4" t="s">
        <v>46</v>
      </c>
      <c r="L6" s="4" t="s">
        <v>78</v>
      </c>
      <c r="M6" s="4">
        <v>8</v>
      </c>
      <c r="N6" s="4">
        <v>1200</v>
      </c>
      <c r="O6" s="4">
        <v>5</v>
      </c>
      <c r="P6" s="4">
        <v>9120</v>
      </c>
      <c r="Q6" s="4">
        <v>2</v>
      </c>
      <c r="R6" s="4" t="s">
        <v>79</v>
      </c>
      <c r="S6" s="4" t="s">
        <v>61</v>
      </c>
      <c r="T6" s="4" t="s">
        <v>80</v>
      </c>
      <c r="U6" s="6" t="s">
        <v>81</v>
      </c>
      <c r="V6" s="4" t="s">
        <v>64</v>
      </c>
      <c r="X6" s="43">
        <v>2</v>
      </c>
      <c r="Y6" s="43" t="s">
        <v>2138</v>
      </c>
      <c r="Z6" s="43"/>
      <c r="AA6" s="43"/>
      <c r="AB6" s="44"/>
      <c r="AC6" s="43"/>
      <c r="AD6" s="43">
        <f>SUMPRODUCT($M$2:$M$501,$N$2:$N$501)/SUM($M$2:$M$501)</f>
        <v>6989.6648844758447</v>
      </c>
      <c r="AE6" s="41"/>
      <c r="AF6" s="41"/>
      <c r="AG6" s="41"/>
      <c r="AH6" s="41"/>
    </row>
    <row r="7" spans="1:38" ht="25.8">
      <c r="A7" s="7" t="s">
        <v>82</v>
      </c>
      <c r="B7" s="8" t="s">
        <v>83</v>
      </c>
      <c r="C7" s="8" t="s">
        <v>24</v>
      </c>
      <c r="D7" s="8" t="s">
        <v>84</v>
      </c>
      <c r="E7" s="8" t="s">
        <v>85</v>
      </c>
      <c r="F7" s="8" t="s">
        <v>86</v>
      </c>
      <c r="G7" s="8" t="s">
        <v>76</v>
      </c>
      <c r="H7" s="8" t="s">
        <v>87</v>
      </c>
      <c r="I7" s="8" t="s">
        <v>30</v>
      </c>
      <c r="J7" s="8" t="s">
        <v>31</v>
      </c>
      <c r="K7" s="8" t="s">
        <v>32</v>
      </c>
      <c r="L7" s="8" t="s">
        <v>33</v>
      </c>
      <c r="M7" s="8">
        <v>4</v>
      </c>
      <c r="N7" s="8">
        <v>2200</v>
      </c>
      <c r="O7" s="8">
        <v>0</v>
      </c>
      <c r="P7" s="8">
        <v>8800</v>
      </c>
      <c r="Q7" s="8">
        <v>1</v>
      </c>
      <c r="R7" s="8" t="s">
        <v>88</v>
      </c>
      <c r="S7" s="8" t="s">
        <v>35</v>
      </c>
      <c r="T7" s="8" t="s">
        <v>89</v>
      </c>
      <c r="U7" s="9" t="s">
        <v>90</v>
      </c>
      <c r="V7" s="8" t="s">
        <v>38</v>
      </c>
      <c r="X7" s="41"/>
      <c r="Y7" s="41"/>
      <c r="Z7" s="41"/>
      <c r="AA7" s="41"/>
      <c r="AB7" s="41"/>
      <c r="AC7" s="41"/>
      <c r="AD7" s="41"/>
      <c r="AE7" s="41"/>
      <c r="AF7" s="41"/>
      <c r="AG7" s="41"/>
      <c r="AH7" s="41"/>
    </row>
    <row r="8" spans="1:38" ht="25.8">
      <c r="A8" s="3" t="s">
        <v>91</v>
      </c>
      <c r="B8" s="4" t="s">
        <v>23</v>
      </c>
      <c r="C8" s="4" t="s">
        <v>92</v>
      </c>
      <c r="D8" s="4" t="s">
        <v>93</v>
      </c>
      <c r="E8" s="4" t="s">
        <v>94</v>
      </c>
      <c r="F8" s="4" t="s">
        <v>95</v>
      </c>
      <c r="G8" s="4" t="s">
        <v>28</v>
      </c>
      <c r="H8" s="4" t="s">
        <v>96</v>
      </c>
      <c r="I8" s="4" t="s">
        <v>30</v>
      </c>
      <c r="J8" s="4" t="s">
        <v>31</v>
      </c>
      <c r="K8" s="4" t="s">
        <v>32</v>
      </c>
      <c r="L8" s="4" t="s">
        <v>97</v>
      </c>
      <c r="M8" s="4">
        <v>2</v>
      </c>
      <c r="N8" s="4">
        <v>3500</v>
      </c>
      <c r="O8" s="4">
        <v>5</v>
      </c>
      <c r="P8" s="4">
        <v>6650</v>
      </c>
      <c r="Q8" s="4">
        <v>1</v>
      </c>
      <c r="R8" s="4" t="s">
        <v>88</v>
      </c>
      <c r="S8" s="4" t="s">
        <v>35</v>
      </c>
      <c r="T8" s="4" t="s">
        <v>50</v>
      </c>
      <c r="U8" s="6" t="s">
        <v>98</v>
      </c>
      <c r="V8" s="4" t="s">
        <v>38</v>
      </c>
      <c r="X8" s="43">
        <v>3</v>
      </c>
      <c r="Y8" s="58" t="s">
        <v>2140</v>
      </c>
      <c r="Z8" s="58"/>
      <c r="AA8" s="58"/>
      <c r="AB8" s="58"/>
      <c r="AC8" s="58"/>
      <c r="AD8" s="58"/>
      <c r="AE8" s="58"/>
      <c r="AG8" s="57" t="str">
        <f>IF(B3=SUM(P2:P501),"Revenue Matches","Revenue Does Not Match")</f>
        <v>Revenue Does Not Match</v>
      </c>
      <c r="AH8" s="57"/>
      <c r="AI8" s="57"/>
      <c r="AJ8" s="42" t="s">
        <v>2130</v>
      </c>
      <c r="AK8" s="57">
        <f>ABS(AE3-SUM($P$2:$P$501))</f>
        <v>34765937.5</v>
      </c>
      <c r="AL8" s="57"/>
    </row>
    <row r="9" spans="1:38" ht="25.8">
      <c r="A9" s="7" t="s">
        <v>99</v>
      </c>
      <c r="B9" s="8" t="s">
        <v>100</v>
      </c>
      <c r="C9" s="8" t="s">
        <v>40</v>
      </c>
      <c r="D9" s="8" t="s">
        <v>101</v>
      </c>
      <c r="E9" s="8" t="s">
        <v>102</v>
      </c>
      <c r="F9" s="8" t="s">
        <v>103</v>
      </c>
      <c r="G9" s="8" t="s">
        <v>28</v>
      </c>
      <c r="H9" s="8" t="s">
        <v>104</v>
      </c>
      <c r="I9" s="8" t="s">
        <v>105</v>
      </c>
      <c r="J9" s="8" t="s">
        <v>106</v>
      </c>
      <c r="K9" s="8" t="s">
        <v>46</v>
      </c>
      <c r="L9" s="8" t="s">
        <v>47</v>
      </c>
      <c r="M9" s="8">
        <v>14</v>
      </c>
      <c r="N9" s="8">
        <v>12000</v>
      </c>
      <c r="O9" s="8">
        <v>15</v>
      </c>
      <c r="P9" s="8">
        <v>142800</v>
      </c>
      <c r="Q9" s="8">
        <v>4</v>
      </c>
      <c r="R9" s="8" t="s">
        <v>48</v>
      </c>
      <c r="S9" s="8" t="s">
        <v>35</v>
      </c>
      <c r="T9" s="10" t="s">
        <v>107</v>
      </c>
      <c r="U9" s="9" t="s">
        <v>108</v>
      </c>
      <c r="V9" s="8" t="s">
        <v>38</v>
      </c>
      <c r="X9" s="41"/>
      <c r="Y9" s="41"/>
      <c r="Z9" s="41"/>
      <c r="AA9" s="41"/>
      <c r="AB9" s="41"/>
      <c r="AC9" s="41"/>
      <c r="AD9" s="41"/>
      <c r="AE9" s="41"/>
      <c r="AF9" s="41"/>
      <c r="AG9" s="41"/>
      <c r="AH9" s="41"/>
    </row>
    <row r="10" spans="1:38" ht="25.8">
      <c r="A10" s="3" t="s">
        <v>109</v>
      </c>
      <c r="B10" s="4" t="s">
        <v>23</v>
      </c>
      <c r="C10" s="4" t="s">
        <v>40</v>
      </c>
      <c r="D10" s="4" t="s">
        <v>110</v>
      </c>
      <c r="E10" s="4" t="s">
        <v>111</v>
      </c>
      <c r="F10" s="4" t="s">
        <v>112</v>
      </c>
      <c r="G10" s="4" t="s">
        <v>28</v>
      </c>
      <c r="H10" s="4" t="s">
        <v>113</v>
      </c>
      <c r="I10" s="4" t="s">
        <v>114</v>
      </c>
      <c r="J10" s="4" t="s">
        <v>106</v>
      </c>
      <c r="K10" s="4" t="s">
        <v>46</v>
      </c>
      <c r="L10" s="4" t="s">
        <v>47</v>
      </c>
      <c r="M10" s="4">
        <v>4</v>
      </c>
      <c r="N10" s="4">
        <v>12000</v>
      </c>
      <c r="O10" s="4">
        <v>15</v>
      </c>
      <c r="P10" s="4">
        <v>40800</v>
      </c>
      <c r="Q10" s="4">
        <v>4</v>
      </c>
      <c r="R10" s="4" t="s">
        <v>88</v>
      </c>
      <c r="S10" s="4" t="s">
        <v>115</v>
      </c>
      <c r="T10" s="4" t="s">
        <v>50</v>
      </c>
      <c r="U10" s="6" t="s">
        <v>116</v>
      </c>
      <c r="V10" s="4" t="s">
        <v>38</v>
      </c>
      <c r="X10" s="43">
        <v>4</v>
      </c>
      <c r="Y10" s="43" t="s">
        <v>2139</v>
      </c>
      <c r="Z10" s="43"/>
      <c r="AA10" s="43"/>
      <c r="AB10" s="44"/>
      <c r="AC10" s="58" cm="1">
        <f t="array" ref="AC10">SUMPRODUCT($M$2:$M$501,$N$2:$N$501,$O$2:$O$501/100)</f>
        <v>2918151.5</v>
      </c>
      <c r="AD10" s="58"/>
      <c r="AE10" s="41"/>
      <c r="AG10" s="41"/>
      <c r="AH10" s="41"/>
    </row>
    <row r="11" spans="1:38">
      <c r="A11" s="7" t="s">
        <v>117</v>
      </c>
      <c r="B11" s="8" t="s">
        <v>100</v>
      </c>
      <c r="C11" s="8" t="s">
        <v>118</v>
      </c>
      <c r="D11" s="8" t="s">
        <v>119</v>
      </c>
      <c r="E11" s="8" t="s">
        <v>120</v>
      </c>
      <c r="F11" s="8" t="s">
        <v>103</v>
      </c>
      <c r="G11" s="8" t="s">
        <v>28</v>
      </c>
      <c r="H11" s="8" t="s">
        <v>121</v>
      </c>
      <c r="I11" s="8" t="s">
        <v>105</v>
      </c>
      <c r="J11" s="8" t="s">
        <v>106</v>
      </c>
      <c r="K11" s="8" t="s">
        <v>122</v>
      </c>
      <c r="L11" s="8" t="s">
        <v>123</v>
      </c>
      <c r="M11" s="8">
        <v>6</v>
      </c>
      <c r="N11" s="8">
        <v>60</v>
      </c>
      <c r="O11" s="8">
        <v>0</v>
      </c>
      <c r="P11" s="8">
        <v>360</v>
      </c>
      <c r="Q11" s="8">
        <v>4</v>
      </c>
      <c r="R11" s="8" t="s">
        <v>79</v>
      </c>
      <c r="S11" s="8" t="s">
        <v>115</v>
      </c>
      <c r="T11" s="10" t="s">
        <v>124</v>
      </c>
      <c r="U11" s="9" t="s">
        <v>125</v>
      </c>
      <c r="V11" s="8" t="s">
        <v>38</v>
      </c>
    </row>
    <row r="12" spans="1:38">
      <c r="A12" s="3" t="s">
        <v>126</v>
      </c>
      <c r="B12" s="4" t="s">
        <v>127</v>
      </c>
      <c r="C12" s="4" t="s">
        <v>24</v>
      </c>
      <c r="D12" s="4" t="s">
        <v>128</v>
      </c>
      <c r="E12" s="4" t="s">
        <v>129</v>
      </c>
      <c r="F12" s="4" t="s">
        <v>130</v>
      </c>
      <c r="G12" s="4" t="s">
        <v>76</v>
      </c>
      <c r="H12" s="4" t="s">
        <v>131</v>
      </c>
      <c r="I12" s="4" t="s">
        <v>44</v>
      </c>
      <c r="J12" s="4" t="s">
        <v>45</v>
      </c>
      <c r="K12" s="4" t="s">
        <v>32</v>
      </c>
      <c r="L12" s="4" t="s">
        <v>33</v>
      </c>
      <c r="M12" s="4">
        <v>-3</v>
      </c>
      <c r="N12" s="4">
        <v>2200</v>
      </c>
      <c r="O12" s="4">
        <v>0</v>
      </c>
      <c r="P12" s="4">
        <v>35200</v>
      </c>
      <c r="Q12" s="4">
        <v>2</v>
      </c>
      <c r="R12" s="4" t="s">
        <v>79</v>
      </c>
      <c r="S12" s="4" t="s">
        <v>49</v>
      </c>
      <c r="T12" s="4" t="s">
        <v>132</v>
      </c>
      <c r="U12" s="6" t="s">
        <v>133</v>
      </c>
      <c r="V12" s="4" t="s">
        <v>64</v>
      </c>
      <c r="Y12" s="59"/>
      <c r="Z12" s="59"/>
      <c r="AA12" s="59"/>
    </row>
    <row r="13" spans="1:38">
      <c r="A13" s="7" t="s">
        <v>134</v>
      </c>
      <c r="B13" s="8" t="s">
        <v>23</v>
      </c>
      <c r="C13" s="8" t="s">
        <v>92</v>
      </c>
      <c r="D13" s="8" t="s">
        <v>135</v>
      </c>
      <c r="E13" s="8" t="s">
        <v>136</v>
      </c>
      <c r="F13" s="8" t="s">
        <v>27</v>
      </c>
      <c r="G13" s="8" t="s">
        <v>28</v>
      </c>
      <c r="H13" s="8" t="s">
        <v>137</v>
      </c>
      <c r="I13" s="8" t="s">
        <v>138</v>
      </c>
      <c r="J13" s="8" t="s">
        <v>106</v>
      </c>
      <c r="K13" s="8" t="s">
        <v>32</v>
      </c>
      <c r="L13" s="8" t="s">
        <v>97</v>
      </c>
      <c r="M13" s="8">
        <v>10</v>
      </c>
      <c r="N13" s="8">
        <v>3500</v>
      </c>
      <c r="O13" s="8">
        <v>5</v>
      </c>
      <c r="P13" s="8">
        <v>33250</v>
      </c>
      <c r="Q13" s="8">
        <v>5</v>
      </c>
      <c r="R13" s="8" t="s">
        <v>79</v>
      </c>
      <c r="S13" s="8" t="s">
        <v>61</v>
      </c>
      <c r="T13" s="8" t="s">
        <v>50</v>
      </c>
      <c r="U13" s="9" t="s">
        <v>139</v>
      </c>
      <c r="V13" s="8" t="s">
        <v>69</v>
      </c>
    </row>
    <row r="14" spans="1:38">
      <c r="A14" s="3" t="s">
        <v>140</v>
      </c>
      <c r="B14" s="4" t="s">
        <v>100</v>
      </c>
      <c r="C14" s="4" t="s">
        <v>24</v>
      </c>
      <c r="D14" s="4" t="s">
        <v>141</v>
      </c>
      <c r="E14" s="4" t="s">
        <v>142</v>
      </c>
      <c r="F14" s="4" t="s">
        <v>103</v>
      </c>
      <c r="G14" s="4" t="s">
        <v>28</v>
      </c>
      <c r="H14" s="4" t="s">
        <v>143</v>
      </c>
      <c r="I14" s="4" t="s">
        <v>114</v>
      </c>
      <c r="J14" s="4" t="s">
        <v>106</v>
      </c>
      <c r="K14" s="4" t="s">
        <v>32</v>
      </c>
      <c r="L14" s="4" t="s">
        <v>33</v>
      </c>
      <c r="M14" s="4">
        <v>15</v>
      </c>
      <c r="N14" s="4">
        <v>2200</v>
      </c>
      <c r="O14" s="4">
        <v>10</v>
      </c>
      <c r="P14" s="4">
        <v>29700</v>
      </c>
      <c r="Q14" s="4">
        <v>1</v>
      </c>
      <c r="R14" s="4" t="s">
        <v>88</v>
      </c>
      <c r="S14" s="4" t="s">
        <v>115</v>
      </c>
      <c r="T14" s="4" t="s">
        <v>144</v>
      </c>
      <c r="U14" s="6" t="s">
        <v>145</v>
      </c>
      <c r="V14" s="4" t="s">
        <v>64</v>
      </c>
    </row>
    <row r="15" spans="1:38">
      <c r="A15" s="7" t="s">
        <v>146</v>
      </c>
      <c r="B15" s="8" t="s">
        <v>127</v>
      </c>
      <c r="C15" s="8" t="s">
        <v>24</v>
      </c>
      <c r="D15" s="8" t="s">
        <v>147</v>
      </c>
      <c r="E15" s="8" t="s">
        <v>148</v>
      </c>
      <c r="F15" s="8" t="s">
        <v>149</v>
      </c>
      <c r="G15" s="8" t="s">
        <v>76</v>
      </c>
      <c r="H15" s="8" t="s">
        <v>150</v>
      </c>
      <c r="I15" s="8" t="s">
        <v>105</v>
      </c>
      <c r="J15" s="8" t="s">
        <v>106</v>
      </c>
      <c r="K15" s="8" t="s">
        <v>32</v>
      </c>
      <c r="L15" s="8" t="s">
        <v>33</v>
      </c>
      <c r="M15" s="8">
        <v>17</v>
      </c>
      <c r="N15" s="8">
        <v>2200</v>
      </c>
      <c r="O15" s="8">
        <v>5</v>
      </c>
      <c r="P15" s="8">
        <v>35530</v>
      </c>
      <c r="Q15" s="8">
        <v>1</v>
      </c>
      <c r="R15" s="8" t="s">
        <v>34</v>
      </c>
      <c r="S15" s="8" t="s">
        <v>151</v>
      </c>
      <c r="T15" s="10" t="s">
        <v>152</v>
      </c>
      <c r="U15" s="9" t="s">
        <v>153</v>
      </c>
      <c r="V15" s="8" t="s">
        <v>38</v>
      </c>
    </row>
    <row r="16" spans="1:38">
      <c r="A16" s="3" t="s">
        <v>154</v>
      </c>
      <c r="B16" s="4" t="s">
        <v>23</v>
      </c>
      <c r="C16" s="4" t="s">
        <v>92</v>
      </c>
      <c r="D16" s="4" t="s">
        <v>155</v>
      </c>
      <c r="E16" s="4" t="s">
        <v>156</v>
      </c>
      <c r="F16" s="4" t="s">
        <v>157</v>
      </c>
      <c r="G16" s="4" t="s">
        <v>28</v>
      </c>
      <c r="H16" s="4" t="s">
        <v>158</v>
      </c>
      <c r="I16" s="4" t="s">
        <v>105</v>
      </c>
      <c r="J16" s="4" t="s">
        <v>106</v>
      </c>
      <c r="K16" s="4" t="s">
        <v>32</v>
      </c>
      <c r="L16" s="4" t="s">
        <v>97</v>
      </c>
      <c r="M16" s="4">
        <v>15</v>
      </c>
      <c r="N16" s="4">
        <v>3500</v>
      </c>
      <c r="O16" s="4">
        <v>15</v>
      </c>
      <c r="P16" s="4">
        <v>44625</v>
      </c>
      <c r="Q16" s="4">
        <v>2</v>
      </c>
      <c r="R16" s="4" t="s">
        <v>34</v>
      </c>
      <c r="S16" s="4" t="s">
        <v>115</v>
      </c>
      <c r="T16" s="5" t="s">
        <v>50</v>
      </c>
      <c r="U16" s="6" t="s">
        <v>159</v>
      </c>
      <c r="V16" s="4" t="s">
        <v>69</v>
      </c>
    </row>
    <row r="17" spans="1:22">
      <c r="A17" s="7" t="s">
        <v>160</v>
      </c>
      <c r="B17" s="8" t="s">
        <v>53</v>
      </c>
      <c r="C17" s="8" t="s">
        <v>72</v>
      </c>
      <c r="D17" s="8" t="s">
        <v>161</v>
      </c>
      <c r="E17" s="8" t="s">
        <v>162</v>
      </c>
      <c r="F17" s="8" t="s">
        <v>163</v>
      </c>
      <c r="G17" s="8" t="s">
        <v>28</v>
      </c>
      <c r="H17" s="8" t="s">
        <v>164</v>
      </c>
      <c r="I17" s="8" t="s">
        <v>30</v>
      </c>
      <c r="J17" s="8" t="s">
        <v>31</v>
      </c>
      <c r="K17" s="8" t="s">
        <v>46</v>
      </c>
      <c r="L17" s="8" t="s">
        <v>78</v>
      </c>
      <c r="M17" s="8">
        <v>3</v>
      </c>
      <c r="N17" s="8">
        <v>1200</v>
      </c>
      <c r="O17" s="8">
        <v>5</v>
      </c>
      <c r="P17" s="8">
        <v>3420</v>
      </c>
      <c r="Q17" s="8">
        <v>5</v>
      </c>
      <c r="R17" s="8" t="s">
        <v>88</v>
      </c>
      <c r="S17" s="8" t="s">
        <v>35</v>
      </c>
      <c r="T17" s="8" t="s">
        <v>165</v>
      </c>
      <c r="U17" s="9" t="s">
        <v>166</v>
      </c>
      <c r="V17" s="8" t="s">
        <v>38</v>
      </c>
    </row>
    <row r="18" spans="1:22">
      <c r="A18" s="3" t="s">
        <v>167</v>
      </c>
      <c r="B18" s="4" t="s">
        <v>168</v>
      </c>
      <c r="C18" s="4" t="s">
        <v>169</v>
      </c>
      <c r="D18" s="4" t="s">
        <v>170</v>
      </c>
      <c r="E18" s="4" t="s">
        <v>171</v>
      </c>
      <c r="F18" s="4" t="s">
        <v>172</v>
      </c>
      <c r="G18" s="4" t="s">
        <v>28</v>
      </c>
      <c r="H18" s="4" t="s">
        <v>173</v>
      </c>
      <c r="I18" s="4" t="s">
        <v>114</v>
      </c>
      <c r="J18" s="4" t="s">
        <v>106</v>
      </c>
      <c r="K18" s="4" t="s">
        <v>32</v>
      </c>
      <c r="L18" s="4" t="s">
        <v>174</v>
      </c>
      <c r="M18" s="4">
        <v>13</v>
      </c>
      <c r="N18" s="4">
        <v>8500</v>
      </c>
      <c r="O18" s="4">
        <v>20</v>
      </c>
      <c r="P18" s="4">
        <v>88400</v>
      </c>
      <c r="Q18" s="4">
        <v>4</v>
      </c>
      <c r="R18" s="4" t="s">
        <v>79</v>
      </c>
      <c r="S18" s="4" t="s">
        <v>49</v>
      </c>
      <c r="T18" s="4" t="s">
        <v>175</v>
      </c>
      <c r="U18" s="6" t="s">
        <v>176</v>
      </c>
      <c r="V18" s="4" t="s">
        <v>64</v>
      </c>
    </row>
    <row r="19" spans="1:22">
      <c r="A19" s="7" t="s">
        <v>177</v>
      </c>
      <c r="B19" s="8" t="s">
        <v>83</v>
      </c>
      <c r="C19" s="8" t="s">
        <v>169</v>
      </c>
      <c r="D19" s="8" t="s">
        <v>178</v>
      </c>
      <c r="E19" s="8" t="s">
        <v>179</v>
      </c>
      <c r="F19" s="8" t="s">
        <v>180</v>
      </c>
      <c r="G19" s="8" t="s">
        <v>76</v>
      </c>
      <c r="H19" s="8" t="s">
        <v>181</v>
      </c>
      <c r="I19" s="8" t="s">
        <v>138</v>
      </c>
      <c r="J19" s="8" t="s">
        <v>106</v>
      </c>
      <c r="K19" s="8" t="s">
        <v>32</v>
      </c>
      <c r="L19" s="8" t="s">
        <v>174</v>
      </c>
      <c r="M19" s="8">
        <v>4</v>
      </c>
      <c r="N19" s="8">
        <v>8500</v>
      </c>
      <c r="O19" s="8">
        <v>20</v>
      </c>
      <c r="P19" s="8">
        <v>27200</v>
      </c>
      <c r="Q19" s="8">
        <v>5</v>
      </c>
      <c r="R19" s="8" t="s">
        <v>79</v>
      </c>
      <c r="S19" s="8" t="s">
        <v>61</v>
      </c>
      <c r="T19" s="8" t="s">
        <v>89</v>
      </c>
      <c r="U19" s="9" t="s">
        <v>182</v>
      </c>
      <c r="V19" s="8" t="s">
        <v>64</v>
      </c>
    </row>
    <row r="20" spans="1:22">
      <c r="A20" s="3" t="s">
        <v>183</v>
      </c>
      <c r="B20" s="4" t="s">
        <v>83</v>
      </c>
      <c r="C20" s="4" t="s">
        <v>184</v>
      </c>
      <c r="D20" s="4" t="s">
        <v>185</v>
      </c>
      <c r="E20" s="4" t="s">
        <v>186</v>
      </c>
      <c r="F20" s="4" t="s">
        <v>187</v>
      </c>
      <c r="G20" s="4" t="s">
        <v>76</v>
      </c>
      <c r="H20" s="4" t="s">
        <v>188</v>
      </c>
      <c r="I20" s="4" t="s">
        <v>105</v>
      </c>
      <c r="J20" s="4" t="s">
        <v>106</v>
      </c>
      <c r="K20" s="4" t="s">
        <v>46</v>
      </c>
      <c r="L20" s="4" t="s">
        <v>189</v>
      </c>
      <c r="M20" s="4">
        <v>9</v>
      </c>
      <c r="N20" s="4">
        <v>700</v>
      </c>
      <c r="O20" s="4">
        <v>5</v>
      </c>
      <c r="P20" s="4">
        <v>5985</v>
      </c>
      <c r="Q20" s="4">
        <v>3</v>
      </c>
      <c r="R20" s="4" t="s">
        <v>88</v>
      </c>
      <c r="S20" s="4" t="s">
        <v>35</v>
      </c>
      <c r="T20" s="5" t="s">
        <v>190</v>
      </c>
      <c r="U20" s="6" t="s">
        <v>191</v>
      </c>
      <c r="V20" s="4" t="s">
        <v>64</v>
      </c>
    </row>
    <row r="21" spans="1:22">
      <c r="A21" s="7" t="s">
        <v>192</v>
      </c>
      <c r="B21" s="8" t="s">
        <v>23</v>
      </c>
      <c r="C21" s="8" t="s">
        <v>54</v>
      </c>
      <c r="D21" s="8" t="s">
        <v>193</v>
      </c>
      <c r="E21" s="8" t="s">
        <v>194</v>
      </c>
      <c r="F21" s="8" t="s">
        <v>27</v>
      </c>
      <c r="G21" s="8" t="s">
        <v>28</v>
      </c>
      <c r="H21" s="8" t="s">
        <v>195</v>
      </c>
      <c r="I21" s="8" t="s">
        <v>138</v>
      </c>
      <c r="J21" s="8" t="s">
        <v>106</v>
      </c>
      <c r="K21" s="8" t="s">
        <v>46</v>
      </c>
      <c r="L21" s="8" t="s">
        <v>60</v>
      </c>
      <c r="M21" s="8">
        <v>8</v>
      </c>
      <c r="N21" s="8">
        <v>55000</v>
      </c>
      <c r="O21" s="8">
        <v>20</v>
      </c>
      <c r="P21" s="8">
        <v>352000</v>
      </c>
      <c r="Q21" s="8">
        <v>1</v>
      </c>
      <c r="R21" s="8" t="s">
        <v>34</v>
      </c>
      <c r="S21" s="8" t="s">
        <v>151</v>
      </c>
      <c r="T21" s="8" t="s">
        <v>50</v>
      </c>
      <c r="U21" s="9" t="s">
        <v>196</v>
      </c>
      <c r="V21" s="8" t="s">
        <v>38</v>
      </c>
    </row>
    <row r="22" spans="1:22">
      <c r="A22" s="3" t="s">
        <v>197</v>
      </c>
      <c r="B22" s="4" t="s">
        <v>127</v>
      </c>
      <c r="C22" s="4" t="s">
        <v>184</v>
      </c>
      <c r="D22" s="4" t="s">
        <v>198</v>
      </c>
      <c r="E22" s="4" t="s">
        <v>199</v>
      </c>
      <c r="F22" s="4" t="s">
        <v>200</v>
      </c>
      <c r="G22" s="4" t="s">
        <v>76</v>
      </c>
      <c r="H22" s="4" t="s">
        <v>201</v>
      </c>
      <c r="I22" s="4" t="s">
        <v>44</v>
      </c>
      <c r="J22" s="4" t="s">
        <v>45</v>
      </c>
      <c r="K22" s="4" t="s">
        <v>202</v>
      </c>
      <c r="L22" s="4" t="s">
        <v>189</v>
      </c>
      <c r="M22" s="4">
        <v>10</v>
      </c>
      <c r="N22" s="4">
        <v>700</v>
      </c>
      <c r="O22" s="4">
        <v>20</v>
      </c>
      <c r="P22" s="4">
        <v>5600</v>
      </c>
      <c r="Q22" s="4">
        <v>4</v>
      </c>
      <c r="R22" s="4" t="s">
        <v>79</v>
      </c>
      <c r="S22" s="4" t="s">
        <v>61</v>
      </c>
      <c r="T22" s="4" t="s">
        <v>132</v>
      </c>
      <c r="U22" s="6" t="s">
        <v>203</v>
      </c>
      <c r="V22" s="4" t="s">
        <v>69</v>
      </c>
    </row>
    <row r="23" spans="1:22">
      <c r="A23" s="7" t="s">
        <v>204</v>
      </c>
      <c r="B23" s="8" t="s">
        <v>23</v>
      </c>
      <c r="C23" s="8" t="s">
        <v>92</v>
      </c>
      <c r="D23" s="8" t="s">
        <v>205</v>
      </c>
      <c r="E23" s="8" t="s">
        <v>206</v>
      </c>
      <c r="F23" s="8" t="s">
        <v>112</v>
      </c>
      <c r="G23" s="8" t="s">
        <v>28</v>
      </c>
      <c r="H23" s="8" t="s">
        <v>207</v>
      </c>
      <c r="I23" s="8" t="s">
        <v>59</v>
      </c>
      <c r="J23" s="8" t="s">
        <v>31</v>
      </c>
      <c r="K23" s="8" t="s">
        <v>32</v>
      </c>
      <c r="L23" s="8" t="s">
        <v>97</v>
      </c>
      <c r="M23" s="8">
        <v>1</v>
      </c>
      <c r="N23" s="8">
        <v>3500</v>
      </c>
      <c r="O23" s="8">
        <v>5</v>
      </c>
      <c r="P23" s="8">
        <v>3325</v>
      </c>
      <c r="Q23" s="8">
        <v>3</v>
      </c>
      <c r="R23" s="8" t="s">
        <v>88</v>
      </c>
      <c r="S23" s="8" t="s">
        <v>115</v>
      </c>
      <c r="T23" s="8" t="s">
        <v>50</v>
      </c>
      <c r="U23" s="9" t="s">
        <v>208</v>
      </c>
      <c r="V23" s="8" t="s">
        <v>69</v>
      </c>
    </row>
    <row r="24" spans="1:22">
      <c r="A24" s="3" t="s">
        <v>209</v>
      </c>
      <c r="B24" s="4" t="s">
        <v>100</v>
      </c>
      <c r="C24" s="4" t="s">
        <v>184</v>
      </c>
      <c r="D24" s="4" t="s">
        <v>102</v>
      </c>
      <c r="E24" s="4" t="s">
        <v>210</v>
      </c>
      <c r="F24" s="4" t="s">
        <v>103</v>
      </c>
      <c r="G24" s="4" t="s">
        <v>28</v>
      </c>
      <c r="H24" s="4" t="s">
        <v>211</v>
      </c>
      <c r="I24" s="4" t="s">
        <v>212</v>
      </c>
      <c r="J24" s="4" t="s">
        <v>45</v>
      </c>
      <c r="K24" s="4" t="s">
        <v>46</v>
      </c>
      <c r="L24" s="4" t="s">
        <v>189</v>
      </c>
      <c r="M24" s="4">
        <v>19</v>
      </c>
      <c r="N24" s="4">
        <v>700</v>
      </c>
      <c r="O24" s="4">
        <v>15</v>
      </c>
      <c r="P24" s="4">
        <v>11305</v>
      </c>
      <c r="Q24" s="4">
        <v>3</v>
      </c>
      <c r="R24" s="4" t="s">
        <v>48</v>
      </c>
      <c r="S24" s="4" t="s">
        <v>151</v>
      </c>
      <c r="T24" s="4" t="s">
        <v>144</v>
      </c>
      <c r="U24" s="6" t="s">
        <v>213</v>
      </c>
      <c r="V24" s="4" t="s">
        <v>64</v>
      </c>
    </row>
    <row r="25" spans="1:22">
      <c r="A25" s="7" t="s">
        <v>214</v>
      </c>
      <c r="B25" s="8" t="s">
        <v>71</v>
      </c>
      <c r="C25" s="8" t="s">
        <v>54</v>
      </c>
      <c r="D25" s="8" t="s">
        <v>215</v>
      </c>
      <c r="E25" s="8" t="s">
        <v>216</v>
      </c>
      <c r="F25" s="8" t="s">
        <v>217</v>
      </c>
      <c r="G25" s="8" t="s">
        <v>76</v>
      </c>
      <c r="H25" s="8" t="s">
        <v>218</v>
      </c>
      <c r="I25" s="8" t="s">
        <v>59</v>
      </c>
      <c r="J25" s="8" t="s">
        <v>31</v>
      </c>
      <c r="K25" s="8" t="s">
        <v>46</v>
      </c>
      <c r="L25" s="8" t="s">
        <v>60</v>
      </c>
      <c r="M25" s="8">
        <v>12</v>
      </c>
      <c r="N25" s="8">
        <v>55000</v>
      </c>
      <c r="O25" s="8">
        <v>0</v>
      </c>
      <c r="P25" s="8">
        <v>660000</v>
      </c>
      <c r="Q25" s="8">
        <v>1</v>
      </c>
      <c r="R25" s="8" t="s">
        <v>79</v>
      </c>
      <c r="S25" s="8" t="s">
        <v>49</v>
      </c>
      <c r="T25" s="8" t="s">
        <v>80</v>
      </c>
      <c r="U25" s="9" t="s">
        <v>219</v>
      </c>
      <c r="V25" s="8" t="s">
        <v>64</v>
      </c>
    </row>
    <row r="26" spans="1:22">
      <c r="A26" s="3" t="s">
        <v>220</v>
      </c>
      <c r="B26" s="4" t="s">
        <v>221</v>
      </c>
      <c r="C26" s="4" t="s">
        <v>222</v>
      </c>
      <c r="D26" s="4" t="s">
        <v>223</v>
      </c>
      <c r="E26" s="4" t="s">
        <v>224</v>
      </c>
      <c r="F26" s="4" t="s">
        <v>225</v>
      </c>
      <c r="G26" s="4" t="s">
        <v>76</v>
      </c>
      <c r="H26" s="4" t="s">
        <v>226</v>
      </c>
      <c r="I26" s="4" t="s">
        <v>105</v>
      </c>
      <c r="J26" s="4" t="s">
        <v>106</v>
      </c>
      <c r="K26" s="4" t="s">
        <v>122</v>
      </c>
      <c r="L26" s="4" t="s">
        <v>227</v>
      </c>
      <c r="M26" s="4">
        <v>1</v>
      </c>
      <c r="N26" s="4">
        <v>20</v>
      </c>
      <c r="O26" s="4">
        <v>5</v>
      </c>
      <c r="P26" s="4">
        <v>19</v>
      </c>
      <c r="Q26" s="4">
        <v>5</v>
      </c>
      <c r="R26" s="4" t="s">
        <v>79</v>
      </c>
      <c r="S26" s="4" t="s">
        <v>35</v>
      </c>
      <c r="T26" s="4" t="s">
        <v>228</v>
      </c>
      <c r="U26" s="6" t="s">
        <v>229</v>
      </c>
      <c r="V26" s="4" t="s">
        <v>69</v>
      </c>
    </row>
    <row r="27" spans="1:22">
      <c r="A27" s="7" t="s">
        <v>230</v>
      </c>
      <c r="B27" s="8" t="s">
        <v>83</v>
      </c>
      <c r="C27" s="8" t="s">
        <v>222</v>
      </c>
      <c r="D27" s="8" t="s">
        <v>231</v>
      </c>
      <c r="E27" s="8" t="s">
        <v>232</v>
      </c>
      <c r="F27" s="8" t="s">
        <v>180</v>
      </c>
      <c r="G27" s="8" t="s">
        <v>76</v>
      </c>
      <c r="H27" s="8" t="s">
        <v>233</v>
      </c>
      <c r="I27" s="8" t="s">
        <v>105</v>
      </c>
      <c r="J27" s="8" t="s">
        <v>106</v>
      </c>
      <c r="K27" s="8" t="s">
        <v>122</v>
      </c>
      <c r="L27" s="8" t="s">
        <v>227</v>
      </c>
      <c r="M27" s="8">
        <v>2</v>
      </c>
      <c r="N27" s="8">
        <v>20</v>
      </c>
      <c r="O27" s="8">
        <v>15</v>
      </c>
      <c r="P27" s="8">
        <v>34</v>
      </c>
      <c r="Q27" s="8">
        <v>1</v>
      </c>
      <c r="R27" s="8" t="s">
        <v>88</v>
      </c>
      <c r="S27" s="8" t="s">
        <v>35</v>
      </c>
      <c r="T27" s="8" t="s">
        <v>89</v>
      </c>
      <c r="U27" s="9" t="s">
        <v>234</v>
      </c>
      <c r="V27" s="8" t="s">
        <v>64</v>
      </c>
    </row>
    <row r="28" spans="1:22">
      <c r="A28" s="3" t="s">
        <v>235</v>
      </c>
      <c r="B28" s="4" t="s">
        <v>71</v>
      </c>
      <c r="C28" s="4" t="s">
        <v>92</v>
      </c>
      <c r="D28" s="4" t="s">
        <v>236</v>
      </c>
      <c r="E28" s="4" t="s">
        <v>237</v>
      </c>
      <c r="F28" s="4" t="s">
        <v>217</v>
      </c>
      <c r="G28" s="4" t="s">
        <v>76</v>
      </c>
      <c r="H28" s="4" t="s">
        <v>238</v>
      </c>
      <c r="I28" s="4" t="s">
        <v>138</v>
      </c>
      <c r="J28" s="4" t="s">
        <v>106</v>
      </c>
      <c r="K28" s="4" t="s">
        <v>32</v>
      </c>
      <c r="L28" s="4" t="s">
        <v>97</v>
      </c>
      <c r="M28" s="4">
        <v>12</v>
      </c>
      <c r="N28" s="4">
        <v>3500</v>
      </c>
      <c r="O28" s="4">
        <v>15</v>
      </c>
      <c r="P28" s="4">
        <v>35700</v>
      </c>
      <c r="Q28" s="4">
        <v>4</v>
      </c>
      <c r="R28" s="4" t="s">
        <v>34</v>
      </c>
      <c r="S28" s="4" t="s">
        <v>49</v>
      </c>
      <c r="T28" s="4" t="s">
        <v>80</v>
      </c>
      <c r="U28" s="6" t="s">
        <v>239</v>
      </c>
      <c r="V28" s="4" t="s">
        <v>69</v>
      </c>
    </row>
    <row r="29" spans="1:22">
      <c r="A29" s="7" t="s">
        <v>240</v>
      </c>
      <c r="B29" s="8" t="s">
        <v>23</v>
      </c>
      <c r="C29" s="8" t="s">
        <v>72</v>
      </c>
      <c r="D29" s="8" t="s">
        <v>241</v>
      </c>
      <c r="E29" s="8" t="s">
        <v>242</v>
      </c>
      <c r="F29" s="8" t="s">
        <v>27</v>
      </c>
      <c r="G29" s="8" t="s">
        <v>28</v>
      </c>
      <c r="H29" s="8" t="s">
        <v>243</v>
      </c>
      <c r="I29" s="8" t="s">
        <v>138</v>
      </c>
      <c r="J29" s="8" t="s">
        <v>106</v>
      </c>
      <c r="K29" s="8" t="s">
        <v>46</v>
      </c>
      <c r="L29" s="8" t="s">
        <v>78</v>
      </c>
      <c r="M29" s="8">
        <v>11</v>
      </c>
      <c r="N29" s="8">
        <v>1200</v>
      </c>
      <c r="O29" s="8">
        <v>0</v>
      </c>
      <c r="P29" s="8">
        <v>13200</v>
      </c>
      <c r="Q29" s="8">
        <v>2</v>
      </c>
      <c r="R29" s="8" t="s">
        <v>88</v>
      </c>
      <c r="S29" s="8" t="s">
        <v>151</v>
      </c>
      <c r="T29" s="8" t="s">
        <v>50</v>
      </c>
      <c r="U29" s="9" t="s">
        <v>244</v>
      </c>
      <c r="V29" s="8" t="s">
        <v>38</v>
      </c>
    </row>
    <row r="30" spans="1:22">
      <c r="A30" s="3" t="s">
        <v>245</v>
      </c>
      <c r="B30" s="4" t="s">
        <v>127</v>
      </c>
      <c r="C30" s="4" t="s">
        <v>169</v>
      </c>
      <c r="D30" s="4" t="s">
        <v>246</v>
      </c>
      <c r="E30" s="4" t="s">
        <v>247</v>
      </c>
      <c r="F30" s="4" t="s">
        <v>200</v>
      </c>
      <c r="G30" s="4" t="s">
        <v>76</v>
      </c>
      <c r="H30" s="4" t="s">
        <v>248</v>
      </c>
      <c r="I30" s="4" t="s">
        <v>114</v>
      </c>
      <c r="J30" s="4" t="s">
        <v>106</v>
      </c>
      <c r="K30" s="4" t="s">
        <v>32</v>
      </c>
      <c r="L30" s="4" t="s">
        <v>174</v>
      </c>
      <c r="M30" s="4">
        <v>6</v>
      </c>
      <c r="N30" s="4">
        <v>8500</v>
      </c>
      <c r="O30" s="4">
        <v>65</v>
      </c>
      <c r="P30" s="4">
        <v>51000</v>
      </c>
      <c r="Q30" s="4">
        <v>1</v>
      </c>
      <c r="R30" s="4" t="s">
        <v>79</v>
      </c>
      <c r="S30" s="4" t="s">
        <v>61</v>
      </c>
      <c r="T30" s="4" t="s">
        <v>132</v>
      </c>
      <c r="U30" s="6" t="s">
        <v>249</v>
      </c>
      <c r="V30" s="4" t="s">
        <v>38</v>
      </c>
    </row>
    <row r="31" spans="1:22">
      <c r="A31" s="7" t="s">
        <v>250</v>
      </c>
      <c r="B31" s="8" t="s">
        <v>251</v>
      </c>
      <c r="C31" s="8" t="s">
        <v>118</v>
      </c>
      <c r="D31" s="8" t="s">
        <v>252</v>
      </c>
      <c r="E31" s="8" t="s">
        <v>253</v>
      </c>
      <c r="F31" s="8" t="s">
        <v>254</v>
      </c>
      <c r="G31" s="8" t="s">
        <v>28</v>
      </c>
      <c r="H31" s="8" t="s">
        <v>255</v>
      </c>
      <c r="I31" s="8" t="s">
        <v>114</v>
      </c>
      <c r="J31" s="8" t="s">
        <v>106</v>
      </c>
      <c r="K31" s="8" t="s">
        <v>122</v>
      </c>
      <c r="L31" s="8" t="s">
        <v>123</v>
      </c>
      <c r="M31" s="8">
        <v>2</v>
      </c>
      <c r="N31" s="8">
        <v>60</v>
      </c>
      <c r="O31" s="8">
        <v>5</v>
      </c>
      <c r="P31" s="8">
        <v>114</v>
      </c>
      <c r="Q31" s="8">
        <v>3</v>
      </c>
      <c r="R31" s="8" t="s">
        <v>34</v>
      </c>
      <c r="S31" s="8" t="s">
        <v>151</v>
      </c>
      <c r="T31" s="8" t="s">
        <v>256</v>
      </c>
      <c r="U31" s="9" t="s">
        <v>257</v>
      </c>
      <c r="V31" s="8" t="s">
        <v>69</v>
      </c>
    </row>
    <row r="32" spans="1:22">
      <c r="A32" s="3" t="s">
        <v>258</v>
      </c>
      <c r="B32" s="4" t="s">
        <v>23</v>
      </c>
      <c r="C32" s="4" t="s">
        <v>259</v>
      </c>
      <c r="D32" s="4" t="s">
        <v>260</v>
      </c>
      <c r="E32" s="4" t="s">
        <v>261</v>
      </c>
      <c r="F32" s="4" t="s">
        <v>27</v>
      </c>
      <c r="G32" s="4" t="s">
        <v>28</v>
      </c>
      <c r="H32" s="4" t="s">
        <v>262</v>
      </c>
      <c r="I32" s="4" t="s">
        <v>59</v>
      </c>
      <c r="J32" s="4" t="s">
        <v>31</v>
      </c>
      <c r="K32" s="4" t="s">
        <v>122</v>
      </c>
      <c r="L32" s="4" t="s">
        <v>263</v>
      </c>
      <c r="M32" s="4">
        <v>19</v>
      </c>
      <c r="N32" s="4">
        <v>45</v>
      </c>
      <c r="O32" s="4">
        <v>20</v>
      </c>
      <c r="P32" s="4">
        <v>684</v>
      </c>
      <c r="Q32" s="4">
        <v>4</v>
      </c>
      <c r="R32" s="4" t="s">
        <v>48</v>
      </c>
      <c r="S32" s="4" t="s">
        <v>61</v>
      </c>
      <c r="T32" s="4" t="s">
        <v>50</v>
      </c>
      <c r="U32" s="6" t="s">
        <v>264</v>
      </c>
      <c r="V32" s="4" t="s">
        <v>69</v>
      </c>
    </row>
    <row r="33" spans="1:22">
      <c r="A33" s="7" t="s">
        <v>265</v>
      </c>
      <c r="B33" s="8" t="s">
        <v>100</v>
      </c>
      <c r="C33" s="8" t="s">
        <v>40</v>
      </c>
      <c r="D33" s="8" t="s">
        <v>266</v>
      </c>
      <c r="E33" s="8" t="s">
        <v>267</v>
      </c>
      <c r="F33" s="8" t="s">
        <v>268</v>
      </c>
      <c r="G33" s="8" t="s">
        <v>28</v>
      </c>
      <c r="H33" s="8" t="s">
        <v>269</v>
      </c>
      <c r="I33" s="8" t="s">
        <v>138</v>
      </c>
      <c r="J33" s="8" t="s">
        <v>106</v>
      </c>
      <c r="K33" s="8" t="s">
        <v>46</v>
      </c>
      <c r="L33" s="8" t="s">
        <v>47</v>
      </c>
      <c r="M33" s="8">
        <v>11</v>
      </c>
      <c r="N33" s="8">
        <v>12000</v>
      </c>
      <c r="O33" s="8">
        <v>0</v>
      </c>
      <c r="P33" s="8">
        <v>132000</v>
      </c>
      <c r="Q33" s="8">
        <v>3</v>
      </c>
      <c r="R33" s="8" t="s">
        <v>88</v>
      </c>
      <c r="S33" s="8" t="s">
        <v>35</v>
      </c>
      <c r="T33" s="8" t="s">
        <v>144</v>
      </c>
      <c r="U33" s="9" t="s">
        <v>270</v>
      </c>
      <c r="V33" s="8" t="s">
        <v>64</v>
      </c>
    </row>
    <row r="34" spans="1:22">
      <c r="A34" s="3" t="s">
        <v>271</v>
      </c>
      <c r="B34" s="4" t="s">
        <v>251</v>
      </c>
      <c r="C34" s="4" t="s">
        <v>24</v>
      </c>
      <c r="D34" s="4" t="s">
        <v>272</v>
      </c>
      <c r="E34" s="4" t="s">
        <v>136</v>
      </c>
      <c r="F34" s="4" t="s">
        <v>254</v>
      </c>
      <c r="G34" s="4" t="s">
        <v>28</v>
      </c>
      <c r="H34" s="4" t="s">
        <v>273</v>
      </c>
      <c r="I34" s="4" t="s">
        <v>59</v>
      </c>
      <c r="J34" s="4" t="s">
        <v>31</v>
      </c>
      <c r="K34" s="4" t="s">
        <v>32</v>
      </c>
      <c r="L34" s="4" t="s">
        <v>33</v>
      </c>
      <c r="M34" s="4">
        <v>20</v>
      </c>
      <c r="N34" s="4">
        <v>2200</v>
      </c>
      <c r="O34" s="4">
        <v>5</v>
      </c>
      <c r="P34" s="4">
        <v>41800</v>
      </c>
      <c r="Q34" s="4">
        <v>1</v>
      </c>
      <c r="R34" s="4" t="s">
        <v>34</v>
      </c>
      <c r="S34" s="4" t="s">
        <v>49</v>
      </c>
      <c r="T34" s="4" t="s">
        <v>256</v>
      </c>
      <c r="U34" s="6" t="s">
        <v>274</v>
      </c>
      <c r="V34" s="4" t="s">
        <v>64</v>
      </c>
    </row>
    <row r="35" spans="1:22">
      <c r="A35" s="7" t="s">
        <v>275</v>
      </c>
      <c r="B35" s="8" t="s">
        <v>83</v>
      </c>
      <c r="C35" s="8" t="s">
        <v>222</v>
      </c>
      <c r="D35" s="8" t="s">
        <v>231</v>
      </c>
      <c r="E35" s="8" t="s">
        <v>276</v>
      </c>
      <c r="F35" s="8" t="s">
        <v>180</v>
      </c>
      <c r="G35" s="8" t="s">
        <v>76</v>
      </c>
      <c r="H35" s="8" t="s">
        <v>277</v>
      </c>
      <c r="I35" s="8" t="s">
        <v>138</v>
      </c>
      <c r="J35" s="8" t="s">
        <v>106</v>
      </c>
      <c r="K35" s="8" t="s">
        <v>122</v>
      </c>
      <c r="L35" s="8" t="s">
        <v>227</v>
      </c>
      <c r="M35" s="8">
        <v>3</v>
      </c>
      <c r="N35" s="8">
        <v>20</v>
      </c>
      <c r="O35" s="8">
        <v>0</v>
      </c>
      <c r="P35" s="8">
        <v>60</v>
      </c>
      <c r="Q35" s="8">
        <v>2</v>
      </c>
      <c r="R35" s="8" t="s">
        <v>79</v>
      </c>
      <c r="S35" s="8" t="s">
        <v>35</v>
      </c>
      <c r="T35" s="8" t="s">
        <v>278</v>
      </c>
      <c r="U35" s="9" t="s">
        <v>279</v>
      </c>
      <c r="V35" s="8" t="s">
        <v>69</v>
      </c>
    </row>
    <row r="36" spans="1:22">
      <c r="A36" s="3" t="s">
        <v>280</v>
      </c>
      <c r="B36" s="4" t="s">
        <v>127</v>
      </c>
      <c r="C36" s="4" t="s">
        <v>259</v>
      </c>
      <c r="D36" s="4" t="s">
        <v>281</v>
      </c>
      <c r="E36" s="4" t="s">
        <v>282</v>
      </c>
      <c r="F36" s="4" t="s">
        <v>200</v>
      </c>
      <c r="G36" s="4" t="s">
        <v>76</v>
      </c>
      <c r="H36" s="4" t="s">
        <v>283</v>
      </c>
      <c r="I36" s="4" t="s">
        <v>114</v>
      </c>
      <c r="J36" s="4" t="s">
        <v>106</v>
      </c>
      <c r="K36" s="4" t="s">
        <v>122</v>
      </c>
      <c r="L36" s="4" t="s">
        <v>263</v>
      </c>
      <c r="M36" s="4">
        <v>18</v>
      </c>
      <c r="N36" s="4">
        <v>45</v>
      </c>
      <c r="O36" s="4">
        <v>20</v>
      </c>
      <c r="P36" s="4">
        <v>648</v>
      </c>
      <c r="Q36" s="4">
        <v>4</v>
      </c>
      <c r="R36" s="4" t="s">
        <v>48</v>
      </c>
      <c r="S36" s="4" t="s">
        <v>35</v>
      </c>
      <c r="T36" s="4" t="s">
        <v>132</v>
      </c>
      <c r="U36" s="6" t="s">
        <v>284</v>
      </c>
      <c r="V36" s="4" t="s">
        <v>69</v>
      </c>
    </row>
    <row r="37" spans="1:22">
      <c r="A37" s="7" t="s">
        <v>285</v>
      </c>
      <c r="B37" s="8" t="s">
        <v>127</v>
      </c>
      <c r="C37" s="8" t="s">
        <v>72</v>
      </c>
      <c r="D37" s="8" t="s">
        <v>286</v>
      </c>
      <c r="E37" s="8" t="s">
        <v>287</v>
      </c>
      <c r="F37" s="8" t="s">
        <v>200</v>
      </c>
      <c r="G37" s="8" t="s">
        <v>76</v>
      </c>
      <c r="H37" s="8" t="s">
        <v>288</v>
      </c>
      <c r="I37" s="8" t="s">
        <v>59</v>
      </c>
      <c r="J37" s="8" t="s">
        <v>31</v>
      </c>
      <c r="K37" s="8" t="s">
        <v>46</v>
      </c>
      <c r="L37" s="8" t="s">
        <v>78</v>
      </c>
      <c r="M37" s="8">
        <v>4</v>
      </c>
      <c r="N37" s="8">
        <v>1200</v>
      </c>
      <c r="O37" s="8">
        <v>20</v>
      </c>
      <c r="P37" s="8">
        <v>3840</v>
      </c>
      <c r="Q37" s="8">
        <v>3</v>
      </c>
      <c r="R37" s="8" t="s">
        <v>48</v>
      </c>
      <c r="S37" s="8" t="s">
        <v>61</v>
      </c>
      <c r="T37" s="8" t="s">
        <v>132</v>
      </c>
      <c r="U37" s="9" t="s">
        <v>289</v>
      </c>
      <c r="V37" s="8" t="s">
        <v>38</v>
      </c>
    </row>
    <row r="38" spans="1:22">
      <c r="A38" s="3" t="s">
        <v>290</v>
      </c>
      <c r="B38" s="4" t="s">
        <v>71</v>
      </c>
      <c r="C38" s="4" t="s">
        <v>54</v>
      </c>
      <c r="D38" s="4" t="s">
        <v>291</v>
      </c>
      <c r="E38" s="4" t="s">
        <v>292</v>
      </c>
      <c r="F38" s="4" t="s">
        <v>217</v>
      </c>
      <c r="G38" s="4" t="s">
        <v>76</v>
      </c>
      <c r="H38" s="4" t="s">
        <v>293</v>
      </c>
      <c r="I38" s="4" t="s">
        <v>294</v>
      </c>
      <c r="J38" s="4" t="s">
        <v>295</v>
      </c>
      <c r="K38" s="4" t="s">
        <v>46</v>
      </c>
      <c r="L38" s="4" t="s">
        <v>60</v>
      </c>
      <c r="M38" s="4">
        <v>10</v>
      </c>
      <c r="N38" s="4">
        <v>55000</v>
      </c>
      <c r="O38" s="4">
        <v>0</v>
      </c>
      <c r="P38" s="4">
        <v>550000</v>
      </c>
      <c r="Q38" s="4">
        <v>1</v>
      </c>
      <c r="R38" s="4" t="s">
        <v>88</v>
      </c>
      <c r="S38" s="4" t="s">
        <v>49</v>
      </c>
      <c r="T38" s="4" t="s">
        <v>80</v>
      </c>
      <c r="U38" s="6" t="s">
        <v>296</v>
      </c>
      <c r="V38" s="4" t="s">
        <v>69</v>
      </c>
    </row>
    <row r="39" spans="1:22">
      <c r="A39" s="7" t="s">
        <v>297</v>
      </c>
      <c r="B39" s="8" t="s">
        <v>251</v>
      </c>
      <c r="C39" s="8" t="s">
        <v>92</v>
      </c>
      <c r="D39" s="8" t="s">
        <v>298</v>
      </c>
      <c r="E39" s="8" t="s">
        <v>242</v>
      </c>
      <c r="F39" s="8" t="s">
        <v>254</v>
      </c>
      <c r="G39" s="8" t="s">
        <v>28</v>
      </c>
      <c r="H39" s="8" t="s">
        <v>299</v>
      </c>
      <c r="I39" s="8" t="s">
        <v>44</v>
      </c>
      <c r="J39" s="8" t="s">
        <v>45</v>
      </c>
      <c r="K39" s="8" t="s">
        <v>32</v>
      </c>
      <c r="L39" s="8" t="s">
        <v>97</v>
      </c>
      <c r="M39" s="8">
        <v>20</v>
      </c>
      <c r="N39" s="8">
        <v>3500</v>
      </c>
      <c r="O39" s="8">
        <v>10</v>
      </c>
      <c r="P39" s="8">
        <v>63000</v>
      </c>
      <c r="Q39" s="8">
        <v>3</v>
      </c>
      <c r="R39" s="8" t="s">
        <v>79</v>
      </c>
      <c r="S39" s="8" t="s">
        <v>49</v>
      </c>
      <c r="T39" s="8" t="s">
        <v>256</v>
      </c>
      <c r="U39" s="9" t="s">
        <v>300</v>
      </c>
      <c r="V39" s="8" t="s">
        <v>69</v>
      </c>
    </row>
    <row r="40" spans="1:22">
      <c r="A40" s="3" t="s">
        <v>301</v>
      </c>
      <c r="B40" s="4" t="s">
        <v>23</v>
      </c>
      <c r="C40" s="4" t="s">
        <v>222</v>
      </c>
      <c r="D40" s="4" t="s">
        <v>302</v>
      </c>
      <c r="E40" s="4" t="s">
        <v>303</v>
      </c>
      <c r="F40" s="4" t="s">
        <v>27</v>
      </c>
      <c r="G40" s="4" t="s">
        <v>28</v>
      </c>
      <c r="H40" s="4" t="s">
        <v>304</v>
      </c>
      <c r="I40" s="4" t="s">
        <v>114</v>
      </c>
      <c r="J40" s="4" t="s">
        <v>106</v>
      </c>
      <c r="K40" s="4" t="s">
        <v>122</v>
      </c>
      <c r="L40" s="4" t="s">
        <v>227</v>
      </c>
      <c r="M40" s="4">
        <v>5</v>
      </c>
      <c r="N40" s="4" t="s">
        <v>305</v>
      </c>
      <c r="O40" s="4">
        <v>0</v>
      </c>
      <c r="P40" s="4">
        <v>100</v>
      </c>
      <c r="Q40" s="4">
        <v>1</v>
      </c>
      <c r="R40" s="4" t="s">
        <v>34</v>
      </c>
      <c r="S40" s="4" t="s">
        <v>49</v>
      </c>
      <c r="T40" s="4" t="s">
        <v>50</v>
      </c>
      <c r="U40" s="6" t="s">
        <v>306</v>
      </c>
      <c r="V40" s="4" t="s">
        <v>69</v>
      </c>
    </row>
    <row r="41" spans="1:22">
      <c r="A41" s="7" t="s">
        <v>307</v>
      </c>
      <c r="B41" s="8" t="s">
        <v>53</v>
      </c>
      <c r="C41" s="8" t="s">
        <v>169</v>
      </c>
      <c r="D41" s="8" t="s">
        <v>308</v>
      </c>
      <c r="E41" s="8" t="s">
        <v>309</v>
      </c>
      <c r="F41" s="8" t="s">
        <v>163</v>
      </c>
      <c r="G41" s="8" t="s">
        <v>28</v>
      </c>
      <c r="H41" s="8" t="s">
        <v>310</v>
      </c>
      <c r="I41" s="8" t="s">
        <v>105</v>
      </c>
      <c r="J41" s="8" t="s">
        <v>106</v>
      </c>
      <c r="K41" s="8" t="s">
        <v>32</v>
      </c>
      <c r="L41" s="8" t="s">
        <v>174</v>
      </c>
      <c r="M41" s="8">
        <v>20</v>
      </c>
      <c r="N41" s="8">
        <v>8500</v>
      </c>
      <c r="O41" s="8">
        <v>0</v>
      </c>
      <c r="P41" s="8">
        <v>170000</v>
      </c>
      <c r="Q41" s="8">
        <v>1</v>
      </c>
      <c r="R41" s="8" t="s">
        <v>88</v>
      </c>
      <c r="S41" s="8" t="s">
        <v>115</v>
      </c>
      <c r="T41" s="8" t="s">
        <v>62</v>
      </c>
      <c r="U41" s="9" t="s">
        <v>311</v>
      </c>
      <c r="V41" s="8" t="s">
        <v>69</v>
      </c>
    </row>
    <row r="42" spans="1:22">
      <c r="A42" s="3" t="s">
        <v>312</v>
      </c>
      <c r="B42" s="4" t="s">
        <v>83</v>
      </c>
      <c r="C42" s="4" t="s">
        <v>118</v>
      </c>
      <c r="D42" s="4" t="s">
        <v>313</v>
      </c>
      <c r="E42" s="4" t="s">
        <v>314</v>
      </c>
      <c r="F42" s="4" t="s">
        <v>180</v>
      </c>
      <c r="G42" s="4" t="s">
        <v>76</v>
      </c>
      <c r="H42" s="4" t="s">
        <v>315</v>
      </c>
      <c r="I42" s="4" t="s">
        <v>59</v>
      </c>
      <c r="J42" s="4" t="s">
        <v>31</v>
      </c>
      <c r="K42" s="4" t="s">
        <v>122</v>
      </c>
      <c r="L42" s="4" t="s">
        <v>123</v>
      </c>
      <c r="M42" s="4">
        <v>8</v>
      </c>
      <c r="N42" s="4">
        <v>60</v>
      </c>
      <c r="O42" s="4">
        <v>15</v>
      </c>
      <c r="P42" s="4">
        <v>408</v>
      </c>
      <c r="Q42" s="4">
        <v>5</v>
      </c>
      <c r="R42" s="4" t="s">
        <v>88</v>
      </c>
      <c r="S42" s="4" t="s">
        <v>49</v>
      </c>
      <c r="T42" s="4" t="s">
        <v>89</v>
      </c>
      <c r="U42" s="6" t="s">
        <v>316</v>
      </c>
      <c r="V42" s="4" t="s">
        <v>64</v>
      </c>
    </row>
    <row r="43" spans="1:22">
      <c r="A43" s="7" t="s">
        <v>317</v>
      </c>
      <c r="B43" s="8" t="s">
        <v>53</v>
      </c>
      <c r="C43" s="8" t="s">
        <v>92</v>
      </c>
      <c r="D43" s="8" t="s">
        <v>318</v>
      </c>
      <c r="E43" s="8" t="s">
        <v>260</v>
      </c>
      <c r="F43" s="8" t="s">
        <v>163</v>
      </c>
      <c r="G43" s="8" t="s">
        <v>28</v>
      </c>
      <c r="H43" s="8" t="s">
        <v>319</v>
      </c>
      <c r="I43" s="8" t="s">
        <v>114</v>
      </c>
      <c r="J43" s="8" t="s">
        <v>106</v>
      </c>
      <c r="K43" s="8" t="s">
        <v>32</v>
      </c>
      <c r="L43" s="8" t="s">
        <v>97</v>
      </c>
      <c r="M43" s="8">
        <v>8</v>
      </c>
      <c r="N43" s="8">
        <v>3500</v>
      </c>
      <c r="O43" s="8">
        <v>5</v>
      </c>
      <c r="P43" s="8">
        <v>26600</v>
      </c>
      <c r="Q43" s="8">
        <v>1</v>
      </c>
      <c r="R43" s="8" t="s">
        <v>79</v>
      </c>
      <c r="S43" s="8" t="s">
        <v>115</v>
      </c>
      <c r="T43" s="8" t="s">
        <v>62</v>
      </c>
      <c r="U43" s="9" t="s">
        <v>320</v>
      </c>
      <c r="V43" s="8" t="s">
        <v>64</v>
      </c>
    </row>
    <row r="44" spans="1:22">
      <c r="A44" s="3" t="s">
        <v>321</v>
      </c>
      <c r="B44" s="4" t="s">
        <v>71</v>
      </c>
      <c r="C44" s="4" t="s">
        <v>169</v>
      </c>
      <c r="D44" s="4" t="s">
        <v>322</v>
      </c>
      <c r="E44" s="4" t="s">
        <v>323</v>
      </c>
      <c r="F44" s="4" t="s">
        <v>217</v>
      </c>
      <c r="G44" s="4" t="s">
        <v>76</v>
      </c>
      <c r="H44" s="4" t="s">
        <v>324</v>
      </c>
      <c r="I44" s="4" t="s">
        <v>212</v>
      </c>
      <c r="J44" s="4" t="s">
        <v>45</v>
      </c>
      <c r="K44" s="4" t="s">
        <v>32</v>
      </c>
      <c r="L44" s="4" t="s">
        <v>174</v>
      </c>
      <c r="M44" s="4">
        <v>1</v>
      </c>
      <c r="N44" s="4">
        <v>8500</v>
      </c>
      <c r="O44" s="4">
        <v>0</v>
      </c>
      <c r="P44" s="4">
        <v>8500</v>
      </c>
      <c r="Q44" s="4">
        <v>2</v>
      </c>
      <c r="R44" s="4" t="s">
        <v>79</v>
      </c>
      <c r="S44" s="4" t="s">
        <v>115</v>
      </c>
      <c r="T44" s="4" t="s">
        <v>80</v>
      </c>
      <c r="U44" s="6" t="s">
        <v>325</v>
      </c>
      <c r="V44" s="4" t="s">
        <v>64</v>
      </c>
    </row>
    <row r="45" spans="1:22">
      <c r="A45" s="7" t="s">
        <v>326</v>
      </c>
      <c r="B45" s="8" t="s">
        <v>327</v>
      </c>
      <c r="C45" s="8" t="s">
        <v>259</v>
      </c>
      <c r="D45" s="8" t="s">
        <v>328</v>
      </c>
      <c r="E45" s="8" t="s">
        <v>329</v>
      </c>
      <c r="F45" s="8" t="s">
        <v>330</v>
      </c>
      <c r="G45" s="8" t="s">
        <v>76</v>
      </c>
      <c r="H45" s="8" t="s">
        <v>331</v>
      </c>
      <c r="I45" s="8" t="s">
        <v>114</v>
      </c>
      <c r="J45" s="8" t="s">
        <v>106</v>
      </c>
      <c r="K45" s="8" t="s">
        <v>122</v>
      </c>
      <c r="L45" s="8" t="s">
        <v>263</v>
      </c>
      <c r="M45" s="8">
        <v>8</v>
      </c>
      <c r="N45" s="8">
        <v>45</v>
      </c>
      <c r="O45" s="8">
        <v>15</v>
      </c>
      <c r="P45" s="8">
        <v>306</v>
      </c>
      <c r="Q45" s="8">
        <v>2</v>
      </c>
      <c r="R45" s="8" t="s">
        <v>79</v>
      </c>
      <c r="S45" s="8" t="s">
        <v>61</v>
      </c>
      <c r="T45" s="8" t="s">
        <v>332</v>
      </c>
      <c r="U45" s="9" t="s">
        <v>333</v>
      </c>
      <c r="V45" s="8" t="s">
        <v>38</v>
      </c>
    </row>
    <row r="46" spans="1:22">
      <c r="A46" s="3" t="s">
        <v>334</v>
      </c>
      <c r="B46" s="4" t="s">
        <v>251</v>
      </c>
      <c r="C46" s="4" t="s">
        <v>24</v>
      </c>
      <c r="D46" s="4" t="s">
        <v>335</v>
      </c>
      <c r="E46" s="4" t="s">
        <v>336</v>
      </c>
      <c r="F46" s="4" t="s">
        <v>254</v>
      </c>
      <c r="G46" s="4" t="s">
        <v>28</v>
      </c>
      <c r="H46" s="4" t="s">
        <v>337</v>
      </c>
      <c r="I46" s="4" t="s">
        <v>114</v>
      </c>
      <c r="J46" s="4" t="s">
        <v>106</v>
      </c>
      <c r="K46" s="4" t="s">
        <v>32</v>
      </c>
      <c r="L46" s="4" t="s">
        <v>33</v>
      </c>
      <c r="M46" s="4">
        <v>16</v>
      </c>
      <c r="N46" s="4">
        <v>2200</v>
      </c>
      <c r="O46" s="4">
        <v>5</v>
      </c>
      <c r="P46" s="4">
        <v>33440</v>
      </c>
      <c r="Q46" s="4">
        <v>5</v>
      </c>
      <c r="R46" s="4" t="s">
        <v>79</v>
      </c>
      <c r="S46" s="4" t="s">
        <v>61</v>
      </c>
      <c r="T46" s="4" t="s">
        <v>256</v>
      </c>
      <c r="U46" s="6" t="s">
        <v>338</v>
      </c>
      <c r="V46" s="4" t="s">
        <v>69</v>
      </c>
    </row>
    <row r="47" spans="1:22">
      <c r="A47" s="7" t="s">
        <v>339</v>
      </c>
      <c r="B47" s="8" t="s">
        <v>71</v>
      </c>
      <c r="C47" s="8" t="s">
        <v>92</v>
      </c>
      <c r="D47" s="8" t="s">
        <v>340</v>
      </c>
      <c r="E47" s="8" t="s">
        <v>341</v>
      </c>
      <c r="F47" s="8" t="s">
        <v>217</v>
      </c>
      <c r="G47" s="8" t="s">
        <v>76</v>
      </c>
      <c r="H47" s="8" t="s">
        <v>342</v>
      </c>
      <c r="I47" s="8" t="s">
        <v>59</v>
      </c>
      <c r="J47" s="8" t="s">
        <v>31</v>
      </c>
      <c r="K47" s="8" t="s">
        <v>32</v>
      </c>
      <c r="L47" s="8" t="s">
        <v>97</v>
      </c>
      <c r="M47" s="8">
        <v>19</v>
      </c>
      <c r="N47" s="8">
        <v>3500</v>
      </c>
      <c r="O47" s="8">
        <v>20</v>
      </c>
      <c r="P47" s="8">
        <v>53200</v>
      </c>
      <c r="Q47" s="8">
        <v>3</v>
      </c>
      <c r="R47" s="8" t="s">
        <v>34</v>
      </c>
      <c r="S47" s="8" t="s">
        <v>151</v>
      </c>
      <c r="T47" s="8" t="s">
        <v>80</v>
      </c>
      <c r="U47" s="9" t="s">
        <v>343</v>
      </c>
      <c r="V47" s="8" t="s">
        <v>69</v>
      </c>
    </row>
    <row r="48" spans="1:22">
      <c r="A48" s="3" t="s">
        <v>344</v>
      </c>
      <c r="B48" s="4" t="s">
        <v>251</v>
      </c>
      <c r="C48" s="4" t="s">
        <v>184</v>
      </c>
      <c r="D48" s="4" t="s">
        <v>345</v>
      </c>
      <c r="E48" s="4" t="s">
        <v>346</v>
      </c>
      <c r="F48" s="4" t="s">
        <v>254</v>
      </c>
      <c r="G48" s="4" t="s">
        <v>28</v>
      </c>
      <c r="H48" s="4" t="s">
        <v>347</v>
      </c>
      <c r="I48" s="4" t="s">
        <v>114</v>
      </c>
      <c r="J48" s="4" t="s">
        <v>106</v>
      </c>
      <c r="K48" s="4" t="s">
        <v>46</v>
      </c>
      <c r="L48" s="4" t="s">
        <v>189</v>
      </c>
      <c r="M48" s="4">
        <v>15</v>
      </c>
      <c r="N48" s="4">
        <v>700</v>
      </c>
      <c r="O48" s="4">
        <v>15</v>
      </c>
      <c r="P48" s="4">
        <v>8925</v>
      </c>
      <c r="Q48" s="4">
        <v>4</v>
      </c>
      <c r="R48" s="4" t="s">
        <v>88</v>
      </c>
      <c r="S48" s="4" t="s">
        <v>115</v>
      </c>
      <c r="T48" s="4" t="s">
        <v>348</v>
      </c>
      <c r="U48" s="6" t="s">
        <v>349</v>
      </c>
      <c r="V48" s="4" t="s">
        <v>38</v>
      </c>
    </row>
    <row r="49" spans="1:22">
      <c r="A49" s="7" t="s">
        <v>350</v>
      </c>
      <c r="B49" s="8" t="s">
        <v>251</v>
      </c>
      <c r="C49" s="8" t="s">
        <v>184</v>
      </c>
      <c r="D49" s="8" t="s">
        <v>351</v>
      </c>
      <c r="E49" s="8" t="s">
        <v>352</v>
      </c>
      <c r="F49" s="8" t="s">
        <v>254</v>
      </c>
      <c r="G49" s="8" t="s">
        <v>28</v>
      </c>
      <c r="H49" s="8" t="s">
        <v>353</v>
      </c>
      <c r="I49" s="8" t="s">
        <v>212</v>
      </c>
      <c r="J49" s="8" t="s">
        <v>45</v>
      </c>
      <c r="K49" s="8" t="s">
        <v>46</v>
      </c>
      <c r="L49" s="8" t="s">
        <v>189</v>
      </c>
      <c r="M49" s="8">
        <v>19</v>
      </c>
      <c r="N49" s="8">
        <v>700</v>
      </c>
      <c r="O49" s="8">
        <v>20</v>
      </c>
      <c r="P49" s="8">
        <v>10640</v>
      </c>
      <c r="Q49" s="8">
        <v>1</v>
      </c>
      <c r="R49" s="8" t="s">
        <v>34</v>
      </c>
      <c r="S49" s="8" t="s">
        <v>115</v>
      </c>
      <c r="T49" s="8" t="s">
        <v>256</v>
      </c>
      <c r="U49" s="9" t="s">
        <v>354</v>
      </c>
      <c r="V49" s="8" t="s">
        <v>38</v>
      </c>
    </row>
    <row r="50" spans="1:22">
      <c r="A50" s="3" t="s">
        <v>355</v>
      </c>
      <c r="B50" s="4" t="s">
        <v>71</v>
      </c>
      <c r="C50" s="4" t="s">
        <v>40</v>
      </c>
      <c r="D50" s="4" t="s">
        <v>356</v>
      </c>
      <c r="E50" s="4"/>
      <c r="F50" s="4" t="s">
        <v>217</v>
      </c>
      <c r="G50" s="4" t="s">
        <v>76</v>
      </c>
      <c r="H50" s="4" t="s">
        <v>357</v>
      </c>
      <c r="I50" s="4" t="s">
        <v>44</v>
      </c>
      <c r="J50" s="4" t="s">
        <v>45</v>
      </c>
      <c r="K50" s="4" t="s">
        <v>46</v>
      </c>
      <c r="L50" s="4" t="s">
        <v>47</v>
      </c>
      <c r="M50" s="4">
        <v>19</v>
      </c>
      <c r="N50" s="4">
        <v>12000</v>
      </c>
      <c r="O50" s="4">
        <v>0</v>
      </c>
      <c r="P50" s="4">
        <v>228000</v>
      </c>
      <c r="Q50" s="4">
        <v>1</v>
      </c>
      <c r="R50" s="4" t="s">
        <v>48</v>
      </c>
      <c r="S50" s="4" t="s">
        <v>61</v>
      </c>
      <c r="T50" s="4" t="s">
        <v>80</v>
      </c>
      <c r="U50" s="6" t="s">
        <v>358</v>
      </c>
      <c r="V50" s="4" t="s">
        <v>38</v>
      </c>
    </row>
    <row r="51" spans="1:22">
      <c r="A51" s="7" t="s">
        <v>359</v>
      </c>
      <c r="B51" s="8" t="s">
        <v>168</v>
      </c>
      <c r="C51" s="8" t="s">
        <v>72</v>
      </c>
      <c r="D51" s="8" t="s">
        <v>356</v>
      </c>
      <c r="E51" s="8" t="s">
        <v>360</v>
      </c>
      <c r="F51" s="8" t="s">
        <v>361</v>
      </c>
      <c r="G51" s="8" t="s">
        <v>28</v>
      </c>
      <c r="H51" s="8" t="s">
        <v>362</v>
      </c>
      <c r="I51" s="8" t="s">
        <v>114</v>
      </c>
      <c r="J51" s="8" t="s">
        <v>106</v>
      </c>
      <c r="K51" s="8" t="s">
        <v>46</v>
      </c>
      <c r="L51" s="8" t="s">
        <v>78</v>
      </c>
      <c r="M51" s="8">
        <v>6</v>
      </c>
      <c r="N51" s="8">
        <v>1200</v>
      </c>
      <c r="O51" s="8">
        <v>5</v>
      </c>
      <c r="P51" s="8">
        <v>6840</v>
      </c>
      <c r="Q51" s="8">
        <v>2</v>
      </c>
      <c r="R51" s="8" t="s">
        <v>34</v>
      </c>
      <c r="S51" s="8" t="s">
        <v>35</v>
      </c>
      <c r="T51" s="8" t="s">
        <v>175</v>
      </c>
      <c r="U51" s="9" t="s">
        <v>363</v>
      </c>
      <c r="V51" s="8" t="s">
        <v>64</v>
      </c>
    </row>
    <row r="52" spans="1:22">
      <c r="A52" s="3" t="s">
        <v>364</v>
      </c>
      <c r="B52" s="4" t="s">
        <v>53</v>
      </c>
      <c r="C52" s="4" t="s">
        <v>24</v>
      </c>
      <c r="D52" s="4" t="s">
        <v>365</v>
      </c>
      <c r="E52" s="4" t="s">
        <v>366</v>
      </c>
      <c r="F52" s="4" t="s">
        <v>367</v>
      </c>
      <c r="G52" s="4" t="s">
        <v>28</v>
      </c>
      <c r="H52" s="4" t="s">
        <v>368</v>
      </c>
      <c r="I52" s="4" t="s">
        <v>59</v>
      </c>
      <c r="J52" s="4" t="s">
        <v>31</v>
      </c>
      <c r="K52" s="4" t="s">
        <v>32</v>
      </c>
      <c r="L52" s="4" t="s">
        <v>33</v>
      </c>
      <c r="M52" s="4">
        <v>7</v>
      </c>
      <c r="N52" s="4">
        <v>2200</v>
      </c>
      <c r="O52" s="4">
        <v>15</v>
      </c>
      <c r="P52" s="4">
        <v>13090</v>
      </c>
      <c r="Q52" s="4">
        <v>1</v>
      </c>
      <c r="R52" s="4" t="s">
        <v>88</v>
      </c>
      <c r="S52" s="4" t="s">
        <v>61</v>
      </c>
      <c r="T52" s="4" t="s">
        <v>62</v>
      </c>
      <c r="U52" s="6" t="s">
        <v>369</v>
      </c>
      <c r="V52" s="4" t="s">
        <v>38</v>
      </c>
    </row>
    <row r="53" spans="1:22">
      <c r="A53" s="7" t="s">
        <v>370</v>
      </c>
      <c r="B53" s="8" t="s">
        <v>100</v>
      </c>
      <c r="C53" s="8" t="s">
        <v>118</v>
      </c>
      <c r="D53" s="8" t="s">
        <v>371</v>
      </c>
      <c r="E53" s="8" t="s">
        <v>372</v>
      </c>
      <c r="F53" s="8" t="s">
        <v>103</v>
      </c>
      <c r="G53" s="8" t="s">
        <v>28</v>
      </c>
      <c r="H53" s="8" t="s">
        <v>373</v>
      </c>
      <c r="I53" s="8" t="s">
        <v>212</v>
      </c>
      <c r="J53" s="8" t="s">
        <v>45</v>
      </c>
      <c r="K53" s="8" t="s">
        <v>122</v>
      </c>
      <c r="L53" s="8" t="s">
        <v>123</v>
      </c>
      <c r="M53" s="8">
        <v>8</v>
      </c>
      <c r="N53" s="8">
        <v>60</v>
      </c>
      <c r="O53" s="8">
        <v>10</v>
      </c>
      <c r="P53" s="8">
        <v>432</v>
      </c>
      <c r="Q53" s="8">
        <v>5</v>
      </c>
      <c r="R53" s="8" t="s">
        <v>79</v>
      </c>
      <c r="S53" s="8" t="s">
        <v>61</v>
      </c>
      <c r="T53" s="8" t="s">
        <v>144</v>
      </c>
      <c r="U53" s="9" t="s">
        <v>374</v>
      </c>
      <c r="V53" s="8" t="s">
        <v>69</v>
      </c>
    </row>
    <row r="54" spans="1:22">
      <c r="A54" s="3" t="s">
        <v>375</v>
      </c>
      <c r="B54" s="4" t="s">
        <v>221</v>
      </c>
      <c r="C54" s="4" t="s">
        <v>54</v>
      </c>
      <c r="D54" s="4" t="s">
        <v>376</v>
      </c>
      <c r="E54" s="4" t="s">
        <v>377</v>
      </c>
      <c r="F54" s="4" t="s">
        <v>225</v>
      </c>
      <c r="G54" s="4" t="s">
        <v>76</v>
      </c>
      <c r="H54" s="4" t="s">
        <v>378</v>
      </c>
      <c r="I54" s="4" t="s">
        <v>294</v>
      </c>
      <c r="J54" s="4" t="s">
        <v>295</v>
      </c>
      <c r="K54" s="4" t="s">
        <v>46</v>
      </c>
      <c r="L54" s="4" t="s">
        <v>60</v>
      </c>
      <c r="M54" s="4">
        <v>12</v>
      </c>
      <c r="N54" s="4">
        <v>55000</v>
      </c>
      <c r="O54" s="4">
        <v>5</v>
      </c>
      <c r="P54" s="4">
        <v>627000</v>
      </c>
      <c r="Q54" s="4">
        <v>2</v>
      </c>
      <c r="R54" s="4" t="s">
        <v>88</v>
      </c>
      <c r="S54" s="4" t="s">
        <v>49</v>
      </c>
      <c r="T54" s="4" t="s">
        <v>228</v>
      </c>
      <c r="U54" s="6" t="s">
        <v>379</v>
      </c>
      <c r="V54" s="4" t="s">
        <v>64</v>
      </c>
    </row>
    <row r="55" spans="1:22">
      <c r="A55" s="7" t="s">
        <v>380</v>
      </c>
      <c r="B55" s="8" t="s">
        <v>23</v>
      </c>
      <c r="C55" s="8" t="s">
        <v>184</v>
      </c>
      <c r="D55" s="8" t="s">
        <v>381</v>
      </c>
      <c r="E55" s="8" t="s">
        <v>382</v>
      </c>
      <c r="F55" s="8" t="s">
        <v>27</v>
      </c>
      <c r="G55" s="8" t="s">
        <v>28</v>
      </c>
      <c r="H55" s="8" t="s">
        <v>383</v>
      </c>
      <c r="I55" s="8" t="s">
        <v>212</v>
      </c>
      <c r="J55" s="8" t="s">
        <v>45</v>
      </c>
      <c r="K55" s="8" t="s">
        <v>46</v>
      </c>
      <c r="L55" s="8" t="s">
        <v>189</v>
      </c>
      <c r="M55" s="8">
        <v>3</v>
      </c>
      <c r="N55" s="8">
        <v>700</v>
      </c>
      <c r="O55" s="8">
        <v>0</v>
      </c>
      <c r="P55" s="8">
        <v>2100</v>
      </c>
      <c r="Q55" s="8">
        <v>3</v>
      </c>
      <c r="R55" s="8" t="s">
        <v>79</v>
      </c>
      <c r="S55" s="8" t="s">
        <v>151</v>
      </c>
      <c r="T55" s="8" t="s">
        <v>50</v>
      </c>
      <c r="U55" s="9" t="s">
        <v>384</v>
      </c>
      <c r="V55" s="8" t="s">
        <v>69</v>
      </c>
    </row>
    <row r="56" spans="1:22">
      <c r="A56" s="3" t="s">
        <v>385</v>
      </c>
      <c r="B56" s="4" t="s">
        <v>127</v>
      </c>
      <c r="C56" s="4" t="s">
        <v>118</v>
      </c>
      <c r="D56" s="4" t="s">
        <v>386</v>
      </c>
      <c r="E56" s="4" t="s">
        <v>387</v>
      </c>
      <c r="F56" s="4" t="s">
        <v>388</v>
      </c>
      <c r="G56" s="4" t="s">
        <v>76</v>
      </c>
      <c r="H56" s="4" t="s">
        <v>389</v>
      </c>
      <c r="I56" s="4" t="s">
        <v>138</v>
      </c>
      <c r="J56" s="4" t="s">
        <v>106</v>
      </c>
      <c r="K56" s="4" t="s">
        <v>122</v>
      </c>
      <c r="L56" s="4" t="s">
        <v>123</v>
      </c>
      <c r="M56" s="4">
        <v>19</v>
      </c>
      <c r="N56" s="4">
        <v>60</v>
      </c>
      <c r="O56" s="4">
        <v>15</v>
      </c>
      <c r="P56" s="4">
        <v>969</v>
      </c>
      <c r="Q56" s="4">
        <v>4</v>
      </c>
      <c r="R56" s="4" t="s">
        <v>79</v>
      </c>
      <c r="S56" s="4" t="s">
        <v>49</v>
      </c>
      <c r="T56" s="4" t="s">
        <v>132</v>
      </c>
      <c r="U56" s="6" t="s">
        <v>390</v>
      </c>
      <c r="V56" s="4" t="s">
        <v>69</v>
      </c>
    </row>
    <row r="57" spans="1:22">
      <c r="A57" s="7" t="s">
        <v>391</v>
      </c>
      <c r="B57" s="8" t="s">
        <v>327</v>
      </c>
      <c r="C57" s="8" t="s">
        <v>118</v>
      </c>
      <c r="D57" s="8" t="s">
        <v>392</v>
      </c>
      <c r="E57" s="8" t="s">
        <v>393</v>
      </c>
      <c r="F57" s="8" t="s">
        <v>394</v>
      </c>
      <c r="G57" s="8" t="s">
        <v>76</v>
      </c>
      <c r="H57" s="8" t="s">
        <v>395</v>
      </c>
      <c r="I57" s="8" t="s">
        <v>212</v>
      </c>
      <c r="J57" s="8" t="s">
        <v>45</v>
      </c>
      <c r="K57" s="8" t="s">
        <v>122</v>
      </c>
      <c r="L57" s="8" t="s">
        <v>123</v>
      </c>
      <c r="M57" s="8">
        <v>9</v>
      </c>
      <c r="N57" s="8">
        <v>60</v>
      </c>
      <c r="O57" s="8">
        <v>20</v>
      </c>
      <c r="P57" s="8">
        <v>432</v>
      </c>
      <c r="Q57" s="8">
        <v>1</v>
      </c>
      <c r="R57" s="8" t="s">
        <v>48</v>
      </c>
      <c r="S57" s="8" t="s">
        <v>115</v>
      </c>
      <c r="T57" s="8" t="s">
        <v>332</v>
      </c>
      <c r="U57" s="9" t="s">
        <v>396</v>
      </c>
      <c r="V57" s="8" t="s">
        <v>64</v>
      </c>
    </row>
    <row r="58" spans="1:22">
      <c r="A58" s="3" t="s">
        <v>397</v>
      </c>
      <c r="B58" s="4" t="s">
        <v>327</v>
      </c>
      <c r="C58" s="4" t="s">
        <v>184</v>
      </c>
      <c r="D58" s="4" t="s">
        <v>398</v>
      </c>
      <c r="E58" s="4" t="s">
        <v>399</v>
      </c>
      <c r="F58" s="4" t="s">
        <v>394</v>
      </c>
      <c r="G58" s="4" t="s">
        <v>76</v>
      </c>
      <c r="H58" s="4" t="s">
        <v>400</v>
      </c>
      <c r="I58" s="4" t="s">
        <v>59</v>
      </c>
      <c r="J58" s="4" t="s">
        <v>31</v>
      </c>
      <c r="K58" s="4" t="s">
        <v>46</v>
      </c>
      <c r="L58" s="4" t="s">
        <v>189</v>
      </c>
      <c r="M58" s="4">
        <v>6</v>
      </c>
      <c r="N58" s="4">
        <v>700</v>
      </c>
      <c r="O58" s="4">
        <v>0</v>
      </c>
      <c r="P58" s="4">
        <v>4200</v>
      </c>
      <c r="Q58" s="4">
        <v>4</v>
      </c>
      <c r="R58" s="4" t="s">
        <v>88</v>
      </c>
      <c r="S58" s="4" t="s">
        <v>49</v>
      </c>
      <c r="T58" s="4" t="s">
        <v>401</v>
      </c>
      <c r="U58" s="6" t="s">
        <v>402</v>
      </c>
      <c r="V58" s="4" t="s">
        <v>69</v>
      </c>
    </row>
    <row r="59" spans="1:22">
      <c r="A59" s="7" t="s">
        <v>403</v>
      </c>
      <c r="B59" s="8" t="s">
        <v>127</v>
      </c>
      <c r="C59" s="8" t="s">
        <v>259</v>
      </c>
      <c r="D59" s="8" t="s">
        <v>241</v>
      </c>
      <c r="E59" s="8" t="s">
        <v>404</v>
      </c>
      <c r="F59" s="8" t="s">
        <v>200</v>
      </c>
      <c r="G59" s="8" t="s">
        <v>76</v>
      </c>
      <c r="H59" s="8" t="s">
        <v>405</v>
      </c>
      <c r="I59" s="8" t="s">
        <v>44</v>
      </c>
      <c r="J59" s="8" t="s">
        <v>45</v>
      </c>
      <c r="K59" s="8" t="s">
        <v>122</v>
      </c>
      <c r="L59" s="8" t="s">
        <v>263</v>
      </c>
      <c r="M59" s="8">
        <v>18</v>
      </c>
      <c r="N59" s="8">
        <v>45</v>
      </c>
      <c r="O59" s="8">
        <v>5</v>
      </c>
      <c r="P59" s="8">
        <v>769.5</v>
      </c>
      <c r="Q59" s="8">
        <v>1</v>
      </c>
      <c r="R59" s="8" t="s">
        <v>79</v>
      </c>
      <c r="S59" s="8" t="s">
        <v>61</v>
      </c>
      <c r="T59" s="8" t="s">
        <v>132</v>
      </c>
      <c r="U59" s="9" t="s">
        <v>406</v>
      </c>
      <c r="V59" s="8" t="s">
        <v>64</v>
      </c>
    </row>
    <row r="60" spans="1:22">
      <c r="A60" s="3" t="s">
        <v>407</v>
      </c>
      <c r="B60" s="4" t="s">
        <v>83</v>
      </c>
      <c r="C60" s="4" t="s">
        <v>222</v>
      </c>
      <c r="D60" s="4" t="s">
        <v>408</v>
      </c>
      <c r="E60" s="4" t="s">
        <v>261</v>
      </c>
      <c r="F60" s="4" t="s">
        <v>180</v>
      </c>
      <c r="G60" s="4" t="s">
        <v>76</v>
      </c>
      <c r="H60" s="4" t="s">
        <v>409</v>
      </c>
      <c r="I60" s="4" t="s">
        <v>212</v>
      </c>
      <c r="J60" s="4" t="s">
        <v>45</v>
      </c>
      <c r="K60" s="4" t="s">
        <v>122</v>
      </c>
      <c r="L60" s="4" t="s">
        <v>227</v>
      </c>
      <c r="M60" s="4">
        <v>8</v>
      </c>
      <c r="N60" s="4">
        <v>20</v>
      </c>
      <c r="O60" s="4">
        <v>5</v>
      </c>
      <c r="P60" s="4">
        <v>152</v>
      </c>
      <c r="Q60" s="4">
        <v>1</v>
      </c>
      <c r="R60" s="4" t="s">
        <v>79</v>
      </c>
      <c r="S60" s="4" t="s">
        <v>35</v>
      </c>
      <c r="T60" s="4" t="s">
        <v>89</v>
      </c>
      <c r="U60" s="6" t="s">
        <v>410</v>
      </c>
      <c r="V60" s="4" t="s">
        <v>411</v>
      </c>
    </row>
    <row r="61" spans="1:22">
      <c r="A61" s="7" t="s">
        <v>412</v>
      </c>
      <c r="B61" s="8" t="s">
        <v>221</v>
      </c>
      <c r="C61" s="8" t="s">
        <v>184</v>
      </c>
      <c r="D61" s="8" t="s">
        <v>413</v>
      </c>
      <c r="E61" s="8" t="s">
        <v>414</v>
      </c>
      <c r="F61" s="8" t="s">
        <v>225</v>
      </c>
      <c r="G61" s="8" t="s">
        <v>76</v>
      </c>
      <c r="H61" s="8" t="s">
        <v>415</v>
      </c>
      <c r="I61" s="8" t="s">
        <v>212</v>
      </c>
      <c r="J61" s="8" t="s">
        <v>45</v>
      </c>
      <c r="K61" s="8" t="s">
        <v>46</v>
      </c>
      <c r="L61" s="8" t="s">
        <v>189</v>
      </c>
      <c r="M61" s="8">
        <v>8</v>
      </c>
      <c r="N61" s="8">
        <v>700</v>
      </c>
      <c r="O61" s="8">
        <v>10</v>
      </c>
      <c r="P61" s="8">
        <v>5040</v>
      </c>
      <c r="Q61" s="8">
        <v>1</v>
      </c>
      <c r="R61" s="8" t="s">
        <v>48</v>
      </c>
      <c r="S61" s="8" t="s">
        <v>61</v>
      </c>
      <c r="T61" s="10" t="s">
        <v>416</v>
      </c>
      <c r="U61" s="9" t="s">
        <v>417</v>
      </c>
      <c r="V61" s="8" t="s">
        <v>69</v>
      </c>
    </row>
    <row r="62" spans="1:22">
      <c r="A62" s="3" t="s">
        <v>418</v>
      </c>
      <c r="B62" s="4" t="s">
        <v>23</v>
      </c>
      <c r="C62" s="4" t="s">
        <v>222</v>
      </c>
      <c r="D62" s="4" t="s">
        <v>223</v>
      </c>
      <c r="E62" s="4" t="s">
        <v>356</v>
      </c>
      <c r="F62" s="4" t="s">
        <v>27</v>
      </c>
      <c r="G62" s="4" t="s">
        <v>28</v>
      </c>
      <c r="H62" s="4" t="s">
        <v>419</v>
      </c>
      <c r="I62" s="4" t="s">
        <v>44</v>
      </c>
      <c r="J62" s="4" t="s">
        <v>45</v>
      </c>
      <c r="K62" s="4" t="s">
        <v>122</v>
      </c>
      <c r="L62" s="4" t="s">
        <v>227</v>
      </c>
      <c r="M62" s="4">
        <v>7</v>
      </c>
      <c r="N62" s="4">
        <v>20</v>
      </c>
      <c r="O62" s="4">
        <v>15</v>
      </c>
      <c r="P62" s="4">
        <v>119</v>
      </c>
      <c r="Q62" s="4">
        <v>5</v>
      </c>
      <c r="R62" s="4" t="s">
        <v>79</v>
      </c>
      <c r="S62" s="4" t="s">
        <v>49</v>
      </c>
      <c r="T62" s="4" t="s">
        <v>50</v>
      </c>
      <c r="U62" s="6" t="s">
        <v>420</v>
      </c>
      <c r="V62" s="4" t="s">
        <v>38</v>
      </c>
    </row>
    <row r="63" spans="1:22">
      <c r="A63" s="7" t="s">
        <v>421</v>
      </c>
      <c r="B63" s="8" t="s">
        <v>100</v>
      </c>
      <c r="C63" s="8" t="s">
        <v>222</v>
      </c>
      <c r="D63" s="8" t="s">
        <v>422</v>
      </c>
      <c r="E63" s="8" t="s">
        <v>371</v>
      </c>
      <c r="F63" s="8" t="s">
        <v>103</v>
      </c>
      <c r="G63" s="8" t="s">
        <v>28</v>
      </c>
      <c r="H63" s="8" t="s">
        <v>423</v>
      </c>
      <c r="I63" s="8" t="s">
        <v>114</v>
      </c>
      <c r="J63" s="8" t="s">
        <v>106</v>
      </c>
      <c r="K63" s="8" t="s">
        <v>122</v>
      </c>
      <c r="L63" s="8" t="s">
        <v>227</v>
      </c>
      <c r="M63" s="8">
        <v>16</v>
      </c>
      <c r="N63" s="8">
        <v>20</v>
      </c>
      <c r="O63" s="8">
        <v>0</v>
      </c>
      <c r="P63" s="8">
        <v>320</v>
      </c>
      <c r="Q63" s="8">
        <v>5</v>
      </c>
      <c r="R63" s="8" t="s">
        <v>48</v>
      </c>
      <c r="S63" s="8" t="s">
        <v>61</v>
      </c>
      <c r="T63" s="8" t="s">
        <v>144</v>
      </c>
      <c r="U63" s="9" t="s">
        <v>424</v>
      </c>
      <c r="V63" s="8" t="s">
        <v>64</v>
      </c>
    </row>
    <row r="64" spans="1:22">
      <c r="A64" s="3" t="s">
        <v>425</v>
      </c>
      <c r="B64" s="4" t="s">
        <v>53</v>
      </c>
      <c r="C64" s="4" t="s">
        <v>259</v>
      </c>
      <c r="D64" s="4" t="s">
        <v>426</v>
      </c>
      <c r="E64" s="4" t="s">
        <v>427</v>
      </c>
      <c r="F64" s="4" t="s">
        <v>163</v>
      </c>
      <c r="G64" s="4" t="s">
        <v>28</v>
      </c>
      <c r="H64" s="4" t="s">
        <v>428</v>
      </c>
      <c r="I64" s="4" t="s">
        <v>105</v>
      </c>
      <c r="J64" s="4" t="s">
        <v>106</v>
      </c>
      <c r="K64" s="4" t="s">
        <v>122</v>
      </c>
      <c r="L64" s="4" t="s">
        <v>263</v>
      </c>
      <c r="M64" s="4">
        <v>15</v>
      </c>
      <c r="N64" s="4">
        <v>45</v>
      </c>
      <c r="O64" s="4">
        <v>0</v>
      </c>
      <c r="P64" s="4">
        <v>675</v>
      </c>
      <c r="Q64" s="4">
        <v>4</v>
      </c>
      <c r="R64" s="4" t="s">
        <v>34</v>
      </c>
      <c r="S64" s="4" t="s">
        <v>61</v>
      </c>
      <c r="T64" s="4" t="s">
        <v>62</v>
      </c>
      <c r="U64" s="6" t="s">
        <v>429</v>
      </c>
      <c r="V64" s="4" t="s">
        <v>69</v>
      </c>
    </row>
    <row r="65" spans="1:22">
      <c r="A65" s="7" t="s">
        <v>430</v>
      </c>
      <c r="B65" s="8" t="s">
        <v>251</v>
      </c>
      <c r="C65" s="8" t="s">
        <v>184</v>
      </c>
      <c r="D65" s="8" t="s">
        <v>431</v>
      </c>
      <c r="E65" s="8" t="s">
        <v>413</v>
      </c>
      <c r="F65" s="8" t="s">
        <v>254</v>
      </c>
      <c r="G65" s="8" t="s">
        <v>28</v>
      </c>
      <c r="H65" s="8" t="s">
        <v>432</v>
      </c>
      <c r="I65" s="8" t="s">
        <v>138</v>
      </c>
      <c r="J65" s="8" t="s">
        <v>106</v>
      </c>
      <c r="K65" s="8" t="s">
        <v>46</v>
      </c>
      <c r="L65" s="8" t="s">
        <v>189</v>
      </c>
      <c r="M65" s="8">
        <v>15</v>
      </c>
      <c r="N65" s="8">
        <v>700</v>
      </c>
      <c r="O65" s="8">
        <v>10</v>
      </c>
      <c r="P65" s="8">
        <v>9450</v>
      </c>
      <c r="Q65" s="8">
        <v>3</v>
      </c>
      <c r="R65" s="8" t="s">
        <v>48</v>
      </c>
      <c r="S65" s="8" t="s">
        <v>151</v>
      </c>
      <c r="T65" s="8" t="s">
        <v>256</v>
      </c>
      <c r="U65" s="9" t="s">
        <v>433</v>
      </c>
      <c r="V65" s="8" t="s">
        <v>38</v>
      </c>
    </row>
    <row r="66" spans="1:22">
      <c r="A66" s="3" t="s">
        <v>434</v>
      </c>
      <c r="B66" s="4" t="s">
        <v>53</v>
      </c>
      <c r="C66" s="4" t="s">
        <v>259</v>
      </c>
      <c r="D66" s="4" t="s">
        <v>435</v>
      </c>
      <c r="E66" s="4" t="s">
        <v>436</v>
      </c>
      <c r="F66" s="4" t="s">
        <v>163</v>
      </c>
      <c r="G66" s="4" t="s">
        <v>28</v>
      </c>
      <c r="H66" s="4" t="s">
        <v>437</v>
      </c>
      <c r="I66" s="4" t="s">
        <v>294</v>
      </c>
      <c r="J66" s="4" t="s">
        <v>295</v>
      </c>
      <c r="K66" s="4" t="s">
        <v>122</v>
      </c>
      <c r="L66" s="4" t="s">
        <v>263</v>
      </c>
      <c r="M66" s="4">
        <v>3</v>
      </c>
      <c r="N66" s="4">
        <v>45</v>
      </c>
      <c r="O66" s="4">
        <v>15</v>
      </c>
      <c r="P66" s="4">
        <v>114.75</v>
      </c>
      <c r="Q66" s="4">
        <v>2</v>
      </c>
      <c r="R66" s="4" t="s">
        <v>88</v>
      </c>
      <c r="S66" s="4" t="s">
        <v>115</v>
      </c>
      <c r="T66" s="4" t="s">
        <v>62</v>
      </c>
      <c r="U66" s="6" t="s">
        <v>438</v>
      </c>
      <c r="V66" s="4" t="s">
        <v>64</v>
      </c>
    </row>
    <row r="67" spans="1:22">
      <c r="A67" s="7" t="s">
        <v>439</v>
      </c>
      <c r="B67" s="8" t="s">
        <v>100</v>
      </c>
      <c r="C67" s="8" t="s">
        <v>24</v>
      </c>
      <c r="D67" s="8" t="s">
        <v>440</v>
      </c>
      <c r="E67" s="8" t="s">
        <v>441</v>
      </c>
      <c r="F67" s="8" t="s">
        <v>103</v>
      </c>
      <c r="G67" s="8" t="s">
        <v>28</v>
      </c>
      <c r="H67" s="8" t="s">
        <v>442</v>
      </c>
      <c r="I67" s="8" t="s">
        <v>294</v>
      </c>
      <c r="J67" s="8" t="s">
        <v>295</v>
      </c>
      <c r="K67" s="8" t="s">
        <v>32</v>
      </c>
      <c r="L67" s="8" t="s">
        <v>33</v>
      </c>
      <c r="M67" s="8">
        <v>7</v>
      </c>
      <c r="N67" s="8">
        <v>2200</v>
      </c>
      <c r="O67" s="8">
        <v>15</v>
      </c>
      <c r="P67" s="8">
        <v>13090</v>
      </c>
      <c r="Q67" s="8">
        <v>5</v>
      </c>
      <c r="R67" s="8" t="s">
        <v>88</v>
      </c>
      <c r="S67" s="8" t="s">
        <v>115</v>
      </c>
      <c r="T67" s="8" t="s">
        <v>144</v>
      </c>
      <c r="U67" s="9" t="s">
        <v>443</v>
      </c>
      <c r="V67" s="8" t="s">
        <v>38</v>
      </c>
    </row>
    <row r="68" spans="1:22">
      <c r="A68" s="3" t="s">
        <v>444</v>
      </c>
      <c r="B68" s="4" t="s">
        <v>23</v>
      </c>
      <c r="C68" s="4" t="s">
        <v>259</v>
      </c>
      <c r="D68" s="4" t="s">
        <v>445</v>
      </c>
      <c r="E68" s="4" t="s">
        <v>446</v>
      </c>
      <c r="F68" s="4" t="s">
        <v>27</v>
      </c>
      <c r="G68" s="4" t="s">
        <v>28</v>
      </c>
      <c r="H68" s="4" t="s">
        <v>447</v>
      </c>
      <c r="I68" s="4" t="s">
        <v>44</v>
      </c>
      <c r="J68" s="4" t="s">
        <v>45</v>
      </c>
      <c r="K68" s="4" t="s">
        <v>122</v>
      </c>
      <c r="L68" s="4" t="s">
        <v>263</v>
      </c>
      <c r="M68" s="4">
        <v>19</v>
      </c>
      <c r="N68" s="4">
        <v>45</v>
      </c>
      <c r="O68" s="4">
        <v>10</v>
      </c>
      <c r="P68" s="4">
        <v>769.5</v>
      </c>
      <c r="Q68" s="4">
        <v>5</v>
      </c>
      <c r="R68" s="4" t="s">
        <v>79</v>
      </c>
      <c r="S68" s="4" t="s">
        <v>115</v>
      </c>
      <c r="T68" s="4" t="s">
        <v>50</v>
      </c>
      <c r="U68" s="6" t="s">
        <v>448</v>
      </c>
      <c r="V68" s="4" t="s">
        <v>69</v>
      </c>
    </row>
    <row r="69" spans="1:22">
      <c r="A69" s="7" t="s">
        <v>449</v>
      </c>
      <c r="B69" s="8" t="s">
        <v>251</v>
      </c>
      <c r="C69" s="8" t="s">
        <v>92</v>
      </c>
      <c r="D69" s="8" t="s">
        <v>450</v>
      </c>
      <c r="E69" s="8" t="s">
        <v>323</v>
      </c>
      <c r="F69" s="8" t="s">
        <v>254</v>
      </c>
      <c r="G69" s="8" t="s">
        <v>28</v>
      </c>
      <c r="H69" s="8" t="s">
        <v>451</v>
      </c>
      <c r="I69" s="8" t="s">
        <v>30</v>
      </c>
      <c r="J69" s="8" t="s">
        <v>31</v>
      </c>
      <c r="K69" s="8" t="s">
        <v>32</v>
      </c>
      <c r="L69" s="8" t="s">
        <v>97</v>
      </c>
      <c r="M69" s="8">
        <v>7</v>
      </c>
      <c r="N69" s="8">
        <v>3500</v>
      </c>
      <c r="O69" s="8">
        <v>15</v>
      </c>
      <c r="P69" s="8">
        <v>20825</v>
      </c>
      <c r="Q69" s="8">
        <v>1</v>
      </c>
      <c r="R69" s="8" t="s">
        <v>34</v>
      </c>
      <c r="S69" s="8" t="s">
        <v>151</v>
      </c>
      <c r="T69" s="8" t="s">
        <v>256</v>
      </c>
      <c r="U69" s="9" t="s">
        <v>452</v>
      </c>
      <c r="V69" s="8" t="s">
        <v>64</v>
      </c>
    </row>
    <row r="70" spans="1:22">
      <c r="A70" s="3" t="s">
        <v>453</v>
      </c>
      <c r="B70" s="4" t="s">
        <v>53</v>
      </c>
      <c r="C70" s="4" t="s">
        <v>169</v>
      </c>
      <c r="D70" s="4" t="s">
        <v>454</v>
      </c>
      <c r="E70" s="4" t="s">
        <v>455</v>
      </c>
      <c r="F70" s="4" t="s">
        <v>163</v>
      </c>
      <c r="G70" s="4" t="s">
        <v>28</v>
      </c>
      <c r="H70" s="4" t="s">
        <v>456</v>
      </c>
      <c r="I70" s="4" t="s">
        <v>212</v>
      </c>
      <c r="J70" s="4" t="s">
        <v>45</v>
      </c>
      <c r="K70" s="4" t="s">
        <v>32</v>
      </c>
      <c r="L70" s="4" t="s">
        <v>174</v>
      </c>
      <c r="M70" s="4">
        <v>7</v>
      </c>
      <c r="N70" s="4">
        <v>8500</v>
      </c>
      <c r="O70" s="4">
        <v>20</v>
      </c>
      <c r="P70" s="4">
        <v>47600</v>
      </c>
      <c r="Q70" s="4">
        <v>4</v>
      </c>
      <c r="R70" s="4" t="s">
        <v>48</v>
      </c>
      <c r="S70" s="4" t="s">
        <v>115</v>
      </c>
      <c r="T70" s="4" t="s">
        <v>62</v>
      </c>
      <c r="U70" s="6" t="s">
        <v>457</v>
      </c>
      <c r="V70" s="4" t="s">
        <v>38</v>
      </c>
    </row>
    <row r="71" spans="1:22">
      <c r="A71" s="7" t="s">
        <v>458</v>
      </c>
      <c r="B71" s="8" t="s">
        <v>23</v>
      </c>
      <c r="C71" s="8" t="s">
        <v>54</v>
      </c>
      <c r="D71" s="8" t="s">
        <v>366</v>
      </c>
      <c r="E71" s="8" t="s">
        <v>459</v>
      </c>
      <c r="F71" s="8" t="s">
        <v>27</v>
      </c>
      <c r="G71" s="8" t="s">
        <v>28</v>
      </c>
      <c r="H71" s="8" t="s">
        <v>460</v>
      </c>
      <c r="I71" s="8" t="s">
        <v>59</v>
      </c>
      <c r="J71" s="8" t="s">
        <v>31</v>
      </c>
      <c r="K71" s="8" t="s">
        <v>46</v>
      </c>
      <c r="L71" s="8" t="s">
        <v>60</v>
      </c>
      <c r="M71" s="8">
        <v>16</v>
      </c>
      <c r="N71" s="8">
        <v>55000</v>
      </c>
      <c r="O71" s="8">
        <v>10</v>
      </c>
      <c r="P71" s="8">
        <v>792000</v>
      </c>
      <c r="Q71" s="8">
        <v>1</v>
      </c>
      <c r="R71" s="8" t="s">
        <v>79</v>
      </c>
      <c r="S71" s="8" t="s">
        <v>61</v>
      </c>
      <c r="T71" s="8" t="s">
        <v>50</v>
      </c>
      <c r="U71" s="9" t="s">
        <v>461</v>
      </c>
      <c r="V71" s="8" t="s">
        <v>38</v>
      </c>
    </row>
    <row r="72" spans="1:22">
      <c r="A72" s="3" t="s">
        <v>462</v>
      </c>
      <c r="B72" s="4" t="s">
        <v>168</v>
      </c>
      <c r="C72" s="4" t="s">
        <v>40</v>
      </c>
      <c r="D72" s="4" t="s">
        <v>463</v>
      </c>
      <c r="E72" s="4" t="s">
        <v>464</v>
      </c>
      <c r="F72" s="4" t="s">
        <v>361</v>
      </c>
      <c r="G72" s="4" t="s">
        <v>28</v>
      </c>
      <c r="H72" s="4" t="s">
        <v>465</v>
      </c>
      <c r="I72" s="4" t="s">
        <v>105</v>
      </c>
      <c r="J72" s="4" t="s">
        <v>106</v>
      </c>
      <c r="K72" s="4" t="s">
        <v>46</v>
      </c>
      <c r="L72" s="4" t="s">
        <v>47</v>
      </c>
      <c r="M72" s="4">
        <v>2</v>
      </c>
      <c r="N72" s="4">
        <v>12000</v>
      </c>
      <c r="O72" s="4">
        <v>20</v>
      </c>
      <c r="P72" s="4">
        <v>19200</v>
      </c>
      <c r="Q72" s="4">
        <v>1</v>
      </c>
      <c r="R72" s="4" t="s">
        <v>34</v>
      </c>
      <c r="S72" s="4" t="s">
        <v>151</v>
      </c>
      <c r="T72" s="5" t="s">
        <v>466</v>
      </c>
      <c r="U72" s="6" t="s">
        <v>467</v>
      </c>
      <c r="V72" s="4" t="s">
        <v>64</v>
      </c>
    </row>
    <row r="73" spans="1:22">
      <c r="A73" s="7" t="s">
        <v>468</v>
      </c>
      <c r="B73" s="8" t="s">
        <v>127</v>
      </c>
      <c r="C73" s="8" t="s">
        <v>259</v>
      </c>
      <c r="D73" s="8" t="s">
        <v>469</v>
      </c>
      <c r="E73" s="8" t="s">
        <v>446</v>
      </c>
      <c r="F73" s="8" t="s">
        <v>200</v>
      </c>
      <c r="G73" s="8" t="s">
        <v>76</v>
      </c>
      <c r="H73" s="8" t="s">
        <v>470</v>
      </c>
      <c r="I73" s="8" t="s">
        <v>59</v>
      </c>
      <c r="J73" s="8" t="s">
        <v>31</v>
      </c>
      <c r="K73" s="8" t="s">
        <v>122</v>
      </c>
      <c r="L73" s="8" t="s">
        <v>263</v>
      </c>
      <c r="M73" s="8">
        <v>4</v>
      </c>
      <c r="N73" s="8">
        <v>45</v>
      </c>
      <c r="O73" s="8">
        <v>5</v>
      </c>
      <c r="P73" s="8">
        <v>171</v>
      </c>
      <c r="Q73" s="8">
        <v>1</v>
      </c>
      <c r="R73" s="8" t="s">
        <v>79</v>
      </c>
      <c r="S73" s="8" t="s">
        <v>49</v>
      </c>
      <c r="T73" s="8" t="s">
        <v>132</v>
      </c>
      <c r="U73" s="9" t="s">
        <v>471</v>
      </c>
      <c r="V73" s="8" t="s">
        <v>64</v>
      </c>
    </row>
    <row r="74" spans="1:22">
      <c r="A74" s="3" t="s">
        <v>472</v>
      </c>
      <c r="B74" s="4" t="s">
        <v>23</v>
      </c>
      <c r="C74" s="4" t="s">
        <v>72</v>
      </c>
      <c r="D74" s="4" t="s">
        <v>473</v>
      </c>
      <c r="E74" s="4" t="s">
        <v>474</v>
      </c>
      <c r="F74" s="4" t="s">
        <v>27</v>
      </c>
      <c r="G74" s="4" t="s">
        <v>28</v>
      </c>
      <c r="H74" s="4" t="s">
        <v>475</v>
      </c>
      <c r="I74" s="4" t="s">
        <v>212</v>
      </c>
      <c r="J74" s="4" t="s">
        <v>45</v>
      </c>
      <c r="K74" s="4" t="s">
        <v>46</v>
      </c>
      <c r="L74" s="4" t="s">
        <v>78</v>
      </c>
      <c r="M74" s="4">
        <v>1</v>
      </c>
      <c r="N74" s="4">
        <v>1200</v>
      </c>
      <c r="O74" s="4">
        <v>5</v>
      </c>
      <c r="P74" s="4">
        <v>1140</v>
      </c>
      <c r="Q74" s="4">
        <v>3</v>
      </c>
      <c r="R74" s="4" t="s">
        <v>88</v>
      </c>
      <c r="S74" s="4" t="s">
        <v>61</v>
      </c>
      <c r="T74" s="4" t="s">
        <v>50</v>
      </c>
      <c r="U74" s="6" t="s">
        <v>476</v>
      </c>
      <c r="V74" s="4" t="s">
        <v>69</v>
      </c>
    </row>
    <row r="75" spans="1:22">
      <c r="A75" s="7" t="s">
        <v>477</v>
      </c>
      <c r="B75" s="8" t="s">
        <v>53</v>
      </c>
      <c r="C75" s="8" t="s">
        <v>24</v>
      </c>
      <c r="D75" s="8" t="s">
        <v>478</v>
      </c>
      <c r="E75" s="8" t="s">
        <v>479</v>
      </c>
      <c r="F75" s="8" t="s">
        <v>163</v>
      </c>
      <c r="G75" s="8" t="s">
        <v>28</v>
      </c>
      <c r="H75" s="8" t="s">
        <v>480</v>
      </c>
      <c r="I75" s="8"/>
      <c r="J75" s="8" t="s">
        <v>31</v>
      </c>
      <c r="K75" s="8" t="s">
        <v>32</v>
      </c>
      <c r="L75" s="8" t="s">
        <v>33</v>
      </c>
      <c r="M75" s="8">
        <v>1</v>
      </c>
      <c r="N75" s="8">
        <v>2200</v>
      </c>
      <c r="O75" s="8">
        <v>15</v>
      </c>
      <c r="P75" s="8">
        <v>1870</v>
      </c>
      <c r="Q75" s="8">
        <v>4</v>
      </c>
      <c r="R75" s="8" t="s">
        <v>79</v>
      </c>
      <c r="S75" s="8" t="s">
        <v>61</v>
      </c>
      <c r="T75" s="8" t="s">
        <v>62</v>
      </c>
      <c r="U75" s="9" t="s">
        <v>481</v>
      </c>
      <c r="V75" s="8" t="s">
        <v>38</v>
      </c>
    </row>
    <row r="76" spans="1:22">
      <c r="A76" s="3" t="s">
        <v>482</v>
      </c>
      <c r="B76" s="4" t="s">
        <v>127</v>
      </c>
      <c r="C76" s="4" t="s">
        <v>72</v>
      </c>
      <c r="D76" s="4" t="s">
        <v>483</v>
      </c>
      <c r="E76" s="4" t="s">
        <v>484</v>
      </c>
      <c r="F76" s="4" t="s">
        <v>200</v>
      </c>
      <c r="G76" s="4" t="s">
        <v>76</v>
      </c>
      <c r="H76" s="4" t="s">
        <v>485</v>
      </c>
      <c r="I76" s="4" t="s">
        <v>114</v>
      </c>
      <c r="J76" s="4" t="s">
        <v>106</v>
      </c>
      <c r="K76" s="4" t="s">
        <v>46</v>
      </c>
      <c r="L76" s="4" t="s">
        <v>78</v>
      </c>
      <c r="M76" s="4">
        <v>3</v>
      </c>
      <c r="N76" s="4">
        <v>1200</v>
      </c>
      <c r="O76" s="4">
        <v>10</v>
      </c>
      <c r="P76" s="4">
        <v>3240</v>
      </c>
      <c r="Q76" s="4">
        <v>5</v>
      </c>
      <c r="R76" s="4" t="s">
        <v>34</v>
      </c>
      <c r="S76" s="4" t="s">
        <v>49</v>
      </c>
      <c r="T76" s="4" t="s">
        <v>132</v>
      </c>
      <c r="U76" s="6" t="s">
        <v>486</v>
      </c>
      <c r="V76" s="4" t="s">
        <v>38</v>
      </c>
    </row>
    <row r="77" spans="1:22">
      <c r="A77" s="7" t="s">
        <v>487</v>
      </c>
      <c r="B77" s="8" t="s">
        <v>23</v>
      </c>
      <c r="C77" s="8" t="s">
        <v>92</v>
      </c>
      <c r="D77" s="8" t="s">
        <v>488</v>
      </c>
      <c r="E77" s="8" t="s">
        <v>489</v>
      </c>
      <c r="F77" s="8" t="s">
        <v>27</v>
      </c>
      <c r="G77" s="8" t="s">
        <v>28</v>
      </c>
      <c r="H77" s="8" t="s">
        <v>490</v>
      </c>
      <c r="I77" s="8" t="s">
        <v>59</v>
      </c>
      <c r="J77" s="8" t="s">
        <v>31</v>
      </c>
      <c r="K77" s="8" t="s">
        <v>32</v>
      </c>
      <c r="L77" s="8" t="s">
        <v>97</v>
      </c>
      <c r="M77" s="8">
        <v>10</v>
      </c>
      <c r="N77" s="8">
        <v>3500</v>
      </c>
      <c r="O77" s="8">
        <v>20</v>
      </c>
      <c r="P77" s="8">
        <v>28000</v>
      </c>
      <c r="Q77" s="8">
        <v>5</v>
      </c>
      <c r="R77" s="8" t="s">
        <v>79</v>
      </c>
      <c r="S77" s="8" t="s">
        <v>35</v>
      </c>
      <c r="T77" s="8" t="s">
        <v>50</v>
      </c>
      <c r="U77" s="9" t="s">
        <v>491</v>
      </c>
      <c r="V77" s="8" t="s">
        <v>38</v>
      </c>
    </row>
    <row r="78" spans="1:22">
      <c r="A78" s="3" t="s">
        <v>492</v>
      </c>
      <c r="B78" s="4" t="s">
        <v>83</v>
      </c>
      <c r="C78" s="4" t="s">
        <v>184</v>
      </c>
      <c r="D78" s="4" t="s">
        <v>493</v>
      </c>
      <c r="E78" s="4" t="s">
        <v>404</v>
      </c>
      <c r="F78" s="4" t="s">
        <v>180</v>
      </c>
      <c r="G78" s="4" t="s">
        <v>76</v>
      </c>
      <c r="H78" s="4" t="s">
        <v>494</v>
      </c>
      <c r="I78" s="4" t="s">
        <v>44</v>
      </c>
      <c r="J78" s="4" t="s">
        <v>45</v>
      </c>
      <c r="K78" s="4" t="s">
        <v>46</v>
      </c>
      <c r="L78" s="4" t="s">
        <v>189</v>
      </c>
      <c r="M78" s="4">
        <v>18</v>
      </c>
      <c r="N78" s="4">
        <v>700</v>
      </c>
      <c r="O78" s="4">
        <v>5</v>
      </c>
      <c r="P78" s="4">
        <v>11970</v>
      </c>
      <c r="Q78" s="4">
        <v>3</v>
      </c>
      <c r="R78" s="4" t="s">
        <v>79</v>
      </c>
      <c r="S78" s="4" t="s">
        <v>115</v>
      </c>
      <c r="T78" s="4" t="s">
        <v>89</v>
      </c>
      <c r="U78" s="6" t="s">
        <v>495</v>
      </c>
      <c r="V78" s="4" t="s">
        <v>69</v>
      </c>
    </row>
    <row r="79" spans="1:22">
      <c r="A79" s="7" t="s">
        <v>496</v>
      </c>
      <c r="B79" s="8" t="s">
        <v>221</v>
      </c>
      <c r="C79" s="8" t="s">
        <v>184</v>
      </c>
      <c r="D79" s="8" t="s">
        <v>497</v>
      </c>
      <c r="E79" s="8" t="s">
        <v>498</v>
      </c>
      <c r="F79" s="8" t="s">
        <v>225</v>
      </c>
      <c r="G79" s="8" t="s">
        <v>76</v>
      </c>
      <c r="H79" s="8" t="s">
        <v>499</v>
      </c>
      <c r="I79" s="8" t="s">
        <v>59</v>
      </c>
      <c r="J79" s="8" t="s">
        <v>31</v>
      </c>
      <c r="K79" s="8" t="s">
        <v>46</v>
      </c>
      <c r="L79" s="8" t="s">
        <v>189</v>
      </c>
      <c r="M79" s="8">
        <v>12</v>
      </c>
      <c r="N79" s="8">
        <v>700</v>
      </c>
      <c r="O79" s="8">
        <v>15</v>
      </c>
      <c r="P79" s="8">
        <v>7140</v>
      </c>
      <c r="Q79" s="8">
        <v>2</v>
      </c>
      <c r="R79" s="8" t="s">
        <v>88</v>
      </c>
      <c r="S79" s="8" t="s">
        <v>49</v>
      </c>
      <c r="T79" s="8" t="s">
        <v>228</v>
      </c>
      <c r="U79" s="9" t="s">
        <v>500</v>
      </c>
      <c r="V79" s="8" t="s">
        <v>38</v>
      </c>
    </row>
    <row r="80" spans="1:22">
      <c r="A80" s="3" t="s">
        <v>501</v>
      </c>
      <c r="B80" s="4" t="s">
        <v>71</v>
      </c>
      <c r="C80" s="4" t="s">
        <v>72</v>
      </c>
      <c r="D80" s="4" t="s">
        <v>502</v>
      </c>
      <c r="E80" s="4" t="s">
        <v>503</v>
      </c>
      <c r="F80" s="4" t="s">
        <v>217</v>
      </c>
      <c r="G80" s="4" t="s">
        <v>76</v>
      </c>
      <c r="H80" s="4" t="s">
        <v>504</v>
      </c>
      <c r="I80" s="4" t="s">
        <v>105</v>
      </c>
      <c r="J80" s="4" t="s">
        <v>106</v>
      </c>
      <c r="K80" s="4" t="s">
        <v>46</v>
      </c>
      <c r="L80" s="4" t="s">
        <v>78</v>
      </c>
      <c r="M80" s="4">
        <v>8</v>
      </c>
      <c r="N80" s="4">
        <v>1200</v>
      </c>
      <c r="O80" s="4">
        <v>0</v>
      </c>
      <c r="P80" s="4">
        <v>9600</v>
      </c>
      <c r="Q80" s="4">
        <v>4</v>
      </c>
      <c r="R80" s="4" t="s">
        <v>79</v>
      </c>
      <c r="S80" s="4" t="s">
        <v>49</v>
      </c>
      <c r="T80" s="4" t="s">
        <v>80</v>
      </c>
      <c r="U80" s="6" t="s">
        <v>505</v>
      </c>
      <c r="V80" s="4" t="s">
        <v>64</v>
      </c>
    </row>
    <row r="81" spans="1:22">
      <c r="A81" s="7" t="s">
        <v>506</v>
      </c>
      <c r="B81" s="8" t="s">
        <v>127</v>
      </c>
      <c r="C81" s="8" t="s">
        <v>118</v>
      </c>
      <c r="D81" s="8" t="s">
        <v>507</v>
      </c>
      <c r="E81" s="8" t="s">
        <v>508</v>
      </c>
      <c r="F81" s="8" t="s">
        <v>200</v>
      </c>
      <c r="G81" s="8" t="s">
        <v>76</v>
      </c>
      <c r="H81" s="8" t="s">
        <v>509</v>
      </c>
      <c r="I81" s="8" t="s">
        <v>114</v>
      </c>
      <c r="J81" s="8" t="s">
        <v>106</v>
      </c>
      <c r="K81" s="8" t="s">
        <v>122</v>
      </c>
      <c r="L81" s="8" t="s">
        <v>123</v>
      </c>
      <c r="M81" s="8">
        <v>2</v>
      </c>
      <c r="N81" s="8">
        <v>60</v>
      </c>
      <c r="O81" s="8">
        <v>0</v>
      </c>
      <c r="P81" s="8">
        <v>120</v>
      </c>
      <c r="Q81" s="8">
        <v>2</v>
      </c>
      <c r="R81" s="8" t="s">
        <v>88</v>
      </c>
      <c r="S81" s="8" t="s">
        <v>49</v>
      </c>
      <c r="T81" s="8" t="s">
        <v>132</v>
      </c>
      <c r="U81" s="9" t="s">
        <v>510</v>
      </c>
      <c r="V81" s="8" t="s">
        <v>38</v>
      </c>
    </row>
    <row r="82" spans="1:22">
      <c r="A82" s="3" t="s">
        <v>511</v>
      </c>
      <c r="B82" s="4" t="s">
        <v>327</v>
      </c>
      <c r="C82" s="4" t="s">
        <v>259</v>
      </c>
      <c r="D82" s="4" t="s">
        <v>512</v>
      </c>
      <c r="E82" s="4" t="s">
        <v>513</v>
      </c>
      <c r="F82" s="4" t="s">
        <v>394</v>
      </c>
      <c r="G82" s="4" t="s">
        <v>76</v>
      </c>
      <c r="H82" s="4" t="s">
        <v>514</v>
      </c>
      <c r="I82" s="4" t="s">
        <v>114</v>
      </c>
      <c r="J82" s="4" t="s">
        <v>106</v>
      </c>
      <c r="K82" s="4" t="s">
        <v>122</v>
      </c>
      <c r="L82" s="4" t="s">
        <v>263</v>
      </c>
      <c r="M82" s="4">
        <v>10</v>
      </c>
      <c r="N82" s="4">
        <v>45</v>
      </c>
      <c r="O82" s="4">
        <v>15</v>
      </c>
      <c r="P82" s="4">
        <v>382.5</v>
      </c>
      <c r="Q82" s="4">
        <v>3</v>
      </c>
      <c r="R82" s="4" t="s">
        <v>48</v>
      </c>
      <c r="S82" s="4" t="s">
        <v>35</v>
      </c>
      <c r="T82" s="4" t="s">
        <v>332</v>
      </c>
      <c r="U82" s="6" t="s">
        <v>515</v>
      </c>
      <c r="V82" s="4" t="s">
        <v>69</v>
      </c>
    </row>
    <row r="83" spans="1:22">
      <c r="A83" s="7" t="s">
        <v>516</v>
      </c>
      <c r="B83" s="8" t="s">
        <v>221</v>
      </c>
      <c r="C83" s="8" t="s">
        <v>92</v>
      </c>
      <c r="D83" s="8" t="s">
        <v>517</v>
      </c>
      <c r="E83" s="8" t="s">
        <v>518</v>
      </c>
      <c r="F83" s="8" t="s">
        <v>225</v>
      </c>
      <c r="G83" s="8" t="s">
        <v>76</v>
      </c>
      <c r="H83" s="8" t="s">
        <v>519</v>
      </c>
      <c r="I83" s="8" t="s">
        <v>294</v>
      </c>
      <c r="J83" s="8" t="s">
        <v>295</v>
      </c>
      <c r="K83" s="8" t="s">
        <v>32</v>
      </c>
      <c r="L83" s="8" t="s">
        <v>97</v>
      </c>
      <c r="M83" s="8">
        <v>12</v>
      </c>
      <c r="N83" s="8">
        <v>3500</v>
      </c>
      <c r="O83" s="8">
        <v>5</v>
      </c>
      <c r="P83" s="8">
        <v>39900</v>
      </c>
      <c r="Q83" s="8">
        <v>3</v>
      </c>
      <c r="R83" s="8" t="s">
        <v>48</v>
      </c>
      <c r="S83" s="8" t="s">
        <v>61</v>
      </c>
      <c r="T83" s="8" t="s">
        <v>228</v>
      </c>
      <c r="U83" s="9" t="s">
        <v>520</v>
      </c>
      <c r="V83" s="8" t="s">
        <v>64</v>
      </c>
    </row>
    <row r="84" spans="1:22">
      <c r="A84" s="3" t="s">
        <v>521</v>
      </c>
      <c r="B84" s="4" t="s">
        <v>127</v>
      </c>
      <c r="C84" s="4" t="s">
        <v>118</v>
      </c>
      <c r="D84" s="4" t="s">
        <v>128</v>
      </c>
      <c r="E84" s="4" t="s">
        <v>73</v>
      </c>
      <c r="F84" s="4" t="s">
        <v>200</v>
      </c>
      <c r="G84" s="4" t="s">
        <v>76</v>
      </c>
      <c r="H84" s="4" t="s">
        <v>522</v>
      </c>
      <c r="I84" s="4" t="s">
        <v>105</v>
      </c>
      <c r="J84" s="4" t="s">
        <v>106</v>
      </c>
      <c r="K84" s="4" t="s">
        <v>122</v>
      </c>
      <c r="L84" s="4" t="s">
        <v>123</v>
      </c>
      <c r="M84" s="4">
        <v>2</v>
      </c>
      <c r="N84" s="4">
        <v>60</v>
      </c>
      <c r="O84" s="4">
        <v>15</v>
      </c>
      <c r="P84" s="4">
        <v>102</v>
      </c>
      <c r="Q84" s="4">
        <v>1</v>
      </c>
      <c r="R84" s="4" t="s">
        <v>88</v>
      </c>
      <c r="S84" s="4" t="s">
        <v>115</v>
      </c>
      <c r="T84" s="4" t="s">
        <v>132</v>
      </c>
      <c r="U84" s="6" t="s">
        <v>523</v>
      </c>
      <c r="V84" s="4" t="s">
        <v>38</v>
      </c>
    </row>
    <row r="85" spans="1:22">
      <c r="A85" s="7" t="s">
        <v>524</v>
      </c>
      <c r="B85" s="8" t="s">
        <v>127</v>
      </c>
      <c r="C85" s="8" t="s">
        <v>72</v>
      </c>
      <c r="D85" s="8" t="s">
        <v>525</v>
      </c>
      <c r="E85" s="8" t="s">
        <v>526</v>
      </c>
      <c r="F85" s="8" t="s">
        <v>200</v>
      </c>
      <c r="G85" s="8" t="s">
        <v>76</v>
      </c>
      <c r="H85" s="8" t="s">
        <v>527</v>
      </c>
      <c r="I85" s="8" t="s">
        <v>30</v>
      </c>
      <c r="J85" s="8" t="s">
        <v>31</v>
      </c>
      <c r="K85" s="8" t="s">
        <v>46</v>
      </c>
      <c r="L85" s="8" t="s">
        <v>78</v>
      </c>
      <c r="M85" s="8">
        <v>18</v>
      </c>
      <c r="N85" s="8">
        <v>1200</v>
      </c>
      <c r="O85" s="8">
        <v>15</v>
      </c>
      <c r="P85" s="8">
        <v>18360</v>
      </c>
      <c r="Q85" s="8">
        <v>3</v>
      </c>
      <c r="R85" s="8" t="s">
        <v>79</v>
      </c>
      <c r="S85" s="8" t="s">
        <v>115</v>
      </c>
      <c r="T85" s="8" t="s">
        <v>132</v>
      </c>
      <c r="U85" s="9" t="s">
        <v>528</v>
      </c>
      <c r="V85" s="8" t="s">
        <v>64</v>
      </c>
    </row>
    <row r="86" spans="1:22">
      <c r="A86" s="3" t="s">
        <v>529</v>
      </c>
      <c r="B86" s="4" t="s">
        <v>23</v>
      </c>
      <c r="C86" s="4" t="s">
        <v>40</v>
      </c>
      <c r="D86" s="4" t="s">
        <v>530</v>
      </c>
      <c r="E86" s="4" t="s">
        <v>531</v>
      </c>
      <c r="F86" s="4" t="s">
        <v>27</v>
      </c>
      <c r="G86" s="4" t="s">
        <v>28</v>
      </c>
      <c r="H86" s="4" t="s">
        <v>532</v>
      </c>
      <c r="I86" s="4" t="s">
        <v>105</v>
      </c>
      <c r="J86" s="4" t="s">
        <v>106</v>
      </c>
      <c r="K86" s="4" t="s">
        <v>46</v>
      </c>
      <c r="L86" s="4" t="s">
        <v>47</v>
      </c>
      <c r="M86" s="4">
        <v>18</v>
      </c>
      <c r="N86" s="4">
        <v>12000</v>
      </c>
      <c r="O86" s="4">
        <v>15</v>
      </c>
      <c r="P86" s="4">
        <v>183600</v>
      </c>
      <c r="Q86" s="4">
        <v>2</v>
      </c>
      <c r="R86" s="4" t="s">
        <v>34</v>
      </c>
      <c r="S86" s="4" t="s">
        <v>49</v>
      </c>
      <c r="T86" s="4" t="s">
        <v>50</v>
      </c>
      <c r="U86" s="6" t="s">
        <v>533</v>
      </c>
      <c r="V86" s="4" t="s">
        <v>38</v>
      </c>
    </row>
    <row r="87" spans="1:22">
      <c r="A87" s="7" t="s">
        <v>534</v>
      </c>
      <c r="B87" s="8" t="s">
        <v>83</v>
      </c>
      <c r="C87" s="8" t="s">
        <v>222</v>
      </c>
      <c r="D87" s="8" t="s">
        <v>531</v>
      </c>
      <c r="E87" s="8" t="s">
        <v>535</v>
      </c>
      <c r="F87" s="8" t="s">
        <v>180</v>
      </c>
      <c r="G87" s="8" t="s">
        <v>76</v>
      </c>
      <c r="H87" s="8" t="s">
        <v>536</v>
      </c>
      <c r="I87" s="8" t="s">
        <v>138</v>
      </c>
      <c r="J87" s="8" t="s">
        <v>106</v>
      </c>
      <c r="K87" s="8" t="s">
        <v>122</v>
      </c>
      <c r="L87" s="8" t="s">
        <v>227</v>
      </c>
      <c r="M87" s="8">
        <v>7</v>
      </c>
      <c r="N87" s="8">
        <v>20</v>
      </c>
      <c r="O87" s="8">
        <v>0</v>
      </c>
      <c r="P87" s="8">
        <v>140</v>
      </c>
      <c r="Q87" s="8">
        <v>2</v>
      </c>
      <c r="R87" s="8" t="s">
        <v>79</v>
      </c>
      <c r="S87" s="8" t="s">
        <v>35</v>
      </c>
      <c r="T87" s="8" t="s">
        <v>89</v>
      </c>
      <c r="U87" s="9" t="s">
        <v>537</v>
      </c>
      <c r="V87" s="8" t="s">
        <v>69</v>
      </c>
    </row>
    <row r="88" spans="1:22">
      <c r="A88" s="3" t="s">
        <v>538</v>
      </c>
      <c r="B88" s="4" t="s">
        <v>251</v>
      </c>
      <c r="C88" s="4" t="s">
        <v>92</v>
      </c>
      <c r="D88" s="4" t="s">
        <v>459</v>
      </c>
      <c r="E88" s="4" t="s">
        <v>539</v>
      </c>
      <c r="F88" s="4" t="s">
        <v>254</v>
      </c>
      <c r="G88" s="4" t="s">
        <v>28</v>
      </c>
      <c r="H88" s="4" t="s">
        <v>540</v>
      </c>
      <c r="I88" s="4" t="s">
        <v>114</v>
      </c>
      <c r="J88" s="4" t="s">
        <v>106</v>
      </c>
      <c r="K88" s="4" t="s">
        <v>32</v>
      </c>
      <c r="L88" s="4" t="s">
        <v>97</v>
      </c>
      <c r="M88" s="4">
        <v>20</v>
      </c>
      <c r="N88" s="4">
        <v>3500</v>
      </c>
      <c r="O88" s="4">
        <v>20</v>
      </c>
      <c r="P88" s="4">
        <v>56000</v>
      </c>
      <c r="Q88" s="4">
        <v>4</v>
      </c>
      <c r="R88" s="4" t="s">
        <v>79</v>
      </c>
      <c r="S88" s="4" t="s">
        <v>115</v>
      </c>
      <c r="T88" s="4" t="s">
        <v>256</v>
      </c>
      <c r="U88" s="6" t="s">
        <v>541</v>
      </c>
      <c r="V88" s="4" t="s">
        <v>64</v>
      </c>
    </row>
    <row r="89" spans="1:22">
      <c r="A89" s="7" t="s">
        <v>542</v>
      </c>
      <c r="B89" s="8" t="s">
        <v>100</v>
      </c>
      <c r="C89" s="8" t="s">
        <v>169</v>
      </c>
      <c r="D89" s="8" t="s">
        <v>543</v>
      </c>
      <c r="E89" s="8" t="s">
        <v>544</v>
      </c>
      <c r="F89" s="8" t="s">
        <v>103</v>
      </c>
      <c r="G89" s="8" t="s">
        <v>28</v>
      </c>
      <c r="H89" s="8" t="s">
        <v>545</v>
      </c>
      <c r="I89" s="8" t="s">
        <v>138</v>
      </c>
      <c r="J89" s="8" t="s">
        <v>106</v>
      </c>
      <c r="K89" s="8" t="s">
        <v>32</v>
      </c>
      <c r="L89" s="8" t="s">
        <v>174</v>
      </c>
      <c r="M89" s="8">
        <v>8</v>
      </c>
      <c r="N89" s="8">
        <v>8500</v>
      </c>
      <c r="O89" s="8">
        <v>20</v>
      </c>
      <c r="P89" s="8">
        <v>54400</v>
      </c>
      <c r="Q89" s="8">
        <v>3</v>
      </c>
      <c r="R89" s="8" t="s">
        <v>79</v>
      </c>
      <c r="S89" s="8" t="s">
        <v>115</v>
      </c>
      <c r="T89" s="8" t="s">
        <v>144</v>
      </c>
      <c r="U89" s="9" t="s">
        <v>546</v>
      </c>
      <c r="V89" s="8" t="s">
        <v>64</v>
      </c>
    </row>
    <row r="90" spans="1:22">
      <c r="A90" s="3" t="s">
        <v>547</v>
      </c>
      <c r="B90" s="4" t="s">
        <v>327</v>
      </c>
      <c r="C90" s="4" t="s">
        <v>40</v>
      </c>
      <c r="D90" s="4" t="s">
        <v>548</v>
      </c>
      <c r="E90" s="4" t="s">
        <v>549</v>
      </c>
      <c r="F90" s="4" t="s">
        <v>394</v>
      </c>
      <c r="G90" s="4" t="s">
        <v>76</v>
      </c>
      <c r="H90" s="4" t="s">
        <v>550</v>
      </c>
      <c r="I90" s="4" t="s">
        <v>138</v>
      </c>
      <c r="J90" s="4" t="s">
        <v>551</v>
      </c>
      <c r="K90" s="4" t="s">
        <v>46</v>
      </c>
      <c r="L90" s="4" t="s">
        <v>47</v>
      </c>
      <c r="M90" s="4">
        <v>6</v>
      </c>
      <c r="N90" s="4">
        <v>12000</v>
      </c>
      <c r="O90" s="4">
        <v>5</v>
      </c>
      <c r="P90" s="4">
        <v>68400</v>
      </c>
      <c r="Q90" s="4">
        <v>4</v>
      </c>
      <c r="R90" s="4" t="s">
        <v>48</v>
      </c>
      <c r="S90" s="4" t="s">
        <v>35</v>
      </c>
      <c r="T90" s="4" t="s">
        <v>332</v>
      </c>
      <c r="U90" s="6" t="s">
        <v>552</v>
      </c>
      <c r="V90" s="4" t="s">
        <v>38</v>
      </c>
    </row>
    <row r="91" spans="1:22">
      <c r="A91" s="7" t="s">
        <v>553</v>
      </c>
      <c r="B91" s="8" t="s">
        <v>23</v>
      </c>
      <c r="C91" s="8" t="s">
        <v>169</v>
      </c>
      <c r="D91" s="8" t="s">
        <v>554</v>
      </c>
      <c r="E91" s="8" t="s">
        <v>404</v>
      </c>
      <c r="F91" s="8" t="s">
        <v>27</v>
      </c>
      <c r="G91" s="8" t="s">
        <v>28</v>
      </c>
      <c r="H91" s="8" t="s">
        <v>555</v>
      </c>
      <c r="I91" s="8" t="s">
        <v>114</v>
      </c>
      <c r="J91" s="8" t="s">
        <v>106</v>
      </c>
      <c r="K91" s="8" t="s">
        <v>32</v>
      </c>
      <c r="L91" s="8" t="s">
        <v>174</v>
      </c>
      <c r="M91" s="8">
        <v>15</v>
      </c>
      <c r="N91" s="8">
        <v>8500</v>
      </c>
      <c r="O91" s="8">
        <v>0</v>
      </c>
      <c r="P91" s="8">
        <v>127500</v>
      </c>
      <c r="Q91" s="8">
        <v>4</v>
      </c>
      <c r="R91" s="8" t="s">
        <v>48</v>
      </c>
      <c r="S91" s="8" t="s">
        <v>35</v>
      </c>
      <c r="T91" s="8" t="s">
        <v>50</v>
      </c>
      <c r="U91" s="9" t="s">
        <v>556</v>
      </c>
      <c r="V91" s="8" t="s">
        <v>69</v>
      </c>
    </row>
    <row r="92" spans="1:22">
      <c r="A92" s="3" t="s">
        <v>557</v>
      </c>
      <c r="B92" s="4" t="s">
        <v>53</v>
      </c>
      <c r="C92" s="4" t="s">
        <v>72</v>
      </c>
      <c r="D92" s="4" t="s">
        <v>558</v>
      </c>
      <c r="E92" s="4" t="s">
        <v>377</v>
      </c>
      <c r="F92" s="4" t="s">
        <v>163</v>
      </c>
      <c r="G92" s="4" t="s">
        <v>28</v>
      </c>
      <c r="H92" s="4" t="s">
        <v>559</v>
      </c>
      <c r="I92" s="4" t="s">
        <v>212</v>
      </c>
      <c r="J92" s="4" t="s">
        <v>45</v>
      </c>
      <c r="K92" s="4" t="s">
        <v>46</v>
      </c>
      <c r="L92" s="4" t="s">
        <v>78</v>
      </c>
      <c r="M92" s="4">
        <v>5</v>
      </c>
      <c r="N92" s="4">
        <v>1200</v>
      </c>
      <c r="O92" s="4">
        <v>15</v>
      </c>
      <c r="P92" s="4">
        <v>5100</v>
      </c>
      <c r="Q92" s="4">
        <v>1</v>
      </c>
      <c r="R92" s="4" t="s">
        <v>48</v>
      </c>
      <c r="S92" s="4" t="s">
        <v>35</v>
      </c>
      <c r="T92" s="4" t="s">
        <v>62</v>
      </c>
      <c r="U92" s="6" t="s">
        <v>560</v>
      </c>
      <c r="V92" s="4" t="s">
        <v>69</v>
      </c>
    </row>
    <row r="93" spans="1:22">
      <c r="A93" s="7" t="s">
        <v>561</v>
      </c>
      <c r="B93" s="8" t="s">
        <v>53</v>
      </c>
      <c r="C93" s="8" t="s">
        <v>222</v>
      </c>
      <c r="D93" s="8" t="s">
        <v>562</v>
      </c>
      <c r="E93" s="8" t="s">
        <v>563</v>
      </c>
      <c r="F93" s="8" t="s">
        <v>163</v>
      </c>
      <c r="G93" s="8" t="s">
        <v>28</v>
      </c>
      <c r="H93" s="8" t="s">
        <v>564</v>
      </c>
      <c r="I93" s="8" t="s">
        <v>30</v>
      </c>
      <c r="J93" s="8" t="s">
        <v>31</v>
      </c>
      <c r="K93" s="8" t="s">
        <v>122</v>
      </c>
      <c r="L93" s="8" t="s">
        <v>227</v>
      </c>
      <c r="M93" s="8">
        <v>4</v>
      </c>
      <c r="N93" s="8">
        <v>20</v>
      </c>
      <c r="O93" s="8">
        <v>0</v>
      </c>
      <c r="P93" s="8">
        <v>80</v>
      </c>
      <c r="Q93" s="8">
        <v>4</v>
      </c>
      <c r="R93" s="8" t="s">
        <v>48</v>
      </c>
      <c r="S93" s="8" t="s">
        <v>49</v>
      </c>
      <c r="T93" s="8" t="s">
        <v>62</v>
      </c>
      <c r="U93" s="9" t="s">
        <v>565</v>
      </c>
      <c r="V93" s="8" t="s">
        <v>38</v>
      </c>
    </row>
    <row r="94" spans="1:22">
      <c r="A94" s="3" t="s">
        <v>566</v>
      </c>
      <c r="B94" s="4" t="s">
        <v>23</v>
      </c>
      <c r="C94" s="4" t="s">
        <v>222</v>
      </c>
      <c r="D94" s="4" t="s">
        <v>567</v>
      </c>
      <c r="E94" s="4" t="s">
        <v>568</v>
      </c>
      <c r="F94" s="4" t="s">
        <v>27</v>
      </c>
      <c r="G94" s="4" t="s">
        <v>28</v>
      </c>
      <c r="H94" s="4" t="s">
        <v>569</v>
      </c>
      <c r="I94" s="4" t="s">
        <v>59</v>
      </c>
      <c r="J94" s="4" t="s">
        <v>31</v>
      </c>
      <c r="K94" s="4" t="s">
        <v>122</v>
      </c>
      <c r="L94" s="4" t="s">
        <v>227</v>
      </c>
      <c r="M94" s="4">
        <v>10</v>
      </c>
      <c r="N94" s="4">
        <v>20</v>
      </c>
      <c r="O94" s="4">
        <v>0</v>
      </c>
      <c r="P94" s="4">
        <v>200</v>
      </c>
      <c r="Q94" s="4">
        <v>3</v>
      </c>
      <c r="R94" s="4" t="s">
        <v>34</v>
      </c>
      <c r="S94" s="4" t="s">
        <v>151</v>
      </c>
      <c r="T94" s="4" t="s">
        <v>50</v>
      </c>
      <c r="U94" s="6" t="s">
        <v>570</v>
      </c>
      <c r="V94" s="4" t="s">
        <v>64</v>
      </c>
    </row>
    <row r="95" spans="1:22">
      <c r="A95" s="7" t="s">
        <v>571</v>
      </c>
      <c r="B95" s="8" t="s">
        <v>168</v>
      </c>
      <c r="C95" s="8" t="s">
        <v>24</v>
      </c>
      <c r="D95" s="8" t="s">
        <v>572</v>
      </c>
      <c r="E95" s="8" t="s">
        <v>573</v>
      </c>
      <c r="F95" s="8" t="s">
        <v>361</v>
      </c>
      <c r="G95" s="8" t="s">
        <v>28</v>
      </c>
      <c r="H95" s="8" t="s">
        <v>574</v>
      </c>
      <c r="I95" s="8" t="s">
        <v>44</v>
      </c>
      <c r="J95" s="8" t="s">
        <v>45</v>
      </c>
      <c r="K95" s="8" t="s">
        <v>32</v>
      </c>
      <c r="L95" s="8" t="s">
        <v>33</v>
      </c>
      <c r="M95" s="8">
        <v>18</v>
      </c>
      <c r="N95" s="8">
        <v>2200</v>
      </c>
      <c r="O95" s="8">
        <v>10</v>
      </c>
      <c r="P95" s="8">
        <v>35640</v>
      </c>
      <c r="Q95" s="8">
        <v>3</v>
      </c>
      <c r="R95" s="8" t="s">
        <v>34</v>
      </c>
      <c r="S95" s="8" t="s">
        <v>35</v>
      </c>
      <c r="T95" s="8" t="s">
        <v>175</v>
      </c>
      <c r="U95" s="9" t="s">
        <v>575</v>
      </c>
      <c r="V95" s="8" t="s">
        <v>69</v>
      </c>
    </row>
    <row r="96" spans="1:22">
      <c r="A96" s="3" t="s">
        <v>576</v>
      </c>
      <c r="B96" s="4" t="s">
        <v>327</v>
      </c>
      <c r="C96" s="4" t="s">
        <v>92</v>
      </c>
      <c r="D96" s="4" t="s">
        <v>577</v>
      </c>
      <c r="E96" s="4" t="s">
        <v>578</v>
      </c>
      <c r="F96" s="4" t="s">
        <v>394</v>
      </c>
      <c r="G96" s="4" t="s">
        <v>76</v>
      </c>
      <c r="H96" s="4" t="s">
        <v>579</v>
      </c>
      <c r="I96" s="4" t="s">
        <v>44</v>
      </c>
      <c r="J96" s="4" t="s">
        <v>45</v>
      </c>
      <c r="K96" s="4" t="s">
        <v>32</v>
      </c>
      <c r="L96" s="4" t="s">
        <v>97</v>
      </c>
      <c r="M96" s="4">
        <v>7</v>
      </c>
      <c r="N96" s="4">
        <v>3500</v>
      </c>
      <c r="O96" s="4">
        <v>15</v>
      </c>
      <c r="P96" s="4">
        <v>20825</v>
      </c>
      <c r="Q96" s="4">
        <v>3</v>
      </c>
      <c r="R96" s="4" t="s">
        <v>48</v>
      </c>
      <c r="S96" s="4" t="s">
        <v>49</v>
      </c>
      <c r="T96" s="4" t="s">
        <v>332</v>
      </c>
      <c r="U96" s="6" t="s">
        <v>580</v>
      </c>
      <c r="V96" s="4" t="s">
        <v>38</v>
      </c>
    </row>
    <row r="97" spans="1:22">
      <c r="A97" s="7" t="s">
        <v>581</v>
      </c>
      <c r="B97" s="8" t="s">
        <v>100</v>
      </c>
      <c r="C97" s="8" t="s">
        <v>169</v>
      </c>
      <c r="D97" s="8" t="s">
        <v>582</v>
      </c>
      <c r="E97" s="8" t="s">
        <v>583</v>
      </c>
      <c r="F97" s="8" t="s">
        <v>103</v>
      </c>
      <c r="G97" s="8" t="s">
        <v>28</v>
      </c>
      <c r="H97" s="8" t="s">
        <v>584</v>
      </c>
      <c r="I97" s="8" t="s">
        <v>294</v>
      </c>
      <c r="J97" s="8" t="s">
        <v>295</v>
      </c>
      <c r="K97" s="8" t="s">
        <v>32</v>
      </c>
      <c r="L97" s="8" t="s">
        <v>174</v>
      </c>
      <c r="M97" s="8">
        <v>19</v>
      </c>
      <c r="N97" s="8">
        <v>8500</v>
      </c>
      <c r="O97" s="8">
        <v>15</v>
      </c>
      <c r="P97" s="8">
        <v>137275</v>
      </c>
      <c r="Q97" s="8">
        <v>4</v>
      </c>
      <c r="R97" s="8" t="s">
        <v>79</v>
      </c>
      <c r="S97" s="8" t="s">
        <v>151</v>
      </c>
      <c r="T97" s="8" t="s">
        <v>144</v>
      </c>
      <c r="U97" s="9" t="s">
        <v>585</v>
      </c>
      <c r="V97" s="8" t="s">
        <v>64</v>
      </c>
    </row>
    <row r="98" spans="1:22">
      <c r="A98" s="3" t="s">
        <v>586</v>
      </c>
      <c r="B98" s="4" t="s">
        <v>251</v>
      </c>
      <c r="C98" s="4" t="s">
        <v>40</v>
      </c>
      <c r="D98" s="4" t="s">
        <v>587</v>
      </c>
      <c r="E98" s="4" t="s">
        <v>588</v>
      </c>
      <c r="F98" s="4" t="s">
        <v>254</v>
      </c>
      <c r="G98" s="4" t="s">
        <v>28</v>
      </c>
      <c r="H98" s="4" t="s">
        <v>589</v>
      </c>
      <c r="I98" s="4" t="s">
        <v>138</v>
      </c>
      <c r="J98" s="4" t="s">
        <v>106</v>
      </c>
      <c r="K98" s="4" t="s">
        <v>46</v>
      </c>
      <c r="L98" s="4" t="s">
        <v>47</v>
      </c>
      <c r="M98" s="4">
        <v>13</v>
      </c>
      <c r="N98" s="4">
        <v>12000</v>
      </c>
      <c r="O98" s="4">
        <v>15</v>
      </c>
      <c r="P98" s="4">
        <v>132600</v>
      </c>
      <c r="Q98" s="4">
        <v>4</v>
      </c>
      <c r="R98" s="4" t="s">
        <v>34</v>
      </c>
      <c r="S98" s="4" t="s">
        <v>49</v>
      </c>
      <c r="T98" s="4" t="s">
        <v>256</v>
      </c>
      <c r="U98" s="6" t="s">
        <v>590</v>
      </c>
      <c r="V98" s="4" t="s">
        <v>38</v>
      </c>
    </row>
    <row r="99" spans="1:22">
      <c r="A99" s="7" t="s">
        <v>591</v>
      </c>
      <c r="B99" s="8" t="s">
        <v>327</v>
      </c>
      <c r="C99" s="8" t="s">
        <v>222</v>
      </c>
      <c r="D99" s="8" t="s">
        <v>592</v>
      </c>
      <c r="E99" s="8" t="s">
        <v>398</v>
      </c>
      <c r="F99" s="8" t="s">
        <v>394</v>
      </c>
      <c r="G99" s="8" t="s">
        <v>76</v>
      </c>
      <c r="H99" s="8" t="s">
        <v>593</v>
      </c>
      <c r="I99" s="8" t="s">
        <v>114</v>
      </c>
      <c r="J99" s="8" t="s">
        <v>106</v>
      </c>
      <c r="K99" s="8" t="s">
        <v>122</v>
      </c>
      <c r="L99" s="8" t="s">
        <v>227</v>
      </c>
      <c r="M99" s="8">
        <v>7</v>
      </c>
      <c r="N99" s="8">
        <v>20</v>
      </c>
      <c r="O99" s="8">
        <v>0</v>
      </c>
      <c r="P99" s="8">
        <v>140</v>
      </c>
      <c r="Q99" s="8">
        <v>1</v>
      </c>
      <c r="R99" s="8" t="s">
        <v>79</v>
      </c>
      <c r="S99" s="8" t="s">
        <v>151</v>
      </c>
      <c r="T99" s="8" t="s">
        <v>332</v>
      </c>
      <c r="U99" s="9" t="s">
        <v>594</v>
      </c>
      <c r="V99" s="8" t="s">
        <v>69</v>
      </c>
    </row>
    <row r="100" spans="1:22">
      <c r="A100" s="3" t="s">
        <v>595</v>
      </c>
      <c r="B100" s="4" t="s">
        <v>168</v>
      </c>
      <c r="C100" s="4" t="s">
        <v>184</v>
      </c>
      <c r="D100" s="4" t="s">
        <v>596</v>
      </c>
      <c r="E100" s="4" t="s">
        <v>597</v>
      </c>
      <c r="F100" s="4" t="s">
        <v>361</v>
      </c>
      <c r="G100" s="4" t="s">
        <v>28</v>
      </c>
      <c r="H100" s="4" t="s">
        <v>598</v>
      </c>
      <c r="I100" s="4" t="s">
        <v>44</v>
      </c>
      <c r="J100" s="4" t="s">
        <v>45</v>
      </c>
      <c r="K100" s="4" t="s">
        <v>46</v>
      </c>
      <c r="L100" s="4" t="s">
        <v>189</v>
      </c>
      <c r="M100" s="4">
        <v>5</v>
      </c>
      <c r="N100" s="4">
        <v>700</v>
      </c>
      <c r="O100" s="4">
        <v>15</v>
      </c>
      <c r="P100" s="4">
        <v>999999</v>
      </c>
      <c r="Q100" s="4">
        <v>4</v>
      </c>
      <c r="R100" s="4" t="s">
        <v>79</v>
      </c>
      <c r="S100" s="4" t="s">
        <v>35</v>
      </c>
      <c r="T100" s="4" t="s">
        <v>175</v>
      </c>
      <c r="U100" s="6" t="s">
        <v>599</v>
      </c>
      <c r="V100" s="4" t="s">
        <v>64</v>
      </c>
    </row>
    <row r="101" spans="1:22">
      <c r="A101" s="7" t="s">
        <v>600</v>
      </c>
      <c r="B101" s="8" t="s">
        <v>83</v>
      </c>
      <c r="C101" s="8" t="s">
        <v>259</v>
      </c>
      <c r="D101" s="8" t="s">
        <v>583</v>
      </c>
      <c r="E101" s="8" t="s">
        <v>601</v>
      </c>
      <c r="F101" s="8" t="s">
        <v>180</v>
      </c>
      <c r="G101" s="8" t="s">
        <v>76</v>
      </c>
      <c r="H101" s="8" t="s">
        <v>602</v>
      </c>
      <c r="I101" s="8" t="s">
        <v>59</v>
      </c>
      <c r="J101" s="8" t="s">
        <v>31</v>
      </c>
      <c r="K101" s="8" t="s">
        <v>122</v>
      </c>
      <c r="L101" s="8" t="s">
        <v>263</v>
      </c>
      <c r="M101" s="8">
        <v>9</v>
      </c>
      <c r="N101" s="8">
        <v>45</v>
      </c>
      <c r="O101" s="8">
        <v>5</v>
      </c>
      <c r="P101" s="8">
        <v>384.75</v>
      </c>
      <c r="Q101" s="8">
        <v>3</v>
      </c>
      <c r="R101" s="8" t="s">
        <v>34</v>
      </c>
      <c r="S101" s="8" t="s">
        <v>35</v>
      </c>
      <c r="T101" s="8" t="s">
        <v>89</v>
      </c>
      <c r="U101" s="9" t="s">
        <v>603</v>
      </c>
      <c r="V101" s="8" t="s">
        <v>38</v>
      </c>
    </row>
    <row r="102" spans="1:22">
      <c r="A102" s="3" t="s">
        <v>604</v>
      </c>
      <c r="B102" s="4" t="s">
        <v>127</v>
      </c>
      <c r="C102" s="4" t="s">
        <v>118</v>
      </c>
      <c r="D102" s="4" t="s">
        <v>605</v>
      </c>
      <c r="E102" s="4" t="s">
        <v>606</v>
      </c>
      <c r="F102" s="4" t="s">
        <v>200</v>
      </c>
      <c r="G102" s="4" t="s">
        <v>76</v>
      </c>
      <c r="H102" s="4" t="s">
        <v>607</v>
      </c>
      <c r="I102" s="4" t="s">
        <v>294</v>
      </c>
      <c r="J102" s="4" t="s">
        <v>295</v>
      </c>
      <c r="K102" s="4" t="s">
        <v>122</v>
      </c>
      <c r="L102" s="4" t="s">
        <v>123</v>
      </c>
      <c r="M102" s="4">
        <v>19</v>
      </c>
      <c r="N102" s="4">
        <v>60</v>
      </c>
      <c r="O102" s="4">
        <v>10</v>
      </c>
      <c r="P102" s="4">
        <v>1026</v>
      </c>
      <c r="Q102" s="4">
        <v>5</v>
      </c>
      <c r="R102" s="4" t="s">
        <v>48</v>
      </c>
      <c r="S102" s="4" t="s">
        <v>115</v>
      </c>
      <c r="T102" s="4" t="s">
        <v>132</v>
      </c>
      <c r="U102" s="6" t="s">
        <v>608</v>
      </c>
      <c r="V102" s="4" t="s">
        <v>38</v>
      </c>
    </row>
    <row r="103" spans="1:22">
      <c r="A103" s="7" t="s">
        <v>609</v>
      </c>
      <c r="B103" s="8" t="s">
        <v>327</v>
      </c>
      <c r="C103" s="8" t="s">
        <v>184</v>
      </c>
      <c r="D103" s="8" t="s">
        <v>610</v>
      </c>
      <c r="E103" s="8" t="s">
        <v>611</v>
      </c>
      <c r="F103" s="8" t="s">
        <v>394</v>
      </c>
      <c r="G103" s="8" t="s">
        <v>76</v>
      </c>
      <c r="H103" s="8" t="s">
        <v>612</v>
      </c>
      <c r="I103" s="8" t="s">
        <v>138</v>
      </c>
      <c r="J103" s="8" t="s">
        <v>106</v>
      </c>
      <c r="K103" s="8" t="s">
        <v>46</v>
      </c>
      <c r="L103" s="8" t="s">
        <v>189</v>
      </c>
      <c r="M103" s="8">
        <v>4</v>
      </c>
      <c r="N103" s="8">
        <v>700</v>
      </c>
      <c r="O103" s="8">
        <v>5</v>
      </c>
      <c r="P103" s="8">
        <v>2660</v>
      </c>
      <c r="Q103" s="8">
        <v>3</v>
      </c>
      <c r="R103" s="8" t="s">
        <v>48</v>
      </c>
      <c r="S103" s="8" t="s">
        <v>61</v>
      </c>
      <c r="T103" s="8" t="s">
        <v>332</v>
      </c>
      <c r="U103" s="9" t="s">
        <v>613</v>
      </c>
      <c r="V103" s="8" t="s">
        <v>38</v>
      </c>
    </row>
    <row r="104" spans="1:22">
      <c r="A104" s="3" t="s">
        <v>614</v>
      </c>
      <c r="B104" s="4" t="s">
        <v>327</v>
      </c>
      <c r="C104" s="4" t="s">
        <v>92</v>
      </c>
      <c r="D104" s="4" t="s">
        <v>583</v>
      </c>
      <c r="E104" s="4" t="s">
        <v>615</v>
      </c>
      <c r="F104" s="4" t="s">
        <v>394</v>
      </c>
      <c r="G104" s="4" t="s">
        <v>76</v>
      </c>
      <c r="H104" s="4" t="s">
        <v>616</v>
      </c>
      <c r="I104" s="4" t="s">
        <v>114</v>
      </c>
      <c r="J104" s="4" t="s">
        <v>106</v>
      </c>
      <c r="K104" s="4" t="s">
        <v>32</v>
      </c>
      <c r="L104" s="4" t="s">
        <v>97</v>
      </c>
      <c r="M104" s="4">
        <v>16</v>
      </c>
      <c r="N104" s="4">
        <v>3500</v>
      </c>
      <c r="O104" s="4">
        <v>0</v>
      </c>
      <c r="P104" s="4">
        <v>56000</v>
      </c>
      <c r="Q104" s="4">
        <v>2</v>
      </c>
      <c r="R104" s="4" t="s">
        <v>79</v>
      </c>
      <c r="S104" s="4" t="s">
        <v>49</v>
      </c>
      <c r="T104" s="4" t="s">
        <v>332</v>
      </c>
      <c r="U104" s="6" t="s">
        <v>617</v>
      </c>
      <c r="V104" s="4" t="s">
        <v>38</v>
      </c>
    </row>
    <row r="105" spans="1:22">
      <c r="A105" s="7" t="s">
        <v>618</v>
      </c>
      <c r="B105" s="8" t="s">
        <v>251</v>
      </c>
      <c r="C105" s="8" t="s">
        <v>259</v>
      </c>
      <c r="D105" s="8" t="s">
        <v>619</v>
      </c>
      <c r="E105" s="8" t="s">
        <v>620</v>
      </c>
      <c r="F105" s="8" t="s">
        <v>254</v>
      </c>
      <c r="G105" s="8" t="s">
        <v>28</v>
      </c>
      <c r="H105" s="8" t="s">
        <v>621</v>
      </c>
      <c r="I105" s="8" t="s">
        <v>59</v>
      </c>
      <c r="J105" s="8" t="s">
        <v>31</v>
      </c>
      <c r="K105" s="8" t="s">
        <v>122</v>
      </c>
      <c r="L105" s="8" t="s">
        <v>263</v>
      </c>
      <c r="M105" s="8">
        <v>5</v>
      </c>
      <c r="N105" s="8">
        <v>45</v>
      </c>
      <c r="O105" s="8">
        <v>20</v>
      </c>
      <c r="P105" s="8">
        <v>180</v>
      </c>
      <c r="Q105" s="8">
        <v>3</v>
      </c>
      <c r="R105" s="8" t="s">
        <v>79</v>
      </c>
      <c r="S105" s="8" t="s">
        <v>35</v>
      </c>
      <c r="T105" s="8" t="s">
        <v>256</v>
      </c>
      <c r="U105" s="9" t="s">
        <v>622</v>
      </c>
      <c r="V105" s="8" t="s">
        <v>38</v>
      </c>
    </row>
    <row r="106" spans="1:22">
      <c r="A106" s="3" t="s">
        <v>623</v>
      </c>
      <c r="B106" s="4" t="s">
        <v>83</v>
      </c>
      <c r="C106" s="4" t="s">
        <v>222</v>
      </c>
      <c r="D106" s="4" t="s">
        <v>624</v>
      </c>
      <c r="E106" s="4" t="s">
        <v>525</v>
      </c>
      <c r="F106" s="4" t="s">
        <v>180</v>
      </c>
      <c r="G106" s="4" t="s">
        <v>76</v>
      </c>
      <c r="H106" s="4" t="s">
        <v>625</v>
      </c>
      <c r="I106" s="4" t="s">
        <v>105</v>
      </c>
      <c r="J106" s="4" t="s">
        <v>106</v>
      </c>
      <c r="K106" s="4" t="s">
        <v>122</v>
      </c>
      <c r="L106" s="4" t="s">
        <v>227</v>
      </c>
      <c r="M106" s="4">
        <v>9</v>
      </c>
      <c r="N106" s="4">
        <v>20</v>
      </c>
      <c r="O106" s="4">
        <v>10</v>
      </c>
      <c r="P106" s="4">
        <v>162</v>
      </c>
      <c r="Q106" s="4">
        <v>4</v>
      </c>
      <c r="R106" s="4" t="s">
        <v>79</v>
      </c>
      <c r="S106" s="4" t="s">
        <v>35</v>
      </c>
      <c r="T106" s="4" t="s">
        <v>89</v>
      </c>
      <c r="U106" s="6" t="s">
        <v>626</v>
      </c>
      <c r="V106" s="4" t="s">
        <v>64</v>
      </c>
    </row>
    <row r="107" spans="1:22">
      <c r="A107" s="7" t="s">
        <v>627</v>
      </c>
      <c r="B107" s="8" t="s">
        <v>53</v>
      </c>
      <c r="C107" s="8" t="s">
        <v>72</v>
      </c>
      <c r="D107" s="8" t="s">
        <v>628</v>
      </c>
      <c r="E107" s="8" t="s">
        <v>431</v>
      </c>
      <c r="F107" s="8" t="s">
        <v>163</v>
      </c>
      <c r="G107" s="8" t="s">
        <v>28</v>
      </c>
      <c r="H107" s="8" t="s">
        <v>629</v>
      </c>
      <c r="I107" s="8" t="s">
        <v>44</v>
      </c>
      <c r="J107" s="8" t="s">
        <v>45</v>
      </c>
      <c r="K107" s="8" t="s">
        <v>46</v>
      </c>
      <c r="L107" s="8" t="s">
        <v>78</v>
      </c>
      <c r="M107" s="8">
        <v>9</v>
      </c>
      <c r="N107" s="8">
        <v>1200</v>
      </c>
      <c r="O107" s="8">
        <v>5</v>
      </c>
      <c r="P107" s="8">
        <v>10260</v>
      </c>
      <c r="Q107" s="8">
        <v>3</v>
      </c>
      <c r="R107" s="8" t="s">
        <v>88</v>
      </c>
      <c r="S107" s="8" t="s">
        <v>35</v>
      </c>
      <c r="T107" s="8" t="s">
        <v>62</v>
      </c>
      <c r="U107" s="9" t="s">
        <v>630</v>
      </c>
      <c r="V107" s="8" t="s">
        <v>64</v>
      </c>
    </row>
    <row r="108" spans="1:22">
      <c r="A108" s="3" t="s">
        <v>631</v>
      </c>
      <c r="B108" s="4" t="s">
        <v>100</v>
      </c>
      <c r="C108" s="4" t="s">
        <v>92</v>
      </c>
      <c r="D108" s="4" t="s">
        <v>387</v>
      </c>
      <c r="E108" s="4" t="s">
        <v>632</v>
      </c>
      <c r="F108" s="4" t="s">
        <v>103</v>
      </c>
      <c r="G108" s="4" t="s">
        <v>28</v>
      </c>
      <c r="H108" s="4" t="s">
        <v>633</v>
      </c>
      <c r="I108" s="4" t="s">
        <v>44</v>
      </c>
      <c r="J108" s="4" t="s">
        <v>45</v>
      </c>
      <c r="K108" s="4" t="s">
        <v>32</v>
      </c>
      <c r="L108" s="4" t="s">
        <v>97</v>
      </c>
      <c r="M108" s="4">
        <v>3</v>
      </c>
      <c r="N108" s="4">
        <v>3500</v>
      </c>
      <c r="O108" s="4">
        <v>10</v>
      </c>
      <c r="P108" s="4">
        <v>9450</v>
      </c>
      <c r="Q108" s="4">
        <v>2</v>
      </c>
      <c r="R108" s="4" t="s">
        <v>79</v>
      </c>
      <c r="S108" s="4" t="s">
        <v>151</v>
      </c>
      <c r="T108" s="4" t="s">
        <v>144</v>
      </c>
      <c r="U108" s="6" t="s">
        <v>634</v>
      </c>
      <c r="V108" s="4" t="s">
        <v>69</v>
      </c>
    </row>
    <row r="109" spans="1:22">
      <c r="A109" s="7" t="s">
        <v>635</v>
      </c>
      <c r="B109" s="8" t="s">
        <v>221</v>
      </c>
      <c r="C109" s="8" t="s">
        <v>72</v>
      </c>
      <c r="D109" s="8" t="s">
        <v>241</v>
      </c>
      <c r="E109" s="8" t="s">
        <v>636</v>
      </c>
      <c r="F109" s="8" t="s">
        <v>225</v>
      </c>
      <c r="G109" s="8" t="s">
        <v>76</v>
      </c>
      <c r="H109" s="8" t="s">
        <v>637</v>
      </c>
      <c r="I109" s="8" t="s">
        <v>105</v>
      </c>
      <c r="J109" s="8" t="s">
        <v>106</v>
      </c>
      <c r="K109" s="8" t="s">
        <v>46</v>
      </c>
      <c r="L109" s="8" t="s">
        <v>78</v>
      </c>
      <c r="M109" s="8">
        <v>6</v>
      </c>
      <c r="N109" s="8">
        <v>1200</v>
      </c>
      <c r="O109" s="8">
        <v>15</v>
      </c>
      <c r="P109" s="8">
        <v>6120</v>
      </c>
      <c r="Q109" s="8">
        <v>4</v>
      </c>
      <c r="R109" s="8" t="s">
        <v>88</v>
      </c>
      <c r="S109" s="8" t="s">
        <v>35</v>
      </c>
      <c r="T109" s="8" t="s">
        <v>228</v>
      </c>
      <c r="U109" s="9" t="s">
        <v>638</v>
      </c>
      <c r="V109" s="8" t="s">
        <v>69</v>
      </c>
    </row>
    <row r="110" spans="1:22">
      <c r="A110" s="3" t="s">
        <v>639</v>
      </c>
      <c r="B110" s="4" t="s">
        <v>83</v>
      </c>
      <c r="C110" s="4" t="s">
        <v>72</v>
      </c>
      <c r="D110" s="4" t="s">
        <v>640</v>
      </c>
      <c r="E110" s="4" t="s">
        <v>641</v>
      </c>
      <c r="F110" s="4" t="s">
        <v>180</v>
      </c>
      <c r="G110" s="4" t="s">
        <v>76</v>
      </c>
      <c r="H110" s="4" t="s">
        <v>642</v>
      </c>
      <c r="I110" s="4" t="s">
        <v>212</v>
      </c>
      <c r="J110" s="4" t="s">
        <v>45</v>
      </c>
      <c r="K110" s="4" t="s">
        <v>46</v>
      </c>
      <c r="L110" s="4" t="s">
        <v>78</v>
      </c>
      <c r="M110" s="4">
        <v>17</v>
      </c>
      <c r="N110" s="4">
        <v>1200</v>
      </c>
      <c r="O110" s="4">
        <v>15</v>
      </c>
      <c r="P110" s="4">
        <v>17340</v>
      </c>
      <c r="Q110" s="4">
        <v>1</v>
      </c>
      <c r="R110" s="4" t="s">
        <v>34</v>
      </c>
      <c r="S110" s="4" t="s">
        <v>61</v>
      </c>
      <c r="T110" s="4" t="s">
        <v>89</v>
      </c>
      <c r="U110" s="6" t="s">
        <v>643</v>
      </c>
      <c r="V110" s="4" t="s">
        <v>38</v>
      </c>
    </row>
    <row r="111" spans="1:22">
      <c r="A111" s="7" t="s">
        <v>644</v>
      </c>
      <c r="B111" s="8" t="s">
        <v>221</v>
      </c>
      <c r="C111" s="8" t="s">
        <v>169</v>
      </c>
      <c r="D111" s="8" t="s">
        <v>645</v>
      </c>
      <c r="E111" s="8" t="s">
        <v>287</v>
      </c>
      <c r="F111" s="8" t="s">
        <v>225</v>
      </c>
      <c r="G111" s="8" t="s">
        <v>76</v>
      </c>
      <c r="H111" s="8" t="s">
        <v>646</v>
      </c>
      <c r="I111" s="8" t="s">
        <v>59</v>
      </c>
      <c r="J111" s="8" t="s">
        <v>31</v>
      </c>
      <c r="K111" s="8" t="s">
        <v>32</v>
      </c>
      <c r="L111" s="8" t="s">
        <v>174</v>
      </c>
      <c r="M111" s="8">
        <v>15</v>
      </c>
      <c r="N111" s="8">
        <v>8500</v>
      </c>
      <c r="O111" s="8">
        <v>0</v>
      </c>
      <c r="P111" s="8">
        <v>127500</v>
      </c>
      <c r="Q111" s="8">
        <v>3</v>
      </c>
      <c r="R111" s="8" t="s">
        <v>34</v>
      </c>
      <c r="S111" s="8" t="s">
        <v>115</v>
      </c>
      <c r="T111" s="8" t="s">
        <v>228</v>
      </c>
      <c r="U111" s="9" t="s">
        <v>647</v>
      </c>
      <c r="V111" s="8" t="s">
        <v>64</v>
      </c>
    </row>
    <row r="112" spans="1:22">
      <c r="A112" s="3" t="s">
        <v>648</v>
      </c>
      <c r="B112" s="4" t="s">
        <v>127</v>
      </c>
      <c r="C112" s="4" t="s">
        <v>72</v>
      </c>
      <c r="D112" s="4" t="s">
        <v>101</v>
      </c>
      <c r="E112" s="4" t="s">
        <v>102</v>
      </c>
      <c r="F112" s="4" t="s">
        <v>200</v>
      </c>
      <c r="G112" s="4" t="s">
        <v>76</v>
      </c>
      <c r="H112" s="4" t="s">
        <v>649</v>
      </c>
      <c r="I112" s="4" t="s">
        <v>30</v>
      </c>
      <c r="J112" s="4" t="s">
        <v>31</v>
      </c>
      <c r="K112" s="4" t="s">
        <v>46</v>
      </c>
      <c r="L112" s="4" t="s">
        <v>78</v>
      </c>
      <c r="M112" s="4">
        <v>1</v>
      </c>
      <c r="N112" s="4">
        <v>1200</v>
      </c>
      <c r="O112" s="4">
        <v>20</v>
      </c>
      <c r="P112" s="4">
        <v>960</v>
      </c>
      <c r="Q112" s="4">
        <v>1</v>
      </c>
      <c r="R112" s="4" t="s">
        <v>88</v>
      </c>
      <c r="S112" s="4" t="s">
        <v>115</v>
      </c>
      <c r="T112" s="4" t="s">
        <v>132</v>
      </c>
      <c r="U112" s="6" t="s">
        <v>650</v>
      </c>
      <c r="V112" s="4" t="s">
        <v>64</v>
      </c>
    </row>
    <row r="113" spans="1:22">
      <c r="A113" s="7" t="s">
        <v>651</v>
      </c>
      <c r="B113" s="8" t="s">
        <v>127</v>
      </c>
      <c r="C113" s="8" t="s">
        <v>169</v>
      </c>
      <c r="D113" s="8" t="s">
        <v>652</v>
      </c>
      <c r="E113" s="8" t="s">
        <v>539</v>
      </c>
      <c r="F113" s="8" t="s">
        <v>200</v>
      </c>
      <c r="G113" s="8" t="s">
        <v>76</v>
      </c>
      <c r="H113" s="8" t="s">
        <v>653</v>
      </c>
      <c r="I113" s="8" t="s">
        <v>294</v>
      </c>
      <c r="J113" s="8" t="s">
        <v>295</v>
      </c>
      <c r="K113" s="8" t="s">
        <v>32</v>
      </c>
      <c r="L113" s="8" t="s">
        <v>174</v>
      </c>
      <c r="M113" s="8">
        <v>5</v>
      </c>
      <c r="N113" s="8">
        <v>8500</v>
      </c>
      <c r="O113" s="8">
        <v>10</v>
      </c>
      <c r="P113" s="8">
        <v>38250</v>
      </c>
      <c r="Q113" s="8">
        <v>1</v>
      </c>
      <c r="R113" s="8" t="s">
        <v>79</v>
      </c>
      <c r="S113" s="8" t="s">
        <v>61</v>
      </c>
      <c r="T113" s="8" t="s">
        <v>132</v>
      </c>
      <c r="U113" s="9" t="s">
        <v>654</v>
      </c>
      <c r="V113" s="8" t="s">
        <v>38</v>
      </c>
    </row>
    <row r="114" spans="1:22">
      <c r="A114" s="3" t="s">
        <v>655</v>
      </c>
      <c r="B114" s="4" t="s">
        <v>53</v>
      </c>
      <c r="C114" s="4" t="s">
        <v>259</v>
      </c>
      <c r="D114" s="4" t="s">
        <v>656</v>
      </c>
      <c r="E114" s="4" t="s">
        <v>657</v>
      </c>
      <c r="F114" s="4" t="s">
        <v>163</v>
      </c>
      <c r="G114" s="4" t="s">
        <v>28</v>
      </c>
      <c r="H114" s="4" t="s">
        <v>658</v>
      </c>
      <c r="I114" s="4" t="s">
        <v>30</v>
      </c>
      <c r="J114" s="4" t="s">
        <v>31</v>
      </c>
      <c r="K114" s="4" t="s">
        <v>122</v>
      </c>
      <c r="L114" s="4" t="s">
        <v>263</v>
      </c>
      <c r="M114" s="4">
        <v>12</v>
      </c>
      <c r="N114" s="4">
        <v>45</v>
      </c>
      <c r="O114" s="4">
        <v>5</v>
      </c>
      <c r="P114" s="4">
        <v>513</v>
      </c>
      <c r="Q114" s="4">
        <v>2</v>
      </c>
      <c r="R114" s="4" t="s">
        <v>48</v>
      </c>
      <c r="S114" s="4" t="s">
        <v>35</v>
      </c>
      <c r="T114" s="4" t="s">
        <v>62</v>
      </c>
      <c r="U114" s="6" t="s">
        <v>659</v>
      </c>
      <c r="V114" s="4" t="s">
        <v>69</v>
      </c>
    </row>
    <row r="115" spans="1:22">
      <c r="A115" s="7" t="s">
        <v>660</v>
      </c>
      <c r="B115" s="8" t="s">
        <v>221</v>
      </c>
      <c r="C115" s="8" t="s">
        <v>118</v>
      </c>
      <c r="D115" s="8" t="s">
        <v>341</v>
      </c>
      <c r="E115" s="8" t="s">
        <v>661</v>
      </c>
      <c r="F115" s="8" t="s">
        <v>225</v>
      </c>
      <c r="G115" s="8" t="s">
        <v>76</v>
      </c>
      <c r="H115" s="8" t="s">
        <v>662</v>
      </c>
      <c r="I115" s="8" t="s">
        <v>114</v>
      </c>
      <c r="J115" s="8" t="s">
        <v>106</v>
      </c>
      <c r="K115" s="8" t="s">
        <v>122</v>
      </c>
      <c r="L115" s="8" t="s">
        <v>123</v>
      </c>
      <c r="M115" s="8">
        <v>5</v>
      </c>
      <c r="N115" s="8">
        <v>60</v>
      </c>
      <c r="O115" s="8">
        <v>5</v>
      </c>
      <c r="P115" s="8">
        <v>285</v>
      </c>
      <c r="Q115" s="8">
        <v>2</v>
      </c>
      <c r="R115" s="8" t="s">
        <v>34</v>
      </c>
      <c r="S115" s="8" t="s">
        <v>61</v>
      </c>
      <c r="T115" s="8" t="s">
        <v>228</v>
      </c>
      <c r="U115" s="9" t="s">
        <v>663</v>
      </c>
      <c r="V115" s="8" t="s">
        <v>38</v>
      </c>
    </row>
    <row r="116" spans="1:22">
      <c r="A116" s="3" t="s">
        <v>664</v>
      </c>
      <c r="B116" s="4" t="s">
        <v>53</v>
      </c>
      <c r="C116" s="4" t="s">
        <v>184</v>
      </c>
      <c r="D116" s="4" t="s">
        <v>665</v>
      </c>
      <c r="E116" s="4" t="s">
        <v>666</v>
      </c>
      <c r="F116" s="4" t="s">
        <v>163</v>
      </c>
      <c r="G116" s="4" t="s">
        <v>28</v>
      </c>
      <c r="H116" s="4" t="s">
        <v>667</v>
      </c>
      <c r="I116" s="4" t="s">
        <v>294</v>
      </c>
      <c r="J116" s="4" t="s">
        <v>295</v>
      </c>
      <c r="K116" s="4" t="s">
        <v>46</v>
      </c>
      <c r="L116" s="4" t="s">
        <v>189</v>
      </c>
      <c r="M116" s="4">
        <v>3</v>
      </c>
      <c r="N116" s="4">
        <v>700</v>
      </c>
      <c r="O116" s="4">
        <v>0</v>
      </c>
      <c r="P116" s="4">
        <v>2100</v>
      </c>
      <c r="Q116" s="4">
        <v>4</v>
      </c>
      <c r="R116" s="4" t="s">
        <v>79</v>
      </c>
      <c r="S116" s="4" t="s">
        <v>61</v>
      </c>
      <c r="T116" s="4" t="s">
        <v>62</v>
      </c>
      <c r="U116" s="6" t="s">
        <v>668</v>
      </c>
      <c r="V116" s="4" t="s">
        <v>38</v>
      </c>
    </row>
    <row r="117" spans="1:22">
      <c r="A117" s="7" t="s">
        <v>669</v>
      </c>
      <c r="B117" s="8" t="s">
        <v>168</v>
      </c>
      <c r="C117" s="8" t="s">
        <v>222</v>
      </c>
      <c r="D117" s="8" t="s">
        <v>335</v>
      </c>
      <c r="E117" s="8" t="s">
        <v>606</v>
      </c>
      <c r="F117" s="8" t="s">
        <v>361</v>
      </c>
      <c r="G117" s="8" t="s">
        <v>28</v>
      </c>
      <c r="H117" s="8" t="s">
        <v>670</v>
      </c>
      <c r="I117" s="8" t="s">
        <v>44</v>
      </c>
      <c r="J117" s="8" t="s">
        <v>45</v>
      </c>
      <c r="K117" s="8" t="s">
        <v>122</v>
      </c>
      <c r="L117" s="8" t="s">
        <v>227</v>
      </c>
      <c r="M117" s="8">
        <v>6</v>
      </c>
      <c r="N117" s="8">
        <v>20</v>
      </c>
      <c r="O117" s="8">
        <v>15</v>
      </c>
      <c r="P117" s="8">
        <v>102</v>
      </c>
      <c r="Q117" s="8">
        <v>5</v>
      </c>
      <c r="R117" s="8" t="s">
        <v>79</v>
      </c>
      <c r="S117" s="8" t="s">
        <v>151</v>
      </c>
      <c r="T117" s="8" t="s">
        <v>175</v>
      </c>
      <c r="U117" s="9" t="s">
        <v>671</v>
      </c>
      <c r="V117" s="8" t="s">
        <v>38</v>
      </c>
    </row>
    <row r="118" spans="1:22">
      <c r="A118" s="3" t="s">
        <v>672</v>
      </c>
      <c r="B118" s="4" t="s">
        <v>100</v>
      </c>
      <c r="C118" s="4" t="s">
        <v>184</v>
      </c>
      <c r="D118" s="4" t="s">
        <v>673</v>
      </c>
      <c r="E118" s="4" t="s">
        <v>674</v>
      </c>
      <c r="F118" s="4" t="s">
        <v>103</v>
      </c>
      <c r="G118" s="4" t="s">
        <v>28</v>
      </c>
      <c r="H118" s="4" t="s">
        <v>675</v>
      </c>
      <c r="I118" s="4" t="s">
        <v>59</v>
      </c>
      <c r="J118" s="4" t="s">
        <v>31</v>
      </c>
      <c r="K118" s="4" t="s">
        <v>46</v>
      </c>
      <c r="L118" s="4" t="s">
        <v>189</v>
      </c>
      <c r="M118" s="4">
        <v>2</v>
      </c>
      <c r="N118" s="4">
        <v>700</v>
      </c>
      <c r="O118" s="4">
        <v>15</v>
      </c>
      <c r="P118" s="4">
        <v>1190</v>
      </c>
      <c r="Q118" s="4">
        <v>4</v>
      </c>
      <c r="R118" s="4" t="s">
        <v>34</v>
      </c>
      <c r="S118" s="4" t="s">
        <v>151</v>
      </c>
      <c r="T118" s="4" t="s">
        <v>144</v>
      </c>
      <c r="U118" s="6" t="s">
        <v>676</v>
      </c>
      <c r="V118" s="4" t="s">
        <v>64</v>
      </c>
    </row>
    <row r="119" spans="1:22">
      <c r="A119" s="7" t="s">
        <v>677</v>
      </c>
      <c r="B119" s="8" t="s">
        <v>327</v>
      </c>
      <c r="C119" s="8" t="s">
        <v>259</v>
      </c>
      <c r="D119" s="8" t="s">
        <v>678</v>
      </c>
      <c r="E119" s="8" t="s">
        <v>679</v>
      </c>
      <c r="F119" s="8" t="s">
        <v>394</v>
      </c>
      <c r="G119" s="8" t="s">
        <v>76</v>
      </c>
      <c r="H119" s="8" t="s">
        <v>680</v>
      </c>
      <c r="I119" s="8" t="s">
        <v>114</v>
      </c>
      <c r="J119" s="8" t="s">
        <v>106</v>
      </c>
      <c r="K119" s="8" t="s">
        <v>122</v>
      </c>
      <c r="L119" s="8" t="s">
        <v>263</v>
      </c>
      <c r="M119" s="8">
        <v>16</v>
      </c>
      <c r="N119" s="8">
        <v>45</v>
      </c>
      <c r="O119" s="8">
        <v>0</v>
      </c>
      <c r="P119" s="8">
        <v>720</v>
      </c>
      <c r="Q119" s="8">
        <v>1</v>
      </c>
      <c r="R119" s="8" t="s">
        <v>48</v>
      </c>
      <c r="S119" s="8" t="s">
        <v>61</v>
      </c>
      <c r="T119" s="8" t="s">
        <v>332</v>
      </c>
      <c r="U119" s="9" t="s">
        <v>681</v>
      </c>
      <c r="V119" s="8" t="s">
        <v>38</v>
      </c>
    </row>
    <row r="120" spans="1:22">
      <c r="A120" s="3" t="s">
        <v>682</v>
      </c>
      <c r="B120" s="4" t="s">
        <v>71</v>
      </c>
      <c r="C120" s="4" t="s">
        <v>72</v>
      </c>
      <c r="D120" s="4" t="s">
        <v>683</v>
      </c>
      <c r="E120" s="4" t="s">
        <v>684</v>
      </c>
      <c r="F120" s="4" t="s">
        <v>217</v>
      </c>
      <c r="G120" s="4" t="s">
        <v>76</v>
      </c>
      <c r="H120" s="4" t="s">
        <v>685</v>
      </c>
      <c r="I120" s="4" t="s">
        <v>138</v>
      </c>
      <c r="J120" s="4" t="s">
        <v>106</v>
      </c>
      <c r="K120" s="4" t="s">
        <v>46</v>
      </c>
      <c r="L120" s="4" t="s">
        <v>78</v>
      </c>
      <c r="M120" s="4" t="s">
        <v>686</v>
      </c>
      <c r="N120" s="4">
        <v>1200</v>
      </c>
      <c r="O120" s="4">
        <v>15</v>
      </c>
      <c r="P120" s="4">
        <v>7140</v>
      </c>
      <c r="Q120" s="4">
        <v>4</v>
      </c>
      <c r="R120" s="4" t="s">
        <v>88</v>
      </c>
      <c r="S120" s="4" t="s">
        <v>151</v>
      </c>
      <c r="T120" s="4" t="s">
        <v>80</v>
      </c>
      <c r="U120" s="6" t="s">
        <v>687</v>
      </c>
      <c r="V120" s="4" t="s">
        <v>64</v>
      </c>
    </row>
    <row r="121" spans="1:22">
      <c r="A121" s="7" t="s">
        <v>688</v>
      </c>
      <c r="B121" s="8" t="s">
        <v>100</v>
      </c>
      <c r="C121" s="8" t="s">
        <v>40</v>
      </c>
      <c r="D121" s="8" t="s">
        <v>376</v>
      </c>
      <c r="E121" s="8" t="s">
        <v>469</v>
      </c>
      <c r="F121" s="8" t="s">
        <v>103</v>
      </c>
      <c r="G121" s="8" t="s">
        <v>28</v>
      </c>
      <c r="H121" s="8" t="s">
        <v>689</v>
      </c>
      <c r="I121" s="8" t="s">
        <v>212</v>
      </c>
      <c r="J121" s="8" t="s">
        <v>45</v>
      </c>
      <c r="K121" s="8" t="s">
        <v>46</v>
      </c>
      <c r="L121" s="8" t="s">
        <v>47</v>
      </c>
      <c r="M121" s="8">
        <v>14</v>
      </c>
      <c r="N121" s="8">
        <v>12000</v>
      </c>
      <c r="O121" s="8">
        <v>15</v>
      </c>
      <c r="P121" s="8">
        <v>142800</v>
      </c>
      <c r="Q121" s="8">
        <v>2</v>
      </c>
      <c r="R121" s="8" t="s">
        <v>48</v>
      </c>
      <c r="S121" s="8" t="s">
        <v>61</v>
      </c>
      <c r="T121" s="8" t="s">
        <v>144</v>
      </c>
      <c r="U121" s="9" t="s">
        <v>690</v>
      </c>
      <c r="V121" s="8" t="s">
        <v>64</v>
      </c>
    </row>
    <row r="122" spans="1:22">
      <c r="A122" s="3" t="s">
        <v>691</v>
      </c>
      <c r="B122" s="4" t="s">
        <v>127</v>
      </c>
      <c r="C122" s="4" t="s">
        <v>169</v>
      </c>
      <c r="D122" s="4" t="s">
        <v>454</v>
      </c>
      <c r="E122" s="4" t="s">
        <v>692</v>
      </c>
      <c r="F122" s="4" t="s">
        <v>200</v>
      </c>
      <c r="G122" s="4" t="s">
        <v>76</v>
      </c>
      <c r="H122" s="4" t="s">
        <v>693</v>
      </c>
      <c r="I122" s="4" t="s">
        <v>114</v>
      </c>
      <c r="J122" s="4" t="s">
        <v>106</v>
      </c>
      <c r="K122" s="4" t="s">
        <v>32</v>
      </c>
      <c r="L122" s="4" t="s">
        <v>174</v>
      </c>
      <c r="M122" s="4">
        <v>8</v>
      </c>
      <c r="N122" s="4">
        <v>8500</v>
      </c>
      <c r="O122" s="4">
        <v>20</v>
      </c>
      <c r="P122" s="4">
        <v>54400</v>
      </c>
      <c r="Q122" s="4">
        <v>3</v>
      </c>
      <c r="R122" s="4" t="s">
        <v>79</v>
      </c>
      <c r="S122" s="4" t="s">
        <v>49</v>
      </c>
      <c r="T122" s="4" t="s">
        <v>132</v>
      </c>
      <c r="U122" s="6" t="s">
        <v>694</v>
      </c>
      <c r="V122" s="4" t="s">
        <v>38</v>
      </c>
    </row>
    <row r="123" spans="1:22">
      <c r="A123" s="7" t="s">
        <v>695</v>
      </c>
      <c r="B123" s="8" t="s">
        <v>83</v>
      </c>
      <c r="C123" s="8" t="s">
        <v>259</v>
      </c>
      <c r="D123" s="8" t="s">
        <v>110</v>
      </c>
      <c r="E123" s="8" t="s">
        <v>313</v>
      </c>
      <c r="F123" s="8" t="s">
        <v>180</v>
      </c>
      <c r="G123" s="8" t="s">
        <v>76</v>
      </c>
      <c r="H123" s="8" t="s">
        <v>696</v>
      </c>
      <c r="I123" s="8" t="s">
        <v>59</v>
      </c>
      <c r="J123" s="8" t="s">
        <v>31</v>
      </c>
      <c r="K123" s="8" t="s">
        <v>122</v>
      </c>
      <c r="L123" s="8" t="s">
        <v>263</v>
      </c>
      <c r="M123" s="8">
        <v>3</v>
      </c>
      <c r="N123" s="8">
        <v>45</v>
      </c>
      <c r="O123" s="8">
        <v>0</v>
      </c>
      <c r="P123" s="8">
        <v>135</v>
      </c>
      <c r="Q123" s="8">
        <v>4</v>
      </c>
      <c r="R123" s="8" t="s">
        <v>88</v>
      </c>
      <c r="S123" s="8" t="s">
        <v>61</v>
      </c>
      <c r="T123" s="8" t="s">
        <v>89</v>
      </c>
      <c r="U123" s="9" t="s">
        <v>697</v>
      </c>
      <c r="V123" s="8" t="s">
        <v>69</v>
      </c>
    </row>
    <row r="124" spans="1:22">
      <c r="A124" s="3" t="s">
        <v>698</v>
      </c>
      <c r="B124" s="4" t="s">
        <v>327</v>
      </c>
      <c r="C124" s="4" t="s">
        <v>184</v>
      </c>
      <c r="D124" s="4" t="s">
        <v>464</v>
      </c>
      <c r="E124" s="4" t="s">
        <v>84</v>
      </c>
      <c r="F124" s="4" t="s">
        <v>394</v>
      </c>
      <c r="G124" s="4" t="s">
        <v>76</v>
      </c>
      <c r="H124" s="4" t="s">
        <v>699</v>
      </c>
      <c r="I124" s="4" t="s">
        <v>212</v>
      </c>
      <c r="J124" s="4" t="s">
        <v>45</v>
      </c>
      <c r="K124" s="4" t="s">
        <v>46</v>
      </c>
      <c r="L124" s="4" t="s">
        <v>189</v>
      </c>
      <c r="M124" s="4">
        <v>13</v>
      </c>
      <c r="N124" s="4">
        <v>700</v>
      </c>
      <c r="O124" s="4">
        <v>5</v>
      </c>
      <c r="P124" s="4">
        <v>8645</v>
      </c>
      <c r="Q124" s="4">
        <v>3</v>
      </c>
      <c r="R124" s="4" t="s">
        <v>79</v>
      </c>
      <c r="S124" s="4" t="s">
        <v>115</v>
      </c>
      <c r="T124" s="4" t="s">
        <v>332</v>
      </c>
      <c r="U124" s="6" t="s">
        <v>700</v>
      </c>
      <c r="V124" s="4" t="s">
        <v>64</v>
      </c>
    </row>
    <row r="125" spans="1:22">
      <c r="A125" s="7" t="s">
        <v>701</v>
      </c>
      <c r="B125" s="8" t="s">
        <v>168</v>
      </c>
      <c r="C125" s="8" t="s">
        <v>72</v>
      </c>
      <c r="D125" s="8" t="s">
        <v>702</v>
      </c>
      <c r="E125" s="8" t="s">
        <v>703</v>
      </c>
      <c r="F125" s="8" t="s">
        <v>361</v>
      </c>
      <c r="G125" s="8" t="s">
        <v>28</v>
      </c>
      <c r="H125" s="8" t="s">
        <v>704</v>
      </c>
      <c r="I125" s="8" t="s">
        <v>105</v>
      </c>
      <c r="J125" s="8" t="s">
        <v>106</v>
      </c>
      <c r="K125" s="8" t="s">
        <v>46</v>
      </c>
      <c r="L125" s="8" t="s">
        <v>78</v>
      </c>
      <c r="M125" s="8">
        <v>14</v>
      </c>
      <c r="N125" s="8">
        <v>1200</v>
      </c>
      <c r="O125" s="8">
        <v>20</v>
      </c>
      <c r="P125" s="8">
        <v>13440</v>
      </c>
      <c r="Q125" s="8">
        <v>5</v>
      </c>
      <c r="R125" s="8" t="s">
        <v>48</v>
      </c>
      <c r="S125" s="8" t="s">
        <v>61</v>
      </c>
      <c r="T125" s="8" t="s">
        <v>175</v>
      </c>
      <c r="U125" s="9" t="s">
        <v>705</v>
      </c>
      <c r="V125" s="8" t="s">
        <v>38</v>
      </c>
    </row>
    <row r="126" spans="1:22">
      <c r="A126" s="3" t="s">
        <v>706</v>
      </c>
      <c r="B126" s="4" t="s">
        <v>100</v>
      </c>
      <c r="C126" s="4" t="s">
        <v>259</v>
      </c>
      <c r="D126" s="4" t="s">
        <v>597</v>
      </c>
      <c r="E126" s="4" t="s">
        <v>707</v>
      </c>
      <c r="F126" s="4" t="s">
        <v>103</v>
      </c>
      <c r="G126" s="4" t="s">
        <v>28</v>
      </c>
      <c r="H126" s="4" t="s">
        <v>708</v>
      </c>
      <c r="I126" s="4" t="s">
        <v>44</v>
      </c>
      <c r="J126" s="4" t="s">
        <v>45</v>
      </c>
      <c r="K126" s="4" t="s">
        <v>122</v>
      </c>
      <c r="L126" s="4" t="s">
        <v>263</v>
      </c>
      <c r="M126" s="4">
        <v>2</v>
      </c>
      <c r="N126" s="4">
        <v>45</v>
      </c>
      <c r="O126" s="4">
        <v>5</v>
      </c>
      <c r="P126" s="4">
        <v>85.5</v>
      </c>
      <c r="Q126" s="4">
        <v>3</v>
      </c>
      <c r="R126" s="4" t="s">
        <v>88</v>
      </c>
      <c r="S126" s="4" t="s">
        <v>35</v>
      </c>
      <c r="T126" s="4" t="s">
        <v>144</v>
      </c>
      <c r="U126" s="6" t="s">
        <v>709</v>
      </c>
      <c r="V126" s="4" t="s">
        <v>69</v>
      </c>
    </row>
    <row r="127" spans="1:22">
      <c r="A127" s="7" t="s">
        <v>710</v>
      </c>
      <c r="B127" s="8" t="s">
        <v>168</v>
      </c>
      <c r="C127" s="8" t="s">
        <v>72</v>
      </c>
      <c r="D127" s="8" t="s">
        <v>711</v>
      </c>
      <c r="E127" s="8" t="s">
        <v>712</v>
      </c>
      <c r="F127" s="8" t="s">
        <v>361</v>
      </c>
      <c r="G127" s="8" t="s">
        <v>28</v>
      </c>
      <c r="H127" s="8" t="s">
        <v>713</v>
      </c>
      <c r="I127" s="8" t="s">
        <v>59</v>
      </c>
      <c r="J127" s="8" t="s">
        <v>31</v>
      </c>
      <c r="K127" s="8" t="s">
        <v>46</v>
      </c>
      <c r="L127" s="8" t="s">
        <v>78</v>
      </c>
      <c r="M127" s="8">
        <v>2</v>
      </c>
      <c r="N127" s="8">
        <v>1200</v>
      </c>
      <c r="O127" s="8">
        <v>20</v>
      </c>
      <c r="P127" s="8">
        <v>1920</v>
      </c>
      <c r="Q127" s="8">
        <v>3</v>
      </c>
      <c r="R127" s="8" t="s">
        <v>79</v>
      </c>
      <c r="S127" s="8" t="s">
        <v>115</v>
      </c>
      <c r="T127" s="8" t="s">
        <v>175</v>
      </c>
      <c r="U127" s="9" t="s">
        <v>714</v>
      </c>
      <c r="V127" s="8" t="s">
        <v>38</v>
      </c>
    </row>
    <row r="128" spans="1:22">
      <c r="A128" s="3" t="s">
        <v>715</v>
      </c>
      <c r="B128" s="4" t="s">
        <v>127</v>
      </c>
      <c r="C128" s="4" t="s">
        <v>54</v>
      </c>
      <c r="D128" s="4" t="s">
        <v>224</v>
      </c>
      <c r="E128" s="4" t="s">
        <v>716</v>
      </c>
      <c r="F128" s="4" t="s">
        <v>200</v>
      </c>
      <c r="G128" s="4" t="s">
        <v>76</v>
      </c>
      <c r="H128" s="4" t="s">
        <v>717</v>
      </c>
      <c r="I128" s="4" t="s">
        <v>59</v>
      </c>
      <c r="J128" s="4" t="s">
        <v>31</v>
      </c>
      <c r="K128" s="4" t="s">
        <v>46</v>
      </c>
      <c r="L128" s="4" t="s">
        <v>60</v>
      </c>
      <c r="M128" s="4">
        <v>10</v>
      </c>
      <c r="N128" s="4">
        <v>55000</v>
      </c>
      <c r="O128" s="4">
        <v>5</v>
      </c>
      <c r="P128" s="4">
        <v>522500</v>
      </c>
      <c r="Q128" s="4">
        <v>5</v>
      </c>
      <c r="R128" s="4" t="s">
        <v>88</v>
      </c>
      <c r="S128" s="4" t="s">
        <v>61</v>
      </c>
      <c r="T128" s="4" t="s">
        <v>132</v>
      </c>
      <c r="U128" s="6" t="s">
        <v>718</v>
      </c>
      <c r="V128" s="4" t="s">
        <v>64</v>
      </c>
    </row>
    <row r="129" spans="1:22">
      <c r="A129" s="7" t="s">
        <v>719</v>
      </c>
      <c r="B129" s="8" t="s">
        <v>251</v>
      </c>
      <c r="C129" s="8" t="s">
        <v>92</v>
      </c>
      <c r="D129" s="8" t="s">
        <v>720</v>
      </c>
      <c r="E129" s="8" t="s">
        <v>382</v>
      </c>
      <c r="F129" s="8" t="s">
        <v>254</v>
      </c>
      <c r="G129" s="8" t="s">
        <v>28</v>
      </c>
      <c r="H129" s="8" t="s">
        <v>721</v>
      </c>
      <c r="I129" s="8" t="s">
        <v>212</v>
      </c>
      <c r="J129" s="8" t="s">
        <v>45</v>
      </c>
      <c r="K129" s="8" t="s">
        <v>32</v>
      </c>
      <c r="L129" s="8" t="s">
        <v>97</v>
      </c>
      <c r="M129" s="8">
        <v>15</v>
      </c>
      <c r="N129" s="8">
        <v>3500</v>
      </c>
      <c r="O129" s="8">
        <v>10</v>
      </c>
      <c r="P129" s="8">
        <v>47250</v>
      </c>
      <c r="Q129" s="8">
        <v>3</v>
      </c>
      <c r="R129" s="8" t="s">
        <v>48</v>
      </c>
      <c r="S129" s="8" t="s">
        <v>115</v>
      </c>
      <c r="T129" s="8" t="s">
        <v>256</v>
      </c>
      <c r="U129" s="9" t="s">
        <v>722</v>
      </c>
      <c r="V129" s="8" t="s">
        <v>38</v>
      </c>
    </row>
    <row r="130" spans="1:22">
      <c r="A130" s="3" t="s">
        <v>723</v>
      </c>
      <c r="B130" s="4" t="s">
        <v>100</v>
      </c>
      <c r="C130" s="4" t="s">
        <v>24</v>
      </c>
      <c r="D130" s="4" t="s">
        <v>562</v>
      </c>
      <c r="E130" s="4" t="s">
        <v>724</v>
      </c>
      <c r="F130" s="4" t="s">
        <v>103</v>
      </c>
      <c r="G130" s="4" t="s">
        <v>28</v>
      </c>
      <c r="H130" s="4" t="s">
        <v>725</v>
      </c>
      <c r="I130" s="4" t="s">
        <v>59</v>
      </c>
      <c r="J130" s="4" t="s">
        <v>31</v>
      </c>
      <c r="K130" s="4" t="s">
        <v>32</v>
      </c>
      <c r="L130" s="4" t="s">
        <v>33</v>
      </c>
      <c r="M130" s="4">
        <v>10</v>
      </c>
      <c r="N130" s="4">
        <v>2200</v>
      </c>
      <c r="O130" s="4">
        <v>15</v>
      </c>
      <c r="P130" s="4">
        <v>18700</v>
      </c>
      <c r="Q130" s="4">
        <v>4</v>
      </c>
      <c r="R130" s="4" t="s">
        <v>79</v>
      </c>
      <c r="S130" s="4" t="s">
        <v>49</v>
      </c>
      <c r="T130" s="4" t="s">
        <v>144</v>
      </c>
      <c r="U130" s="6" t="s">
        <v>726</v>
      </c>
      <c r="V130" s="4" t="s">
        <v>64</v>
      </c>
    </row>
    <row r="131" spans="1:22">
      <c r="A131" s="7" t="s">
        <v>727</v>
      </c>
      <c r="B131" s="8" t="s">
        <v>251</v>
      </c>
      <c r="C131" s="8" t="s">
        <v>92</v>
      </c>
      <c r="D131" s="8" t="s">
        <v>260</v>
      </c>
      <c r="E131" s="8" t="s">
        <v>231</v>
      </c>
      <c r="F131" s="8" t="s">
        <v>254</v>
      </c>
      <c r="G131" s="8" t="s">
        <v>28</v>
      </c>
      <c r="H131" s="8" t="s">
        <v>728</v>
      </c>
      <c r="I131" s="8" t="s">
        <v>114</v>
      </c>
      <c r="J131" s="8" t="s">
        <v>106</v>
      </c>
      <c r="K131" s="8" t="s">
        <v>32</v>
      </c>
      <c r="L131" s="8" t="s">
        <v>97</v>
      </c>
      <c r="M131" s="8">
        <v>11</v>
      </c>
      <c r="N131" s="8">
        <v>3500</v>
      </c>
      <c r="O131" s="8">
        <v>5</v>
      </c>
      <c r="P131" s="8">
        <v>36575</v>
      </c>
      <c r="Q131" s="8">
        <v>5</v>
      </c>
      <c r="R131" s="8" t="s">
        <v>34</v>
      </c>
      <c r="S131" s="8" t="s">
        <v>35</v>
      </c>
      <c r="T131" s="8" t="s">
        <v>256</v>
      </c>
      <c r="U131" s="9" t="s">
        <v>729</v>
      </c>
      <c r="V131" s="8" t="s">
        <v>69</v>
      </c>
    </row>
    <row r="132" spans="1:22">
      <c r="A132" s="3" t="s">
        <v>730</v>
      </c>
      <c r="B132" s="4" t="s">
        <v>168</v>
      </c>
      <c r="C132" s="4" t="s">
        <v>72</v>
      </c>
      <c r="D132" s="4" t="s">
        <v>731</v>
      </c>
      <c r="E132" s="4" t="s">
        <v>732</v>
      </c>
      <c r="F132" s="4" t="s">
        <v>361</v>
      </c>
      <c r="G132" s="4" t="s">
        <v>28</v>
      </c>
      <c r="H132" s="4" t="s">
        <v>733</v>
      </c>
      <c r="I132" s="4" t="s">
        <v>59</v>
      </c>
      <c r="J132" s="4" t="s">
        <v>31</v>
      </c>
      <c r="K132" s="4" t="s">
        <v>46</v>
      </c>
      <c r="L132" s="4" t="s">
        <v>78</v>
      </c>
      <c r="M132" s="4">
        <v>14</v>
      </c>
      <c r="N132" s="4">
        <v>1200</v>
      </c>
      <c r="O132" s="4">
        <v>0</v>
      </c>
      <c r="P132" s="4">
        <v>16800</v>
      </c>
      <c r="Q132" s="4">
        <v>5</v>
      </c>
      <c r="R132" s="4" t="s">
        <v>34</v>
      </c>
      <c r="S132" s="4" t="s">
        <v>49</v>
      </c>
      <c r="T132" s="4" t="s">
        <v>175</v>
      </c>
      <c r="U132" s="6" t="s">
        <v>734</v>
      </c>
      <c r="V132" s="4" t="s">
        <v>69</v>
      </c>
    </row>
    <row r="133" spans="1:22">
      <c r="A133" s="7" t="s">
        <v>735</v>
      </c>
      <c r="B133" s="8" t="s">
        <v>100</v>
      </c>
      <c r="C133" s="8" t="s">
        <v>222</v>
      </c>
      <c r="D133" s="8" t="s">
        <v>736</v>
      </c>
      <c r="E133" s="8" t="s">
        <v>170</v>
      </c>
      <c r="F133" s="8" t="s">
        <v>103</v>
      </c>
      <c r="G133" s="8" t="s">
        <v>28</v>
      </c>
      <c r="H133" s="8" t="s">
        <v>737</v>
      </c>
      <c r="I133" s="8" t="s">
        <v>44</v>
      </c>
      <c r="J133" s="8" t="s">
        <v>45</v>
      </c>
      <c r="K133" s="8" t="s">
        <v>122</v>
      </c>
      <c r="L133" s="8" t="s">
        <v>227</v>
      </c>
      <c r="M133" s="8">
        <v>11</v>
      </c>
      <c r="N133" s="8">
        <v>20</v>
      </c>
      <c r="O133" s="8">
        <v>20</v>
      </c>
      <c r="P133" s="8">
        <v>176</v>
      </c>
      <c r="Q133" s="8">
        <v>4</v>
      </c>
      <c r="R133" s="8" t="s">
        <v>48</v>
      </c>
      <c r="S133" s="8" t="s">
        <v>35</v>
      </c>
      <c r="T133" s="8" t="s">
        <v>144</v>
      </c>
      <c r="U133" s="9" t="s">
        <v>738</v>
      </c>
      <c r="V133" s="8" t="s">
        <v>38</v>
      </c>
    </row>
    <row r="134" spans="1:22">
      <c r="A134" s="3" t="s">
        <v>739</v>
      </c>
      <c r="B134" s="4" t="s">
        <v>71</v>
      </c>
      <c r="C134" s="4" t="s">
        <v>40</v>
      </c>
      <c r="D134" s="4" t="s">
        <v>740</v>
      </c>
      <c r="E134" s="4" t="s">
        <v>657</v>
      </c>
      <c r="F134" s="4" t="s">
        <v>217</v>
      </c>
      <c r="G134" s="4" t="s">
        <v>76</v>
      </c>
      <c r="H134" s="4" t="s">
        <v>741</v>
      </c>
      <c r="I134" s="4" t="s">
        <v>114</v>
      </c>
      <c r="J134" s="4" t="s">
        <v>106</v>
      </c>
      <c r="K134" s="4" t="s">
        <v>46</v>
      </c>
      <c r="L134" s="4" t="s">
        <v>47</v>
      </c>
      <c r="M134" s="4">
        <v>6</v>
      </c>
      <c r="N134" s="4">
        <v>12000</v>
      </c>
      <c r="O134" s="4">
        <v>10</v>
      </c>
      <c r="P134" s="4">
        <v>64800</v>
      </c>
      <c r="Q134" s="4">
        <v>5</v>
      </c>
      <c r="R134" s="4" t="s">
        <v>88</v>
      </c>
      <c r="S134" s="4" t="s">
        <v>151</v>
      </c>
      <c r="T134" s="4" t="s">
        <v>80</v>
      </c>
      <c r="U134" s="6" t="s">
        <v>742</v>
      </c>
      <c r="V134" s="4" t="s">
        <v>38</v>
      </c>
    </row>
    <row r="135" spans="1:22">
      <c r="A135" s="7" t="s">
        <v>743</v>
      </c>
      <c r="B135" s="8" t="s">
        <v>71</v>
      </c>
      <c r="C135" s="8" t="s">
        <v>24</v>
      </c>
      <c r="D135" s="8" t="s">
        <v>652</v>
      </c>
      <c r="E135" s="8" t="s">
        <v>539</v>
      </c>
      <c r="F135" s="8" t="s">
        <v>217</v>
      </c>
      <c r="G135" s="8" t="s">
        <v>76</v>
      </c>
      <c r="H135" s="8" t="s">
        <v>744</v>
      </c>
      <c r="I135" s="8" t="s">
        <v>30</v>
      </c>
      <c r="J135" s="8" t="s">
        <v>31</v>
      </c>
      <c r="K135" s="8" t="s">
        <v>32</v>
      </c>
      <c r="L135" s="8" t="s">
        <v>33</v>
      </c>
      <c r="M135" s="8">
        <v>6</v>
      </c>
      <c r="N135" s="8">
        <v>2200</v>
      </c>
      <c r="O135" s="8">
        <v>5</v>
      </c>
      <c r="P135" s="8">
        <v>12540</v>
      </c>
      <c r="Q135" s="8">
        <v>4</v>
      </c>
      <c r="R135" s="8" t="s">
        <v>34</v>
      </c>
      <c r="S135" s="8" t="s">
        <v>49</v>
      </c>
      <c r="T135" s="8" t="s">
        <v>80</v>
      </c>
      <c r="U135" s="9" t="s">
        <v>745</v>
      </c>
      <c r="V135" s="8" t="s">
        <v>38</v>
      </c>
    </row>
    <row r="136" spans="1:22">
      <c r="A136" s="3" t="s">
        <v>746</v>
      </c>
      <c r="B136" s="4" t="s">
        <v>53</v>
      </c>
      <c r="C136" s="4" t="s">
        <v>92</v>
      </c>
      <c r="D136" s="4" t="s">
        <v>408</v>
      </c>
      <c r="E136" s="4" t="s">
        <v>488</v>
      </c>
      <c r="F136" s="4" t="s">
        <v>163</v>
      </c>
      <c r="G136" s="4" t="s">
        <v>28</v>
      </c>
      <c r="H136" s="4" t="s">
        <v>747</v>
      </c>
      <c r="I136" s="4" t="s">
        <v>44</v>
      </c>
      <c r="J136" s="4" t="s">
        <v>45</v>
      </c>
      <c r="K136" s="4" t="s">
        <v>32</v>
      </c>
      <c r="L136" s="4" t="s">
        <v>97</v>
      </c>
      <c r="M136" s="4">
        <v>3</v>
      </c>
      <c r="N136" s="4">
        <v>3500</v>
      </c>
      <c r="O136" s="4">
        <v>5</v>
      </c>
      <c r="P136" s="4">
        <v>9975</v>
      </c>
      <c r="Q136" s="4">
        <v>4</v>
      </c>
      <c r="R136" s="4" t="s">
        <v>48</v>
      </c>
      <c r="S136" s="4" t="s">
        <v>49</v>
      </c>
      <c r="T136" s="4" t="s">
        <v>62</v>
      </c>
      <c r="U136" s="6" t="s">
        <v>748</v>
      </c>
      <c r="V136" s="4" t="s">
        <v>64</v>
      </c>
    </row>
    <row r="137" spans="1:22">
      <c r="A137" s="7" t="s">
        <v>749</v>
      </c>
      <c r="B137" s="8" t="s">
        <v>71</v>
      </c>
      <c r="C137" s="8" t="s">
        <v>169</v>
      </c>
      <c r="D137" s="8" t="s">
        <v>750</v>
      </c>
      <c r="E137" s="8" t="s">
        <v>751</v>
      </c>
      <c r="F137" s="8" t="s">
        <v>217</v>
      </c>
      <c r="G137" s="8" t="s">
        <v>76</v>
      </c>
      <c r="H137" s="8" t="s">
        <v>752</v>
      </c>
      <c r="I137" s="8" t="s">
        <v>30</v>
      </c>
      <c r="J137" s="8" t="s">
        <v>31</v>
      </c>
      <c r="K137" s="8" t="s">
        <v>32</v>
      </c>
      <c r="L137" s="8" t="s">
        <v>174</v>
      </c>
      <c r="M137" s="8">
        <v>5</v>
      </c>
      <c r="N137" s="8">
        <v>8500</v>
      </c>
      <c r="O137" s="8">
        <v>20</v>
      </c>
      <c r="P137" s="8">
        <v>34000</v>
      </c>
      <c r="Q137" s="8">
        <v>5</v>
      </c>
      <c r="R137" s="8" t="s">
        <v>34</v>
      </c>
      <c r="S137" s="8" t="s">
        <v>61</v>
      </c>
      <c r="T137" s="8" t="s">
        <v>80</v>
      </c>
      <c r="U137" s="9" t="s">
        <v>753</v>
      </c>
      <c r="V137" s="8" t="s">
        <v>64</v>
      </c>
    </row>
    <row r="138" spans="1:22">
      <c r="A138" s="3" t="s">
        <v>754</v>
      </c>
      <c r="B138" s="4" t="s">
        <v>23</v>
      </c>
      <c r="C138" s="4" t="s">
        <v>92</v>
      </c>
      <c r="D138" s="4" t="s">
        <v>755</v>
      </c>
      <c r="E138" s="4" t="s">
        <v>756</v>
      </c>
      <c r="F138" s="4" t="s">
        <v>27</v>
      </c>
      <c r="G138" s="4" t="s">
        <v>28</v>
      </c>
      <c r="H138" s="4" t="s">
        <v>757</v>
      </c>
      <c r="I138" s="4" t="s">
        <v>59</v>
      </c>
      <c r="J138" s="4" t="s">
        <v>31</v>
      </c>
      <c r="K138" s="4" t="s">
        <v>32</v>
      </c>
      <c r="L138" s="4" t="s">
        <v>97</v>
      </c>
      <c r="M138" s="4">
        <v>14</v>
      </c>
      <c r="N138" s="4">
        <v>3500</v>
      </c>
      <c r="O138" s="4">
        <v>10</v>
      </c>
      <c r="P138" s="4">
        <v>44100</v>
      </c>
      <c r="Q138" s="4">
        <v>4</v>
      </c>
      <c r="R138" s="4" t="s">
        <v>88</v>
      </c>
      <c r="S138" s="4" t="s">
        <v>35</v>
      </c>
      <c r="T138" s="4" t="s">
        <v>50</v>
      </c>
      <c r="U138" s="6" t="s">
        <v>758</v>
      </c>
      <c r="V138" s="4" t="s">
        <v>69</v>
      </c>
    </row>
    <row r="139" spans="1:22">
      <c r="A139" s="7" t="s">
        <v>759</v>
      </c>
      <c r="B139" s="8" t="s">
        <v>327</v>
      </c>
      <c r="C139" s="8" t="s">
        <v>259</v>
      </c>
      <c r="D139" s="8" t="s">
        <v>760</v>
      </c>
      <c r="E139" s="8" t="s">
        <v>761</v>
      </c>
      <c r="F139" s="8" t="s">
        <v>394</v>
      </c>
      <c r="G139" s="8" t="s">
        <v>76</v>
      </c>
      <c r="H139" s="8" t="s">
        <v>762</v>
      </c>
      <c r="I139" s="8" t="s">
        <v>138</v>
      </c>
      <c r="J139" s="8" t="s">
        <v>106</v>
      </c>
      <c r="K139" s="8" t="s">
        <v>122</v>
      </c>
      <c r="L139" s="8" t="s">
        <v>263</v>
      </c>
      <c r="M139" s="8">
        <v>8</v>
      </c>
      <c r="N139" s="8">
        <v>45</v>
      </c>
      <c r="O139" s="8">
        <v>0</v>
      </c>
      <c r="P139" s="8">
        <v>360</v>
      </c>
      <c r="Q139" s="8">
        <v>1</v>
      </c>
      <c r="R139" s="8" t="s">
        <v>79</v>
      </c>
      <c r="S139" s="8" t="s">
        <v>151</v>
      </c>
      <c r="T139" s="8" t="s">
        <v>332</v>
      </c>
      <c r="U139" s="9" t="s">
        <v>763</v>
      </c>
      <c r="V139" s="8" t="s">
        <v>69</v>
      </c>
    </row>
    <row r="140" spans="1:22">
      <c r="A140" s="3" t="s">
        <v>764</v>
      </c>
      <c r="B140" s="4" t="s">
        <v>221</v>
      </c>
      <c r="C140" s="4" t="s">
        <v>259</v>
      </c>
      <c r="D140" s="4" t="s">
        <v>765</v>
      </c>
      <c r="E140" s="4" t="s">
        <v>766</v>
      </c>
      <c r="F140" s="4" t="s">
        <v>225</v>
      </c>
      <c r="G140" s="4" t="s">
        <v>76</v>
      </c>
      <c r="H140" s="4" t="s">
        <v>767</v>
      </c>
      <c r="I140" s="4" t="s">
        <v>44</v>
      </c>
      <c r="J140" s="4" t="s">
        <v>45</v>
      </c>
      <c r="K140" s="4" t="s">
        <v>122</v>
      </c>
      <c r="L140" s="4" t="s">
        <v>263</v>
      </c>
      <c r="M140" s="4">
        <v>11</v>
      </c>
      <c r="N140" s="4">
        <v>45</v>
      </c>
      <c r="O140" s="4">
        <v>5</v>
      </c>
      <c r="P140" s="4">
        <v>470.25</v>
      </c>
      <c r="Q140" s="4">
        <v>3</v>
      </c>
      <c r="R140" s="4" t="s">
        <v>79</v>
      </c>
      <c r="S140" s="4" t="s">
        <v>49</v>
      </c>
      <c r="T140" s="4" t="s">
        <v>228</v>
      </c>
      <c r="U140" s="6" t="s">
        <v>768</v>
      </c>
      <c r="V140" s="4" t="s">
        <v>38</v>
      </c>
    </row>
    <row r="141" spans="1:22">
      <c r="A141" s="7" t="s">
        <v>769</v>
      </c>
      <c r="B141" s="8" t="s">
        <v>83</v>
      </c>
      <c r="C141" s="8" t="s">
        <v>54</v>
      </c>
      <c r="D141" s="8" t="s">
        <v>770</v>
      </c>
      <c r="E141" s="8" t="s">
        <v>771</v>
      </c>
      <c r="F141" s="8" t="s">
        <v>180</v>
      </c>
      <c r="G141" s="8" t="s">
        <v>76</v>
      </c>
      <c r="H141" s="8" t="s">
        <v>772</v>
      </c>
      <c r="I141" s="8" t="s">
        <v>138</v>
      </c>
      <c r="J141" s="8" t="s">
        <v>106</v>
      </c>
      <c r="K141" s="8" t="s">
        <v>46</v>
      </c>
      <c r="L141" s="8" t="s">
        <v>60</v>
      </c>
      <c r="M141" s="8">
        <v>19</v>
      </c>
      <c r="N141" s="8">
        <v>55000</v>
      </c>
      <c r="O141" s="8">
        <v>0</v>
      </c>
      <c r="P141" s="8">
        <v>1045000</v>
      </c>
      <c r="Q141" s="8">
        <v>2</v>
      </c>
      <c r="R141" s="8" t="s">
        <v>79</v>
      </c>
      <c r="S141" s="8" t="s">
        <v>35</v>
      </c>
      <c r="T141" s="8" t="s">
        <v>89</v>
      </c>
      <c r="U141" s="9" t="s">
        <v>773</v>
      </c>
      <c r="V141" s="8" t="s">
        <v>69</v>
      </c>
    </row>
    <row r="142" spans="1:22">
      <c r="A142" s="3" t="s">
        <v>774</v>
      </c>
      <c r="B142" s="4" t="s">
        <v>53</v>
      </c>
      <c r="C142" s="4" t="s">
        <v>92</v>
      </c>
      <c r="D142" s="4" t="s">
        <v>775</v>
      </c>
      <c r="E142" s="4" t="s">
        <v>539</v>
      </c>
      <c r="F142" s="4" t="s">
        <v>163</v>
      </c>
      <c r="G142" s="4" t="s">
        <v>28</v>
      </c>
      <c r="H142" s="4" t="s">
        <v>776</v>
      </c>
      <c r="I142" s="4" t="s">
        <v>114</v>
      </c>
      <c r="J142" s="4" t="s">
        <v>106</v>
      </c>
      <c r="K142" s="4" t="s">
        <v>32</v>
      </c>
      <c r="L142" s="4" t="s">
        <v>97</v>
      </c>
      <c r="M142" s="4">
        <v>20</v>
      </c>
      <c r="N142" s="4">
        <v>3500</v>
      </c>
      <c r="O142" s="4">
        <v>20</v>
      </c>
      <c r="P142" s="4">
        <v>56000</v>
      </c>
      <c r="Q142" s="4">
        <v>4</v>
      </c>
      <c r="R142" s="4" t="s">
        <v>48</v>
      </c>
      <c r="S142" s="4" t="s">
        <v>49</v>
      </c>
      <c r="T142" s="4" t="s">
        <v>62</v>
      </c>
      <c r="U142" s="6" t="s">
        <v>777</v>
      </c>
      <c r="V142" s="4" t="s">
        <v>38</v>
      </c>
    </row>
    <row r="143" spans="1:22">
      <c r="A143" s="7" t="s">
        <v>778</v>
      </c>
      <c r="B143" s="8" t="s">
        <v>83</v>
      </c>
      <c r="C143" s="8" t="s">
        <v>24</v>
      </c>
      <c r="D143" s="8" t="s">
        <v>276</v>
      </c>
      <c r="E143" s="8" t="s">
        <v>779</v>
      </c>
      <c r="F143" s="8" t="s">
        <v>180</v>
      </c>
      <c r="G143" s="8" t="s">
        <v>76</v>
      </c>
      <c r="H143" s="8" t="s">
        <v>780</v>
      </c>
      <c r="I143" s="8" t="s">
        <v>114</v>
      </c>
      <c r="J143" s="8" t="s">
        <v>106</v>
      </c>
      <c r="K143" s="8" t="s">
        <v>32</v>
      </c>
      <c r="L143" s="8" t="s">
        <v>33</v>
      </c>
      <c r="M143" s="8">
        <v>17</v>
      </c>
      <c r="N143" s="8">
        <v>2200</v>
      </c>
      <c r="O143" s="8">
        <v>0</v>
      </c>
      <c r="P143" s="8">
        <v>37400</v>
      </c>
      <c r="Q143" s="8">
        <v>5</v>
      </c>
      <c r="R143" s="8" t="s">
        <v>48</v>
      </c>
      <c r="S143" s="8" t="s">
        <v>35</v>
      </c>
      <c r="T143" s="8" t="s">
        <v>89</v>
      </c>
      <c r="U143" s="9" t="s">
        <v>781</v>
      </c>
      <c r="V143" s="8" t="s">
        <v>64</v>
      </c>
    </row>
    <row r="144" spans="1:22">
      <c r="A144" s="3" t="s">
        <v>782</v>
      </c>
      <c r="B144" s="4" t="s">
        <v>83</v>
      </c>
      <c r="C144" s="4" t="s">
        <v>72</v>
      </c>
      <c r="D144" s="4" t="s">
        <v>770</v>
      </c>
      <c r="E144" s="4" t="s">
        <v>783</v>
      </c>
      <c r="F144" s="4" t="s">
        <v>180</v>
      </c>
      <c r="G144" s="4" t="s">
        <v>76</v>
      </c>
      <c r="H144" s="4" t="s">
        <v>784</v>
      </c>
      <c r="I144" s="4" t="s">
        <v>114</v>
      </c>
      <c r="J144" s="4" t="s">
        <v>106</v>
      </c>
      <c r="K144" s="4" t="s">
        <v>46</v>
      </c>
      <c r="L144" s="4" t="s">
        <v>78</v>
      </c>
      <c r="M144" s="4">
        <v>10</v>
      </c>
      <c r="N144" s="4">
        <v>1200</v>
      </c>
      <c r="O144" s="4">
        <v>5</v>
      </c>
      <c r="P144" s="4">
        <v>11400</v>
      </c>
      <c r="Q144" s="4">
        <v>2</v>
      </c>
      <c r="R144" s="4" t="s">
        <v>34</v>
      </c>
      <c r="S144" s="4" t="s">
        <v>49</v>
      </c>
      <c r="T144" s="4" t="s">
        <v>89</v>
      </c>
      <c r="U144" s="6" t="s">
        <v>785</v>
      </c>
      <c r="V144" s="4" t="s">
        <v>69</v>
      </c>
    </row>
    <row r="145" spans="1:22">
      <c r="A145" s="7" t="s">
        <v>786</v>
      </c>
      <c r="B145" s="8" t="s">
        <v>221</v>
      </c>
      <c r="C145" s="8" t="s">
        <v>118</v>
      </c>
      <c r="D145" s="8" t="s">
        <v>787</v>
      </c>
      <c r="E145" s="8" t="s">
        <v>788</v>
      </c>
      <c r="F145" s="8" t="s">
        <v>225</v>
      </c>
      <c r="G145" s="8" t="s">
        <v>76</v>
      </c>
      <c r="H145" s="8" t="s">
        <v>789</v>
      </c>
      <c r="I145" s="8" t="s">
        <v>30</v>
      </c>
      <c r="J145" s="8" t="s">
        <v>31</v>
      </c>
      <c r="K145" s="8" t="s">
        <v>122</v>
      </c>
      <c r="L145" s="8" t="s">
        <v>123</v>
      </c>
      <c r="M145" s="8">
        <v>3</v>
      </c>
      <c r="N145" s="8">
        <v>60</v>
      </c>
      <c r="O145" s="8">
        <v>0</v>
      </c>
      <c r="P145" s="8">
        <v>180</v>
      </c>
      <c r="Q145" s="8">
        <v>4</v>
      </c>
      <c r="R145" s="8" t="s">
        <v>48</v>
      </c>
      <c r="S145" s="8" t="s">
        <v>151</v>
      </c>
      <c r="T145" s="8" t="s">
        <v>228</v>
      </c>
      <c r="U145" s="9" t="s">
        <v>790</v>
      </c>
      <c r="V145" s="8" t="s">
        <v>38</v>
      </c>
    </row>
    <row r="146" spans="1:22">
      <c r="A146" s="3" t="s">
        <v>791</v>
      </c>
      <c r="B146" s="4" t="s">
        <v>53</v>
      </c>
      <c r="C146" s="4" t="s">
        <v>24</v>
      </c>
      <c r="D146" s="4" t="s">
        <v>792</v>
      </c>
      <c r="E146" s="4" t="s">
        <v>793</v>
      </c>
      <c r="F146" s="4" t="s">
        <v>163</v>
      </c>
      <c r="G146" s="4" t="s">
        <v>28</v>
      </c>
      <c r="H146" s="4" t="s">
        <v>794</v>
      </c>
      <c r="I146" s="4" t="s">
        <v>105</v>
      </c>
      <c r="J146" s="4" t="s">
        <v>106</v>
      </c>
      <c r="K146" s="4" t="s">
        <v>32</v>
      </c>
      <c r="L146" s="4" t="s">
        <v>33</v>
      </c>
      <c r="M146" s="4">
        <v>18</v>
      </c>
      <c r="N146" s="4">
        <v>2200</v>
      </c>
      <c r="O146" s="4">
        <v>10</v>
      </c>
      <c r="P146" s="4">
        <v>35640</v>
      </c>
      <c r="Q146" s="4">
        <v>1</v>
      </c>
      <c r="R146" s="4" t="s">
        <v>79</v>
      </c>
      <c r="S146" s="4" t="s">
        <v>151</v>
      </c>
      <c r="T146" s="4" t="s">
        <v>62</v>
      </c>
      <c r="U146" s="6" t="s">
        <v>795</v>
      </c>
      <c r="V146" s="4" t="s">
        <v>69</v>
      </c>
    </row>
    <row r="147" spans="1:22">
      <c r="A147" s="7" t="s">
        <v>796</v>
      </c>
      <c r="B147" s="8" t="s">
        <v>71</v>
      </c>
      <c r="C147" s="8" t="s">
        <v>118</v>
      </c>
      <c r="D147" s="8" t="s">
        <v>797</v>
      </c>
      <c r="E147" s="8" t="s">
        <v>798</v>
      </c>
      <c r="F147" s="8" t="s">
        <v>217</v>
      </c>
      <c r="G147" s="8" t="s">
        <v>76</v>
      </c>
      <c r="H147" s="8" t="s">
        <v>799</v>
      </c>
      <c r="I147" s="8" t="s">
        <v>44</v>
      </c>
      <c r="J147" s="8" t="s">
        <v>45</v>
      </c>
      <c r="K147" s="8" t="s">
        <v>122</v>
      </c>
      <c r="L147" s="8" t="s">
        <v>123</v>
      </c>
      <c r="M147" s="8">
        <v>18</v>
      </c>
      <c r="N147" s="8">
        <v>60</v>
      </c>
      <c r="O147" s="8">
        <v>5</v>
      </c>
      <c r="P147" s="8">
        <v>1026</v>
      </c>
      <c r="Q147" s="8">
        <v>3</v>
      </c>
      <c r="R147" s="8" t="s">
        <v>79</v>
      </c>
      <c r="S147" s="8" t="s">
        <v>49</v>
      </c>
      <c r="T147" s="8" t="s">
        <v>80</v>
      </c>
      <c r="U147" s="9" t="s">
        <v>800</v>
      </c>
      <c r="V147" s="8" t="s">
        <v>64</v>
      </c>
    </row>
    <row r="148" spans="1:22">
      <c r="A148" s="3" t="s">
        <v>801</v>
      </c>
      <c r="B148" s="4" t="s">
        <v>127</v>
      </c>
      <c r="C148" s="4" t="s">
        <v>54</v>
      </c>
      <c r="D148" s="4" t="s">
        <v>422</v>
      </c>
      <c r="E148" s="4" t="s">
        <v>377</v>
      </c>
      <c r="F148" s="4" t="s">
        <v>200</v>
      </c>
      <c r="G148" s="4" t="s">
        <v>76</v>
      </c>
      <c r="H148" s="4" t="s">
        <v>802</v>
      </c>
      <c r="I148" s="4" t="s">
        <v>114</v>
      </c>
      <c r="J148" s="4" t="s">
        <v>106</v>
      </c>
      <c r="K148" s="4" t="s">
        <v>46</v>
      </c>
      <c r="L148" s="4" t="s">
        <v>60</v>
      </c>
      <c r="M148" s="4">
        <v>11</v>
      </c>
      <c r="N148" s="4">
        <v>55000</v>
      </c>
      <c r="O148" s="4">
        <v>15</v>
      </c>
      <c r="P148" s="4">
        <v>514250</v>
      </c>
      <c r="Q148" s="4">
        <v>4</v>
      </c>
      <c r="R148" s="4" t="s">
        <v>88</v>
      </c>
      <c r="S148" s="4" t="s">
        <v>115</v>
      </c>
      <c r="T148" s="4" t="s">
        <v>132</v>
      </c>
      <c r="U148" s="6" t="s">
        <v>803</v>
      </c>
      <c r="V148" s="4" t="s">
        <v>69</v>
      </c>
    </row>
    <row r="149" spans="1:22">
      <c r="A149" s="7" t="s">
        <v>804</v>
      </c>
      <c r="B149" s="8" t="s">
        <v>251</v>
      </c>
      <c r="C149" s="8" t="s">
        <v>169</v>
      </c>
      <c r="D149" s="8" t="s">
        <v>474</v>
      </c>
      <c r="E149" s="8" t="s">
        <v>464</v>
      </c>
      <c r="F149" s="8" t="s">
        <v>254</v>
      </c>
      <c r="G149" s="8" t="s">
        <v>28</v>
      </c>
      <c r="H149" s="8" t="s">
        <v>805</v>
      </c>
      <c r="I149" s="8" t="s">
        <v>294</v>
      </c>
      <c r="J149" s="8" t="s">
        <v>295</v>
      </c>
      <c r="K149" s="8" t="s">
        <v>32</v>
      </c>
      <c r="L149" s="8" t="s">
        <v>174</v>
      </c>
      <c r="M149" s="8">
        <v>5</v>
      </c>
      <c r="N149" s="8">
        <v>8500</v>
      </c>
      <c r="O149" s="8">
        <v>5</v>
      </c>
      <c r="P149" s="8">
        <v>40375</v>
      </c>
      <c r="Q149" s="8">
        <v>4</v>
      </c>
      <c r="R149" s="8" t="s">
        <v>34</v>
      </c>
      <c r="S149" s="8" t="s">
        <v>151</v>
      </c>
      <c r="T149" s="8" t="s">
        <v>256</v>
      </c>
      <c r="U149" s="9" t="s">
        <v>806</v>
      </c>
      <c r="V149" s="8" t="s">
        <v>38</v>
      </c>
    </row>
    <row r="150" spans="1:22">
      <c r="A150" s="3" t="s">
        <v>192</v>
      </c>
      <c r="B150" s="4" t="s">
        <v>100</v>
      </c>
      <c r="C150" s="4" t="s">
        <v>184</v>
      </c>
      <c r="D150" s="4" t="s">
        <v>246</v>
      </c>
      <c r="E150" s="4" t="s">
        <v>128</v>
      </c>
      <c r="F150" s="4" t="s">
        <v>103</v>
      </c>
      <c r="G150" s="4" t="s">
        <v>28</v>
      </c>
      <c r="H150" s="4" t="s">
        <v>807</v>
      </c>
      <c r="I150" s="4" t="s">
        <v>212</v>
      </c>
      <c r="J150" s="4" t="s">
        <v>45</v>
      </c>
      <c r="K150" s="4" t="s">
        <v>46</v>
      </c>
      <c r="L150" s="4" t="s">
        <v>189</v>
      </c>
      <c r="M150" s="4">
        <v>16</v>
      </c>
      <c r="N150" s="4">
        <v>700</v>
      </c>
      <c r="O150" s="4">
        <v>15</v>
      </c>
      <c r="P150" s="4">
        <v>9520</v>
      </c>
      <c r="Q150" s="4">
        <v>4</v>
      </c>
      <c r="R150" s="4" t="s">
        <v>79</v>
      </c>
      <c r="S150" s="4" t="s">
        <v>61</v>
      </c>
      <c r="T150" s="4" t="s">
        <v>144</v>
      </c>
      <c r="U150" s="6" t="s">
        <v>808</v>
      </c>
      <c r="V150" s="4" t="s">
        <v>38</v>
      </c>
    </row>
    <row r="151" spans="1:22">
      <c r="A151" s="7" t="s">
        <v>809</v>
      </c>
      <c r="B151" s="8" t="s">
        <v>127</v>
      </c>
      <c r="C151" s="8" t="s">
        <v>184</v>
      </c>
      <c r="D151" s="8" t="s">
        <v>489</v>
      </c>
      <c r="E151" s="8" t="s">
        <v>267</v>
      </c>
      <c r="F151" s="8" t="s">
        <v>200</v>
      </c>
      <c r="G151" s="8" t="s">
        <v>76</v>
      </c>
      <c r="H151" s="8" t="s">
        <v>810</v>
      </c>
      <c r="I151" s="8" t="s">
        <v>114</v>
      </c>
      <c r="J151" s="8" t="s">
        <v>106</v>
      </c>
      <c r="K151" s="8" t="s">
        <v>46</v>
      </c>
      <c r="L151" s="8" t="s">
        <v>189</v>
      </c>
      <c r="M151" s="8">
        <v>6</v>
      </c>
      <c r="N151" s="8">
        <v>700</v>
      </c>
      <c r="O151" s="8">
        <v>10</v>
      </c>
      <c r="P151" s="8">
        <v>3780</v>
      </c>
      <c r="Q151" s="8">
        <v>4</v>
      </c>
      <c r="R151" s="8" t="s">
        <v>34</v>
      </c>
      <c r="S151" s="8" t="s">
        <v>49</v>
      </c>
      <c r="T151" s="8" t="s">
        <v>132</v>
      </c>
      <c r="U151" s="9" t="s">
        <v>811</v>
      </c>
      <c r="V151" s="8" t="s">
        <v>69</v>
      </c>
    </row>
    <row r="152" spans="1:22">
      <c r="A152" s="3" t="s">
        <v>812</v>
      </c>
      <c r="B152" s="4" t="s">
        <v>53</v>
      </c>
      <c r="C152" s="4" t="s">
        <v>92</v>
      </c>
      <c r="D152" s="4" t="s">
        <v>518</v>
      </c>
      <c r="E152" s="4" t="s">
        <v>615</v>
      </c>
      <c r="F152" s="4" t="s">
        <v>163</v>
      </c>
      <c r="G152" s="4" t="s">
        <v>28</v>
      </c>
      <c r="H152" s="4" t="s">
        <v>813</v>
      </c>
      <c r="I152" s="4" t="s">
        <v>44</v>
      </c>
      <c r="J152" s="4" t="s">
        <v>45</v>
      </c>
      <c r="K152" s="4" t="s">
        <v>32</v>
      </c>
      <c r="L152" s="4" t="s">
        <v>97</v>
      </c>
      <c r="M152" s="4">
        <v>20</v>
      </c>
      <c r="N152" s="4">
        <v>3500</v>
      </c>
      <c r="O152" s="4">
        <v>10</v>
      </c>
      <c r="P152" s="4">
        <v>63000</v>
      </c>
      <c r="Q152" s="4">
        <v>4</v>
      </c>
      <c r="R152" s="4" t="s">
        <v>88</v>
      </c>
      <c r="S152" s="4" t="s">
        <v>49</v>
      </c>
      <c r="T152" s="4" t="s">
        <v>62</v>
      </c>
      <c r="U152" s="6" t="s">
        <v>814</v>
      </c>
      <c r="V152" s="4" t="s">
        <v>64</v>
      </c>
    </row>
    <row r="153" spans="1:22">
      <c r="A153" s="7" t="s">
        <v>815</v>
      </c>
      <c r="B153" s="8" t="s">
        <v>23</v>
      </c>
      <c r="C153" s="8" t="s">
        <v>222</v>
      </c>
      <c r="D153" s="8" t="s">
        <v>816</v>
      </c>
      <c r="E153" s="8" t="s">
        <v>817</v>
      </c>
      <c r="F153" s="8" t="s">
        <v>27</v>
      </c>
      <c r="G153" s="8" t="s">
        <v>28</v>
      </c>
      <c r="H153" s="8" t="s">
        <v>818</v>
      </c>
      <c r="I153" s="8" t="s">
        <v>59</v>
      </c>
      <c r="J153" s="8" t="s">
        <v>31</v>
      </c>
      <c r="K153" s="8" t="s">
        <v>122</v>
      </c>
      <c r="L153" s="8" t="s">
        <v>227</v>
      </c>
      <c r="M153" s="8">
        <v>2</v>
      </c>
      <c r="N153" s="8">
        <v>20</v>
      </c>
      <c r="O153" s="8">
        <v>10</v>
      </c>
      <c r="P153" s="8">
        <v>36</v>
      </c>
      <c r="Q153" s="8">
        <v>1</v>
      </c>
      <c r="R153" s="8" t="s">
        <v>48</v>
      </c>
      <c r="S153" s="8" t="s">
        <v>115</v>
      </c>
      <c r="T153" s="8" t="s">
        <v>50</v>
      </c>
      <c r="U153" s="9" t="s">
        <v>819</v>
      </c>
      <c r="V153" s="8" t="s">
        <v>64</v>
      </c>
    </row>
    <row r="154" spans="1:22">
      <c r="A154" s="3" t="s">
        <v>820</v>
      </c>
      <c r="B154" s="4" t="s">
        <v>100</v>
      </c>
      <c r="C154" s="4" t="s">
        <v>24</v>
      </c>
      <c r="D154" s="4" t="s">
        <v>779</v>
      </c>
      <c r="E154" s="4" t="s">
        <v>821</v>
      </c>
      <c r="F154" s="4" t="s">
        <v>103</v>
      </c>
      <c r="G154" s="4" t="s">
        <v>28</v>
      </c>
      <c r="H154" s="4" t="s">
        <v>822</v>
      </c>
      <c r="I154" s="4" t="s">
        <v>114</v>
      </c>
      <c r="J154" s="4" t="s">
        <v>106</v>
      </c>
      <c r="K154" s="4" t="s">
        <v>32</v>
      </c>
      <c r="L154" s="4" t="s">
        <v>33</v>
      </c>
      <c r="M154" s="4">
        <v>16</v>
      </c>
      <c r="N154" s="4">
        <v>2200</v>
      </c>
      <c r="O154" s="4">
        <v>20</v>
      </c>
      <c r="P154" s="4">
        <v>28160</v>
      </c>
      <c r="Q154" s="4">
        <v>2</v>
      </c>
      <c r="R154" s="4" t="s">
        <v>88</v>
      </c>
      <c r="S154" s="4" t="s">
        <v>151</v>
      </c>
      <c r="T154" s="4" t="s">
        <v>144</v>
      </c>
      <c r="U154" s="6" t="s">
        <v>823</v>
      </c>
      <c r="V154" s="4" t="s">
        <v>64</v>
      </c>
    </row>
    <row r="155" spans="1:22">
      <c r="A155" s="7" t="s">
        <v>824</v>
      </c>
      <c r="B155" s="8" t="s">
        <v>221</v>
      </c>
      <c r="C155" s="8" t="s">
        <v>40</v>
      </c>
      <c r="D155" s="8" t="s">
        <v>148</v>
      </c>
      <c r="E155" s="8" t="s">
        <v>825</v>
      </c>
      <c r="F155" s="8" t="s">
        <v>225</v>
      </c>
      <c r="G155" s="8" t="s">
        <v>76</v>
      </c>
      <c r="H155" s="8" t="s">
        <v>826</v>
      </c>
      <c r="I155" s="8" t="s">
        <v>114</v>
      </c>
      <c r="J155" s="8" t="s">
        <v>106</v>
      </c>
      <c r="K155" s="8" t="s">
        <v>46</v>
      </c>
      <c r="L155" s="8" t="s">
        <v>47</v>
      </c>
      <c r="M155" s="8">
        <v>15</v>
      </c>
      <c r="N155" s="8">
        <v>12000</v>
      </c>
      <c r="O155" s="8">
        <v>0</v>
      </c>
      <c r="P155" s="8">
        <v>180000</v>
      </c>
      <c r="Q155" s="8">
        <v>1</v>
      </c>
      <c r="R155" s="8" t="s">
        <v>79</v>
      </c>
      <c r="S155" s="8" t="s">
        <v>61</v>
      </c>
      <c r="T155" s="8" t="s">
        <v>228</v>
      </c>
      <c r="U155" s="9" t="s">
        <v>827</v>
      </c>
      <c r="V155" s="8" t="s">
        <v>64</v>
      </c>
    </row>
    <row r="156" spans="1:22">
      <c r="A156" s="3" t="s">
        <v>828</v>
      </c>
      <c r="B156" s="4" t="s">
        <v>23</v>
      </c>
      <c r="C156" s="4" t="s">
        <v>118</v>
      </c>
      <c r="D156" s="4" t="s">
        <v>829</v>
      </c>
      <c r="E156" s="4" t="s">
        <v>830</v>
      </c>
      <c r="F156" s="4" t="s">
        <v>27</v>
      </c>
      <c r="G156" s="4" t="s">
        <v>28</v>
      </c>
      <c r="H156" s="4" t="s">
        <v>831</v>
      </c>
      <c r="I156" s="4" t="s">
        <v>44</v>
      </c>
      <c r="J156" s="4" t="s">
        <v>45</v>
      </c>
      <c r="K156" s="4" t="s">
        <v>122</v>
      </c>
      <c r="L156" s="4" t="s">
        <v>123</v>
      </c>
      <c r="M156" s="4">
        <v>14</v>
      </c>
      <c r="N156" s="4">
        <v>60</v>
      </c>
      <c r="O156" s="4">
        <v>15</v>
      </c>
      <c r="P156" s="4">
        <v>714</v>
      </c>
      <c r="Q156" s="4">
        <v>4</v>
      </c>
      <c r="R156" s="4" t="s">
        <v>88</v>
      </c>
      <c r="S156" s="4" t="s">
        <v>49</v>
      </c>
      <c r="T156" s="4" t="s">
        <v>50</v>
      </c>
      <c r="U156" s="6" t="s">
        <v>832</v>
      </c>
      <c r="V156" s="4" t="s">
        <v>38</v>
      </c>
    </row>
    <row r="157" spans="1:22">
      <c r="A157" s="7" t="s">
        <v>833</v>
      </c>
      <c r="B157" s="8" t="s">
        <v>53</v>
      </c>
      <c r="C157" s="8" t="s">
        <v>72</v>
      </c>
      <c r="D157" s="8" t="s">
        <v>834</v>
      </c>
      <c r="E157" s="8" t="s">
        <v>835</v>
      </c>
      <c r="F157" s="8" t="s">
        <v>163</v>
      </c>
      <c r="G157" s="8" t="s">
        <v>28</v>
      </c>
      <c r="H157" s="8" t="s">
        <v>836</v>
      </c>
      <c r="I157" s="8" t="s">
        <v>30</v>
      </c>
      <c r="J157" s="8" t="s">
        <v>31</v>
      </c>
      <c r="K157" s="8" t="s">
        <v>46</v>
      </c>
      <c r="L157" s="8" t="s">
        <v>78</v>
      </c>
      <c r="M157" s="8">
        <v>9</v>
      </c>
      <c r="N157" s="8">
        <v>1200</v>
      </c>
      <c r="O157" s="8">
        <v>5</v>
      </c>
      <c r="P157" s="8">
        <v>10260</v>
      </c>
      <c r="Q157" s="8">
        <v>5</v>
      </c>
      <c r="R157" s="8" t="s">
        <v>48</v>
      </c>
      <c r="S157" s="8" t="s">
        <v>61</v>
      </c>
      <c r="T157" s="8" t="s">
        <v>62</v>
      </c>
      <c r="U157" s="9" t="s">
        <v>837</v>
      </c>
      <c r="V157" s="8" t="s">
        <v>64</v>
      </c>
    </row>
    <row r="158" spans="1:22">
      <c r="A158" s="3" t="s">
        <v>838</v>
      </c>
      <c r="B158" s="4" t="s">
        <v>221</v>
      </c>
      <c r="C158" s="4" t="s">
        <v>72</v>
      </c>
      <c r="D158" s="4" t="s">
        <v>821</v>
      </c>
      <c r="E158" s="4" t="s">
        <v>839</v>
      </c>
      <c r="F158" s="4" t="s">
        <v>225</v>
      </c>
      <c r="G158" s="4" t="s">
        <v>76</v>
      </c>
      <c r="H158" s="4" t="s">
        <v>840</v>
      </c>
      <c r="I158" s="4" t="s">
        <v>294</v>
      </c>
      <c r="J158" s="4" t="s">
        <v>295</v>
      </c>
      <c r="K158" s="4" t="s">
        <v>46</v>
      </c>
      <c r="L158" s="4" t="s">
        <v>78</v>
      </c>
      <c r="M158" s="4">
        <v>3</v>
      </c>
      <c r="N158" s="4">
        <v>1200</v>
      </c>
      <c r="O158" s="4">
        <v>10</v>
      </c>
      <c r="P158" s="4">
        <v>3240</v>
      </c>
      <c r="Q158" s="4">
        <v>2</v>
      </c>
      <c r="R158" s="4" t="s">
        <v>79</v>
      </c>
      <c r="S158" s="4" t="s">
        <v>151</v>
      </c>
      <c r="T158" s="4" t="s">
        <v>228</v>
      </c>
      <c r="U158" s="6" t="s">
        <v>841</v>
      </c>
      <c r="V158" s="4" t="s">
        <v>69</v>
      </c>
    </row>
    <row r="159" spans="1:22">
      <c r="A159" s="7" t="s">
        <v>842</v>
      </c>
      <c r="B159" s="8" t="s">
        <v>327</v>
      </c>
      <c r="C159" s="8" t="s">
        <v>118</v>
      </c>
      <c r="D159" s="8" t="s">
        <v>459</v>
      </c>
      <c r="E159" s="8" t="s">
        <v>577</v>
      </c>
      <c r="F159" s="8" t="s">
        <v>394</v>
      </c>
      <c r="G159" s="8" t="s">
        <v>76</v>
      </c>
      <c r="H159" s="8" t="s">
        <v>843</v>
      </c>
      <c r="I159" s="8" t="s">
        <v>30</v>
      </c>
      <c r="J159" s="8" t="s">
        <v>31</v>
      </c>
      <c r="K159" s="8" t="s">
        <v>122</v>
      </c>
      <c r="L159" s="8" t="s">
        <v>123</v>
      </c>
      <c r="M159" s="8">
        <v>2</v>
      </c>
      <c r="N159" s="8">
        <v>60</v>
      </c>
      <c r="O159" s="8">
        <v>10</v>
      </c>
      <c r="P159" s="8">
        <v>108</v>
      </c>
      <c r="Q159" s="8">
        <v>2</v>
      </c>
      <c r="R159" s="8" t="s">
        <v>88</v>
      </c>
      <c r="S159" s="8" t="s">
        <v>61</v>
      </c>
      <c r="T159" s="8" t="s">
        <v>332</v>
      </c>
      <c r="U159" s="9" t="s">
        <v>844</v>
      </c>
      <c r="V159" s="8" t="s">
        <v>38</v>
      </c>
    </row>
    <row r="160" spans="1:22">
      <c r="A160" s="3" t="s">
        <v>845</v>
      </c>
      <c r="B160" s="4" t="s">
        <v>71</v>
      </c>
      <c r="C160" s="4" t="s">
        <v>92</v>
      </c>
      <c r="D160" s="4" t="s">
        <v>426</v>
      </c>
      <c r="E160" s="4" t="s">
        <v>846</v>
      </c>
      <c r="F160" s="4" t="s">
        <v>217</v>
      </c>
      <c r="G160" s="4" t="s">
        <v>76</v>
      </c>
      <c r="H160" s="4" t="s">
        <v>847</v>
      </c>
      <c r="I160" s="4" t="s">
        <v>44</v>
      </c>
      <c r="J160" s="4" t="s">
        <v>45</v>
      </c>
      <c r="K160" s="4" t="s">
        <v>32</v>
      </c>
      <c r="L160" s="4" t="s">
        <v>97</v>
      </c>
      <c r="M160" s="4">
        <v>9</v>
      </c>
      <c r="N160" s="4">
        <v>3500</v>
      </c>
      <c r="O160" s="4">
        <v>20</v>
      </c>
      <c r="P160" s="4">
        <v>25200</v>
      </c>
      <c r="Q160" s="4">
        <v>1</v>
      </c>
      <c r="R160" s="4" t="s">
        <v>48</v>
      </c>
      <c r="S160" s="4" t="s">
        <v>35</v>
      </c>
      <c r="T160" s="4" t="s">
        <v>80</v>
      </c>
      <c r="U160" s="6" t="s">
        <v>848</v>
      </c>
      <c r="V160" s="4" t="s">
        <v>38</v>
      </c>
    </row>
    <row r="161" spans="1:22">
      <c r="A161" s="7" t="s">
        <v>849</v>
      </c>
      <c r="B161" s="8" t="s">
        <v>221</v>
      </c>
      <c r="C161" s="8" t="s">
        <v>54</v>
      </c>
      <c r="D161" s="8" t="s">
        <v>241</v>
      </c>
      <c r="E161" s="8" t="s">
        <v>543</v>
      </c>
      <c r="F161" s="8" t="s">
        <v>225</v>
      </c>
      <c r="G161" s="8" t="s">
        <v>76</v>
      </c>
      <c r="H161" s="8" t="s">
        <v>850</v>
      </c>
      <c r="I161" s="8" t="s">
        <v>212</v>
      </c>
      <c r="J161" s="8" t="s">
        <v>45</v>
      </c>
      <c r="K161" s="8" t="s">
        <v>46</v>
      </c>
      <c r="L161" s="8" t="s">
        <v>60</v>
      </c>
      <c r="M161" s="8">
        <v>4</v>
      </c>
      <c r="N161" s="8">
        <v>55000</v>
      </c>
      <c r="O161" s="8">
        <v>5</v>
      </c>
      <c r="P161" s="8">
        <v>209000</v>
      </c>
      <c r="Q161" s="8">
        <v>2</v>
      </c>
      <c r="R161" s="8" t="s">
        <v>34</v>
      </c>
      <c r="S161" s="8" t="s">
        <v>151</v>
      </c>
      <c r="T161" s="8" t="s">
        <v>228</v>
      </c>
      <c r="U161" s="9" t="s">
        <v>851</v>
      </c>
      <c r="V161" s="8" t="s">
        <v>64</v>
      </c>
    </row>
    <row r="162" spans="1:22">
      <c r="A162" s="3" t="s">
        <v>852</v>
      </c>
      <c r="B162" s="4" t="s">
        <v>327</v>
      </c>
      <c r="C162" s="4" t="s">
        <v>184</v>
      </c>
      <c r="D162" s="4" t="s">
        <v>488</v>
      </c>
      <c r="E162" s="4" t="s">
        <v>266</v>
      </c>
      <c r="F162" s="4" t="s">
        <v>853</v>
      </c>
      <c r="G162" s="4" t="s">
        <v>76</v>
      </c>
      <c r="H162" s="4" t="s">
        <v>854</v>
      </c>
      <c r="I162" s="4" t="s">
        <v>44</v>
      </c>
      <c r="J162" s="4" t="s">
        <v>45</v>
      </c>
      <c r="K162" s="4" t="s">
        <v>46</v>
      </c>
      <c r="L162" s="4" t="s">
        <v>189</v>
      </c>
      <c r="M162" s="4">
        <v>11</v>
      </c>
      <c r="N162" s="4">
        <v>700</v>
      </c>
      <c r="O162" s="4">
        <v>20</v>
      </c>
      <c r="P162" s="4">
        <v>6160</v>
      </c>
      <c r="Q162" s="4">
        <v>4</v>
      </c>
      <c r="R162" s="4" t="s">
        <v>34</v>
      </c>
      <c r="S162" s="4" t="s">
        <v>151</v>
      </c>
      <c r="T162" s="4" t="s">
        <v>332</v>
      </c>
      <c r="U162" s="6" t="s">
        <v>855</v>
      </c>
      <c r="V162" s="4" t="s">
        <v>69</v>
      </c>
    </row>
    <row r="163" spans="1:22">
      <c r="A163" s="7" t="s">
        <v>856</v>
      </c>
      <c r="B163" s="8" t="s">
        <v>168</v>
      </c>
      <c r="C163" s="8" t="s">
        <v>72</v>
      </c>
      <c r="D163" s="8" t="s">
        <v>286</v>
      </c>
      <c r="E163" s="8" t="s">
        <v>816</v>
      </c>
      <c r="F163" s="8" t="s">
        <v>361</v>
      </c>
      <c r="G163" s="8" t="s">
        <v>28</v>
      </c>
      <c r="H163" s="8" t="s">
        <v>857</v>
      </c>
      <c r="I163" s="8" t="s">
        <v>294</v>
      </c>
      <c r="J163" s="8" t="s">
        <v>295</v>
      </c>
      <c r="K163" s="8" t="s">
        <v>46</v>
      </c>
      <c r="L163" s="8" t="s">
        <v>78</v>
      </c>
      <c r="M163" s="8">
        <v>16</v>
      </c>
      <c r="N163" s="8">
        <v>1200</v>
      </c>
      <c r="O163" s="8">
        <v>5</v>
      </c>
      <c r="P163" s="8">
        <v>18240</v>
      </c>
      <c r="Q163" s="8">
        <v>1</v>
      </c>
      <c r="R163" s="8" t="s">
        <v>79</v>
      </c>
      <c r="S163" s="8" t="s">
        <v>35</v>
      </c>
      <c r="T163" s="8" t="s">
        <v>175</v>
      </c>
      <c r="U163" s="9" t="s">
        <v>858</v>
      </c>
      <c r="V163" s="8" t="s">
        <v>64</v>
      </c>
    </row>
    <row r="164" spans="1:22">
      <c r="A164" s="3" t="s">
        <v>859</v>
      </c>
      <c r="B164" s="4" t="s">
        <v>168</v>
      </c>
      <c r="C164" s="4" t="s">
        <v>72</v>
      </c>
      <c r="D164" s="4" t="s">
        <v>548</v>
      </c>
      <c r="E164" s="4" t="s">
        <v>860</v>
      </c>
      <c r="F164" s="4" t="s">
        <v>361</v>
      </c>
      <c r="G164" s="4" t="s">
        <v>28</v>
      </c>
      <c r="H164" s="4" t="s">
        <v>861</v>
      </c>
      <c r="I164" s="4" t="s">
        <v>114</v>
      </c>
      <c r="J164" s="4" t="s">
        <v>106</v>
      </c>
      <c r="K164" s="4" t="s">
        <v>46</v>
      </c>
      <c r="L164" s="4" t="s">
        <v>78</v>
      </c>
      <c r="M164" s="4">
        <v>1</v>
      </c>
      <c r="N164" s="4">
        <v>1200</v>
      </c>
      <c r="O164" s="4">
        <v>5</v>
      </c>
      <c r="P164" s="4">
        <v>1140</v>
      </c>
      <c r="Q164" s="4">
        <v>4</v>
      </c>
      <c r="R164" s="4" t="s">
        <v>79</v>
      </c>
      <c r="S164" s="4" t="s">
        <v>35</v>
      </c>
      <c r="T164" s="4" t="s">
        <v>175</v>
      </c>
      <c r="U164" s="6" t="s">
        <v>862</v>
      </c>
      <c r="V164" s="4" t="s">
        <v>38</v>
      </c>
    </row>
    <row r="165" spans="1:22">
      <c r="A165" s="7" t="s">
        <v>863</v>
      </c>
      <c r="B165" s="8" t="s">
        <v>327</v>
      </c>
      <c r="C165" s="8" t="s">
        <v>118</v>
      </c>
      <c r="D165" s="8" t="s">
        <v>864</v>
      </c>
      <c r="E165" s="8" t="s">
        <v>865</v>
      </c>
      <c r="F165" s="8" t="s">
        <v>853</v>
      </c>
      <c r="G165" s="8" t="s">
        <v>76</v>
      </c>
      <c r="H165" s="8" t="s">
        <v>866</v>
      </c>
      <c r="I165" s="8" t="s">
        <v>212</v>
      </c>
      <c r="J165" s="8" t="s">
        <v>45</v>
      </c>
      <c r="K165" s="8" t="s">
        <v>122</v>
      </c>
      <c r="L165" s="8" t="s">
        <v>123</v>
      </c>
      <c r="M165" s="8">
        <v>7</v>
      </c>
      <c r="N165" s="8">
        <v>60</v>
      </c>
      <c r="O165" s="8">
        <v>0</v>
      </c>
      <c r="P165" s="8">
        <v>420</v>
      </c>
      <c r="Q165" s="8">
        <v>2</v>
      </c>
      <c r="R165" s="8" t="s">
        <v>88</v>
      </c>
      <c r="S165" s="8" t="s">
        <v>151</v>
      </c>
      <c r="T165" s="8" t="s">
        <v>332</v>
      </c>
      <c r="U165" s="9" t="s">
        <v>867</v>
      </c>
      <c r="V165" s="8" t="s">
        <v>38</v>
      </c>
    </row>
    <row r="166" spans="1:22">
      <c r="A166" s="3" t="s">
        <v>868</v>
      </c>
      <c r="B166" s="4" t="s">
        <v>168</v>
      </c>
      <c r="C166" s="4" t="s">
        <v>24</v>
      </c>
      <c r="D166" s="4" t="s">
        <v>205</v>
      </c>
      <c r="E166" s="4" t="s">
        <v>513</v>
      </c>
      <c r="F166" s="4" t="s">
        <v>361</v>
      </c>
      <c r="G166" s="4" t="s">
        <v>28</v>
      </c>
      <c r="H166" s="4" t="s">
        <v>869</v>
      </c>
      <c r="I166" s="4" t="s">
        <v>114</v>
      </c>
      <c r="J166" s="4" t="s">
        <v>106</v>
      </c>
      <c r="K166" s="4" t="s">
        <v>32</v>
      </c>
      <c r="L166" s="4" t="s">
        <v>33</v>
      </c>
      <c r="M166" s="4">
        <v>14</v>
      </c>
      <c r="N166" s="4">
        <v>2200</v>
      </c>
      <c r="O166" s="4">
        <v>0</v>
      </c>
      <c r="P166" s="4">
        <v>30800</v>
      </c>
      <c r="Q166" s="4">
        <v>2</v>
      </c>
      <c r="R166" s="4" t="s">
        <v>88</v>
      </c>
      <c r="S166" s="4" t="s">
        <v>35</v>
      </c>
      <c r="T166" s="4" t="s">
        <v>175</v>
      </c>
      <c r="U166" s="6" t="s">
        <v>870</v>
      </c>
      <c r="V166" s="4" t="s">
        <v>69</v>
      </c>
    </row>
    <row r="167" spans="1:22">
      <c r="A167" s="7" t="s">
        <v>871</v>
      </c>
      <c r="B167" s="8" t="s">
        <v>168</v>
      </c>
      <c r="C167" s="8" t="s">
        <v>92</v>
      </c>
      <c r="D167" s="8" t="s">
        <v>872</v>
      </c>
      <c r="E167" s="8" t="s">
        <v>488</v>
      </c>
      <c r="F167" s="8" t="s">
        <v>361</v>
      </c>
      <c r="G167" s="8" t="s">
        <v>28</v>
      </c>
      <c r="H167" s="8" t="s">
        <v>873</v>
      </c>
      <c r="I167" s="8" t="s">
        <v>138</v>
      </c>
      <c r="J167" s="8" t="s">
        <v>106</v>
      </c>
      <c r="K167" s="8" t="s">
        <v>32</v>
      </c>
      <c r="L167" s="8" t="s">
        <v>97</v>
      </c>
      <c r="M167" s="8">
        <v>15</v>
      </c>
      <c r="N167" s="8">
        <v>3500</v>
      </c>
      <c r="O167" s="8">
        <v>15</v>
      </c>
      <c r="P167" s="8">
        <v>44625</v>
      </c>
      <c r="Q167" s="8">
        <v>2</v>
      </c>
      <c r="R167" s="8" t="s">
        <v>88</v>
      </c>
      <c r="S167" s="8" t="s">
        <v>61</v>
      </c>
      <c r="T167" s="8" t="s">
        <v>175</v>
      </c>
      <c r="U167" s="9" t="s">
        <v>874</v>
      </c>
      <c r="V167" s="8" t="s">
        <v>64</v>
      </c>
    </row>
    <row r="168" spans="1:22">
      <c r="A168" s="3" t="s">
        <v>875</v>
      </c>
      <c r="B168" s="4" t="s">
        <v>127</v>
      </c>
      <c r="C168" s="4" t="s">
        <v>92</v>
      </c>
      <c r="D168" s="4" t="s">
        <v>876</v>
      </c>
      <c r="E168" s="4" t="s">
        <v>877</v>
      </c>
      <c r="F168" s="4" t="s">
        <v>200</v>
      </c>
      <c r="G168" s="4" t="s">
        <v>76</v>
      </c>
      <c r="H168" s="4" t="s">
        <v>878</v>
      </c>
      <c r="I168" s="4" t="s">
        <v>294</v>
      </c>
      <c r="J168" s="4" t="s">
        <v>295</v>
      </c>
      <c r="K168" s="4" t="s">
        <v>32</v>
      </c>
      <c r="L168" s="4" t="s">
        <v>97</v>
      </c>
      <c r="M168" s="4">
        <v>19</v>
      </c>
      <c r="N168" s="4">
        <v>3500</v>
      </c>
      <c r="O168" s="4">
        <v>5</v>
      </c>
      <c r="P168" s="4">
        <v>63175</v>
      </c>
      <c r="Q168" s="4">
        <v>2</v>
      </c>
      <c r="R168" s="4" t="s">
        <v>34</v>
      </c>
      <c r="S168" s="4" t="s">
        <v>115</v>
      </c>
      <c r="T168" s="4" t="s">
        <v>132</v>
      </c>
      <c r="U168" s="6" t="s">
        <v>879</v>
      </c>
      <c r="V168" s="4" t="s">
        <v>69</v>
      </c>
    </row>
    <row r="169" spans="1:22">
      <c r="A169" s="7" t="s">
        <v>880</v>
      </c>
      <c r="B169" s="8" t="s">
        <v>327</v>
      </c>
      <c r="C169" s="8" t="s">
        <v>54</v>
      </c>
      <c r="D169" s="8" t="s">
        <v>881</v>
      </c>
      <c r="E169" s="8" t="s">
        <v>640</v>
      </c>
      <c r="F169" s="8" t="s">
        <v>394</v>
      </c>
      <c r="G169" s="8" t="s">
        <v>76</v>
      </c>
      <c r="H169" s="8" t="s">
        <v>882</v>
      </c>
      <c r="I169" s="8" t="s">
        <v>59</v>
      </c>
      <c r="J169" s="8" t="s">
        <v>31</v>
      </c>
      <c r="K169" s="8" t="s">
        <v>46</v>
      </c>
      <c r="L169" s="8" t="s">
        <v>60</v>
      </c>
      <c r="M169" s="8">
        <v>12</v>
      </c>
      <c r="N169" s="8">
        <v>55000</v>
      </c>
      <c r="O169" s="8">
        <v>5</v>
      </c>
      <c r="P169" s="8">
        <v>627000</v>
      </c>
      <c r="Q169" s="8">
        <v>4</v>
      </c>
      <c r="R169" s="8" t="s">
        <v>79</v>
      </c>
      <c r="S169" s="8" t="s">
        <v>61</v>
      </c>
      <c r="T169" s="8" t="s">
        <v>332</v>
      </c>
      <c r="U169" s="9" t="s">
        <v>883</v>
      </c>
      <c r="V169" s="8" t="s">
        <v>69</v>
      </c>
    </row>
    <row r="170" spans="1:22">
      <c r="A170" s="3" t="s">
        <v>884</v>
      </c>
      <c r="B170" s="4" t="s">
        <v>53</v>
      </c>
      <c r="C170" s="4" t="s">
        <v>72</v>
      </c>
      <c r="D170" s="4" t="s">
        <v>587</v>
      </c>
      <c r="E170" s="4" t="s">
        <v>483</v>
      </c>
      <c r="F170" s="4" t="s">
        <v>163</v>
      </c>
      <c r="G170" s="4" t="s">
        <v>28</v>
      </c>
      <c r="H170" s="4" t="s">
        <v>885</v>
      </c>
      <c r="I170" s="4" t="s">
        <v>105</v>
      </c>
      <c r="J170" s="4" t="s">
        <v>106</v>
      </c>
      <c r="K170" s="4" t="s">
        <v>46</v>
      </c>
      <c r="L170" s="4" t="s">
        <v>78</v>
      </c>
      <c r="M170" s="4">
        <v>6</v>
      </c>
      <c r="N170" s="4">
        <v>1200</v>
      </c>
      <c r="O170" s="4">
        <v>10</v>
      </c>
      <c r="P170" s="4">
        <v>6480</v>
      </c>
      <c r="Q170" s="4">
        <v>5</v>
      </c>
      <c r="R170" s="4" t="s">
        <v>48</v>
      </c>
      <c r="S170" s="4" t="s">
        <v>115</v>
      </c>
      <c r="T170" s="4" t="s">
        <v>62</v>
      </c>
      <c r="U170" s="6" t="s">
        <v>886</v>
      </c>
      <c r="V170" s="4" t="s">
        <v>69</v>
      </c>
    </row>
    <row r="171" spans="1:22">
      <c r="A171" s="7" t="s">
        <v>887</v>
      </c>
      <c r="B171" s="8" t="s">
        <v>251</v>
      </c>
      <c r="C171" s="8" t="s">
        <v>169</v>
      </c>
      <c r="D171" s="8" t="s">
        <v>128</v>
      </c>
      <c r="E171" s="8" t="s">
        <v>247</v>
      </c>
      <c r="F171" s="8" t="s">
        <v>254</v>
      </c>
      <c r="G171" s="8" t="s">
        <v>28</v>
      </c>
      <c r="H171" s="8" t="s">
        <v>888</v>
      </c>
      <c r="I171" s="8" t="s">
        <v>30</v>
      </c>
      <c r="J171" s="8" t="s">
        <v>31</v>
      </c>
      <c r="K171" s="8" t="s">
        <v>32</v>
      </c>
      <c r="L171" s="8" t="s">
        <v>174</v>
      </c>
      <c r="M171" s="8">
        <v>1</v>
      </c>
      <c r="N171" s="8">
        <v>8500</v>
      </c>
      <c r="O171" s="8">
        <v>0</v>
      </c>
      <c r="P171" s="8">
        <v>8500</v>
      </c>
      <c r="Q171" s="8">
        <v>1</v>
      </c>
      <c r="R171" s="8" t="s">
        <v>88</v>
      </c>
      <c r="S171" s="8" t="s">
        <v>151</v>
      </c>
      <c r="T171" s="8" t="s">
        <v>256</v>
      </c>
      <c r="U171" s="9" t="s">
        <v>889</v>
      </c>
      <c r="V171" s="8" t="s">
        <v>69</v>
      </c>
    </row>
    <row r="172" spans="1:22">
      <c r="A172" s="3" t="s">
        <v>890</v>
      </c>
      <c r="B172" s="4" t="s">
        <v>127</v>
      </c>
      <c r="C172" s="4" t="s">
        <v>54</v>
      </c>
      <c r="D172" s="4" t="s">
        <v>891</v>
      </c>
      <c r="E172" s="4" t="s">
        <v>892</v>
      </c>
      <c r="F172" s="4" t="s">
        <v>200</v>
      </c>
      <c r="G172" s="4" t="s">
        <v>76</v>
      </c>
      <c r="H172" s="4" t="s">
        <v>893</v>
      </c>
      <c r="I172" s="4" t="s">
        <v>138</v>
      </c>
      <c r="J172" s="4" t="s">
        <v>106</v>
      </c>
      <c r="K172" s="4" t="s">
        <v>46</v>
      </c>
      <c r="L172" s="4" t="s">
        <v>60</v>
      </c>
      <c r="M172" s="4">
        <v>20</v>
      </c>
      <c r="N172" s="4">
        <v>55000</v>
      </c>
      <c r="O172" s="4">
        <v>10</v>
      </c>
      <c r="P172" s="4">
        <v>990000</v>
      </c>
      <c r="Q172" s="4">
        <v>5</v>
      </c>
      <c r="R172" s="4" t="s">
        <v>48</v>
      </c>
      <c r="S172" s="4" t="s">
        <v>151</v>
      </c>
      <c r="T172" s="4" t="s">
        <v>132</v>
      </c>
      <c r="U172" s="6" t="s">
        <v>894</v>
      </c>
      <c r="V172" s="4" t="s">
        <v>38</v>
      </c>
    </row>
    <row r="173" spans="1:22">
      <c r="A173" s="7" t="s">
        <v>895</v>
      </c>
      <c r="B173" s="8" t="s">
        <v>221</v>
      </c>
      <c r="C173" s="8" t="s">
        <v>72</v>
      </c>
      <c r="D173" s="8" t="s">
        <v>661</v>
      </c>
      <c r="E173" s="8" t="s">
        <v>896</v>
      </c>
      <c r="F173" s="8" t="s">
        <v>225</v>
      </c>
      <c r="G173" s="8" t="s">
        <v>76</v>
      </c>
      <c r="H173" s="8" t="s">
        <v>897</v>
      </c>
      <c r="I173" s="8" t="s">
        <v>138</v>
      </c>
      <c r="J173" s="8" t="s">
        <v>106</v>
      </c>
      <c r="K173" s="8" t="s">
        <v>46</v>
      </c>
      <c r="L173" s="8" t="s">
        <v>78</v>
      </c>
      <c r="M173" s="8">
        <v>8</v>
      </c>
      <c r="N173" s="8">
        <v>1200</v>
      </c>
      <c r="O173" s="8">
        <v>15</v>
      </c>
      <c r="P173" s="8">
        <v>8160</v>
      </c>
      <c r="Q173" s="8">
        <v>2</v>
      </c>
      <c r="R173" s="8" t="s">
        <v>88</v>
      </c>
      <c r="S173" s="8" t="s">
        <v>115</v>
      </c>
      <c r="T173" s="8" t="s">
        <v>228</v>
      </c>
      <c r="U173" s="9" t="s">
        <v>898</v>
      </c>
      <c r="V173" s="8" t="s">
        <v>69</v>
      </c>
    </row>
    <row r="174" spans="1:22">
      <c r="A174" s="3" t="s">
        <v>899</v>
      </c>
      <c r="B174" s="4" t="s">
        <v>23</v>
      </c>
      <c r="C174" s="4" t="s">
        <v>92</v>
      </c>
      <c r="D174" s="4" t="s">
        <v>900</v>
      </c>
      <c r="E174" s="4" t="s">
        <v>901</v>
      </c>
      <c r="F174" s="4" t="s">
        <v>27</v>
      </c>
      <c r="G174" s="4" t="s">
        <v>28</v>
      </c>
      <c r="H174" s="4" t="s">
        <v>902</v>
      </c>
      <c r="I174" s="4" t="s">
        <v>212</v>
      </c>
      <c r="J174" s="4" t="s">
        <v>45</v>
      </c>
      <c r="K174" s="4" t="s">
        <v>32</v>
      </c>
      <c r="L174" s="4" t="s">
        <v>97</v>
      </c>
      <c r="M174" s="4">
        <v>19</v>
      </c>
      <c r="N174" s="4">
        <v>3500</v>
      </c>
      <c r="O174" s="4">
        <v>5</v>
      </c>
      <c r="P174" s="4">
        <v>63175</v>
      </c>
      <c r="Q174" s="4">
        <v>4</v>
      </c>
      <c r="R174" s="4" t="s">
        <v>88</v>
      </c>
      <c r="S174" s="4" t="s">
        <v>49</v>
      </c>
      <c r="T174" s="4" t="s">
        <v>50</v>
      </c>
      <c r="U174" s="6" t="s">
        <v>903</v>
      </c>
      <c r="V174" s="4" t="s">
        <v>64</v>
      </c>
    </row>
    <row r="175" spans="1:22">
      <c r="A175" s="7" t="s">
        <v>904</v>
      </c>
      <c r="B175" s="8" t="s">
        <v>221</v>
      </c>
      <c r="C175" s="8" t="s">
        <v>259</v>
      </c>
      <c r="D175" s="8" t="s">
        <v>41</v>
      </c>
      <c r="E175" s="8" t="s">
        <v>606</v>
      </c>
      <c r="F175" s="8" t="s">
        <v>905</v>
      </c>
      <c r="G175" s="8" t="s">
        <v>76</v>
      </c>
      <c r="H175" s="8" t="s">
        <v>906</v>
      </c>
      <c r="I175" s="8" t="s">
        <v>212</v>
      </c>
      <c r="J175" s="8" t="s">
        <v>45</v>
      </c>
      <c r="K175" s="8" t="s">
        <v>122</v>
      </c>
      <c r="L175" s="8" t="s">
        <v>263</v>
      </c>
      <c r="M175" s="8">
        <v>6</v>
      </c>
      <c r="N175" s="8">
        <v>45</v>
      </c>
      <c r="O175" s="8">
        <v>20</v>
      </c>
      <c r="P175" s="8">
        <v>216</v>
      </c>
      <c r="Q175" s="8">
        <v>1</v>
      </c>
      <c r="R175" s="8" t="s">
        <v>79</v>
      </c>
      <c r="S175" s="8" t="s">
        <v>49</v>
      </c>
      <c r="T175" s="8" t="s">
        <v>907</v>
      </c>
      <c r="U175" s="9" t="s">
        <v>908</v>
      </c>
      <c r="V175" s="8" t="s">
        <v>64</v>
      </c>
    </row>
    <row r="176" spans="1:22">
      <c r="A176" s="3" t="s">
        <v>909</v>
      </c>
      <c r="B176" s="4" t="s">
        <v>251</v>
      </c>
      <c r="C176" s="4" t="s">
        <v>259</v>
      </c>
      <c r="D176" s="4" t="s">
        <v>910</v>
      </c>
      <c r="E176" s="4" t="s">
        <v>119</v>
      </c>
      <c r="F176" s="4" t="s">
        <v>254</v>
      </c>
      <c r="G176" s="4" t="s">
        <v>28</v>
      </c>
      <c r="H176" s="4" t="s">
        <v>911</v>
      </c>
      <c r="I176" s="4" t="s">
        <v>114</v>
      </c>
      <c r="J176" s="4" t="s">
        <v>106</v>
      </c>
      <c r="K176" s="4" t="s">
        <v>122</v>
      </c>
      <c r="L176" s="4" t="s">
        <v>263</v>
      </c>
      <c r="M176" s="4">
        <v>17</v>
      </c>
      <c r="N176" s="4">
        <v>45</v>
      </c>
      <c r="O176" s="4">
        <v>15</v>
      </c>
      <c r="P176" s="4">
        <v>650.25</v>
      </c>
      <c r="Q176" s="4">
        <v>5</v>
      </c>
      <c r="R176" s="4" t="s">
        <v>34</v>
      </c>
      <c r="S176" s="4" t="s">
        <v>115</v>
      </c>
      <c r="T176" s="4" t="s">
        <v>256</v>
      </c>
      <c r="U176" s="6" t="s">
        <v>912</v>
      </c>
      <c r="V176" s="4" t="s">
        <v>64</v>
      </c>
    </row>
    <row r="177" spans="1:22">
      <c r="A177" s="7" t="s">
        <v>913</v>
      </c>
      <c r="B177" s="8" t="s">
        <v>23</v>
      </c>
      <c r="C177" s="8" t="s">
        <v>222</v>
      </c>
      <c r="D177" s="8" t="s">
        <v>276</v>
      </c>
      <c r="E177" s="8" t="s">
        <v>914</v>
      </c>
      <c r="F177" s="8" t="s">
        <v>27</v>
      </c>
      <c r="G177" s="8" t="s">
        <v>28</v>
      </c>
      <c r="H177" s="8" t="s">
        <v>915</v>
      </c>
      <c r="I177" s="8" t="s">
        <v>114</v>
      </c>
      <c r="J177" s="8" t="s">
        <v>106</v>
      </c>
      <c r="K177" s="8" t="s">
        <v>122</v>
      </c>
      <c r="L177" s="8" t="s">
        <v>227</v>
      </c>
      <c r="M177" s="8">
        <v>19</v>
      </c>
      <c r="N177" s="8">
        <v>20</v>
      </c>
      <c r="O177" s="8">
        <v>5</v>
      </c>
      <c r="P177" s="8">
        <v>361</v>
      </c>
      <c r="Q177" s="8">
        <v>4</v>
      </c>
      <c r="R177" s="8" t="s">
        <v>34</v>
      </c>
      <c r="S177" s="8" t="s">
        <v>35</v>
      </c>
      <c r="T177" s="8" t="s">
        <v>50</v>
      </c>
      <c r="U177" s="9" t="s">
        <v>916</v>
      </c>
      <c r="V177" s="8" t="s">
        <v>64</v>
      </c>
    </row>
    <row r="178" spans="1:22">
      <c r="A178" s="3" t="s">
        <v>917</v>
      </c>
      <c r="B178" s="4" t="s">
        <v>251</v>
      </c>
      <c r="C178" s="4" t="s">
        <v>222</v>
      </c>
      <c r="D178" s="4" t="s">
        <v>918</v>
      </c>
      <c r="E178" s="4" t="s">
        <v>352</v>
      </c>
      <c r="F178" s="4" t="s">
        <v>919</v>
      </c>
      <c r="G178" s="4" t="s">
        <v>28</v>
      </c>
      <c r="H178" s="4" t="s">
        <v>920</v>
      </c>
      <c r="I178" s="4" t="s">
        <v>138</v>
      </c>
      <c r="J178" s="4" t="s">
        <v>106</v>
      </c>
      <c r="K178" s="4" t="s">
        <v>122</v>
      </c>
      <c r="L178" s="4" t="s">
        <v>227</v>
      </c>
      <c r="M178" s="4">
        <v>11</v>
      </c>
      <c r="N178" s="4">
        <v>20</v>
      </c>
      <c r="O178" s="4">
        <v>0</v>
      </c>
      <c r="P178" s="4">
        <v>220</v>
      </c>
      <c r="Q178" s="4">
        <v>3</v>
      </c>
      <c r="R178" s="4" t="s">
        <v>48</v>
      </c>
      <c r="S178" s="4" t="s">
        <v>49</v>
      </c>
      <c r="T178" s="4" t="s">
        <v>256</v>
      </c>
      <c r="U178" s="6" t="s">
        <v>921</v>
      </c>
      <c r="V178" s="4" t="s">
        <v>38</v>
      </c>
    </row>
    <row r="179" spans="1:22">
      <c r="A179" s="7" t="s">
        <v>922</v>
      </c>
      <c r="B179" s="8" t="s">
        <v>168</v>
      </c>
      <c r="C179" s="8" t="s">
        <v>118</v>
      </c>
      <c r="D179" s="8" t="s">
        <v>323</v>
      </c>
      <c r="E179" s="8" t="s">
        <v>923</v>
      </c>
      <c r="F179" s="8" t="s">
        <v>361</v>
      </c>
      <c r="G179" s="8" t="s">
        <v>28</v>
      </c>
      <c r="H179" s="8" t="s">
        <v>924</v>
      </c>
      <c r="I179" s="8" t="s">
        <v>44</v>
      </c>
      <c r="J179" s="8" t="s">
        <v>45</v>
      </c>
      <c r="K179" s="8" t="s">
        <v>122</v>
      </c>
      <c r="L179" s="8" t="s">
        <v>123</v>
      </c>
      <c r="M179" s="8">
        <v>12</v>
      </c>
      <c r="N179" s="8">
        <v>60</v>
      </c>
      <c r="O179" s="8">
        <v>0</v>
      </c>
      <c r="P179" s="8">
        <v>720</v>
      </c>
      <c r="Q179" s="8">
        <v>2</v>
      </c>
      <c r="R179" s="8" t="s">
        <v>48</v>
      </c>
      <c r="S179" s="8" t="s">
        <v>49</v>
      </c>
      <c r="T179" s="8" t="s">
        <v>175</v>
      </c>
      <c r="U179" s="9" t="s">
        <v>925</v>
      </c>
      <c r="V179" s="8" t="s">
        <v>38</v>
      </c>
    </row>
    <row r="180" spans="1:22">
      <c r="A180" s="3" t="s">
        <v>926</v>
      </c>
      <c r="B180" s="4" t="s">
        <v>221</v>
      </c>
      <c r="C180" s="4" t="s">
        <v>259</v>
      </c>
      <c r="D180" s="4" t="s">
        <v>927</v>
      </c>
      <c r="E180" s="4" t="s">
        <v>865</v>
      </c>
      <c r="F180" s="4" t="s">
        <v>928</v>
      </c>
      <c r="G180" s="4" t="s">
        <v>76</v>
      </c>
      <c r="H180" s="4" t="s">
        <v>929</v>
      </c>
      <c r="I180" s="4" t="s">
        <v>294</v>
      </c>
      <c r="J180" s="4" t="s">
        <v>295</v>
      </c>
      <c r="K180" s="4" t="s">
        <v>122</v>
      </c>
      <c r="L180" s="4" t="s">
        <v>263</v>
      </c>
      <c r="M180" s="4">
        <v>14</v>
      </c>
      <c r="N180" s="4">
        <v>45</v>
      </c>
      <c r="O180" s="4">
        <v>15</v>
      </c>
      <c r="P180" s="4">
        <v>535.5</v>
      </c>
      <c r="Q180" s="4">
        <v>5</v>
      </c>
      <c r="R180" s="4" t="s">
        <v>88</v>
      </c>
      <c r="S180" s="4" t="s">
        <v>115</v>
      </c>
      <c r="T180" s="4" t="s">
        <v>228</v>
      </c>
      <c r="U180" s="6" t="s">
        <v>930</v>
      </c>
      <c r="V180" s="4" t="s">
        <v>64</v>
      </c>
    </row>
    <row r="181" spans="1:22">
      <c r="A181" s="7" t="s">
        <v>931</v>
      </c>
      <c r="B181" s="8" t="s">
        <v>23</v>
      </c>
      <c r="C181" s="8" t="s">
        <v>184</v>
      </c>
      <c r="D181" s="8" t="s">
        <v>932</v>
      </c>
      <c r="E181" s="8" t="s">
        <v>303</v>
      </c>
      <c r="F181" s="8" t="s">
        <v>27</v>
      </c>
      <c r="G181" s="8" t="s">
        <v>28</v>
      </c>
      <c r="H181" s="8" t="s">
        <v>933</v>
      </c>
      <c r="I181" s="8" t="s">
        <v>30</v>
      </c>
      <c r="J181" s="8" t="s">
        <v>31</v>
      </c>
      <c r="K181" s="8" t="s">
        <v>46</v>
      </c>
      <c r="L181" s="8" t="s">
        <v>189</v>
      </c>
      <c r="M181" s="8">
        <v>15</v>
      </c>
      <c r="N181" s="8">
        <v>700</v>
      </c>
      <c r="O181" s="8">
        <v>10</v>
      </c>
      <c r="P181" s="8">
        <v>9450</v>
      </c>
      <c r="Q181" s="8">
        <v>3</v>
      </c>
      <c r="R181" s="8" t="s">
        <v>48</v>
      </c>
      <c r="S181" s="8" t="s">
        <v>49</v>
      </c>
      <c r="T181" s="8" t="s">
        <v>50</v>
      </c>
      <c r="U181" s="9" t="s">
        <v>934</v>
      </c>
      <c r="V181" s="8" t="s">
        <v>64</v>
      </c>
    </row>
    <row r="182" spans="1:22">
      <c r="A182" s="3" t="s">
        <v>935</v>
      </c>
      <c r="B182" s="4" t="s">
        <v>100</v>
      </c>
      <c r="C182" s="4" t="s">
        <v>169</v>
      </c>
      <c r="D182" s="4" t="s">
        <v>936</v>
      </c>
      <c r="E182" s="4" t="s">
        <v>683</v>
      </c>
      <c r="F182" s="4" t="s">
        <v>103</v>
      </c>
      <c r="G182" s="4" t="s">
        <v>28</v>
      </c>
      <c r="H182" s="4" t="s">
        <v>937</v>
      </c>
      <c r="I182" s="4" t="s">
        <v>138</v>
      </c>
      <c r="J182" s="4" t="s">
        <v>106</v>
      </c>
      <c r="K182" s="4" t="s">
        <v>32</v>
      </c>
      <c r="L182" s="4" t="s">
        <v>174</v>
      </c>
      <c r="M182" s="4">
        <v>19</v>
      </c>
      <c r="N182" s="4">
        <v>8500</v>
      </c>
      <c r="O182" s="4">
        <v>15</v>
      </c>
      <c r="P182" s="4">
        <v>137275</v>
      </c>
      <c r="Q182" s="4">
        <v>2</v>
      </c>
      <c r="R182" s="4" t="s">
        <v>34</v>
      </c>
      <c r="S182" s="4" t="s">
        <v>35</v>
      </c>
      <c r="T182" s="4" t="s">
        <v>144</v>
      </c>
      <c r="U182" s="6" t="s">
        <v>938</v>
      </c>
      <c r="V182" s="4" t="s">
        <v>69</v>
      </c>
    </row>
    <row r="183" spans="1:22">
      <c r="A183" s="7" t="s">
        <v>939</v>
      </c>
      <c r="B183" s="8" t="s">
        <v>251</v>
      </c>
      <c r="C183" s="8" t="s">
        <v>118</v>
      </c>
      <c r="D183" s="8" t="s">
        <v>940</v>
      </c>
      <c r="E183" s="8" t="s">
        <v>941</v>
      </c>
      <c r="F183" s="8" t="s">
        <v>254</v>
      </c>
      <c r="G183" s="8" t="s">
        <v>28</v>
      </c>
      <c r="H183" s="8" t="s">
        <v>911</v>
      </c>
      <c r="I183" s="8" t="s">
        <v>212</v>
      </c>
      <c r="J183" s="8" t="s">
        <v>45</v>
      </c>
      <c r="K183" s="8" t="s">
        <v>122</v>
      </c>
      <c r="L183" s="8" t="s">
        <v>123</v>
      </c>
      <c r="M183" s="8">
        <v>19</v>
      </c>
      <c r="N183" s="8">
        <v>60</v>
      </c>
      <c r="O183" s="8">
        <v>20</v>
      </c>
      <c r="P183" s="8">
        <v>912</v>
      </c>
      <c r="Q183" s="8">
        <v>4</v>
      </c>
      <c r="R183" s="8" t="s">
        <v>79</v>
      </c>
      <c r="S183" s="8" t="s">
        <v>49</v>
      </c>
      <c r="T183" s="8" t="s">
        <v>256</v>
      </c>
      <c r="U183" s="9" t="s">
        <v>942</v>
      </c>
      <c r="V183" s="8" t="s">
        <v>64</v>
      </c>
    </row>
    <row r="184" spans="1:22">
      <c r="A184" s="3" t="s">
        <v>943</v>
      </c>
      <c r="B184" s="4" t="s">
        <v>100</v>
      </c>
      <c r="C184" s="4" t="s">
        <v>259</v>
      </c>
      <c r="D184" s="4" t="s">
        <v>944</v>
      </c>
      <c r="E184" s="4" t="s">
        <v>936</v>
      </c>
      <c r="F184" s="4" t="s">
        <v>103</v>
      </c>
      <c r="G184" s="4" t="s">
        <v>28</v>
      </c>
      <c r="H184" s="4" t="s">
        <v>945</v>
      </c>
      <c r="I184" s="4" t="s">
        <v>59</v>
      </c>
      <c r="J184" s="4" t="s">
        <v>31</v>
      </c>
      <c r="K184" s="4" t="s">
        <v>122</v>
      </c>
      <c r="L184" s="4" t="s">
        <v>263</v>
      </c>
      <c r="M184" s="4">
        <v>10</v>
      </c>
      <c r="N184" s="4">
        <v>45</v>
      </c>
      <c r="O184" s="4">
        <v>15</v>
      </c>
      <c r="P184" s="4">
        <v>382.5</v>
      </c>
      <c r="Q184" s="4">
        <v>4</v>
      </c>
      <c r="R184" s="4" t="s">
        <v>34</v>
      </c>
      <c r="S184" s="4" t="s">
        <v>151</v>
      </c>
      <c r="T184" s="4" t="s">
        <v>144</v>
      </c>
      <c r="U184" s="6" t="s">
        <v>946</v>
      </c>
      <c r="V184" s="4" t="s">
        <v>38</v>
      </c>
    </row>
    <row r="185" spans="1:22">
      <c r="A185" s="7" t="s">
        <v>947</v>
      </c>
      <c r="B185" s="8" t="s">
        <v>71</v>
      </c>
      <c r="C185" s="8" t="s">
        <v>24</v>
      </c>
      <c r="D185" s="8" t="s">
        <v>948</v>
      </c>
      <c r="E185" s="8" t="s">
        <v>949</v>
      </c>
      <c r="F185" s="8" t="s">
        <v>217</v>
      </c>
      <c r="G185" s="8" t="s">
        <v>76</v>
      </c>
      <c r="H185" s="8" t="s">
        <v>950</v>
      </c>
      <c r="I185" s="8" t="s">
        <v>44</v>
      </c>
      <c r="J185" s="8" t="s">
        <v>45</v>
      </c>
      <c r="K185" s="8" t="s">
        <v>32</v>
      </c>
      <c r="L185" s="8" t="s">
        <v>33</v>
      </c>
      <c r="M185" s="8">
        <v>7</v>
      </c>
      <c r="N185" s="8">
        <v>2200</v>
      </c>
      <c r="O185" s="8">
        <v>20</v>
      </c>
      <c r="P185" s="8">
        <v>12320</v>
      </c>
      <c r="Q185" s="8">
        <v>5</v>
      </c>
      <c r="R185" s="8" t="s">
        <v>88</v>
      </c>
      <c r="S185" s="8" t="s">
        <v>49</v>
      </c>
      <c r="T185" s="8" t="s">
        <v>80</v>
      </c>
      <c r="U185" s="9" t="s">
        <v>951</v>
      </c>
      <c r="V185" s="8" t="s">
        <v>64</v>
      </c>
    </row>
    <row r="186" spans="1:22">
      <c r="A186" s="3" t="s">
        <v>952</v>
      </c>
      <c r="B186" s="4" t="s">
        <v>100</v>
      </c>
      <c r="C186" s="4" t="s">
        <v>169</v>
      </c>
      <c r="D186" s="4" t="s">
        <v>953</v>
      </c>
      <c r="E186" s="4" t="s">
        <v>42</v>
      </c>
      <c r="F186" s="4" t="s">
        <v>103</v>
      </c>
      <c r="G186" s="4" t="s">
        <v>28</v>
      </c>
      <c r="H186" s="4" t="s">
        <v>954</v>
      </c>
      <c r="I186" s="4" t="s">
        <v>294</v>
      </c>
      <c r="J186" s="4" t="s">
        <v>295</v>
      </c>
      <c r="K186" s="4" t="s">
        <v>32</v>
      </c>
      <c r="L186" s="4" t="s">
        <v>174</v>
      </c>
      <c r="M186" s="4">
        <v>20</v>
      </c>
      <c r="N186" s="4">
        <v>8500</v>
      </c>
      <c r="O186" s="4">
        <v>20</v>
      </c>
      <c r="P186" s="4">
        <v>136000</v>
      </c>
      <c r="Q186" s="4">
        <v>4</v>
      </c>
      <c r="R186" s="4" t="s">
        <v>48</v>
      </c>
      <c r="S186" s="4" t="s">
        <v>35</v>
      </c>
      <c r="T186" s="4" t="s">
        <v>144</v>
      </c>
      <c r="U186" s="6" t="s">
        <v>955</v>
      </c>
      <c r="V186" s="4" t="s">
        <v>38</v>
      </c>
    </row>
    <row r="187" spans="1:22">
      <c r="A187" s="7" t="s">
        <v>956</v>
      </c>
      <c r="B187" s="8" t="s">
        <v>251</v>
      </c>
      <c r="C187" s="8" t="s">
        <v>24</v>
      </c>
      <c r="D187" s="8" t="s">
        <v>770</v>
      </c>
      <c r="E187" s="8" t="s">
        <v>957</v>
      </c>
      <c r="F187" s="8" t="s">
        <v>254</v>
      </c>
      <c r="G187" s="8" t="s">
        <v>28</v>
      </c>
      <c r="H187" s="8" t="s">
        <v>958</v>
      </c>
      <c r="I187" s="8" t="s">
        <v>30</v>
      </c>
      <c r="J187" s="8" t="s">
        <v>31</v>
      </c>
      <c r="K187" s="8" t="s">
        <v>32</v>
      </c>
      <c r="L187" s="8" t="s">
        <v>33</v>
      </c>
      <c r="M187" s="8">
        <v>10</v>
      </c>
      <c r="N187" s="8">
        <v>2200</v>
      </c>
      <c r="O187" s="8">
        <v>5</v>
      </c>
      <c r="P187" s="8">
        <v>20900</v>
      </c>
      <c r="Q187" s="8">
        <v>2</v>
      </c>
      <c r="R187" s="8" t="s">
        <v>48</v>
      </c>
      <c r="S187" s="8" t="s">
        <v>49</v>
      </c>
      <c r="T187" s="8" t="s">
        <v>256</v>
      </c>
      <c r="U187" s="9" t="s">
        <v>959</v>
      </c>
      <c r="V187" s="8" t="s">
        <v>38</v>
      </c>
    </row>
    <row r="188" spans="1:22">
      <c r="A188" s="3" t="s">
        <v>960</v>
      </c>
      <c r="B188" s="4" t="s">
        <v>127</v>
      </c>
      <c r="C188" s="4" t="s">
        <v>118</v>
      </c>
      <c r="D188" s="4" t="s">
        <v>692</v>
      </c>
      <c r="E188" s="4" t="s">
        <v>961</v>
      </c>
      <c r="F188" s="4" t="s">
        <v>200</v>
      </c>
      <c r="G188" s="4" t="s">
        <v>76</v>
      </c>
      <c r="H188" s="4" t="s">
        <v>962</v>
      </c>
      <c r="I188" s="4" t="s">
        <v>114</v>
      </c>
      <c r="J188" s="4" t="s">
        <v>106</v>
      </c>
      <c r="K188" s="4" t="s">
        <v>122</v>
      </c>
      <c r="L188" s="4" t="s">
        <v>123</v>
      </c>
      <c r="M188" s="4">
        <v>15</v>
      </c>
      <c r="N188" s="4">
        <v>60</v>
      </c>
      <c r="O188" s="4">
        <v>20</v>
      </c>
      <c r="P188" s="4">
        <v>720</v>
      </c>
      <c r="Q188" s="4">
        <v>1</v>
      </c>
      <c r="R188" s="4" t="s">
        <v>79</v>
      </c>
      <c r="S188" s="4" t="s">
        <v>35</v>
      </c>
      <c r="T188" s="4" t="s">
        <v>132</v>
      </c>
      <c r="U188" s="6" t="s">
        <v>963</v>
      </c>
      <c r="V188" s="4" t="s">
        <v>38</v>
      </c>
    </row>
    <row r="189" spans="1:22">
      <c r="A189" s="7" t="s">
        <v>964</v>
      </c>
      <c r="B189" s="8" t="s">
        <v>221</v>
      </c>
      <c r="C189" s="8" t="s">
        <v>92</v>
      </c>
      <c r="D189" s="8" t="s">
        <v>231</v>
      </c>
      <c r="E189" s="8" t="s">
        <v>965</v>
      </c>
      <c r="F189" s="8" t="s">
        <v>225</v>
      </c>
      <c r="G189" s="8" t="s">
        <v>76</v>
      </c>
      <c r="H189" s="8" t="s">
        <v>966</v>
      </c>
      <c r="I189" s="8" t="s">
        <v>30</v>
      </c>
      <c r="J189" s="8" t="s">
        <v>31</v>
      </c>
      <c r="K189" s="8" t="s">
        <v>32</v>
      </c>
      <c r="L189" s="8" t="s">
        <v>97</v>
      </c>
      <c r="M189" s="8">
        <v>18</v>
      </c>
      <c r="N189" s="8">
        <v>3500</v>
      </c>
      <c r="O189" s="8">
        <v>5</v>
      </c>
      <c r="P189" s="8">
        <v>59850</v>
      </c>
      <c r="Q189" s="8">
        <v>1</v>
      </c>
      <c r="R189" s="8" t="s">
        <v>79</v>
      </c>
      <c r="S189" s="8" t="s">
        <v>49</v>
      </c>
      <c r="T189" s="8" t="s">
        <v>228</v>
      </c>
      <c r="U189" s="9" t="s">
        <v>967</v>
      </c>
      <c r="V189" s="8" t="s">
        <v>69</v>
      </c>
    </row>
    <row r="190" spans="1:22">
      <c r="A190" s="3" t="s">
        <v>968</v>
      </c>
      <c r="B190" s="4" t="s">
        <v>327</v>
      </c>
      <c r="C190" s="4" t="s">
        <v>40</v>
      </c>
      <c r="D190" s="4" t="s">
        <v>969</v>
      </c>
      <c r="E190" s="4" t="s">
        <v>970</v>
      </c>
      <c r="F190" s="4" t="s">
        <v>394</v>
      </c>
      <c r="G190" s="4" t="s">
        <v>76</v>
      </c>
      <c r="H190" s="4" t="s">
        <v>971</v>
      </c>
      <c r="I190" s="4" t="s">
        <v>114</v>
      </c>
      <c r="J190" s="4" t="s">
        <v>106</v>
      </c>
      <c r="K190" s="4" t="s">
        <v>46</v>
      </c>
      <c r="L190" s="4" t="s">
        <v>47</v>
      </c>
      <c r="M190" s="4">
        <v>6</v>
      </c>
      <c r="N190" s="4">
        <v>12000</v>
      </c>
      <c r="O190" s="4">
        <v>5</v>
      </c>
      <c r="P190" s="4">
        <v>68400</v>
      </c>
      <c r="Q190" s="4">
        <v>1</v>
      </c>
      <c r="R190" s="4" t="s">
        <v>48</v>
      </c>
      <c r="S190" s="4" t="s">
        <v>49</v>
      </c>
      <c r="T190" s="4" t="s">
        <v>332</v>
      </c>
      <c r="U190" s="6" t="s">
        <v>972</v>
      </c>
      <c r="V190" s="4" t="s">
        <v>69</v>
      </c>
    </row>
    <row r="191" spans="1:22">
      <c r="A191" s="7" t="s">
        <v>973</v>
      </c>
      <c r="B191" s="8" t="s">
        <v>327</v>
      </c>
      <c r="C191" s="8" t="s">
        <v>222</v>
      </c>
      <c r="D191" s="8" t="s">
        <v>323</v>
      </c>
      <c r="E191" s="8" t="s">
        <v>479</v>
      </c>
      <c r="F191" s="8" t="s">
        <v>394</v>
      </c>
      <c r="G191" s="8" t="s">
        <v>76</v>
      </c>
      <c r="H191" s="8" t="s">
        <v>974</v>
      </c>
      <c r="I191" s="8" t="s">
        <v>59</v>
      </c>
      <c r="J191" s="8" t="s">
        <v>31</v>
      </c>
      <c r="K191" s="8" t="s">
        <v>122</v>
      </c>
      <c r="L191" s="8" t="s">
        <v>227</v>
      </c>
      <c r="M191" s="8">
        <v>19</v>
      </c>
      <c r="N191" s="8">
        <v>20</v>
      </c>
      <c r="O191" s="8">
        <v>10</v>
      </c>
      <c r="P191" s="8">
        <v>342</v>
      </c>
      <c r="Q191" s="8">
        <v>2</v>
      </c>
      <c r="R191" s="8" t="s">
        <v>48</v>
      </c>
      <c r="S191" s="8" t="s">
        <v>35</v>
      </c>
      <c r="T191" s="8" t="s">
        <v>332</v>
      </c>
      <c r="U191" s="9" t="s">
        <v>975</v>
      </c>
      <c r="V191" s="8" t="s">
        <v>64</v>
      </c>
    </row>
    <row r="192" spans="1:22">
      <c r="A192" s="3" t="s">
        <v>976</v>
      </c>
      <c r="B192" s="4" t="s">
        <v>221</v>
      </c>
      <c r="C192" s="4" t="s">
        <v>24</v>
      </c>
      <c r="D192" s="4" t="s">
        <v>426</v>
      </c>
      <c r="E192" s="4" t="s">
        <v>427</v>
      </c>
      <c r="F192" s="4" t="s">
        <v>225</v>
      </c>
      <c r="G192" s="4" t="s">
        <v>76</v>
      </c>
      <c r="H192" s="4" t="s">
        <v>977</v>
      </c>
      <c r="I192" s="4" t="s">
        <v>114</v>
      </c>
      <c r="J192" s="4" t="s">
        <v>106</v>
      </c>
      <c r="K192" s="4" t="s">
        <v>32</v>
      </c>
      <c r="L192" s="4" t="s">
        <v>33</v>
      </c>
      <c r="M192" s="4">
        <v>7</v>
      </c>
      <c r="N192" s="4">
        <v>2200</v>
      </c>
      <c r="O192" s="4">
        <v>0</v>
      </c>
      <c r="P192" s="4">
        <v>15400</v>
      </c>
      <c r="Q192" s="4">
        <v>1</v>
      </c>
      <c r="R192" s="4" t="s">
        <v>79</v>
      </c>
      <c r="S192" s="4" t="s">
        <v>115</v>
      </c>
      <c r="T192" s="4" t="s">
        <v>228</v>
      </c>
      <c r="U192" s="6" t="s">
        <v>978</v>
      </c>
      <c r="V192" s="4" t="s">
        <v>69</v>
      </c>
    </row>
    <row r="193" spans="1:22">
      <c r="A193" s="7" t="s">
        <v>979</v>
      </c>
      <c r="B193" s="8" t="s">
        <v>327</v>
      </c>
      <c r="C193" s="8" t="s">
        <v>40</v>
      </c>
      <c r="D193" s="8" t="s">
        <v>503</v>
      </c>
      <c r="E193" s="8" t="s">
        <v>980</v>
      </c>
      <c r="F193" s="8" t="s">
        <v>394</v>
      </c>
      <c r="G193" s="8" t="s">
        <v>76</v>
      </c>
      <c r="H193" s="8" t="s">
        <v>981</v>
      </c>
      <c r="I193" s="8" t="s">
        <v>212</v>
      </c>
      <c r="J193" s="8" t="s">
        <v>45</v>
      </c>
      <c r="K193" s="8" t="s">
        <v>46</v>
      </c>
      <c r="L193" s="8" t="s">
        <v>47</v>
      </c>
      <c r="M193" s="8">
        <v>3</v>
      </c>
      <c r="N193" s="8">
        <v>12000</v>
      </c>
      <c r="O193" s="8">
        <v>5</v>
      </c>
      <c r="P193" s="8">
        <v>34200</v>
      </c>
      <c r="Q193" s="8">
        <v>3</v>
      </c>
      <c r="R193" s="8" t="s">
        <v>79</v>
      </c>
      <c r="S193" s="8" t="s">
        <v>61</v>
      </c>
      <c r="T193" s="8" t="s">
        <v>332</v>
      </c>
      <c r="U193" s="9" t="s">
        <v>982</v>
      </c>
      <c r="V193" s="8" t="s">
        <v>69</v>
      </c>
    </row>
    <row r="194" spans="1:22">
      <c r="A194" s="3" t="s">
        <v>983</v>
      </c>
      <c r="B194" s="4" t="s">
        <v>168</v>
      </c>
      <c r="C194" s="4" t="s">
        <v>24</v>
      </c>
      <c r="D194" s="4" t="s">
        <v>341</v>
      </c>
      <c r="E194" s="4" t="s">
        <v>864</v>
      </c>
      <c r="F194" s="4" t="s">
        <v>361</v>
      </c>
      <c r="G194" s="4" t="s">
        <v>28</v>
      </c>
      <c r="H194" s="4" t="s">
        <v>984</v>
      </c>
      <c r="I194" s="4" t="s">
        <v>212</v>
      </c>
      <c r="J194" s="4" t="s">
        <v>45</v>
      </c>
      <c r="K194" s="4" t="s">
        <v>32</v>
      </c>
      <c r="L194" s="4" t="s">
        <v>33</v>
      </c>
      <c r="M194" s="4">
        <v>16</v>
      </c>
      <c r="N194" s="4">
        <v>2200</v>
      </c>
      <c r="O194" s="4">
        <v>0</v>
      </c>
      <c r="P194" s="4">
        <v>35200</v>
      </c>
      <c r="Q194" s="4">
        <v>5</v>
      </c>
      <c r="R194" s="4" t="s">
        <v>79</v>
      </c>
      <c r="S194" s="4" t="s">
        <v>35</v>
      </c>
      <c r="T194" s="4" t="s">
        <v>175</v>
      </c>
      <c r="U194" s="6" t="s">
        <v>985</v>
      </c>
      <c r="V194" s="4" t="s">
        <v>64</v>
      </c>
    </row>
    <row r="195" spans="1:22">
      <c r="A195" s="7" t="s">
        <v>986</v>
      </c>
      <c r="B195" s="8" t="s">
        <v>251</v>
      </c>
      <c r="C195" s="8" t="s">
        <v>24</v>
      </c>
      <c r="D195" s="8" t="s">
        <v>987</v>
      </c>
      <c r="E195" s="8" t="s">
        <v>988</v>
      </c>
      <c r="F195" s="8" t="s">
        <v>254</v>
      </c>
      <c r="G195" s="8" t="s">
        <v>28</v>
      </c>
      <c r="H195" s="8" t="s">
        <v>989</v>
      </c>
      <c r="I195" s="8" t="s">
        <v>44</v>
      </c>
      <c r="J195" s="8" t="s">
        <v>45</v>
      </c>
      <c r="K195" s="8" t="s">
        <v>32</v>
      </c>
      <c r="L195" s="8" t="s">
        <v>33</v>
      </c>
      <c r="M195" s="8">
        <v>8</v>
      </c>
      <c r="N195" s="8">
        <v>2200</v>
      </c>
      <c r="O195" s="8">
        <v>5</v>
      </c>
      <c r="P195" s="8">
        <v>16720</v>
      </c>
      <c r="Q195" s="8">
        <v>2</v>
      </c>
      <c r="R195" s="8" t="s">
        <v>88</v>
      </c>
      <c r="S195" s="8" t="s">
        <v>151</v>
      </c>
      <c r="T195" s="8" t="s">
        <v>256</v>
      </c>
      <c r="U195" s="9" t="s">
        <v>990</v>
      </c>
      <c r="V195" s="8" t="s">
        <v>38</v>
      </c>
    </row>
    <row r="196" spans="1:22">
      <c r="A196" s="3" t="s">
        <v>991</v>
      </c>
      <c r="B196" s="4" t="s">
        <v>251</v>
      </c>
      <c r="C196" s="4" t="s">
        <v>24</v>
      </c>
      <c r="D196" s="4" t="s">
        <v>610</v>
      </c>
      <c r="E196" s="4" t="s">
        <v>454</v>
      </c>
      <c r="F196" s="4" t="s">
        <v>254</v>
      </c>
      <c r="G196" s="4" t="s">
        <v>28</v>
      </c>
      <c r="H196" s="4" t="s">
        <v>992</v>
      </c>
      <c r="I196" s="4" t="s">
        <v>138</v>
      </c>
      <c r="J196" s="4" t="s">
        <v>106</v>
      </c>
      <c r="K196" s="4" t="s">
        <v>32</v>
      </c>
      <c r="L196" s="4" t="s">
        <v>33</v>
      </c>
      <c r="M196" s="4">
        <v>10</v>
      </c>
      <c r="N196" s="4">
        <v>2200</v>
      </c>
      <c r="O196" s="4">
        <v>10</v>
      </c>
      <c r="P196" s="4">
        <v>19800</v>
      </c>
      <c r="Q196" s="4">
        <v>5</v>
      </c>
      <c r="R196" s="4" t="s">
        <v>48</v>
      </c>
      <c r="S196" s="4" t="s">
        <v>115</v>
      </c>
      <c r="T196" s="4" t="s">
        <v>256</v>
      </c>
      <c r="U196" s="6" t="s">
        <v>993</v>
      </c>
      <c r="V196" s="4" t="s">
        <v>64</v>
      </c>
    </row>
    <row r="197" spans="1:22">
      <c r="A197" s="7" t="s">
        <v>994</v>
      </c>
      <c r="B197" s="8" t="s">
        <v>83</v>
      </c>
      <c r="C197" s="8" t="s">
        <v>222</v>
      </c>
      <c r="D197" s="8" t="s">
        <v>336</v>
      </c>
      <c r="E197" s="8" t="s">
        <v>596</v>
      </c>
      <c r="F197" s="8" t="s">
        <v>180</v>
      </c>
      <c r="G197" s="8" t="s">
        <v>76</v>
      </c>
      <c r="H197" s="8" t="s">
        <v>995</v>
      </c>
      <c r="I197" s="8" t="s">
        <v>44</v>
      </c>
      <c r="J197" s="8" t="s">
        <v>45</v>
      </c>
      <c r="K197" s="8" t="s">
        <v>122</v>
      </c>
      <c r="L197" s="8" t="s">
        <v>227</v>
      </c>
      <c r="M197" s="8">
        <v>7</v>
      </c>
      <c r="N197" s="8">
        <v>20</v>
      </c>
      <c r="O197" s="8">
        <v>10</v>
      </c>
      <c r="P197" s="8">
        <v>126</v>
      </c>
      <c r="Q197" s="8">
        <v>4</v>
      </c>
      <c r="R197" s="8" t="s">
        <v>79</v>
      </c>
      <c r="S197" s="8" t="s">
        <v>61</v>
      </c>
      <c r="T197" s="8" t="s">
        <v>89</v>
      </c>
      <c r="U197" s="9" t="s">
        <v>996</v>
      </c>
      <c r="V197" s="8" t="s">
        <v>38</v>
      </c>
    </row>
    <row r="198" spans="1:22">
      <c r="A198" s="3" t="s">
        <v>997</v>
      </c>
      <c r="B198" s="4" t="s">
        <v>221</v>
      </c>
      <c r="C198" s="4" t="s">
        <v>169</v>
      </c>
      <c r="D198" s="4" t="s">
        <v>252</v>
      </c>
      <c r="E198" s="4" t="s">
        <v>998</v>
      </c>
      <c r="F198" s="4" t="s">
        <v>225</v>
      </c>
      <c r="G198" s="4" t="s">
        <v>76</v>
      </c>
      <c r="H198" s="4" t="s">
        <v>999</v>
      </c>
      <c r="I198" s="4" t="s">
        <v>30</v>
      </c>
      <c r="J198" s="4" t="s">
        <v>31</v>
      </c>
      <c r="K198" s="4" t="s">
        <v>32</v>
      </c>
      <c r="L198" s="4" t="s">
        <v>174</v>
      </c>
      <c r="M198" s="4">
        <v>19</v>
      </c>
      <c r="N198" s="4">
        <v>8500</v>
      </c>
      <c r="O198" s="4">
        <v>20</v>
      </c>
      <c r="P198" s="4">
        <v>129200</v>
      </c>
      <c r="Q198" s="4">
        <v>3</v>
      </c>
      <c r="R198" s="4" t="s">
        <v>48</v>
      </c>
      <c r="S198" s="4" t="s">
        <v>61</v>
      </c>
      <c r="T198" s="4" t="s">
        <v>228</v>
      </c>
      <c r="U198" s="6" t="s">
        <v>1000</v>
      </c>
      <c r="V198" s="4" t="s">
        <v>64</v>
      </c>
    </row>
    <row r="199" spans="1:22">
      <c r="A199" s="7" t="s">
        <v>1001</v>
      </c>
      <c r="B199" s="8" t="s">
        <v>100</v>
      </c>
      <c r="C199" s="8" t="s">
        <v>118</v>
      </c>
      <c r="D199" s="8" t="s">
        <v>431</v>
      </c>
      <c r="E199" s="8" t="s">
        <v>414</v>
      </c>
      <c r="F199" s="8" t="s">
        <v>103</v>
      </c>
      <c r="G199" s="8" t="s">
        <v>28</v>
      </c>
      <c r="H199" s="8" t="s">
        <v>1002</v>
      </c>
      <c r="I199" s="8" t="s">
        <v>114</v>
      </c>
      <c r="J199" s="8" t="s">
        <v>106</v>
      </c>
      <c r="K199" s="8" t="s">
        <v>122</v>
      </c>
      <c r="L199" s="8" t="s">
        <v>123</v>
      </c>
      <c r="M199" s="8">
        <v>16</v>
      </c>
      <c r="N199" s="8">
        <v>60</v>
      </c>
      <c r="O199" s="8">
        <v>0</v>
      </c>
      <c r="P199" s="8">
        <v>960</v>
      </c>
      <c r="Q199" s="8">
        <v>2</v>
      </c>
      <c r="R199" s="8" t="s">
        <v>48</v>
      </c>
      <c r="S199" s="8" t="s">
        <v>115</v>
      </c>
      <c r="T199" s="8" t="s">
        <v>144</v>
      </c>
      <c r="U199" s="9" t="s">
        <v>1003</v>
      </c>
      <c r="V199" s="8" t="s">
        <v>38</v>
      </c>
    </row>
    <row r="200" spans="1:22">
      <c r="A200" s="3" t="s">
        <v>1004</v>
      </c>
      <c r="B200" s="4" t="s">
        <v>221</v>
      </c>
      <c r="C200" s="4" t="s">
        <v>92</v>
      </c>
      <c r="D200" s="4" t="s">
        <v>1005</v>
      </c>
      <c r="E200" s="4" t="s">
        <v>731</v>
      </c>
      <c r="F200" s="4" t="s">
        <v>225</v>
      </c>
      <c r="G200" s="4" t="s">
        <v>76</v>
      </c>
      <c r="H200" s="4" t="s">
        <v>1006</v>
      </c>
      <c r="I200" s="4" t="s">
        <v>59</v>
      </c>
      <c r="J200" s="4" t="s">
        <v>31</v>
      </c>
      <c r="K200" s="4" t="s">
        <v>1007</v>
      </c>
      <c r="L200" s="4" t="s">
        <v>97</v>
      </c>
      <c r="M200" s="4">
        <v>18</v>
      </c>
      <c r="N200" s="4">
        <v>3500</v>
      </c>
      <c r="O200" s="4">
        <v>5</v>
      </c>
      <c r="P200" s="4">
        <v>59850</v>
      </c>
      <c r="Q200" s="4">
        <v>1</v>
      </c>
      <c r="R200" s="4" t="s">
        <v>88</v>
      </c>
      <c r="S200" s="4" t="s">
        <v>115</v>
      </c>
      <c r="T200" s="4" t="s">
        <v>228</v>
      </c>
      <c r="U200" s="6" t="s">
        <v>1008</v>
      </c>
      <c r="V200" s="4" t="s">
        <v>64</v>
      </c>
    </row>
    <row r="201" spans="1:22">
      <c r="A201" s="7" t="s">
        <v>1009</v>
      </c>
      <c r="B201" s="8" t="s">
        <v>100</v>
      </c>
      <c r="C201" s="8" t="s">
        <v>54</v>
      </c>
      <c r="D201" s="8" t="s">
        <v>1010</v>
      </c>
      <c r="E201" s="8" t="s">
        <v>431</v>
      </c>
      <c r="F201" s="8" t="s">
        <v>103</v>
      </c>
      <c r="G201" s="8" t="s">
        <v>28</v>
      </c>
      <c r="H201" s="8" t="s">
        <v>1011</v>
      </c>
      <c r="I201" s="8" t="s">
        <v>212</v>
      </c>
      <c r="J201" s="8" t="s">
        <v>45</v>
      </c>
      <c r="K201" s="8" t="s">
        <v>46</v>
      </c>
      <c r="L201" s="8" t="s">
        <v>60</v>
      </c>
      <c r="M201" s="8">
        <v>16</v>
      </c>
      <c r="N201" s="8">
        <v>55000</v>
      </c>
      <c r="O201" s="8">
        <v>0</v>
      </c>
      <c r="P201" s="8">
        <v>880000</v>
      </c>
      <c r="Q201" s="8">
        <v>1</v>
      </c>
      <c r="R201" s="8" t="s">
        <v>79</v>
      </c>
      <c r="S201" s="8" t="s">
        <v>61</v>
      </c>
      <c r="T201" s="8" t="s">
        <v>144</v>
      </c>
      <c r="U201" s="9" t="s">
        <v>1012</v>
      </c>
      <c r="V201" s="8" t="s">
        <v>69</v>
      </c>
    </row>
    <row r="202" spans="1:22">
      <c r="A202" s="3" t="s">
        <v>1013</v>
      </c>
      <c r="B202" s="4" t="s">
        <v>221</v>
      </c>
      <c r="C202" s="4" t="s">
        <v>72</v>
      </c>
      <c r="D202" s="4" t="s">
        <v>900</v>
      </c>
      <c r="E202" s="4" t="s">
        <v>435</v>
      </c>
      <c r="F202" s="4" t="s">
        <v>225</v>
      </c>
      <c r="G202" s="4" t="s">
        <v>76</v>
      </c>
      <c r="H202" s="4" t="s">
        <v>1014</v>
      </c>
      <c r="I202" s="4" t="s">
        <v>138</v>
      </c>
      <c r="J202" s="4" t="s">
        <v>106</v>
      </c>
      <c r="K202" s="4" t="s">
        <v>46</v>
      </c>
      <c r="L202" s="4" t="s">
        <v>78</v>
      </c>
      <c r="M202" s="4">
        <v>18</v>
      </c>
      <c r="N202" s="4">
        <v>1200</v>
      </c>
      <c r="O202" s="4">
        <v>15</v>
      </c>
      <c r="P202" s="4">
        <v>18360</v>
      </c>
      <c r="Q202" s="4">
        <v>2</v>
      </c>
      <c r="R202" s="4" t="s">
        <v>48</v>
      </c>
      <c r="S202" s="4" t="s">
        <v>35</v>
      </c>
      <c r="T202" s="4" t="s">
        <v>228</v>
      </c>
      <c r="U202" s="6" t="s">
        <v>1015</v>
      </c>
      <c r="V202" s="4" t="s">
        <v>69</v>
      </c>
    </row>
    <row r="203" spans="1:22">
      <c r="A203" s="7" t="s">
        <v>1016</v>
      </c>
      <c r="B203" s="8" t="s">
        <v>71</v>
      </c>
      <c r="C203" s="8" t="s">
        <v>259</v>
      </c>
      <c r="D203" s="8" t="s">
        <v>1017</v>
      </c>
      <c r="E203" s="8" t="s">
        <v>1018</v>
      </c>
      <c r="F203" s="8" t="s">
        <v>217</v>
      </c>
      <c r="G203" s="8" t="s">
        <v>76</v>
      </c>
      <c r="H203" s="8" t="s">
        <v>1019</v>
      </c>
      <c r="I203" s="8" t="s">
        <v>30</v>
      </c>
      <c r="J203" s="8" t="s">
        <v>31</v>
      </c>
      <c r="K203" s="8" t="s">
        <v>122</v>
      </c>
      <c r="L203" s="8" t="s">
        <v>263</v>
      </c>
      <c r="M203" s="8">
        <v>2</v>
      </c>
      <c r="N203" s="8">
        <v>45</v>
      </c>
      <c r="O203" s="8">
        <v>15</v>
      </c>
      <c r="P203" s="8">
        <v>76.5</v>
      </c>
      <c r="Q203" s="8">
        <v>5</v>
      </c>
      <c r="R203" s="8" t="s">
        <v>34</v>
      </c>
      <c r="S203" s="8" t="s">
        <v>61</v>
      </c>
      <c r="T203" s="8" t="s">
        <v>80</v>
      </c>
      <c r="U203" s="9" t="s">
        <v>1020</v>
      </c>
      <c r="V203" s="8" t="s">
        <v>69</v>
      </c>
    </row>
    <row r="204" spans="1:22">
      <c r="A204" s="3" t="s">
        <v>1021</v>
      </c>
      <c r="B204" s="4" t="s">
        <v>53</v>
      </c>
      <c r="C204" s="4" t="s">
        <v>169</v>
      </c>
      <c r="D204" s="4" t="s">
        <v>712</v>
      </c>
      <c r="E204" s="4" t="s">
        <v>85</v>
      </c>
      <c r="F204" s="4" t="s">
        <v>163</v>
      </c>
      <c r="G204" s="4" t="s">
        <v>28</v>
      </c>
      <c r="H204" s="4" t="s">
        <v>1022</v>
      </c>
      <c r="I204" s="4" t="s">
        <v>59</v>
      </c>
      <c r="J204" s="4" t="s">
        <v>31</v>
      </c>
      <c r="K204" s="4" t="s">
        <v>32</v>
      </c>
      <c r="L204" s="4" t="s">
        <v>174</v>
      </c>
      <c r="M204" s="4">
        <v>20</v>
      </c>
      <c r="N204" s="4">
        <v>8500</v>
      </c>
      <c r="O204" s="4">
        <v>0</v>
      </c>
      <c r="P204" s="4">
        <v>170000</v>
      </c>
      <c r="Q204" s="4">
        <v>4</v>
      </c>
      <c r="R204" s="4" t="s">
        <v>48</v>
      </c>
      <c r="S204" s="4" t="s">
        <v>61</v>
      </c>
      <c r="T204" s="4" t="s">
        <v>62</v>
      </c>
      <c r="U204" s="6" t="s">
        <v>1023</v>
      </c>
      <c r="V204" s="4" t="s">
        <v>69</v>
      </c>
    </row>
    <row r="205" spans="1:22">
      <c r="A205" s="7" t="s">
        <v>1024</v>
      </c>
      <c r="B205" s="8" t="s">
        <v>127</v>
      </c>
      <c r="C205" s="8" t="s">
        <v>92</v>
      </c>
      <c r="D205" s="8" t="s">
        <v>298</v>
      </c>
      <c r="E205" s="8" t="s">
        <v>1025</v>
      </c>
      <c r="F205" s="8" t="s">
        <v>200</v>
      </c>
      <c r="G205" s="8" t="s">
        <v>76</v>
      </c>
      <c r="H205" s="8" t="s">
        <v>494</v>
      </c>
      <c r="I205" s="8" t="s">
        <v>212</v>
      </c>
      <c r="J205" s="8" t="s">
        <v>45</v>
      </c>
      <c r="K205" s="8" t="s">
        <v>32</v>
      </c>
      <c r="L205" s="8" t="s">
        <v>97</v>
      </c>
      <c r="M205" s="8">
        <v>6</v>
      </c>
      <c r="N205" s="8">
        <v>3500</v>
      </c>
      <c r="O205" s="8">
        <v>5</v>
      </c>
      <c r="P205" s="8">
        <v>19950</v>
      </c>
      <c r="Q205" s="8">
        <v>1</v>
      </c>
      <c r="R205" s="8" t="s">
        <v>34</v>
      </c>
      <c r="S205" s="8" t="s">
        <v>151</v>
      </c>
      <c r="T205" s="8" t="s">
        <v>132</v>
      </c>
      <c r="U205" s="9" t="s">
        <v>1026</v>
      </c>
      <c r="V205" s="8" t="s">
        <v>38</v>
      </c>
    </row>
    <row r="206" spans="1:22">
      <c r="A206" s="3" t="s">
        <v>1027</v>
      </c>
      <c r="B206" s="4" t="s">
        <v>168</v>
      </c>
      <c r="C206" s="4" t="s">
        <v>259</v>
      </c>
      <c r="D206" s="4" t="s">
        <v>308</v>
      </c>
      <c r="E206" s="4" t="s">
        <v>281</v>
      </c>
      <c r="F206" s="4" t="s">
        <v>361</v>
      </c>
      <c r="G206" s="4" t="s">
        <v>28</v>
      </c>
      <c r="H206" s="4" t="s">
        <v>1028</v>
      </c>
      <c r="I206" s="4" t="s">
        <v>114</v>
      </c>
      <c r="J206" s="4" t="s">
        <v>106</v>
      </c>
      <c r="K206" s="4" t="s">
        <v>122</v>
      </c>
      <c r="L206" s="4" t="s">
        <v>263</v>
      </c>
      <c r="M206" s="4">
        <v>8</v>
      </c>
      <c r="N206" s="4">
        <v>45</v>
      </c>
      <c r="O206" s="4">
        <v>5</v>
      </c>
      <c r="P206" s="4">
        <v>342</v>
      </c>
      <c r="Q206" s="4">
        <v>2</v>
      </c>
      <c r="R206" s="4" t="s">
        <v>34</v>
      </c>
      <c r="S206" s="4" t="s">
        <v>49</v>
      </c>
      <c r="T206" s="4" t="s">
        <v>175</v>
      </c>
      <c r="U206" s="6" t="s">
        <v>1029</v>
      </c>
      <c r="V206" s="4" t="s">
        <v>64</v>
      </c>
    </row>
    <row r="207" spans="1:22">
      <c r="A207" s="7" t="s">
        <v>1030</v>
      </c>
      <c r="B207" s="8" t="s">
        <v>327</v>
      </c>
      <c r="C207" s="8" t="s">
        <v>24</v>
      </c>
      <c r="D207" s="8" t="s">
        <v>414</v>
      </c>
      <c r="E207" s="8" t="s">
        <v>1031</v>
      </c>
      <c r="F207" s="8" t="s">
        <v>394</v>
      </c>
      <c r="G207" s="8" t="s">
        <v>76</v>
      </c>
      <c r="H207" s="8" t="s">
        <v>1032</v>
      </c>
      <c r="I207" s="8" t="s">
        <v>105</v>
      </c>
      <c r="J207" s="8" t="s">
        <v>106</v>
      </c>
      <c r="K207" s="8" t="s">
        <v>32</v>
      </c>
      <c r="L207" s="8" t="s">
        <v>33</v>
      </c>
      <c r="M207" s="8">
        <v>18</v>
      </c>
      <c r="N207" s="8">
        <v>2200</v>
      </c>
      <c r="O207" s="8">
        <v>15</v>
      </c>
      <c r="P207" s="8">
        <v>33660</v>
      </c>
      <c r="Q207" s="8">
        <v>4</v>
      </c>
      <c r="R207" s="8" t="s">
        <v>79</v>
      </c>
      <c r="S207" s="8" t="s">
        <v>61</v>
      </c>
      <c r="T207" s="8" t="s">
        <v>332</v>
      </c>
      <c r="U207" s="9" t="s">
        <v>1033</v>
      </c>
      <c r="V207" s="8" t="s">
        <v>64</v>
      </c>
    </row>
    <row r="208" spans="1:22">
      <c r="A208" s="3" t="s">
        <v>1034</v>
      </c>
      <c r="B208" s="4" t="s">
        <v>221</v>
      </c>
      <c r="C208" s="4" t="s">
        <v>184</v>
      </c>
      <c r="D208" s="4" t="s">
        <v>1035</v>
      </c>
      <c r="E208" s="4" t="s">
        <v>1005</v>
      </c>
      <c r="F208" s="4" t="s">
        <v>225</v>
      </c>
      <c r="G208" s="4" t="s">
        <v>76</v>
      </c>
      <c r="H208" s="4" t="s">
        <v>1036</v>
      </c>
      <c r="I208" s="4" t="s">
        <v>30</v>
      </c>
      <c r="J208" s="4" t="s">
        <v>31</v>
      </c>
      <c r="K208" s="4" t="s">
        <v>46</v>
      </c>
      <c r="L208" s="4" t="s">
        <v>189</v>
      </c>
      <c r="M208" s="4">
        <v>18</v>
      </c>
      <c r="N208" s="4">
        <v>700</v>
      </c>
      <c r="O208" s="4">
        <v>15</v>
      </c>
      <c r="P208" s="4">
        <v>10710</v>
      </c>
      <c r="Q208" s="4">
        <v>3</v>
      </c>
      <c r="R208" s="4" t="s">
        <v>79</v>
      </c>
      <c r="S208" s="4" t="s">
        <v>151</v>
      </c>
      <c r="T208" s="4" t="s">
        <v>228</v>
      </c>
      <c r="U208" s="6" t="s">
        <v>1037</v>
      </c>
      <c r="V208" s="4" t="s">
        <v>69</v>
      </c>
    </row>
    <row r="209" spans="1:22">
      <c r="A209" s="7" t="s">
        <v>1038</v>
      </c>
      <c r="B209" s="8" t="s">
        <v>327</v>
      </c>
      <c r="C209" s="8" t="s">
        <v>54</v>
      </c>
      <c r="D209" s="8" t="s">
        <v>1039</v>
      </c>
      <c r="E209" s="8" t="s">
        <v>1040</v>
      </c>
      <c r="F209" s="8" t="s">
        <v>394</v>
      </c>
      <c r="G209" s="8" t="s">
        <v>76</v>
      </c>
      <c r="H209" s="8" t="s">
        <v>1041</v>
      </c>
      <c r="I209" s="8" t="s">
        <v>114</v>
      </c>
      <c r="J209" s="8" t="s">
        <v>106</v>
      </c>
      <c r="K209" s="8" t="s">
        <v>46</v>
      </c>
      <c r="L209" s="8" t="s">
        <v>60</v>
      </c>
      <c r="M209" s="8">
        <v>12</v>
      </c>
      <c r="N209" s="8">
        <v>55000</v>
      </c>
      <c r="O209" s="8">
        <v>0</v>
      </c>
      <c r="P209" s="8">
        <v>660000</v>
      </c>
      <c r="Q209" s="8">
        <v>2</v>
      </c>
      <c r="R209" s="8" t="s">
        <v>88</v>
      </c>
      <c r="S209" s="8" t="s">
        <v>49</v>
      </c>
      <c r="T209" s="8" t="s">
        <v>332</v>
      </c>
      <c r="U209" s="9" t="s">
        <v>1042</v>
      </c>
      <c r="V209" s="8" t="s">
        <v>69</v>
      </c>
    </row>
    <row r="210" spans="1:22">
      <c r="A210" s="3" t="s">
        <v>1043</v>
      </c>
      <c r="B210" s="4" t="s">
        <v>23</v>
      </c>
      <c r="C210" s="4" t="s">
        <v>40</v>
      </c>
      <c r="D210" s="4" t="s">
        <v>502</v>
      </c>
      <c r="E210" s="4" t="s">
        <v>1044</v>
      </c>
      <c r="F210" s="4" t="s">
        <v>27</v>
      </c>
      <c r="G210" s="4" t="s">
        <v>28</v>
      </c>
      <c r="H210" s="4" t="s">
        <v>1045</v>
      </c>
      <c r="I210" s="4" t="s">
        <v>105</v>
      </c>
      <c r="J210" s="4" t="s">
        <v>106</v>
      </c>
      <c r="K210" s="4" t="s">
        <v>46</v>
      </c>
      <c r="L210" s="4" t="s">
        <v>47</v>
      </c>
      <c r="M210" s="4">
        <v>7</v>
      </c>
      <c r="N210" s="4">
        <v>12000</v>
      </c>
      <c r="O210" s="4">
        <v>5</v>
      </c>
      <c r="P210" s="4">
        <v>79800</v>
      </c>
      <c r="Q210" s="4">
        <v>3</v>
      </c>
      <c r="R210" s="4" t="s">
        <v>79</v>
      </c>
      <c r="S210" s="4" t="s">
        <v>151</v>
      </c>
      <c r="T210" s="4" t="s">
        <v>50</v>
      </c>
      <c r="U210" s="6" t="s">
        <v>1046</v>
      </c>
      <c r="V210" s="4" t="s">
        <v>64</v>
      </c>
    </row>
    <row r="211" spans="1:22">
      <c r="A211" s="7" t="s">
        <v>1047</v>
      </c>
      <c r="B211" s="8" t="s">
        <v>251</v>
      </c>
      <c r="C211" s="8" t="s">
        <v>40</v>
      </c>
      <c r="D211" s="8" t="s">
        <v>1048</v>
      </c>
      <c r="E211" s="8" t="s">
        <v>129</v>
      </c>
      <c r="F211" s="8" t="s">
        <v>254</v>
      </c>
      <c r="G211" s="8" t="s">
        <v>28</v>
      </c>
      <c r="H211" s="8" t="s">
        <v>1049</v>
      </c>
      <c r="I211" s="8" t="s">
        <v>105</v>
      </c>
      <c r="J211" s="8" t="s">
        <v>106</v>
      </c>
      <c r="K211" s="8" t="s">
        <v>46</v>
      </c>
      <c r="L211" s="8" t="s">
        <v>47</v>
      </c>
      <c r="M211" s="8">
        <v>8</v>
      </c>
      <c r="N211" s="8">
        <v>12000</v>
      </c>
      <c r="O211" s="8">
        <v>15</v>
      </c>
      <c r="P211" s="8">
        <v>81600</v>
      </c>
      <c r="Q211" s="8">
        <v>4</v>
      </c>
      <c r="R211" s="8" t="s">
        <v>79</v>
      </c>
      <c r="S211" s="8" t="s">
        <v>49</v>
      </c>
      <c r="T211" s="8" t="s">
        <v>256</v>
      </c>
      <c r="U211" s="9" t="s">
        <v>1050</v>
      </c>
      <c r="V211" s="8" t="s">
        <v>38</v>
      </c>
    </row>
    <row r="212" spans="1:22">
      <c r="A212" s="3" t="s">
        <v>1051</v>
      </c>
      <c r="B212" s="4" t="s">
        <v>327</v>
      </c>
      <c r="C212" s="4" t="s">
        <v>92</v>
      </c>
      <c r="D212" s="4" t="s">
        <v>788</v>
      </c>
      <c r="E212" s="4" t="s">
        <v>1052</v>
      </c>
      <c r="F212" s="4" t="s">
        <v>394</v>
      </c>
      <c r="G212" s="4" t="s">
        <v>76</v>
      </c>
      <c r="H212" s="4" t="s">
        <v>1053</v>
      </c>
      <c r="I212" s="4" t="s">
        <v>105</v>
      </c>
      <c r="J212" s="4" t="s">
        <v>106</v>
      </c>
      <c r="K212" s="4" t="s">
        <v>32</v>
      </c>
      <c r="L212" s="4" t="s">
        <v>97</v>
      </c>
      <c r="M212" s="4">
        <v>19</v>
      </c>
      <c r="N212" s="4">
        <v>3500</v>
      </c>
      <c r="O212" s="4">
        <v>5</v>
      </c>
      <c r="P212" s="4">
        <v>63175</v>
      </c>
      <c r="Q212" s="4">
        <v>3</v>
      </c>
      <c r="R212" s="4" t="s">
        <v>79</v>
      </c>
      <c r="S212" s="4" t="s">
        <v>61</v>
      </c>
      <c r="T212" s="4" t="s">
        <v>332</v>
      </c>
      <c r="U212" s="6" t="s">
        <v>1054</v>
      </c>
      <c r="V212" s="4" t="s">
        <v>64</v>
      </c>
    </row>
    <row r="213" spans="1:22">
      <c r="A213" s="7" t="s">
        <v>1055</v>
      </c>
      <c r="B213" s="8" t="s">
        <v>251</v>
      </c>
      <c r="C213" s="8" t="s">
        <v>259</v>
      </c>
      <c r="D213" s="8" t="s">
        <v>900</v>
      </c>
      <c r="E213" s="8" t="s">
        <v>987</v>
      </c>
      <c r="F213" s="8" t="s">
        <v>254</v>
      </c>
      <c r="G213" s="8" t="s">
        <v>28</v>
      </c>
      <c r="H213" s="8" t="s">
        <v>1056</v>
      </c>
      <c r="I213" s="8" t="s">
        <v>138</v>
      </c>
      <c r="J213" s="8" t="s">
        <v>106</v>
      </c>
      <c r="K213" s="8" t="s">
        <v>122</v>
      </c>
      <c r="L213" s="8" t="s">
        <v>263</v>
      </c>
      <c r="M213" s="8">
        <v>7</v>
      </c>
      <c r="N213" s="8">
        <v>45</v>
      </c>
      <c r="O213" s="8">
        <v>5</v>
      </c>
      <c r="P213" s="8">
        <v>299.25</v>
      </c>
      <c r="Q213" s="8">
        <v>3</v>
      </c>
      <c r="R213" s="8" t="s">
        <v>79</v>
      </c>
      <c r="S213" s="8" t="s">
        <v>35</v>
      </c>
      <c r="T213" s="8" t="s">
        <v>256</v>
      </c>
      <c r="U213" s="9" t="s">
        <v>1057</v>
      </c>
      <c r="V213" s="8" t="s">
        <v>69</v>
      </c>
    </row>
    <row r="214" spans="1:22">
      <c r="A214" s="3" t="s">
        <v>1058</v>
      </c>
      <c r="B214" s="4" t="s">
        <v>23</v>
      </c>
      <c r="C214" s="4" t="s">
        <v>118</v>
      </c>
      <c r="D214" s="4" t="s">
        <v>684</v>
      </c>
      <c r="E214" s="4" t="s">
        <v>750</v>
      </c>
      <c r="F214" s="4" t="s">
        <v>27</v>
      </c>
      <c r="G214" s="4" t="s">
        <v>28</v>
      </c>
      <c r="H214" s="4" t="s">
        <v>331</v>
      </c>
      <c r="I214" s="4" t="s">
        <v>30</v>
      </c>
      <c r="J214" s="4" t="s">
        <v>31</v>
      </c>
      <c r="K214" s="4" t="s">
        <v>122</v>
      </c>
      <c r="L214" s="4" t="s">
        <v>123</v>
      </c>
      <c r="M214" s="4">
        <v>3</v>
      </c>
      <c r="N214" s="4">
        <v>60</v>
      </c>
      <c r="O214" s="4">
        <v>15</v>
      </c>
      <c r="P214" s="4">
        <v>153</v>
      </c>
      <c r="Q214" s="4">
        <v>3</v>
      </c>
      <c r="R214" s="4" t="s">
        <v>48</v>
      </c>
      <c r="S214" s="4" t="s">
        <v>49</v>
      </c>
      <c r="T214" s="4" t="s">
        <v>50</v>
      </c>
      <c r="U214" s="6" t="s">
        <v>1059</v>
      </c>
      <c r="V214" s="4" t="s">
        <v>69</v>
      </c>
    </row>
    <row r="215" spans="1:22">
      <c r="A215" s="7" t="s">
        <v>1060</v>
      </c>
      <c r="B215" s="8" t="s">
        <v>53</v>
      </c>
      <c r="C215" s="8" t="s">
        <v>259</v>
      </c>
      <c r="D215" s="8" t="s">
        <v>1061</v>
      </c>
      <c r="E215" s="8" t="s">
        <v>582</v>
      </c>
      <c r="F215" s="8" t="s">
        <v>163</v>
      </c>
      <c r="G215" s="8" t="s">
        <v>28</v>
      </c>
      <c r="H215" s="8" t="s">
        <v>1062</v>
      </c>
      <c r="I215" s="8" t="s">
        <v>114</v>
      </c>
      <c r="J215" s="8" t="s">
        <v>106</v>
      </c>
      <c r="K215" s="8" t="s">
        <v>122</v>
      </c>
      <c r="L215" s="8" t="s">
        <v>263</v>
      </c>
      <c r="M215" s="8">
        <v>19</v>
      </c>
      <c r="N215" s="8">
        <v>45</v>
      </c>
      <c r="O215" s="8">
        <v>0</v>
      </c>
      <c r="P215" s="8">
        <v>855</v>
      </c>
      <c r="Q215" s="8">
        <v>2</v>
      </c>
      <c r="R215" s="8" t="s">
        <v>34</v>
      </c>
      <c r="S215" s="8" t="s">
        <v>61</v>
      </c>
      <c r="T215" s="8" t="s">
        <v>62</v>
      </c>
      <c r="U215" s="9" t="s">
        <v>1063</v>
      </c>
      <c r="V215" s="8" t="s">
        <v>38</v>
      </c>
    </row>
    <row r="216" spans="1:22">
      <c r="A216" s="3" t="s">
        <v>1064</v>
      </c>
      <c r="B216" s="4" t="s">
        <v>100</v>
      </c>
      <c r="C216" s="4" t="s">
        <v>40</v>
      </c>
      <c r="D216" s="4" t="s">
        <v>1065</v>
      </c>
      <c r="E216" s="4" t="s">
        <v>543</v>
      </c>
      <c r="F216" s="4" t="s">
        <v>103</v>
      </c>
      <c r="G216" s="4" t="s">
        <v>28</v>
      </c>
      <c r="H216" s="4" t="s">
        <v>1066</v>
      </c>
      <c r="I216" s="4" t="s">
        <v>59</v>
      </c>
      <c r="J216" s="4" t="s">
        <v>31</v>
      </c>
      <c r="K216" s="4" t="s">
        <v>46</v>
      </c>
      <c r="L216" s="4" t="s">
        <v>47</v>
      </c>
      <c r="M216" s="4">
        <v>10</v>
      </c>
      <c r="N216" s="4">
        <v>12000</v>
      </c>
      <c r="O216" s="4">
        <v>5</v>
      </c>
      <c r="P216" s="4">
        <v>114000</v>
      </c>
      <c r="Q216" s="4">
        <v>1</v>
      </c>
      <c r="R216" s="4" t="s">
        <v>79</v>
      </c>
      <c r="S216" s="4" t="s">
        <v>115</v>
      </c>
      <c r="T216" s="4" t="s">
        <v>144</v>
      </c>
      <c r="U216" s="6" t="s">
        <v>1067</v>
      </c>
      <c r="V216" s="4" t="s">
        <v>69</v>
      </c>
    </row>
    <row r="217" spans="1:22">
      <c r="A217" s="7" t="s">
        <v>1068</v>
      </c>
      <c r="B217" s="8" t="s">
        <v>23</v>
      </c>
      <c r="C217" s="8" t="s">
        <v>72</v>
      </c>
      <c r="D217" s="8" t="s">
        <v>1069</v>
      </c>
      <c r="E217" s="8" t="s">
        <v>1031</v>
      </c>
      <c r="F217" s="8" t="s">
        <v>27</v>
      </c>
      <c r="G217" s="8" t="s">
        <v>28</v>
      </c>
      <c r="H217" s="8" t="s">
        <v>1070</v>
      </c>
      <c r="I217" s="8" t="s">
        <v>294</v>
      </c>
      <c r="J217" s="8" t="s">
        <v>295</v>
      </c>
      <c r="K217" s="8" t="s">
        <v>46</v>
      </c>
      <c r="L217" s="8" t="s">
        <v>78</v>
      </c>
      <c r="M217" s="8">
        <v>4</v>
      </c>
      <c r="N217" s="8">
        <v>1200</v>
      </c>
      <c r="O217" s="8">
        <v>0</v>
      </c>
      <c r="P217" s="8">
        <v>4800</v>
      </c>
      <c r="Q217" s="8">
        <v>4</v>
      </c>
      <c r="R217" s="8" t="s">
        <v>34</v>
      </c>
      <c r="S217" s="8" t="s">
        <v>61</v>
      </c>
      <c r="T217" s="8" t="s">
        <v>50</v>
      </c>
      <c r="U217" s="9" t="s">
        <v>1071</v>
      </c>
      <c r="V217" s="8" t="s">
        <v>38</v>
      </c>
    </row>
    <row r="218" spans="1:22">
      <c r="A218" s="3" t="s">
        <v>1072</v>
      </c>
      <c r="B218" s="4" t="s">
        <v>221</v>
      </c>
      <c r="C218" s="4" t="s">
        <v>169</v>
      </c>
      <c r="D218" s="4" t="s">
        <v>531</v>
      </c>
      <c r="E218" s="4" t="s">
        <v>1073</v>
      </c>
      <c r="F218" s="4" t="s">
        <v>225</v>
      </c>
      <c r="G218" s="4" t="s">
        <v>76</v>
      </c>
      <c r="H218" s="4" t="s">
        <v>1074</v>
      </c>
      <c r="I218" s="4" t="s">
        <v>59</v>
      </c>
      <c r="J218" s="4" t="s">
        <v>31</v>
      </c>
      <c r="K218" s="4" t="s">
        <v>32</v>
      </c>
      <c r="L218" s="4" t="s">
        <v>174</v>
      </c>
      <c r="M218" s="4">
        <v>2</v>
      </c>
      <c r="N218" s="4">
        <v>8500</v>
      </c>
      <c r="O218" s="4">
        <v>20</v>
      </c>
      <c r="P218" s="4">
        <v>13600</v>
      </c>
      <c r="Q218" s="4">
        <v>3</v>
      </c>
      <c r="R218" s="4" t="s">
        <v>79</v>
      </c>
      <c r="S218" s="4" t="s">
        <v>151</v>
      </c>
      <c r="T218" s="4" t="s">
        <v>228</v>
      </c>
      <c r="U218" s="6" t="s">
        <v>1075</v>
      </c>
      <c r="V218" s="4" t="s">
        <v>38</v>
      </c>
    </row>
    <row r="219" spans="1:22">
      <c r="A219" s="7" t="s">
        <v>1076</v>
      </c>
      <c r="B219" s="8" t="s">
        <v>83</v>
      </c>
      <c r="C219" s="8" t="s">
        <v>184</v>
      </c>
      <c r="D219" s="8" t="s">
        <v>1077</v>
      </c>
      <c r="E219" s="8" t="s">
        <v>322</v>
      </c>
      <c r="F219" s="8" t="s">
        <v>180</v>
      </c>
      <c r="G219" s="8" t="s">
        <v>76</v>
      </c>
      <c r="H219" s="8" t="s">
        <v>1078</v>
      </c>
      <c r="I219" s="8" t="s">
        <v>294</v>
      </c>
      <c r="J219" s="8" t="s">
        <v>295</v>
      </c>
      <c r="K219" s="8" t="s">
        <v>46</v>
      </c>
      <c r="L219" s="8" t="s">
        <v>189</v>
      </c>
      <c r="M219" s="8">
        <v>7</v>
      </c>
      <c r="N219" s="8">
        <v>700</v>
      </c>
      <c r="O219" s="8">
        <v>20</v>
      </c>
      <c r="P219" s="8">
        <v>3920</v>
      </c>
      <c r="Q219" s="8">
        <v>2</v>
      </c>
      <c r="R219" s="8" t="s">
        <v>79</v>
      </c>
      <c r="S219" s="8" t="s">
        <v>151</v>
      </c>
      <c r="T219" s="8" t="s">
        <v>89</v>
      </c>
      <c r="U219" s="9" t="s">
        <v>1079</v>
      </c>
      <c r="V219" s="8" t="s">
        <v>64</v>
      </c>
    </row>
    <row r="220" spans="1:22">
      <c r="A220" s="3" t="s">
        <v>1080</v>
      </c>
      <c r="B220" s="4" t="s">
        <v>53</v>
      </c>
      <c r="C220" s="4" t="s">
        <v>222</v>
      </c>
      <c r="D220" s="4" t="s">
        <v>1081</v>
      </c>
      <c r="E220" s="4" t="s">
        <v>518</v>
      </c>
      <c r="F220" s="4" t="s">
        <v>163</v>
      </c>
      <c r="G220" s="4" t="s">
        <v>28</v>
      </c>
      <c r="H220" s="4" t="s">
        <v>1082</v>
      </c>
      <c r="I220" s="4" t="s">
        <v>114</v>
      </c>
      <c r="J220" s="4" t="s">
        <v>106</v>
      </c>
      <c r="K220" s="4" t="s">
        <v>122</v>
      </c>
      <c r="L220" s="4" t="s">
        <v>227</v>
      </c>
      <c r="M220" s="4">
        <v>9</v>
      </c>
      <c r="N220" s="4">
        <v>20</v>
      </c>
      <c r="O220" s="4">
        <v>15</v>
      </c>
      <c r="P220" s="4">
        <v>153</v>
      </c>
      <c r="Q220" s="4">
        <v>3</v>
      </c>
      <c r="R220" s="4" t="s">
        <v>48</v>
      </c>
      <c r="S220" s="4" t="s">
        <v>115</v>
      </c>
      <c r="T220" s="4" t="s">
        <v>62</v>
      </c>
      <c r="U220" s="6" t="s">
        <v>1083</v>
      </c>
      <c r="V220" s="4" t="s">
        <v>38</v>
      </c>
    </row>
    <row r="221" spans="1:22">
      <c r="A221" s="7" t="s">
        <v>1084</v>
      </c>
      <c r="B221" s="8" t="s">
        <v>100</v>
      </c>
      <c r="C221" s="8" t="s">
        <v>169</v>
      </c>
      <c r="D221" s="8" t="s">
        <v>1085</v>
      </c>
      <c r="E221" s="8" t="s">
        <v>1086</v>
      </c>
      <c r="F221" s="8" t="s">
        <v>103</v>
      </c>
      <c r="G221" s="8" t="s">
        <v>28</v>
      </c>
      <c r="H221" s="8" t="s">
        <v>1087</v>
      </c>
      <c r="I221" s="8" t="s">
        <v>294</v>
      </c>
      <c r="J221" s="8" t="s">
        <v>295</v>
      </c>
      <c r="K221" s="8" t="s">
        <v>32</v>
      </c>
      <c r="L221" s="8" t="s">
        <v>174</v>
      </c>
      <c r="M221" s="8">
        <v>16</v>
      </c>
      <c r="N221" s="8">
        <v>8500</v>
      </c>
      <c r="O221" s="8">
        <v>0</v>
      </c>
      <c r="P221" s="8">
        <v>136000</v>
      </c>
      <c r="Q221" s="8">
        <v>4</v>
      </c>
      <c r="R221" s="8" t="s">
        <v>48</v>
      </c>
      <c r="S221" s="8" t="s">
        <v>35</v>
      </c>
      <c r="T221" s="8" t="s">
        <v>144</v>
      </c>
      <c r="U221" s="9" t="s">
        <v>1088</v>
      </c>
      <c r="V221" s="8" t="s">
        <v>38</v>
      </c>
    </row>
    <row r="222" spans="1:22">
      <c r="A222" s="3" t="s">
        <v>1089</v>
      </c>
      <c r="B222" s="4" t="s">
        <v>251</v>
      </c>
      <c r="C222" s="4" t="s">
        <v>92</v>
      </c>
      <c r="D222" s="4" t="s">
        <v>544</v>
      </c>
      <c r="E222" s="4" t="s">
        <v>1090</v>
      </c>
      <c r="F222" s="4" t="s">
        <v>254</v>
      </c>
      <c r="G222" s="4" t="s">
        <v>28</v>
      </c>
      <c r="H222" s="4" t="s">
        <v>1091</v>
      </c>
      <c r="I222" s="4" t="s">
        <v>44</v>
      </c>
      <c r="J222" s="4" t="s">
        <v>45</v>
      </c>
      <c r="K222" s="4" t="s">
        <v>32</v>
      </c>
      <c r="L222" s="4" t="s">
        <v>97</v>
      </c>
      <c r="M222" s="4">
        <v>10</v>
      </c>
      <c r="N222" s="4">
        <v>3500</v>
      </c>
      <c r="O222" s="4">
        <v>5</v>
      </c>
      <c r="P222" s="4">
        <v>33250</v>
      </c>
      <c r="Q222" s="4">
        <v>3</v>
      </c>
      <c r="R222" s="4" t="s">
        <v>48</v>
      </c>
      <c r="S222" s="4" t="s">
        <v>115</v>
      </c>
      <c r="T222" s="4" t="s">
        <v>256</v>
      </c>
      <c r="U222" s="6" t="s">
        <v>1092</v>
      </c>
      <c r="V222" s="4" t="s">
        <v>38</v>
      </c>
    </row>
    <row r="223" spans="1:22">
      <c r="A223" s="7" t="s">
        <v>1093</v>
      </c>
      <c r="B223" s="8" t="s">
        <v>53</v>
      </c>
      <c r="C223" s="8" t="s">
        <v>40</v>
      </c>
      <c r="D223" s="8" t="s">
        <v>1094</v>
      </c>
      <c r="E223" s="8" t="s">
        <v>588</v>
      </c>
      <c r="F223" s="8" t="s">
        <v>163</v>
      </c>
      <c r="G223" s="8" t="s">
        <v>28</v>
      </c>
      <c r="H223" s="8" t="s">
        <v>1095</v>
      </c>
      <c r="I223" s="8" t="s">
        <v>294</v>
      </c>
      <c r="J223" s="8" t="s">
        <v>295</v>
      </c>
      <c r="K223" s="8" t="s">
        <v>46</v>
      </c>
      <c r="L223" s="8" t="s">
        <v>47</v>
      </c>
      <c r="M223" s="8">
        <v>1</v>
      </c>
      <c r="N223" s="8">
        <v>12000</v>
      </c>
      <c r="O223" s="8">
        <v>0</v>
      </c>
      <c r="P223" s="8">
        <v>12000</v>
      </c>
      <c r="Q223" s="8">
        <v>5</v>
      </c>
      <c r="R223" s="8" t="s">
        <v>88</v>
      </c>
      <c r="S223" s="8" t="s">
        <v>115</v>
      </c>
      <c r="T223" s="8" t="s">
        <v>62</v>
      </c>
      <c r="U223" s="9" t="s">
        <v>1096</v>
      </c>
      <c r="V223" s="8" t="s">
        <v>64</v>
      </c>
    </row>
    <row r="224" spans="1:22">
      <c r="A224" s="3" t="s">
        <v>1097</v>
      </c>
      <c r="B224" s="4" t="s">
        <v>327</v>
      </c>
      <c r="C224" s="4" t="s">
        <v>259</v>
      </c>
      <c r="D224" s="4" t="s">
        <v>1098</v>
      </c>
      <c r="E224" s="4" t="s">
        <v>601</v>
      </c>
      <c r="F224" s="4" t="s">
        <v>394</v>
      </c>
      <c r="G224" s="4" t="s">
        <v>76</v>
      </c>
      <c r="H224" s="4" t="s">
        <v>1099</v>
      </c>
      <c r="I224" s="4" t="s">
        <v>294</v>
      </c>
      <c r="J224" s="4" t="s">
        <v>295</v>
      </c>
      <c r="K224" s="4" t="s">
        <v>122</v>
      </c>
      <c r="L224" s="4" t="s">
        <v>263</v>
      </c>
      <c r="M224" s="4">
        <v>19</v>
      </c>
      <c r="N224" s="4">
        <v>45</v>
      </c>
      <c r="O224" s="4">
        <v>15</v>
      </c>
      <c r="P224" s="4">
        <v>726.75</v>
      </c>
      <c r="Q224" s="4">
        <v>2</v>
      </c>
      <c r="R224" s="4" t="s">
        <v>88</v>
      </c>
      <c r="S224" s="4" t="s">
        <v>151</v>
      </c>
      <c r="T224" s="4" t="s">
        <v>332</v>
      </c>
      <c r="U224" s="6" t="s">
        <v>1100</v>
      </c>
      <c r="V224" s="4" t="s">
        <v>64</v>
      </c>
    </row>
    <row r="225" spans="1:22">
      <c r="A225" s="7" t="s">
        <v>1101</v>
      </c>
      <c r="B225" s="8" t="s">
        <v>23</v>
      </c>
      <c r="C225" s="8" t="s">
        <v>54</v>
      </c>
      <c r="D225" s="8" t="s">
        <v>531</v>
      </c>
      <c r="E225" s="8" t="s">
        <v>1102</v>
      </c>
      <c r="F225" s="8" t="s">
        <v>27</v>
      </c>
      <c r="G225" s="8" t="s">
        <v>28</v>
      </c>
      <c r="H225" s="8" t="s">
        <v>1103</v>
      </c>
      <c r="I225" s="8" t="s">
        <v>44</v>
      </c>
      <c r="J225" s="8" t="s">
        <v>45</v>
      </c>
      <c r="K225" s="8" t="s">
        <v>46</v>
      </c>
      <c r="L225" s="8" t="s">
        <v>60</v>
      </c>
      <c r="M225" s="8">
        <v>13</v>
      </c>
      <c r="N225" s="8">
        <v>55000</v>
      </c>
      <c r="O225" s="8">
        <v>5</v>
      </c>
      <c r="P225" s="8">
        <v>679250</v>
      </c>
      <c r="Q225" s="8">
        <v>4</v>
      </c>
      <c r="R225" s="8" t="s">
        <v>79</v>
      </c>
      <c r="S225" s="8" t="s">
        <v>49</v>
      </c>
      <c r="T225" s="8" t="s">
        <v>50</v>
      </c>
      <c r="U225" s="9" t="s">
        <v>1104</v>
      </c>
      <c r="V225" s="8" t="s">
        <v>69</v>
      </c>
    </row>
    <row r="226" spans="1:22">
      <c r="A226" s="3" t="s">
        <v>1105</v>
      </c>
      <c r="B226" s="4" t="s">
        <v>83</v>
      </c>
      <c r="C226" s="4" t="s">
        <v>259</v>
      </c>
      <c r="D226" s="4" t="s">
        <v>1106</v>
      </c>
      <c r="E226" s="4" t="s">
        <v>155</v>
      </c>
      <c r="F226" s="4" t="s">
        <v>180</v>
      </c>
      <c r="G226" s="4" t="s">
        <v>76</v>
      </c>
      <c r="H226" s="4" t="s">
        <v>1107</v>
      </c>
      <c r="I226" s="4" t="s">
        <v>105</v>
      </c>
      <c r="J226" s="4" t="s">
        <v>106</v>
      </c>
      <c r="K226" s="4" t="s">
        <v>122</v>
      </c>
      <c r="L226" s="4" t="s">
        <v>263</v>
      </c>
      <c r="M226" s="4">
        <v>2</v>
      </c>
      <c r="N226" s="4">
        <v>45</v>
      </c>
      <c r="O226" s="4">
        <v>15</v>
      </c>
      <c r="P226" s="4">
        <v>76.5</v>
      </c>
      <c r="Q226" s="4">
        <v>1</v>
      </c>
      <c r="R226" s="4" t="s">
        <v>48</v>
      </c>
      <c r="S226" s="4" t="s">
        <v>115</v>
      </c>
      <c r="T226" s="4" t="s">
        <v>89</v>
      </c>
      <c r="U226" s="6" t="s">
        <v>1108</v>
      </c>
      <c r="V226" s="4" t="s">
        <v>38</v>
      </c>
    </row>
    <row r="227" spans="1:22">
      <c r="A227" s="7" t="s">
        <v>1109</v>
      </c>
      <c r="B227" s="8" t="s">
        <v>100</v>
      </c>
      <c r="C227" s="8" t="s">
        <v>222</v>
      </c>
      <c r="D227" s="8" t="s">
        <v>303</v>
      </c>
      <c r="E227" s="8" t="s">
        <v>1110</v>
      </c>
      <c r="F227" s="8" t="s">
        <v>103</v>
      </c>
      <c r="G227" s="8" t="s">
        <v>28</v>
      </c>
      <c r="H227" s="8" t="s">
        <v>1111</v>
      </c>
      <c r="I227" s="8" t="s">
        <v>30</v>
      </c>
      <c r="J227" s="8" t="s">
        <v>31</v>
      </c>
      <c r="K227" s="8" t="s">
        <v>122</v>
      </c>
      <c r="L227" s="8" t="s">
        <v>227</v>
      </c>
      <c r="M227" s="8">
        <v>8</v>
      </c>
      <c r="N227" s="8">
        <v>20</v>
      </c>
      <c r="O227" s="8">
        <v>15</v>
      </c>
      <c r="P227" s="8">
        <v>136</v>
      </c>
      <c r="Q227" s="8">
        <v>1</v>
      </c>
      <c r="R227" s="8" t="s">
        <v>79</v>
      </c>
      <c r="S227" s="8" t="s">
        <v>35</v>
      </c>
      <c r="T227" s="8" t="s">
        <v>144</v>
      </c>
      <c r="U227" s="9" t="s">
        <v>1112</v>
      </c>
      <c r="V227" s="8" t="s">
        <v>64</v>
      </c>
    </row>
    <row r="228" spans="1:22">
      <c r="A228" s="3" t="s">
        <v>1113</v>
      </c>
      <c r="B228" s="4" t="s">
        <v>168</v>
      </c>
      <c r="C228" s="4" t="s">
        <v>40</v>
      </c>
      <c r="D228" s="4" t="s">
        <v>1114</v>
      </c>
      <c r="E228" s="4" t="s">
        <v>1115</v>
      </c>
      <c r="F228" s="4" t="s">
        <v>361</v>
      </c>
      <c r="G228" s="4" t="s">
        <v>28</v>
      </c>
      <c r="H228" s="4" t="s">
        <v>1116</v>
      </c>
      <c r="I228" s="4" t="s">
        <v>30</v>
      </c>
      <c r="J228" s="4" t="s">
        <v>31</v>
      </c>
      <c r="K228" s="4" t="s">
        <v>46</v>
      </c>
      <c r="L228" s="4" t="s">
        <v>47</v>
      </c>
      <c r="M228" s="4">
        <v>9</v>
      </c>
      <c r="N228" s="4">
        <v>12000</v>
      </c>
      <c r="O228" s="4">
        <v>5</v>
      </c>
      <c r="P228" s="4">
        <v>102600</v>
      </c>
      <c r="Q228" s="4">
        <v>2</v>
      </c>
      <c r="R228" s="4" t="s">
        <v>79</v>
      </c>
      <c r="S228" s="4" t="s">
        <v>35</v>
      </c>
      <c r="T228" s="4" t="s">
        <v>175</v>
      </c>
      <c r="U228" s="6" t="s">
        <v>1117</v>
      </c>
      <c r="V228" s="4" t="s">
        <v>69</v>
      </c>
    </row>
    <row r="229" spans="1:22">
      <c r="A229" s="7" t="s">
        <v>1118</v>
      </c>
      <c r="B229" s="8" t="s">
        <v>71</v>
      </c>
      <c r="C229" s="8" t="s">
        <v>92</v>
      </c>
      <c r="D229" s="8" t="s">
        <v>1119</v>
      </c>
      <c r="E229" s="8" t="s">
        <v>1120</v>
      </c>
      <c r="F229" s="8" t="s">
        <v>217</v>
      </c>
      <c r="G229" s="8" t="s">
        <v>76</v>
      </c>
      <c r="H229" s="8" t="s">
        <v>1121</v>
      </c>
      <c r="I229" s="8" t="s">
        <v>294</v>
      </c>
      <c r="J229" s="8" t="s">
        <v>295</v>
      </c>
      <c r="K229" s="8" t="s">
        <v>32</v>
      </c>
      <c r="L229" s="8" t="s">
        <v>97</v>
      </c>
      <c r="M229" s="8">
        <v>3</v>
      </c>
      <c r="N229" s="8">
        <v>3500</v>
      </c>
      <c r="O229" s="8">
        <v>15</v>
      </c>
      <c r="P229" s="8">
        <v>8925</v>
      </c>
      <c r="Q229" s="8">
        <v>1</v>
      </c>
      <c r="R229" s="8" t="s">
        <v>34</v>
      </c>
      <c r="S229" s="8" t="s">
        <v>49</v>
      </c>
      <c r="T229" s="8" t="s">
        <v>80</v>
      </c>
      <c r="U229" s="9" t="s">
        <v>1122</v>
      </c>
      <c r="V229" s="8" t="s">
        <v>69</v>
      </c>
    </row>
    <row r="230" spans="1:22">
      <c r="A230" s="3" t="s">
        <v>1123</v>
      </c>
      <c r="B230" s="4" t="s">
        <v>100</v>
      </c>
      <c r="C230" s="4" t="s">
        <v>184</v>
      </c>
      <c r="D230" s="4" t="s">
        <v>1086</v>
      </c>
      <c r="E230" s="4" t="s">
        <v>1124</v>
      </c>
      <c r="F230" s="4" t="s">
        <v>103</v>
      </c>
      <c r="G230" s="4" t="s">
        <v>28</v>
      </c>
      <c r="H230" s="4" t="s">
        <v>1125</v>
      </c>
      <c r="I230" s="4" t="s">
        <v>30</v>
      </c>
      <c r="J230" s="4" t="s">
        <v>31</v>
      </c>
      <c r="K230" s="4" t="s">
        <v>46</v>
      </c>
      <c r="L230" s="4" t="s">
        <v>189</v>
      </c>
      <c r="M230" s="4">
        <v>18</v>
      </c>
      <c r="N230" s="4">
        <v>700</v>
      </c>
      <c r="O230" s="4">
        <v>20</v>
      </c>
      <c r="P230" s="4">
        <v>10080</v>
      </c>
      <c r="Q230" s="4">
        <v>1</v>
      </c>
      <c r="R230" s="4" t="s">
        <v>79</v>
      </c>
      <c r="S230" s="4" t="s">
        <v>151</v>
      </c>
      <c r="T230" s="4" t="s">
        <v>144</v>
      </c>
      <c r="U230" s="6" t="s">
        <v>1126</v>
      </c>
      <c r="V230" s="4" t="s">
        <v>38</v>
      </c>
    </row>
    <row r="231" spans="1:22">
      <c r="A231" s="7" t="s">
        <v>1127</v>
      </c>
      <c r="B231" s="8" t="s">
        <v>71</v>
      </c>
      <c r="C231" s="8" t="s">
        <v>92</v>
      </c>
      <c r="D231" s="8" t="s">
        <v>1128</v>
      </c>
      <c r="E231" s="8" t="s">
        <v>110</v>
      </c>
      <c r="F231" s="8" t="s">
        <v>217</v>
      </c>
      <c r="G231" s="8" t="s">
        <v>76</v>
      </c>
      <c r="H231" s="8" t="s">
        <v>1129</v>
      </c>
      <c r="I231" s="8" t="s">
        <v>114</v>
      </c>
      <c r="J231" s="8" t="s">
        <v>106</v>
      </c>
      <c r="K231" s="8" t="s">
        <v>32</v>
      </c>
      <c r="L231" s="8" t="s">
        <v>97</v>
      </c>
      <c r="M231" s="8">
        <v>14</v>
      </c>
      <c r="N231" s="8">
        <v>3500</v>
      </c>
      <c r="O231" s="8">
        <v>5</v>
      </c>
      <c r="P231" s="8">
        <v>46550</v>
      </c>
      <c r="Q231" s="8">
        <v>1</v>
      </c>
      <c r="R231" s="8" t="s">
        <v>34</v>
      </c>
      <c r="S231" s="8" t="s">
        <v>61</v>
      </c>
      <c r="T231" s="8" t="s">
        <v>80</v>
      </c>
      <c r="U231" s="9" t="s">
        <v>1130</v>
      </c>
      <c r="V231" s="8" t="s">
        <v>38</v>
      </c>
    </row>
    <row r="232" spans="1:22">
      <c r="A232" s="3" t="s">
        <v>1131</v>
      </c>
      <c r="B232" s="4" t="s">
        <v>100</v>
      </c>
      <c r="C232" s="4" t="s">
        <v>184</v>
      </c>
      <c r="D232" s="4" t="s">
        <v>684</v>
      </c>
      <c r="E232" s="4" t="s">
        <v>318</v>
      </c>
      <c r="F232" s="4" t="s">
        <v>103</v>
      </c>
      <c r="G232" s="4" t="s">
        <v>28</v>
      </c>
      <c r="H232" s="4" t="s">
        <v>1132</v>
      </c>
      <c r="I232" s="4" t="s">
        <v>294</v>
      </c>
      <c r="J232" s="4" t="s">
        <v>295</v>
      </c>
      <c r="K232" s="4" t="s">
        <v>46</v>
      </c>
      <c r="L232" s="4" t="s">
        <v>189</v>
      </c>
      <c r="M232" s="4">
        <v>6</v>
      </c>
      <c r="N232" s="4">
        <v>700</v>
      </c>
      <c r="O232" s="4">
        <v>5</v>
      </c>
      <c r="P232" s="4">
        <v>3990</v>
      </c>
      <c r="Q232" s="4">
        <v>5</v>
      </c>
      <c r="R232" s="4" t="s">
        <v>34</v>
      </c>
      <c r="S232" s="4" t="s">
        <v>35</v>
      </c>
      <c r="T232" s="4" t="s">
        <v>144</v>
      </c>
      <c r="U232" s="6" t="s">
        <v>1133</v>
      </c>
      <c r="V232" s="4" t="s">
        <v>38</v>
      </c>
    </row>
    <row r="233" spans="1:22">
      <c r="A233" s="7" t="s">
        <v>1134</v>
      </c>
      <c r="B233" s="8" t="s">
        <v>100</v>
      </c>
      <c r="C233" s="8" t="s">
        <v>92</v>
      </c>
      <c r="D233" s="8" t="s">
        <v>679</v>
      </c>
      <c r="E233" s="8" t="s">
        <v>872</v>
      </c>
      <c r="F233" s="8" t="s">
        <v>103</v>
      </c>
      <c r="G233" s="8" t="s">
        <v>28</v>
      </c>
      <c r="H233" s="8" t="s">
        <v>1135</v>
      </c>
      <c r="I233" s="8" t="s">
        <v>105</v>
      </c>
      <c r="J233" s="8" t="s">
        <v>106</v>
      </c>
      <c r="K233" s="8" t="s">
        <v>32</v>
      </c>
      <c r="L233" s="8" t="s">
        <v>97</v>
      </c>
      <c r="M233" s="8">
        <v>17</v>
      </c>
      <c r="N233" s="8">
        <v>3500</v>
      </c>
      <c r="O233" s="8">
        <v>15</v>
      </c>
      <c r="P233" s="8">
        <v>50575</v>
      </c>
      <c r="Q233" s="8">
        <v>3</v>
      </c>
      <c r="R233" s="8" t="s">
        <v>48</v>
      </c>
      <c r="S233" s="8" t="s">
        <v>49</v>
      </c>
      <c r="T233" s="8" t="s">
        <v>144</v>
      </c>
      <c r="U233" s="9" t="s">
        <v>1136</v>
      </c>
      <c r="V233" s="8" t="s">
        <v>64</v>
      </c>
    </row>
    <row r="234" spans="1:22">
      <c r="A234" s="3" t="s">
        <v>1137</v>
      </c>
      <c r="B234" s="4" t="s">
        <v>251</v>
      </c>
      <c r="C234" s="4" t="s">
        <v>222</v>
      </c>
      <c r="D234" s="4" t="s">
        <v>253</v>
      </c>
      <c r="E234" s="4" t="s">
        <v>1128</v>
      </c>
      <c r="F234" s="4" t="s">
        <v>254</v>
      </c>
      <c r="G234" s="4" t="s">
        <v>28</v>
      </c>
      <c r="H234" s="4" t="s">
        <v>1138</v>
      </c>
      <c r="I234" s="4" t="s">
        <v>294</v>
      </c>
      <c r="J234" s="4" t="s">
        <v>295</v>
      </c>
      <c r="K234" s="4" t="s">
        <v>122</v>
      </c>
      <c r="L234" s="4" t="s">
        <v>227</v>
      </c>
      <c r="M234" s="4">
        <v>7</v>
      </c>
      <c r="N234" s="4">
        <v>20</v>
      </c>
      <c r="O234" s="4">
        <v>5</v>
      </c>
      <c r="P234" s="4">
        <v>133</v>
      </c>
      <c r="Q234" s="4">
        <v>2</v>
      </c>
      <c r="R234" s="4" t="s">
        <v>88</v>
      </c>
      <c r="S234" s="4" t="s">
        <v>151</v>
      </c>
      <c r="T234" s="4" t="s">
        <v>256</v>
      </c>
      <c r="U234" s="6" t="s">
        <v>1139</v>
      </c>
      <c r="V234" s="4" t="s">
        <v>38</v>
      </c>
    </row>
    <row r="235" spans="1:22">
      <c r="A235" s="7" t="s">
        <v>1140</v>
      </c>
      <c r="B235" s="8" t="s">
        <v>23</v>
      </c>
      <c r="C235" s="8" t="s">
        <v>24</v>
      </c>
      <c r="D235" s="8" t="s">
        <v>1141</v>
      </c>
      <c r="E235" s="8" t="s">
        <v>1142</v>
      </c>
      <c r="F235" s="8" t="s">
        <v>27</v>
      </c>
      <c r="G235" s="8" t="s">
        <v>28</v>
      </c>
      <c r="H235" s="8" t="s">
        <v>1143</v>
      </c>
      <c r="I235" s="8" t="s">
        <v>59</v>
      </c>
      <c r="J235" s="8" t="s">
        <v>31</v>
      </c>
      <c r="K235" s="8" t="s">
        <v>32</v>
      </c>
      <c r="L235" s="8" t="s">
        <v>33</v>
      </c>
      <c r="M235" s="8">
        <v>15</v>
      </c>
      <c r="N235" s="8">
        <v>2200</v>
      </c>
      <c r="O235" s="8">
        <v>20</v>
      </c>
      <c r="P235" s="8">
        <v>26400</v>
      </c>
      <c r="Q235" s="8">
        <v>2</v>
      </c>
      <c r="R235" s="8" t="s">
        <v>34</v>
      </c>
      <c r="S235" s="8" t="s">
        <v>61</v>
      </c>
      <c r="T235" s="8" t="s">
        <v>50</v>
      </c>
      <c r="U235" s="9" t="s">
        <v>1144</v>
      </c>
      <c r="V235" s="8" t="s">
        <v>38</v>
      </c>
    </row>
    <row r="236" spans="1:22">
      <c r="A236" s="3" t="s">
        <v>1145</v>
      </c>
      <c r="B236" s="4" t="s">
        <v>71</v>
      </c>
      <c r="C236" s="4" t="s">
        <v>222</v>
      </c>
      <c r="D236" s="4" t="s">
        <v>736</v>
      </c>
      <c r="E236" s="4" t="s">
        <v>94</v>
      </c>
      <c r="F236" s="4" t="s">
        <v>217</v>
      </c>
      <c r="G236" s="4" t="s">
        <v>76</v>
      </c>
      <c r="H236" s="4" t="s">
        <v>1146</v>
      </c>
      <c r="I236" s="4" t="s">
        <v>105</v>
      </c>
      <c r="J236" s="4" t="s">
        <v>106</v>
      </c>
      <c r="K236" s="4" t="s">
        <v>122</v>
      </c>
      <c r="L236" s="4" t="s">
        <v>227</v>
      </c>
      <c r="M236" s="4">
        <v>5</v>
      </c>
      <c r="N236" s="4">
        <v>20</v>
      </c>
      <c r="O236" s="4">
        <v>0</v>
      </c>
      <c r="P236" s="4">
        <v>100</v>
      </c>
      <c r="Q236" s="4">
        <v>3</v>
      </c>
      <c r="R236" s="4" t="s">
        <v>34</v>
      </c>
      <c r="S236" s="4" t="s">
        <v>151</v>
      </c>
      <c r="T236" s="4" t="s">
        <v>80</v>
      </c>
      <c r="U236" s="6" t="s">
        <v>1147</v>
      </c>
      <c r="V236" s="4" t="s">
        <v>38</v>
      </c>
    </row>
    <row r="237" spans="1:22">
      <c r="A237" s="7" t="s">
        <v>1148</v>
      </c>
      <c r="B237" s="8" t="s">
        <v>127</v>
      </c>
      <c r="C237" s="8" t="s">
        <v>40</v>
      </c>
      <c r="D237" s="8" t="s">
        <v>1149</v>
      </c>
      <c r="E237" s="8" t="s">
        <v>779</v>
      </c>
      <c r="F237" s="8" t="s">
        <v>200</v>
      </c>
      <c r="G237" s="8" t="s">
        <v>76</v>
      </c>
      <c r="H237" s="8" t="s">
        <v>1150</v>
      </c>
      <c r="I237" s="8" t="s">
        <v>44</v>
      </c>
      <c r="J237" s="8" t="s">
        <v>45</v>
      </c>
      <c r="K237" s="8" t="s">
        <v>46</v>
      </c>
      <c r="L237" s="8" t="s">
        <v>47</v>
      </c>
      <c r="M237" s="8">
        <v>8</v>
      </c>
      <c r="N237" s="8">
        <v>12000</v>
      </c>
      <c r="O237" s="8">
        <v>20</v>
      </c>
      <c r="P237" s="8">
        <v>76800</v>
      </c>
      <c r="Q237" s="8">
        <v>3</v>
      </c>
      <c r="R237" s="8" t="s">
        <v>79</v>
      </c>
      <c r="S237" s="8" t="s">
        <v>61</v>
      </c>
      <c r="T237" s="8" t="s">
        <v>132</v>
      </c>
      <c r="U237" s="9" t="s">
        <v>1151</v>
      </c>
      <c r="V237" s="8" t="s">
        <v>64</v>
      </c>
    </row>
    <row r="238" spans="1:22">
      <c r="A238" s="3" t="s">
        <v>1152</v>
      </c>
      <c r="B238" s="4" t="s">
        <v>127</v>
      </c>
      <c r="C238" s="4" t="s">
        <v>92</v>
      </c>
      <c r="D238" s="4" t="s">
        <v>1153</v>
      </c>
      <c r="E238" s="4" t="s">
        <v>987</v>
      </c>
      <c r="F238" s="4" t="s">
        <v>200</v>
      </c>
      <c r="G238" s="4" t="s">
        <v>76</v>
      </c>
      <c r="H238" s="4" t="s">
        <v>1154</v>
      </c>
      <c r="I238" s="4" t="s">
        <v>105</v>
      </c>
      <c r="J238" s="4" t="s">
        <v>106</v>
      </c>
      <c r="K238" s="4" t="s">
        <v>32</v>
      </c>
      <c r="L238" s="4" t="s">
        <v>97</v>
      </c>
      <c r="M238" s="4">
        <v>4</v>
      </c>
      <c r="N238" s="4">
        <v>3500</v>
      </c>
      <c r="O238" s="4">
        <v>20</v>
      </c>
      <c r="P238" s="4">
        <v>11200</v>
      </c>
      <c r="Q238" s="4">
        <v>1</v>
      </c>
      <c r="R238" s="4" t="s">
        <v>79</v>
      </c>
      <c r="S238" s="4" t="s">
        <v>115</v>
      </c>
      <c r="T238" s="4" t="s">
        <v>132</v>
      </c>
      <c r="U238" s="6" t="s">
        <v>1155</v>
      </c>
      <c r="V238" s="4" t="s">
        <v>38</v>
      </c>
    </row>
    <row r="239" spans="1:22">
      <c r="A239" s="7" t="s">
        <v>1156</v>
      </c>
      <c r="B239" s="8" t="s">
        <v>221</v>
      </c>
      <c r="C239" s="8" t="s">
        <v>259</v>
      </c>
      <c r="D239" s="8" t="s">
        <v>628</v>
      </c>
      <c r="E239" s="8" t="s">
        <v>1157</v>
      </c>
      <c r="F239" s="8" t="s">
        <v>225</v>
      </c>
      <c r="G239" s="8" t="s">
        <v>76</v>
      </c>
      <c r="H239" s="8" t="s">
        <v>1158</v>
      </c>
      <c r="I239" s="8" t="s">
        <v>30</v>
      </c>
      <c r="J239" s="8" t="s">
        <v>31</v>
      </c>
      <c r="K239" s="8" t="s">
        <v>122</v>
      </c>
      <c r="L239" s="8" t="s">
        <v>263</v>
      </c>
      <c r="M239" s="8">
        <v>19</v>
      </c>
      <c r="N239" s="8">
        <v>45</v>
      </c>
      <c r="O239" s="8">
        <v>10</v>
      </c>
      <c r="P239" s="8">
        <v>769.5</v>
      </c>
      <c r="Q239" s="8">
        <v>1</v>
      </c>
      <c r="R239" s="8" t="s">
        <v>34</v>
      </c>
      <c r="S239" s="8" t="s">
        <v>115</v>
      </c>
      <c r="T239" s="8" t="s">
        <v>228</v>
      </c>
      <c r="U239" s="9" t="s">
        <v>1159</v>
      </c>
      <c r="V239" s="8" t="s">
        <v>38</v>
      </c>
    </row>
    <row r="240" spans="1:22">
      <c r="A240" s="3" t="s">
        <v>1160</v>
      </c>
      <c r="B240" s="4" t="s">
        <v>53</v>
      </c>
      <c r="C240" s="4" t="s">
        <v>259</v>
      </c>
      <c r="D240" s="4" t="s">
        <v>588</v>
      </c>
      <c r="E240" s="4" t="s">
        <v>1161</v>
      </c>
      <c r="F240" s="4" t="s">
        <v>163</v>
      </c>
      <c r="G240" s="4" t="s">
        <v>28</v>
      </c>
      <c r="H240" s="4" t="s">
        <v>1162</v>
      </c>
      <c r="I240" s="4" t="s">
        <v>114</v>
      </c>
      <c r="J240" s="4" t="s">
        <v>106</v>
      </c>
      <c r="K240" s="4" t="s">
        <v>122</v>
      </c>
      <c r="L240" s="4" t="s">
        <v>263</v>
      </c>
      <c r="M240" s="4">
        <v>10</v>
      </c>
      <c r="N240" s="4">
        <v>45</v>
      </c>
      <c r="O240" s="4">
        <v>0</v>
      </c>
      <c r="P240" s="4">
        <v>450</v>
      </c>
      <c r="Q240" s="4">
        <v>4</v>
      </c>
      <c r="R240" s="4" t="s">
        <v>88</v>
      </c>
      <c r="S240" s="4" t="s">
        <v>61</v>
      </c>
      <c r="T240" s="4" t="s">
        <v>62</v>
      </c>
      <c r="U240" s="6" t="s">
        <v>1163</v>
      </c>
      <c r="V240" s="4" t="s">
        <v>38</v>
      </c>
    </row>
    <row r="241" spans="1:22">
      <c r="A241" s="7" t="s">
        <v>1164</v>
      </c>
      <c r="B241" s="8" t="s">
        <v>53</v>
      </c>
      <c r="C241" s="8" t="s">
        <v>259</v>
      </c>
      <c r="D241" s="8" t="s">
        <v>1165</v>
      </c>
      <c r="E241" s="8" t="s">
        <v>1039</v>
      </c>
      <c r="F241" s="8" t="s">
        <v>163</v>
      </c>
      <c r="G241" s="8" t="s">
        <v>28</v>
      </c>
      <c r="H241" s="8" t="s">
        <v>1166</v>
      </c>
      <c r="I241" s="8" t="s">
        <v>30</v>
      </c>
      <c r="J241" s="8" t="s">
        <v>31</v>
      </c>
      <c r="K241" s="8" t="s">
        <v>122</v>
      </c>
      <c r="L241" s="8" t="s">
        <v>263</v>
      </c>
      <c r="M241" s="8">
        <v>16</v>
      </c>
      <c r="N241" s="8">
        <v>45</v>
      </c>
      <c r="O241" s="8">
        <v>15</v>
      </c>
      <c r="P241" s="8">
        <v>612</v>
      </c>
      <c r="Q241" s="8">
        <v>3</v>
      </c>
      <c r="R241" s="8" t="s">
        <v>34</v>
      </c>
      <c r="S241" s="8" t="s">
        <v>115</v>
      </c>
      <c r="T241" s="8" t="s">
        <v>62</v>
      </c>
      <c r="U241" s="9" t="s">
        <v>1167</v>
      </c>
      <c r="V241" s="8" t="s">
        <v>69</v>
      </c>
    </row>
    <row r="242" spans="1:22">
      <c r="A242" s="3" t="s">
        <v>1168</v>
      </c>
      <c r="B242" s="4" t="s">
        <v>168</v>
      </c>
      <c r="C242" s="4" t="s">
        <v>169</v>
      </c>
      <c r="D242" s="4" t="s">
        <v>119</v>
      </c>
      <c r="E242" s="4" t="s">
        <v>120</v>
      </c>
      <c r="F242" s="4" t="s">
        <v>361</v>
      </c>
      <c r="G242" s="4" t="s">
        <v>28</v>
      </c>
      <c r="H242" s="4" t="s">
        <v>1169</v>
      </c>
      <c r="I242" s="4" t="s">
        <v>114</v>
      </c>
      <c r="J242" s="4" t="s">
        <v>106</v>
      </c>
      <c r="K242" s="4" t="s">
        <v>32</v>
      </c>
      <c r="L242" s="4" t="s">
        <v>174</v>
      </c>
      <c r="M242" s="4">
        <v>16</v>
      </c>
      <c r="N242" s="4">
        <v>8500</v>
      </c>
      <c r="O242" s="4">
        <v>15</v>
      </c>
      <c r="P242" s="4">
        <v>115600</v>
      </c>
      <c r="Q242" s="4">
        <v>4</v>
      </c>
      <c r="R242" s="4" t="s">
        <v>48</v>
      </c>
      <c r="S242" s="4" t="s">
        <v>35</v>
      </c>
      <c r="T242" s="4" t="s">
        <v>175</v>
      </c>
      <c r="U242" s="6" t="s">
        <v>1170</v>
      </c>
      <c r="V242" s="4" t="s">
        <v>69</v>
      </c>
    </row>
    <row r="243" spans="1:22">
      <c r="A243" s="7" t="s">
        <v>1171</v>
      </c>
      <c r="B243" s="8" t="s">
        <v>168</v>
      </c>
      <c r="C243" s="8" t="s">
        <v>222</v>
      </c>
      <c r="D243" s="8" t="s">
        <v>445</v>
      </c>
      <c r="E243" s="8" t="s">
        <v>1172</v>
      </c>
      <c r="F243" s="8" t="s">
        <v>361</v>
      </c>
      <c r="G243" s="8" t="s">
        <v>28</v>
      </c>
      <c r="H243" s="8" t="s">
        <v>1173</v>
      </c>
      <c r="I243" s="8" t="s">
        <v>294</v>
      </c>
      <c r="J243" s="8" t="s">
        <v>295</v>
      </c>
      <c r="K243" s="8" t="s">
        <v>122</v>
      </c>
      <c r="L243" s="8" t="s">
        <v>227</v>
      </c>
      <c r="M243" s="8">
        <v>15</v>
      </c>
      <c r="N243" s="8">
        <v>20</v>
      </c>
      <c r="O243" s="8">
        <v>20</v>
      </c>
      <c r="P243" s="8">
        <v>240</v>
      </c>
      <c r="Q243" s="8">
        <v>3</v>
      </c>
      <c r="R243" s="8" t="s">
        <v>48</v>
      </c>
      <c r="S243" s="8" t="s">
        <v>49</v>
      </c>
      <c r="T243" s="8" t="s">
        <v>175</v>
      </c>
      <c r="U243" s="9" t="s">
        <v>1174</v>
      </c>
      <c r="V243" s="8" t="s">
        <v>69</v>
      </c>
    </row>
    <row r="244" spans="1:22">
      <c r="A244" s="3" t="s">
        <v>1175</v>
      </c>
      <c r="B244" s="4" t="s">
        <v>83</v>
      </c>
      <c r="C244" s="4" t="s">
        <v>118</v>
      </c>
      <c r="D244" s="4" t="s">
        <v>440</v>
      </c>
      <c r="E244" s="4" t="s">
        <v>1176</v>
      </c>
      <c r="F244" s="4" t="s">
        <v>180</v>
      </c>
      <c r="G244" s="4" t="s">
        <v>76</v>
      </c>
      <c r="H244" s="4" t="s">
        <v>1177</v>
      </c>
      <c r="I244" s="4" t="s">
        <v>59</v>
      </c>
      <c r="J244" s="4" t="s">
        <v>31</v>
      </c>
      <c r="K244" s="4" t="s">
        <v>122</v>
      </c>
      <c r="L244" s="4" t="s">
        <v>123</v>
      </c>
      <c r="M244" s="4">
        <v>14</v>
      </c>
      <c r="N244" s="4">
        <v>60</v>
      </c>
      <c r="O244" s="4">
        <v>5</v>
      </c>
      <c r="P244" s="4">
        <v>798</v>
      </c>
      <c r="Q244" s="4">
        <v>4</v>
      </c>
      <c r="R244" s="4" t="s">
        <v>34</v>
      </c>
      <c r="S244" s="4" t="s">
        <v>49</v>
      </c>
      <c r="T244" s="4" t="s">
        <v>89</v>
      </c>
      <c r="U244" s="6" t="s">
        <v>1178</v>
      </c>
      <c r="V244" s="4" t="s">
        <v>38</v>
      </c>
    </row>
    <row r="245" spans="1:22">
      <c r="A245" s="7" t="s">
        <v>1179</v>
      </c>
      <c r="B245" s="8" t="s">
        <v>53</v>
      </c>
      <c r="C245" s="8" t="s">
        <v>72</v>
      </c>
      <c r="D245" s="8" t="s">
        <v>1180</v>
      </c>
      <c r="E245" s="8" t="s">
        <v>1181</v>
      </c>
      <c r="F245" s="8" t="s">
        <v>163</v>
      </c>
      <c r="G245" s="8" t="s">
        <v>28</v>
      </c>
      <c r="H245" s="8" t="s">
        <v>1182</v>
      </c>
      <c r="I245" s="8" t="s">
        <v>105</v>
      </c>
      <c r="J245" s="8" t="s">
        <v>106</v>
      </c>
      <c r="K245" s="8" t="s">
        <v>46</v>
      </c>
      <c r="L245" s="8" t="s">
        <v>78</v>
      </c>
      <c r="M245" s="8">
        <v>19</v>
      </c>
      <c r="N245" s="8">
        <v>1200</v>
      </c>
      <c r="O245" s="8">
        <v>20</v>
      </c>
      <c r="P245" s="8">
        <v>18240</v>
      </c>
      <c r="Q245" s="8">
        <v>2</v>
      </c>
      <c r="R245" s="8" t="s">
        <v>34</v>
      </c>
      <c r="S245" s="8" t="s">
        <v>115</v>
      </c>
      <c r="T245" s="8" t="s">
        <v>62</v>
      </c>
      <c r="U245" s="9" t="s">
        <v>1183</v>
      </c>
      <c r="V245" s="8" t="s">
        <v>69</v>
      </c>
    </row>
    <row r="246" spans="1:22">
      <c r="A246" s="3" t="s">
        <v>1184</v>
      </c>
      <c r="B246" s="4" t="s">
        <v>23</v>
      </c>
      <c r="C246" s="4" t="s">
        <v>259</v>
      </c>
      <c r="D246" s="4" t="s">
        <v>340</v>
      </c>
      <c r="E246" s="4" t="s">
        <v>346</v>
      </c>
      <c r="F246" s="4" t="s">
        <v>27</v>
      </c>
      <c r="G246" s="4" t="s">
        <v>28</v>
      </c>
      <c r="H246" s="4" t="s">
        <v>1185</v>
      </c>
      <c r="I246" s="4" t="s">
        <v>59</v>
      </c>
      <c r="J246" s="4" t="s">
        <v>31</v>
      </c>
      <c r="K246" s="4" t="s">
        <v>122</v>
      </c>
      <c r="L246" s="4" t="s">
        <v>263</v>
      </c>
      <c r="M246" s="4">
        <v>5</v>
      </c>
      <c r="N246" s="4">
        <v>45</v>
      </c>
      <c r="O246" s="4">
        <v>15</v>
      </c>
      <c r="P246" s="4">
        <v>191.25</v>
      </c>
      <c r="Q246" s="4">
        <v>2</v>
      </c>
      <c r="R246" s="4" t="s">
        <v>34</v>
      </c>
      <c r="S246" s="4" t="s">
        <v>61</v>
      </c>
      <c r="T246" s="4" t="s">
        <v>50</v>
      </c>
      <c r="U246" s="6" t="s">
        <v>1186</v>
      </c>
      <c r="V246" s="4" t="s">
        <v>69</v>
      </c>
    </row>
    <row r="247" spans="1:22">
      <c r="A247" s="7" t="s">
        <v>1187</v>
      </c>
      <c r="B247" s="8" t="s">
        <v>327</v>
      </c>
      <c r="C247" s="8" t="s">
        <v>184</v>
      </c>
      <c r="D247" s="8" t="s">
        <v>237</v>
      </c>
      <c r="E247" s="8" t="s">
        <v>1188</v>
      </c>
      <c r="F247" s="8" t="s">
        <v>394</v>
      </c>
      <c r="G247" s="8" t="s">
        <v>76</v>
      </c>
      <c r="H247" s="8" t="s">
        <v>1189</v>
      </c>
      <c r="I247" s="8" t="s">
        <v>30</v>
      </c>
      <c r="J247" s="8" t="s">
        <v>31</v>
      </c>
      <c r="K247" s="8" t="s">
        <v>46</v>
      </c>
      <c r="L247" s="8" t="s">
        <v>189</v>
      </c>
      <c r="M247" s="8">
        <v>19</v>
      </c>
      <c r="N247" s="8">
        <v>700</v>
      </c>
      <c r="O247" s="8">
        <v>5</v>
      </c>
      <c r="P247" s="8">
        <v>12635</v>
      </c>
      <c r="Q247" s="8">
        <v>5</v>
      </c>
      <c r="R247" s="8" t="s">
        <v>88</v>
      </c>
      <c r="S247" s="8" t="s">
        <v>151</v>
      </c>
      <c r="T247" s="8" t="s">
        <v>332</v>
      </c>
      <c r="U247" s="9" t="s">
        <v>1190</v>
      </c>
      <c r="V247" s="8" t="s">
        <v>38</v>
      </c>
    </row>
    <row r="248" spans="1:22">
      <c r="A248" s="3" t="s">
        <v>1191</v>
      </c>
      <c r="B248" s="4" t="s">
        <v>127</v>
      </c>
      <c r="C248" s="4" t="s">
        <v>118</v>
      </c>
      <c r="D248" s="4" t="s">
        <v>464</v>
      </c>
      <c r="E248" s="4" t="s">
        <v>84</v>
      </c>
      <c r="F248" s="4" t="s">
        <v>200</v>
      </c>
      <c r="G248" s="4" t="s">
        <v>76</v>
      </c>
      <c r="H248" s="4" t="s">
        <v>1192</v>
      </c>
      <c r="I248" s="4" t="s">
        <v>294</v>
      </c>
      <c r="J248" s="4" t="s">
        <v>295</v>
      </c>
      <c r="K248" s="4" t="s">
        <v>122</v>
      </c>
      <c r="L248" s="4" t="s">
        <v>123</v>
      </c>
      <c r="M248" s="4">
        <v>7</v>
      </c>
      <c r="N248" s="4">
        <v>60</v>
      </c>
      <c r="O248" s="4">
        <v>0</v>
      </c>
      <c r="P248" s="4">
        <v>420</v>
      </c>
      <c r="Q248" s="4">
        <v>4</v>
      </c>
      <c r="R248" s="4" t="s">
        <v>34</v>
      </c>
      <c r="S248" s="4" t="s">
        <v>115</v>
      </c>
      <c r="T248" s="4" t="s">
        <v>132</v>
      </c>
      <c r="U248" s="6" t="s">
        <v>1193</v>
      </c>
      <c r="V248" s="4" t="s">
        <v>64</v>
      </c>
    </row>
    <row r="249" spans="1:22">
      <c r="A249" s="7" t="s">
        <v>1194</v>
      </c>
      <c r="B249" s="8" t="s">
        <v>71</v>
      </c>
      <c r="C249" s="8" t="s">
        <v>24</v>
      </c>
      <c r="D249" s="8" t="s">
        <v>215</v>
      </c>
      <c r="E249" s="8" t="s">
        <v>711</v>
      </c>
      <c r="F249" s="8" t="s">
        <v>217</v>
      </c>
      <c r="G249" s="8" t="s">
        <v>76</v>
      </c>
      <c r="H249" s="8" t="s">
        <v>1195</v>
      </c>
      <c r="I249" s="8" t="s">
        <v>105</v>
      </c>
      <c r="J249" s="8" t="s">
        <v>106</v>
      </c>
      <c r="K249" s="8" t="s">
        <v>32</v>
      </c>
      <c r="L249" s="8" t="s">
        <v>33</v>
      </c>
      <c r="M249" s="8">
        <v>13</v>
      </c>
      <c r="N249" s="8">
        <v>2200</v>
      </c>
      <c r="O249" s="8">
        <v>10</v>
      </c>
      <c r="P249" s="8">
        <v>25740</v>
      </c>
      <c r="Q249" s="8">
        <v>1</v>
      </c>
      <c r="R249" s="8" t="s">
        <v>79</v>
      </c>
      <c r="S249" s="8" t="s">
        <v>151</v>
      </c>
      <c r="T249" s="8" t="s">
        <v>80</v>
      </c>
      <c r="U249" s="9" t="s">
        <v>1196</v>
      </c>
      <c r="V249" s="8" t="s">
        <v>38</v>
      </c>
    </row>
    <row r="250" spans="1:22">
      <c r="A250" s="3" t="s">
        <v>1197</v>
      </c>
      <c r="B250" s="4" t="s">
        <v>71</v>
      </c>
      <c r="C250" s="4" t="s">
        <v>24</v>
      </c>
      <c r="D250" s="4" t="s">
        <v>1198</v>
      </c>
      <c r="E250" s="4" t="s">
        <v>1199</v>
      </c>
      <c r="F250" s="4" t="s">
        <v>217</v>
      </c>
      <c r="G250" s="4" t="s">
        <v>76</v>
      </c>
      <c r="H250" s="4" t="s">
        <v>1200</v>
      </c>
      <c r="I250" s="4" t="s">
        <v>59</v>
      </c>
      <c r="J250" s="4" t="s">
        <v>31</v>
      </c>
      <c r="K250" s="4" t="s">
        <v>32</v>
      </c>
      <c r="L250" s="4" t="s">
        <v>33</v>
      </c>
      <c r="M250" s="4">
        <v>9</v>
      </c>
      <c r="N250" s="4">
        <v>2200</v>
      </c>
      <c r="O250" s="4">
        <v>10</v>
      </c>
      <c r="P250" s="4">
        <v>17820</v>
      </c>
      <c r="Q250" s="4">
        <v>2</v>
      </c>
      <c r="R250" s="4" t="s">
        <v>1201</v>
      </c>
      <c r="S250" s="4" t="s">
        <v>61</v>
      </c>
      <c r="T250" s="4" t="s">
        <v>80</v>
      </c>
      <c r="U250" s="6" t="s">
        <v>1202</v>
      </c>
      <c r="V250" s="4" t="s">
        <v>69</v>
      </c>
    </row>
    <row r="251" spans="1:22">
      <c r="A251" s="7" t="s">
        <v>1203</v>
      </c>
      <c r="B251" s="8" t="s">
        <v>327</v>
      </c>
      <c r="C251" s="8" t="s">
        <v>169</v>
      </c>
      <c r="D251" s="8" t="s">
        <v>944</v>
      </c>
      <c r="E251" s="8" t="s">
        <v>1204</v>
      </c>
      <c r="F251" s="8" t="s">
        <v>394</v>
      </c>
      <c r="G251" s="8" t="s">
        <v>76</v>
      </c>
      <c r="H251" s="8" t="s">
        <v>1205</v>
      </c>
      <c r="I251" s="8" t="s">
        <v>59</v>
      </c>
      <c r="J251" s="8" t="s">
        <v>31</v>
      </c>
      <c r="K251" s="8" t="s">
        <v>32</v>
      </c>
      <c r="L251" s="8" t="s">
        <v>174</v>
      </c>
      <c r="M251" s="8">
        <v>6</v>
      </c>
      <c r="N251" s="8">
        <v>8500</v>
      </c>
      <c r="O251" s="8">
        <v>15</v>
      </c>
      <c r="P251" s="8">
        <v>43350</v>
      </c>
      <c r="Q251" s="8">
        <v>2</v>
      </c>
      <c r="R251" s="8" t="s">
        <v>34</v>
      </c>
      <c r="S251" s="8" t="s">
        <v>151</v>
      </c>
      <c r="T251" s="8" t="s">
        <v>332</v>
      </c>
      <c r="U251" s="9" t="s">
        <v>1206</v>
      </c>
      <c r="V251" s="8" t="s">
        <v>69</v>
      </c>
    </row>
    <row r="252" spans="1:22">
      <c r="A252" s="3" t="s">
        <v>1207</v>
      </c>
      <c r="B252" s="4" t="s">
        <v>221</v>
      </c>
      <c r="C252" s="4" t="s">
        <v>24</v>
      </c>
      <c r="D252" s="4" t="s">
        <v>736</v>
      </c>
      <c r="E252" s="4" t="s">
        <v>94</v>
      </c>
      <c r="F252" s="4" t="s">
        <v>225</v>
      </c>
      <c r="G252" s="4" t="s">
        <v>76</v>
      </c>
      <c r="H252" s="4" t="s">
        <v>1208</v>
      </c>
      <c r="I252" s="4" t="s">
        <v>44</v>
      </c>
      <c r="J252" s="4" t="s">
        <v>45</v>
      </c>
      <c r="K252" s="4" t="s">
        <v>32</v>
      </c>
      <c r="L252" s="4" t="s">
        <v>33</v>
      </c>
      <c r="M252" s="4">
        <v>9</v>
      </c>
      <c r="N252" s="4">
        <v>2200</v>
      </c>
      <c r="O252" s="4">
        <v>10</v>
      </c>
      <c r="P252" s="4">
        <v>17820</v>
      </c>
      <c r="Q252" s="4">
        <v>3</v>
      </c>
      <c r="R252" s="4" t="s">
        <v>79</v>
      </c>
      <c r="S252" s="4" t="s">
        <v>35</v>
      </c>
      <c r="T252" s="4" t="s">
        <v>228</v>
      </c>
      <c r="U252" s="6" t="s">
        <v>1209</v>
      </c>
      <c r="V252" s="4" t="s">
        <v>64</v>
      </c>
    </row>
    <row r="253" spans="1:22">
      <c r="A253" s="7" t="s">
        <v>1210</v>
      </c>
      <c r="B253" s="8" t="s">
        <v>23</v>
      </c>
      <c r="C253" s="8" t="s">
        <v>169</v>
      </c>
      <c r="D253" s="8" t="s">
        <v>825</v>
      </c>
      <c r="E253" s="8" t="s">
        <v>876</v>
      </c>
      <c r="F253" s="8" t="s">
        <v>27</v>
      </c>
      <c r="G253" s="8" t="s">
        <v>28</v>
      </c>
      <c r="H253" s="8" t="s">
        <v>1211</v>
      </c>
      <c r="I253" s="8" t="s">
        <v>294</v>
      </c>
      <c r="J253" s="8" t="s">
        <v>295</v>
      </c>
      <c r="K253" s="8" t="s">
        <v>32</v>
      </c>
      <c r="L253" s="8" t="s">
        <v>174</v>
      </c>
      <c r="M253" s="8">
        <v>16</v>
      </c>
      <c r="N253" s="8">
        <v>8500</v>
      </c>
      <c r="O253" s="8">
        <v>0</v>
      </c>
      <c r="P253" s="8">
        <v>136000</v>
      </c>
      <c r="Q253" s="8">
        <v>5</v>
      </c>
      <c r="R253" s="8" t="s">
        <v>88</v>
      </c>
      <c r="S253" s="8" t="s">
        <v>115</v>
      </c>
      <c r="T253" s="8" t="s">
        <v>50</v>
      </c>
      <c r="U253" s="9" t="s">
        <v>1212</v>
      </c>
      <c r="V253" s="8" t="s">
        <v>69</v>
      </c>
    </row>
    <row r="254" spans="1:22">
      <c r="A254" s="3" t="s">
        <v>1213</v>
      </c>
      <c r="B254" s="4" t="s">
        <v>327</v>
      </c>
      <c r="C254" s="4" t="s">
        <v>72</v>
      </c>
      <c r="D254" s="4" t="s">
        <v>1214</v>
      </c>
      <c r="E254" s="4" t="s">
        <v>692</v>
      </c>
      <c r="F254" s="4" t="s">
        <v>394</v>
      </c>
      <c r="G254" s="4" t="s">
        <v>76</v>
      </c>
      <c r="H254" s="4" t="s">
        <v>1215</v>
      </c>
      <c r="I254" s="4" t="s">
        <v>44</v>
      </c>
      <c r="J254" s="4" t="s">
        <v>45</v>
      </c>
      <c r="K254" s="4" t="s">
        <v>46</v>
      </c>
      <c r="L254" s="4" t="s">
        <v>78</v>
      </c>
      <c r="M254" s="4">
        <v>10</v>
      </c>
      <c r="N254" s="4">
        <v>1200</v>
      </c>
      <c r="O254" s="4">
        <v>15</v>
      </c>
      <c r="P254" s="4">
        <v>10200</v>
      </c>
      <c r="Q254" s="4">
        <v>5</v>
      </c>
      <c r="R254" s="4" t="s">
        <v>34</v>
      </c>
      <c r="S254" s="4" t="s">
        <v>49</v>
      </c>
      <c r="T254" s="4" t="s">
        <v>332</v>
      </c>
      <c r="U254" s="6" t="s">
        <v>1216</v>
      </c>
      <c r="V254" s="4" t="s">
        <v>38</v>
      </c>
    </row>
    <row r="255" spans="1:22">
      <c r="A255" s="7" t="s">
        <v>1217</v>
      </c>
      <c r="B255" s="8" t="s">
        <v>127</v>
      </c>
      <c r="C255" s="8" t="s">
        <v>40</v>
      </c>
      <c r="D255" s="8" t="s">
        <v>413</v>
      </c>
      <c r="E255" s="8" t="s">
        <v>136</v>
      </c>
      <c r="F255" s="8" t="s">
        <v>200</v>
      </c>
      <c r="G255" s="8" t="s">
        <v>76</v>
      </c>
      <c r="H255" s="8" t="s">
        <v>1218</v>
      </c>
      <c r="I255" s="8" t="s">
        <v>294</v>
      </c>
      <c r="J255" s="8" t="s">
        <v>295</v>
      </c>
      <c r="K255" s="8" t="s">
        <v>46</v>
      </c>
      <c r="L255" s="8" t="s">
        <v>47</v>
      </c>
      <c r="M255" s="8">
        <v>7</v>
      </c>
      <c r="N255" s="8">
        <v>12000</v>
      </c>
      <c r="O255" s="8">
        <v>0</v>
      </c>
      <c r="P255" s="8">
        <v>84000</v>
      </c>
      <c r="Q255" s="8">
        <v>1</v>
      </c>
      <c r="R255" s="8" t="s">
        <v>88</v>
      </c>
      <c r="S255" s="8" t="s">
        <v>151</v>
      </c>
      <c r="T255" s="8" t="s">
        <v>132</v>
      </c>
      <c r="U255" s="9" t="s">
        <v>1219</v>
      </c>
      <c r="V255" s="8" t="s">
        <v>64</v>
      </c>
    </row>
    <row r="256" spans="1:22">
      <c r="A256" s="3" t="s">
        <v>1220</v>
      </c>
      <c r="B256" s="4" t="s">
        <v>221</v>
      </c>
      <c r="C256" s="4" t="s">
        <v>40</v>
      </c>
      <c r="D256" s="4" t="s">
        <v>128</v>
      </c>
      <c r="E256" s="4" t="s">
        <v>1221</v>
      </c>
      <c r="F256" s="4" t="s">
        <v>225</v>
      </c>
      <c r="G256" s="4" t="s">
        <v>76</v>
      </c>
      <c r="H256" s="4" t="s">
        <v>1222</v>
      </c>
      <c r="I256" s="4" t="s">
        <v>114</v>
      </c>
      <c r="J256" s="4" t="s">
        <v>106</v>
      </c>
      <c r="K256" s="4" t="s">
        <v>46</v>
      </c>
      <c r="L256" s="4" t="s">
        <v>47</v>
      </c>
      <c r="M256" s="4">
        <v>3</v>
      </c>
      <c r="N256" s="4">
        <v>12000</v>
      </c>
      <c r="O256" s="4">
        <v>10</v>
      </c>
      <c r="P256" s="4">
        <v>32400</v>
      </c>
      <c r="Q256" s="4">
        <v>4</v>
      </c>
      <c r="R256" s="4" t="s">
        <v>79</v>
      </c>
      <c r="S256" s="4" t="s">
        <v>151</v>
      </c>
      <c r="T256" s="4" t="s">
        <v>228</v>
      </c>
      <c r="U256" s="6" t="s">
        <v>1223</v>
      </c>
      <c r="V256" s="4" t="s">
        <v>38</v>
      </c>
    </row>
    <row r="257" spans="1:22">
      <c r="A257" s="7" t="s">
        <v>1224</v>
      </c>
      <c r="B257" s="8" t="s">
        <v>221</v>
      </c>
      <c r="C257" s="8" t="s">
        <v>40</v>
      </c>
      <c r="D257" s="8" t="s">
        <v>1225</v>
      </c>
      <c r="E257" s="8" t="s">
        <v>927</v>
      </c>
      <c r="F257" s="8" t="s">
        <v>225</v>
      </c>
      <c r="G257" s="8" t="s">
        <v>76</v>
      </c>
      <c r="H257" s="8" t="s">
        <v>1226</v>
      </c>
      <c r="I257" s="8" t="s">
        <v>30</v>
      </c>
      <c r="J257" s="8" t="s">
        <v>31</v>
      </c>
      <c r="K257" s="8" t="s">
        <v>46</v>
      </c>
      <c r="L257" s="8" t="s">
        <v>47</v>
      </c>
      <c r="M257" s="8">
        <v>4</v>
      </c>
      <c r="N257" s="8">
        <v>12000</v>
      </c>
      <c r="O257" s="8">
        <v>15</v>
      </c>
      <c r="P257" s="8">
        <v>40800</v>
      </c>
      <c r="Q257" s="8">
        <v>3</v>
      </c>
      <c r="R257" s="8" t="s">
        <v>79</v>
      </c>
      <c r="S257" s="8" t="s">
        <v>35</v>
      </c>
      <c r="T257" s="8" t="s">
        <v>228</v>
      </c>
      <c r="U257" s="9" t="s">
        <v>1227</v>
      </c>
      <c r="V257" s="8" t="s">
        <v>64</v>
      </c>
    </row>
    <row r="258" spans="1:22">
      <c r="A258" s="3" t="s">
        <v>1228</v>
      </c>
      <c r="B258" s="4" t="s">
        <v>127</v>
      </c>
      <c r="C258" s="4" t="s">
        <v>40</v>
      </c>
      <c r="D258" s="4" t="s">
        <v>260</v>
      </c>
      <c r="E258" s="4" t="s">
        <v>498</v>
      </c>
      <c r="F258" s="4" t="s">
        <v>200</v>
      </c>
      <c r="G258" s="4" t="s">
        <v>76</v>
      </c>
      <c r="H258" s="4" t="s">
        <v>1229</v>
      </c>
      <c r="I258" s="4" t="s">
        <v>30</v>
      </c>
      <c r="J258" s="4" t="s">
        <v>31</v>
      </c>
      <c r="K258" s="4" t="s">
        <v>46</v>
      </c>
      <c r="L258" s="4" t="s">
        <v>47</v>
      </c>
      <c r="M258" s="4">
        <v>13</v>
      </c>
      <c r="N258" s="4">
        <v>12000</v>
      </c>
      <c r="O258" s="4">
        <v>10</v>
      </c>
      <c r="P258" s="4">
        <v>140400</v>
      </c>
      <c r="Q258" s="4">
        <v>2</v>
      </c>
      <c r="R258" s="4" t="s">
        <v>34</v>
      </c>
      <c r="S258" s="4" t="s">
        <v>151</v>
      </c>
      <c r="T258" s="4" t="s">
        <v>132</v>
      </c>
      <c r="U258" s="6" t="s">
        <v>1230</v>
      </c>
      <c r="V258" s="4" t="s">
        <v>69</v>
      </c>
    </row>
    <row r="259" spans="1:22">
      <c r="A259" s="7" t="s">
        <v>1231</v>
      </c>
      <c r="B259" s="8" t="s">
        <v>23</v>
      </c>
      <c r="C259" s="8" t="s">
        <v>92</v>
      </c>
      <c r="D259" s="8" t="s">
        <v>318</v>
      </c>
      <c r="E259" s="8" t="s">
        <v>679</v>
      </c>
      <c r="F259" s="8" t="s">
        <v>27</v>
      </c>
      <c r="G259" s="8" t="s">
        <v>28</v>
      </c>
      <c r="H259" s="8" t="s">
        <v>1232</v>
      </c>
      <c r="I259" s="8" t="s">
        <v>59</v>
      </c>
      <c r="J259" s="8" t="s">
        <v>31</v>
      </c>
      <c r="K259" s="8" t="s">
        <v>32</v>
      </c>
      <c r="L259" s="8" t="s">
        <v>97</v>
      </c>
      <c r="M259" s="8">
        <v>19</v>
      </c>
      <c r="N259" s="8">
        <v>3500</v>
      </c>
      <c r="O259" s="8">
        <v>20</v>
      </c>
      <c r="P259" s="8">
        <v>53200</v>
      </c>
      <c r="Q259" s="8">
        <v>1</v>
      </c>
      <c r="R259" s="8" t="s">
        <v>34</v>
      </c>
      <c r="S259" s="8" t="s">
        <v>61</v>
      </c>
      <c r="T259" s="8" t="s">
        <v>50</v>
      </c>
      <c r="U259" s="9" t="s">
        <v>1233</v>
      </c>
      <c r="V259" s="8" t="s">
        <v>69</v>
      </c>
    </row>
    <row r="260" spans="1:22">
      <c r="A260" s="3" t="s">
        <v>1234</v>
      </c>
      <c r="B260" s="4" t="s">
        <v>23</v>
      </c>
      <c r="C260" s="4" t="s">
        <v>24</v>
      </c>
      <c r="D260" s="4" t="s">
        <v>932</v>
      </c>
      <c r="E260" s="4" t="s">
        <v>436</v>
      </c>
      <c r="F260" s="4" t="s">
        <v>27</v>
      </c>
      <c r="G260" s="4" t="s">
        <v>28</v>
      </c>
      <c r="H260" s="4" t="s">
        <v>1235</v>
      </c>
      <c r="I260" s="4" t="s">
        <v>105</v>
      </c>
      <c r="J260" s="4" t="s">
        <v>106</v>
      </c>
      <c r="K260" s="4" t="s">
        <v>32</v>
      </c>
      <c r="L260" s="4" t="s">
        <v>33</v>
      </c>
      <c r="M260" s="4">
        <v>7</v>
      </c>
      <c r="N260" s="4">
        <v>2200</v>
      </c>
      <c r="O260" s="4">
        <v>5</v>
      </c>
      <c r="P260" s="4">
        <v>14630</v>
      </c>
      <c r="Q260" s="4">
        <v>3</v>
      </c>
      <c r="R260" s="4" t="s">
        <v>88</v>
      </c>
      <c r="S260" s="4" t="s">
        <v>61</v>
      </c>
      <c r="T260" s="4" t="s">
        <v>50</v>
      </c>
      <c r="U260" s="6" t="s">
        <v>1236</v>
      </c>
      <c r="V260" s="4" t="s">
        <v>69</v>
      </c>
    </row>
    <row r="261" spans="1:22">
      <c r="A261" s="7" t="s">
        <v>1237</v>
      </c>
      <c r="B261" s="8" t="s">
        <v>83</v>
      </c>
      <c r="C261" s="8" t="s">
        <v>184</v>
      </c>
      <c r="D261" s="8" t="s">
        <v>1238</v>
      </c>
      <c r="E261" s="8" t="s">
        <v>426</v>
      </c>
      <c r="F261" s="8" t="s">
        <v>180</v>
      </c>
      <c r="G261" s="8" t="s">
        <v>76</v>
      </c>
      <c r="H261" s="8" t="s">
        <v>1239</v>
      </c>
      <c r="I261" s="8" t="s">
        <v>212</v>
      </c>
      <c r="J261" s="8" t="s">
        <v>45</v>
      </c>
      <c r="K261" s="8" t="s">
        <v>46</v>
      </c>
      <c r="L261" s="8" t="s">
        <v>189</v>
      </c>
      <c r="M261" s="8">
        <v>18</v>
      </c>
      <c r="N261" s="8">
        <v>700</v>
      </c>
      <c r="O261" s="8">
        <v>5</v>
      </c>
      <c r="P261" s="8">
        <v>11970</v>
      </c>
      <c r="Q261" s="8">
        <v>2</v>
      </c>
      <c r="R261" s="8" t="s">
        <v>88</v>
      </c>
      <c r="S261" s="8" t="s">
        <v>61</v>
      </c>
      <c r="T261" s="8" t="s">
        <v>89</v>
      </c>
      <c r="U261" s="9" t="s">
        <v>1240</v>
      </c>
      <c r="V261" s="8" t="s">
        <v>69</v>
      </c>
    </row>
    <row r="262" spans="1:22">
      <c r="A262" s="3" t="s">
        <v>1241</v>
      </c>
      <c r="B262" s="4" t="s">
        <v>23</v>
      </c>
      <c r="C262" s="4" t="s">
        <v>222</v>
      </c>
      <c r="D262" s="4" t="s">
        <v>1106</v>
      </c>
      <c r="E262" s="4" t="s">
        <v>1242</v>
      </c>
      <c r="F262" s="4" t="s">
        <v>27</v>
      </c>
      <c r="G262" s="4" t="s">
        <v>28</v>
      </c>
      <c r="H262" s="4" t="s">
        <v>1243</v>
      </c>
      <c r="I262" s="4" t="s">
        <v>294</v>
      </c>
      <c r="J262" s="4" t="s">
        <v>295</v>
      </c>
      <c r="K262" s="4" t="s">
        <v>122</v>
      </c>
      <c r="L262" s="4" t="s">
        <v>227</v>
      </c>
      <c r="M262" s="4">
        <v>11</v>
      </c>
      <c r="N262" s="4">
        <v>20</v>
      </c>
      <c r="O262" s="4">
        <v>0</v>
      </c>
      <c r="P262" s="4">
        <v>220</v>
      </c>
      <c r="Q262" s="4">
        <v>2</v>
      </c>
      <c r="R262" s="4" t="s">
        <v>48</v>
      </c>
      <c r="S262" s="4" t="s">
        <v>115</v>
      </c>
      <c r="T262" s="4" t="s">
        <v>50</v>
      </c>
      <c r="U262" s="6" t="s">
        <v>1244</v>
      </c>
      <c r="V262" s="4" t="s">
        <v>69</v>
      </c>
    </row>
    <row r="263" spans="1:22">
      <c r="A263" s="7" t="s">
        <v>1245</v>
      </c>
      <c r="B263" s="8" t="s">
        <v>327</v>
      </c>
      <c r="C263" s="8" t="s">
        <v>40</v>
      </c>
      <c r="D263" s="8" t="s">
        <v>1069</v>
      </c>
      <c r="E263" s="8" t="s">
        <v>272</v>
      </c>
      <c r="F263" s="8" t="s">
        <v>394</v>
      </c>
      <c r="G263" s="8" t="s">
        <v>76</v>
      </c>
      <c r="H263" s="8" t="s">
        <v>1246</v>
      </c>
      <c r="I263" s="8" t="s">
        <v>114</v>
      </c>
      <c r="J263" s="8" t="s">
        <v>106</v>
      </c>
      <c r="K263" s="8" t="s">
        <v>46</v>
      </c>
      <c r="L263" s="8" t="s">
        <v>47</v>
      </c>
      <c r="M263" s="8">
        <v>17</v>
      </c>
      <c r="N263" s="8">
        <v>12000</v>
      </c>
      <c r="O263" s="8">
        <v>20</v>
      </c>
      <c r="P263" s="8">
        <v>163200</v>
      </c>
      <c r="Q263" s="8">
        <v>4</v>
      </c>
      <c r="R263" s="8" t="s">
        <v>88</v>
      </c>
      <c r="S263" s="8" t="s">
        <v>151</v>
      </c>
      <c r="T263" s="8" t="s">
        <v>332</v>
      </c>
      <c r="U263" s="9" t="s">
        <v>1247</v>
      </c>
      <c r="V263" s="8" t="s">
        <v>38</v>
      </c>
    </row>
    <row r="264" spans="1:22">
      <c r="A264" s="3" t="s">
        <v>1248</v>
      </c>
      <c r="B264" s="4" t="s">
        <v>251</v>
      </c>
      <c r="C264" s="4" t="s">
        <v>24</v>
      </c>
      <c r="D264" s="4" t="s">
        <v>1249</v>
      </c>
      <c r="E264" s="4" t="s">
        <v>267</v>
      </c>
      <c r="F264" s="4" t="s">
        <v>254</v>
      </c>
      <c r="G264" s="4" t="s">
        <v>28</v>
      </c>
      <c r="H264" s="4" t="s">
        <v>1250</v>
      </c>
      <c r="I264" s="4" t="s">
        <v>294</v>
      </c>
      <c r="J264" s="4" t="s">
        <v>295</v>
      </c>
      <c r="K264" s="4" t="s">
        <v>32</v>
      </c>
      <c r="L264" s="4" t="s">
        <v>33</v>
      </c>
      <c r="M264" s="4">
        <v>4</v>
      </c>
      <c r="N264" s="4">
        <v>2200</v>
      </c>
      <c r="O264" s="4">
        <v>5</v>
      </c>
      <c r="P264" s="4">
        <v>8360</v>
      </c>
      <c r="Q264" s="4">
        <v>2</v>
      </c>
      <c r="R264" s="4" t="s">
        <v>34</v>
      </c>
      <c r="S264" s="4" t="s">
        <v>35</v>
      </c>
      <c r="T264" s="4" t="s">
        <v>256</v>
      </c>
      <c r="U264" s="6" t="s">
        <v>1251</v>
      </c>
      <c r="V264" s="4" t="s">
        <v>38</v>
      </c>
    </row>
    <row r="265" spans="1:22">
      <c r="A265" s="7" t="s">
        <v>1252</v>
      </c>
      <c r="B265" s="8" t="s">
        <v>23</v>
      </c>
      <c r="C265" s="8" t="s">
        <v>54</v>
      </c>
      <c r="D265" s="8" t="s">
        <v>1253</v>
      </c>
      <c r="E265" s="8" t="s">
        <v>455</v>
      </c>
      <c r="F265" s="8" t="s">
        <v>27</v>
      </c>
      <c r="G265" s="8" t="s">
        <v>28</v>
      </c>
      <c r="H265" s="8" t="s">
        <v>1254</v>
      </c>
      <c r="I265" s="8" t="s">
        <v>138</v>
      </c>
      <c r="J265" s="8" t="s">
        <v>106</v>
      </c>
      <c r="K265" s="8" t="s">
        <v>46</v>
      </c>
      <c r="L265" s="8" t="s">
        <v>60</v>
      </c>
      <c r="M265" s="8">
        <v>6</v>
      </c>
      <c r="N265" s="8">
        <v>55000</v>
      </c>
      <c r="O265" s="8">
        <v>20</v>
      </c>
      <c r="P265" s="8">
        <v>264000</v>
      </c>
      <c r="Q265" s="8">
        <v>2</v>
      </c>
      <c r="R265" s="8" t="s">
        <v>88</v>
      </c>
      <c r="S265" s="8" t="s">
        <v>151</v>
      </c>
      <c r="T265" s="8" t="s">
        <v>50</v>
      </c>
      <c r="U265" s="9" t="s">
        <v>1255</v>
      </c>
      <c r="V265" s="8" t="s">
        <v>69</v>
      </c>
    </row>
    <row r="266" spans="1:22">
      <c r="A266" s="3" t="s">
        <v>1256</v>
      </c>
      <c r="B266" s="4" t="s">
        <v>71</v>
      </c>
      <c r="C266" s="4" t="s">
        <v>169</v>
      </c>
      <c r="D266" s="4" t="s">
        <v>84</v>
      </c>
      <c r="E266" s="4" t="s">
        <v>998</v>
      </c>
      <c r="F266" s="4" t="s">
        <v>217</v>
      </c>
      <c r="G266" s="4" t="s">
        <v>76</v>
      </c>
      <c r="H266" s="4" t="s">
        <v>1257</v>
      </c>
      <c r="I266" s="4" t="s">
        <v>44</v>
      </c>
      <c r="J266" s="4" t="s">
        <v>45</v>
      </c>
      <c r="K266" s="4" t="s">
        <v>32</v>
      </c>
      <c r="L266" s="4" t="s">
        <v>174</v>
      </c>
      <c r="M266" s="4">
        <v>6</v>
      </c>
      <c r="N266" s="4">
        <v>8500</v>
      </c>
      <c r="O266" s="4">
        <v>10</v>
      </c>
      <c r="P266" s="4">
        <v>45900</v>
      </c>
      <c r="Q266" s="4">
        <v>5</v>
      </c>
      <c r="R266" s="4" t="s">
        <v>88</v>
      </c>
      <c r="S266" s="4" t="s">
        <v>61</v>
      </c>
      <c r="T266" s="4" t="s">
        <v>80</v>
      </c>
      <c r="U266" s="6" t="s">
        <v>1258</v>
      </c>
      <c r="V266" s="4" t="s">
        <v>38</v>
      </c>
    </row>
    <row r="267" spans="1:22">
      <c r="A267" s="7" t="s">
        <v>1259</v>
      </c>
      <c r="B267" s="8" t="s">
        <v>23</v>
      </c>
      <c r="C267" s="8" t="s">
        <v>222</v>
      </c>
      <c r="D267" s="8" t="s">
        <v>558</v>
      </c>
      <c r="E267" s="8" t="s">
        <v>371</v>
      </c>
      <c r="F267" s="8" t="s">
        <v>27</v>
      </c>
      <c r="G267" s="8" t="s">
        <v>28</v>
      </c>
      <c r="H267" s="8" t="s">
        <v>1260</v>
      </c>
      <c r="I267" s="8" t="s">
        <v>212</v>
      </c>
      <c r="J267" s="8" t="s">
        <v>45</v>
      </c>
      <c r="K267" s="8" t="s">
        <v>122</v>
      </c>
      <c r="L267" s="8" t="s">
        <v>227</v>
      </c>
      <c r="M267" s="8">
        <v>6</v>
      </c>
      <c r="N267" s="8">
        <v>20</v>
      </c>
      <c r="O267" s="8">
        <v>15</v>
      </c>
      <c r="P267" s="8">
        <v>102</v>
      </c>
      <c r="Q267" s="8">
        <v>2</v>
      </c>
      <c r="R267" s="8" t="s">
        <v>88</v>
      </c>
      <c r="S267" s="8" t="s">
        <v>49</v>
      </c>
      <c r="T267" s="8" t="s">
        <v>50</v>
      </c>
      <c r="U267" s="9" t="s">
        <v>1261</v>
      </c>
      <c r="V267" s="8" t="s">
        <v>69</v>
      </c>
    </row>
    <row r="268" spans="1:22">
      <c r="A268" s="3" t="s">
        <v>1262</v>
      </c>
      <c r="B268" s="4" t="s">
        <v>53</v>
      </c>
      <c r="C268" s="4" t="s">
        <v>118</v>
      </c>
      <c r="D268" s="4" t="s">
        <v>1263</v>
      </c>
      <c r="E268" s="4" t="s">
        <v>597</v>
      </c>
      <c r="F268" s="4" t="s">
        <v>163</v>
      </c>
      <c r="G268" s="4" t="s">
        <v>28</v>
      </c>
      <c r="H268" s="4" t="s">
        <v>1264</v>
      </c>
      <c r="I268" s="4" t="s">
        <v>105</v>
      </c>
      <c r="J268" s="4" t="s">
        <v>106</v>
      </c>
      <c r="K268" s="4" t="s">
        <v>122</v>
      </c>
      <c r="L268" s="4" t="s">
        <v>123</v>
      </c>
      <c r="M268" s="4">
        <v>6</v>
      </c>
      <c r="N268" s="4">
        <v>60</v>
      </c>
      <c r="O268" s="4">
        <v>5</v>
      </c>
      <c r="P268" s="4">
        <v>342</v>
      </c>
      <c r="Q268" s="4">
        <v>1</v>
      </c>
      <c r="R268" s="4" t="s">
        <v>48</v>
      </c>
      <c r="S268" s="4" t="s">
        <v>61</v>
      </c>
      <c r="T268" s="4" t="s">
        <v>62</v>
      </c>
      <c r="U268" s="6" t="s">
        <v>1265</v>
      </c>
      <c r="V268" s="4" t="s">
        <v>38</v>
      </c>
    </row>
    <row r="269" spans="1:22">
      <c r="A269" s="7" t="s">
        <v>1266</v>
      </c>
      <c r="B269" s="8" t="s">
        <v>127</v>
      </c>
      <c r="C269" s="8" t="s">
        <v>169</v>
      </c>
      <c r="D269" s="8" t="s">
        <v>1267</v>
      </c>
      <c r="E269" s="8" t="s">
        <v>1268</v>
      </c>
      <c r="F269" s="8" t="s">
        <v>200</v>
      </c>
      <c r="G269" s="8" t="s">
        <v>76</v>
      </c>
      <c r="H269" s="8" t="s">
        <v>1269</v>
      </c>
      <c r="I269" s="8" t="s">
        <v>30</v>
      </c>
      <c r="J269" s="8" t="s">
        <v>31</v>
      </c>
      <c r="K269" s="8" t="s">
        <v>32</v>
      </c>
      <c r="L269" s="8" t="s">
        <v>174</v>
      </c>
      <c r="M269" s="8">
        <v>19</v>
      </c>
      <c r="N269" s="8">
        <v>8500</v>
      </c>
      <c r="O269" s="8">
        <v>0</v>
      </c>
      <c r="P269" s="8">
        <v>161500</v>
      </c>
      <c r="Q269" s="8">
        <v>5</v>
      </c>
      <c r="R269" s="8" t="s">
        <v>88</v>
      </c>
      <c r="S269" s="8" t="s">
        <v>151</v>
      </c>
      <c r="T269" s="8" t="s">
        <v>132</v>
      </c>
      <c r="U269" s="9" t="s">
        <v>1270</v>
      </c>
      <c r="V269" s="8" t="s">
        <v>38</v>
      </c>
    </row>
    <row r="270" spans="1:22">
      <c r="A270" s="3" t="s">
        <v>1271</v>
      </c>
      <c r="B270" s="4" t="s">
        <v>251</v>
      </c>
      <c r="C270" s="4" t="s">
        <v>54</v>
      </c>
      <c r="D270" s="4" t="s">
        <v>445</v>
      </c>
      <c r="E270" s="4" t="s">
        <v>573</v>
      </c>
      <c r="F270" s="4" t="s">
        <v>254</v>
      </c>
      <c r="G270" s="4" t="s">
        <v>28</v>
      </c>
      <c r="H270" s="4" t="s">
        <v>1272</v>
      </c>
      <c r="I270" s="4" t="s">
        <v>212</v>
      </c>
      <c r="J270" s="4" t="s">
        <v>45</v>
      </c>
      <c r="K270" s="4" t="s">
        <v>46</v>
      </c>
      <c r="L270" s="4" t="s">
        <v>60</v>
      </c>
      <c r="M270" s="4">
        <v>8</v>
      </c>
      <c r="N270" s="4">
        <v>55000</v>
      </c>
      <c r="O270" s="4">
        <v>0</v>
      </c>
      <c r="P270" s="4">
        <v>440000</v>
      </c>
      <c r="Q270" s="4">
        <v>3</v>
      </c>
      <c r="R270" s="4" t="s">
        <v>79</v>
      </c>
      <c r="S270" s="4" t="s">
        <v>115</v>
      </c>
      <c r="T270" s="4" t="s">
        <v>256</v>
      </c>
      <c r="U270" s="6" t="s">
        <v>1273</v>
      </c>
      <c r="V270" s="4" t="s">
        <v>64</v>
      </c>
    </row>
    <row r="271" spans="1:22">
      <c r="A271" s="7" t="s">
        <v>1274</v>
      </c>
      <c r="B271" s="8" t="s">
        <v>71</v>
      </c>
      <c r="C271" s="8" t="s">
        <v>40</v>
      </c>
      <c r="D271" s="8" t="s">
        <v>1098</v>
      </c>
      <c r="E271" s="8" t="s">
        <v>583</v>
      </c>
      <c r="F271" s="8" t="s">
        <v>217</v>
      </c>
      <c r="G271" s="8" t="s">
        <v>76</v>
      </c>
      <c r="H271" s="8" t="s">
        <v>1275</v>
      </c>
      <c r="I271" s="8" t="s">
        <v>294</v>
      </c>
      <c r="J271" s="8" t="s">
        <v>295</v>
      </c>
      <c r="K271" s="8" t="s">
        <v>46</v>
      </c>
      <c r="L271" s="8" t="s">
        <v>47</v>
      </c>
      <c r="M271" s="8">
        <v>18</v>
      </c>
      <c r="N271" s="8">
        <v>12000</v>
      </c>
      <c r="O271" s="8">
        <v>20</v>
      </c>
      <c r="P271" s="8">
        <v>172800</v>
      </c>
      <c r="Q271" s="8">
        <v>5</v>
      </c>
      <c r="R271" s="8" t="s">
        <v>88</v>
      </c>
      <c r="S271" s="8" t="s">
        <v>61</v>
      </c>
      <c r="T271" s="8" t="s">
        <v>80</v>
      </c>
      <c r="U271" s="9" t="s">
        <v>1276</v>
      </c>
      <c r="V271" s="8" t="s">
        <v>69</v>
      </c>
    </row>
    <row r="272" spans="1:22">
      <c r="A272" s="3" t="s">
        <v>1277</v>
      </c>
      <c r="B272" s="4" t="s">
        <v>127</v>
      </c>
      <c r="C272" s="4" t="s">
        <v>169</v>
      </c>
      <c r="D272" s="4" t="s">
        <v>1278</v>
      </c>
      <c r="E272" s="4" t="s">
        <v>198</v>
      </c>
      <c r="F272" s="4" t="s">
        <v>200</v>
      </c>
      <c r="G272" s="4" t="s">
        <v>76</v>
      </c>
      <c r="H272" s="4" t="s">
        <v>1279</v>
      </c>
      <c r="I272" s="4" t="s">
        <v>138</v>
      </c>
      <c r="J272" s="4" t="s">
        <v>106</v>
      </c>
      <c r="K272" s="4" t="s">
        <v>32</v>
      </c>
      <c r="L272" s="4" t="s">
        <v>174</v>
      </c>
      <c r="M272" s="4">
        <v>8</v>
      </c>
      <c r="N272" s="4">
        <v>8500</v>
      </c>
      <c r="O272" s="4">
        <v>5</v>
      </c>
      <c r="P272" s="4">
        <v>64600</v>
      </c>
      <c r="Q272" s="4">
        <v>2</v>
      </c>
      <c r="R272" s="4" t="s">
        <v>79</v>
      </c>
      <c r="S272" s="4" t="s">
        <v>61</v>
      </c>
      <c r="T272" s="4" t="s">
        <v>132</v>
      </c>
      <c r="U272" s="6" t="s">
        <v>1280</v>
      </c>
      <c r="V272" s="4" t="s">
        <v>69</v>
      </c>
    </row>
    <row r="273" spans="1:22">
      <c r="A273" s="7" t="s">
        <v>1281</v>
      </c>
      <c r="B273" s="8" t="s">
        <v>23</v>
      </c>
      <c r="C273" s="8" t="s">
        <v>222</v>
      </c>
      <c r="D273" s="8" t="s">
        <v>1282</v>
      </c>
      <c r="E273" s="8" t="s">
        <v>724</v>
      </c>
      <c r="F273" s="8" t="s">
        <v>27</v>
      </c>
      <c r="G273" s="8" t="s">
        <v>28</v>
      </c>
      <c r="H273" s="8" t="s">
        <v>1283</v>
      </c>
      <c r="I273" s="8" t="s">
        <v>105</v>
      </c>
      <c r="J273" s="8" t="s">
        <v>106</v>
      </c>
      <c r="K273" s="8" t="s">
        <v>122</v>
      </c>
      <c r="L273" s="8" t="s">
        <v>227</v>
      </c>
      <c r="M273" s="8">
        <v>13</v>
      </c>
      <c r="N273" s="8">
        <v>20</v>
      </c>
      <c r="O273" s="8">
        <v>5</v>
      </c>
      <c r="P273" s="8">
        <v>247</v>
      </c>
      <c r="Q273" s="8">
        <v>3</v>
      </c>
      <c r="R273" s="8" t="s">
        <v>48</v>
      </c>
      <c r="S273" s="8" t="s">
        <v>115</v>
      </c>
      <c r="T273" s="8" t="s">
        <v>50</v>
      </c>
      <c r="U273" s="9" t="s">
        <v>1284</v>
      </c>
      <c r="V273" s="8" t="s">
        <v>64</v>
      </c>
    </row>
    <row r="274" spans="1:22">
      <c r="A274" s="3" t="s">
        <v>1285</v>
      </c>
      <c r="B274" s="4" t="s">
        <v>83</v>
      </c>
      <c r="C274" s="4" t="s">
        <v>118</v>
      </c>
      <c r="D274" s="4" t="s">
        <v>740</v>
      </c>
      <c r="E274" s="4" t="s">
        <v>1286</v>
      </c>
      <c r="F274" s="4" t="s">
        <v>180</v>
      </c>
      <c r="G274" s="4" t="s">
        <v>76</v>
      </c>
      <c r="H274" s="4" t="s">
        <v>1287</v>
      </c>
      <c r="I274" s="4" t="s">
        <v>212</v>
      </c>
      <c r="J274" s="4" t="s">
        <v>45</v>
      </c>
      <c r="K274" s="4" t="s">
        <v>122</v>
      </c>
      <c r="L274" s="4" t="s">
        <v>123</v>
      </c>
      <c r="M274" s="4">
        <v>1</v>
      </c>
      <c r="N274" s="4">
        <v>60</v>
      </c>
      <c r="O274" s="4">
        <v>15</v>
      </c>
      <c r="P274" s="4">
        <v>51</v>
      </c>
      <c r="Q274" s="4">
        <v>2</v>
      </c>
      <c r="R274" s="4" t="s">
        <v>79</v>
      </c>
      <c r="S274" s="4" t="s">
        <v>61</v>
      </c>
      <c r="T274" s="4" t="s">
        <v>89</v>
      </c>
      <c r="U274" s="6" t="s">
        <v>1288</v>
      </c>
      <c r="V274" s="4" t="s">
        <v>69</v>
      </c>
    </row>
    <row r="275" spans="1:22">
      <c r="A275" s="7" t="s">
        <v>1289</v>
      </c>
      <c r="B275" s="8" t="s">
        <v>53</v>
      </c>
      <c r="C275" s="8" t="s">
        <v>222</v>
      </c>
      <c r="D275" s="8" t="s">
        <v>1290</v>
      </c>
      <c r="E275" s="8" t="s">
        <v>965</v>
      </c>
      <c r="F275" s="8" t="s">
        <v>163</v>
      </c>
      <c r="G275" s="8" t="s">
        <v>28</v>
      </c>
      <c r="H275" s="8" t="s">
        <v>1291</v>
      </c>
      <c r="I275" s="8" t="s">
        <v>114</v>
      </c>
      <c r="J275" s="8" t="s">
        <v>106</v>
      </c>
      <c r="K275" s="8" t="s">
        <v>122</v>
      </c>
      <c r="L275" s="8" t="s">
        <v>227</v>
      </c>
      <c r="M275" s="8">
        <v>5</v>
      </c>
      <c r="N275" s="8">
        <v>20</v>
      </c>
      <c r="O275" s="8">
        <v>5</v>
      </c>
      <c r="P275" s="8">
        <v>95</v>
      </c>
      <c r="Q275" s="8">
        <v>2</v>
      </c>
      <c r="R275" s="8" t="s">
        <v>48</v>
      </c>
      <c r="S275" s="8" t="s">
        <v>49</v>
      </c>
      <c r="T275" s="8" t="s">
        <v>62</v>
      </c>
      <c r="U275" s="9" t="s">
        <v>1292</v>
      </c>
      <c r="V275" s="8" t="s">
        <v>64</v>
      </c>
    </row>
    <row r="276" spans="1:22">
      <c r="A276" s="3" t="s">
        <v>1293</v>
      </c>
      <c r="B276" s="4" t="s">
        <v>221</v>
      </c>
      <c r="C276" s="4" t="s">
        <v>222</v>
      </c>
      <c r="D276" s="4" t="s">
        <v>1294</v>
      </c>
      <c r="E276" s="4" t="s">
        <v>1017</v>
      </c>
      <c r="F276" s="4" t="s">
        <v>225</v>
      </c>
      <c r="G276" s="4" t="s">
        <v>76</v>
      </c>
      <c r="H276" s="4" t="s">
        <v>1295</v>
      </c>
      <c r="I276" s="4" t="s">
        <v>294</v>
      </c>
      <c r="J276" s="4" t="s">
        <v>295</v>
      </c>
      <c r="K276" s="4" t="s">
        <v>122</v>
      </c>
      <c r="L276" s="4" t="s">
        <v>227</v>
      </c>
      <c r="M276" s="4">
        <v>19</v>
      </c>
      <c r="N276" s="4">
        <v>20</v>
      </c>
      <c r="O276" s="4">
        <v>20</v>
      </c>
      <c r="P276" s="4">
        <v>304</v>
      </c>
      <c r="Q276" s="4">
        <v>3</v>
      </c>
      <c r="R276" s="4" t="s">
        <v>34</v>
      </c>
      <c r="S276" s="4" t="s">
        <v>35</v>
      </c>
      <c r="T276" s="4" t="s">
        <v>228</v>
      </c>
      <c r="U276" s="6" t="s">
        <v>1296</v>
      </c>
      <c r="V276" s="4" t="s">
        <v>69</v>
      </c>
    </row>
    <row r="277" spans="1:22">
      <c r="A277" s="7" t="s">
        <v>1297</v>
      </c>
      <c r="B277" s="8" t="s">
        <v>100</v>
      </c>
      <c r="C277" s="8" t="s">
        <v>259</v>
      </c>
      <c r="D277" s="8" t="s">
        <v>1298</v>
      </c>
      <c r="E277" s="8" t="s">
        <v>366</v>
      </c>
      <c r="F277" s="8" t="s">
        <v>103</v>
      </c>
      <c r="G277" s="8" t="s">
        <v>28</v>
      </c>
      <c r="H277" s="8" t="s">
        <v>1299</v>
      </c>
      <c r="I277" s="8" t="s">
        <v>138</v>
      </c>
      <c r="J277" s="8" t="s">
        <v>106</v>
      </c>
      <c r="K277" s="8" t="s">
        <v>122</v>
      </c>
      <c r="L277" s="8" t="s">
        <v>263</v>
      </c>
      <c r="M277" s="8">
        <v>17</v>
      </c>
      <c r="N277" s="8">
        <v>45</v>
      </c>
      <c r="O277" s="8">
        <v>5</v>
      </c>
      <c r="P277" s="8">
        <v>726.75</v>
      </c>
      <c r="Q277" s="8">
        <v>4</v>
      </c>
      <c r="R277" s="8" t="s">
        <v>34</v>
      </c>
      <c r="S277" s="8" t="s">
        <v>115</v>
      </c>
      <c r="T277" s="8" t="s">
        <v>144</v>
      </c>
      <c r="U277" s="9" t="s">
        <v>1300</v>
      </c>
      <c r="V277" s="8" t="s">
        <v>64</v>
      </c>
    </row>
    <row r="278" spans="1:22">
      <c r="A278" s="3" t="s">
        <v>1301</v>
      </c>
      <c r="B278" s="4" t="s">
        <v>83</v>
      </c>
      <c r="C278" s="4" t="s">
        <v>184</v>
      </c>
      <c r="D278" s="4" t="s">
        <v>1302</v>
      </c>
      <c r="E278" s="4" t="s">
        <v>170</v>
      </c>
      <c r="F278" s="4" t="s">
        <v>180</v>
      </c>
      <c r="G278" s="4" t="s">
        <v>76</v>
      </c>
      <c r="H278" s="4" t="s">
        <v>1303</v>
      </c>
      <c r="I278" s="4" t="s">
        <v>59</v>
      </c>
      <c r="J278" s="4" t="s">
        <v>31</v>
      </c>
      <c r="K278" s="4" t="s">
        <v>46</v>
      </c>
      <c r="L278" s="4" t="s">
        <v>189</v>
      </c>
      <c r="M278" s="4">
        <v>8</v>
      </c>
      <c r="N278" s="4">
        <v>700</v>
      </c>
      <c r="O278" s="4">
        <v>15</v>
      </c>
      <c r="P278" s="4">
        <v>4760</v>
      </c>
      <c r="Q278" s="4">
        <v>4</v>
      </c>
      <c r="R278" s="4" t="s">
        <v>48</v>
      </c>
      <c r="S278" s="4" t="s">
        <v>35</v>
      </c>
      <c r="T278" s="4" t="s">
        <v>89</v>
      </c>
      <c r="U278" s="6" t="s">
        <v>1304</v>
      </c>
      <c r="V278" s="4" t="s">
        <v>64</v>
      </c>
    </row>
    <row r="279" spans="1:22">
      <c r="A279" s="7" t="s">
        <v>1305</v>
      </c>
      <c r="B279" s="8" t="s">
        <v>168</v>
      </c>
      <c r="C279" s="8" t="s">
        <v>24</v>
      </c>
      <c r="D279" s="8" t="s">
        <v>1306</v>
      </c>
      <c r="E279" s="8" t="s">
        <v>1307</v>
      </c>
      <c r="F279" s="8" t="s">
        <v>361</v>
      </c>
      <c r="G279" s="8" t="s">
        <v>28</v>
      </c>
      <c r="H279" s="8" t="s">
        <v>1308</v>
      </c>
      <c r="I279" s="8" t="s">
        <v>105</v>
      </c>
      <c r="J279" s="8" t="s">
        <v>106</v>
      </c>
      <c r="K279" s="8" t="s">
        <v>32</v>
      </c>
      <c r="L279" s="8" t="s">
        <v>33</v>
      </c>
      <c r="M279" s="8">
        <v>15</v>
      </c>
      <c r="N279" s="8">
        <v>2200</v>
      </c>
      <c r="O279" s="8">
        <v>10</v>
      </c>
      <c r="P279" s="8">
        <v>29700</v>
      </c>
      <c r="Q279" s="8">
        <v>5</v>
      </c>
      <c r="R279" s="8" t="s">
        <v>88</v>
      </c>
      <c r="S279" s="8" t="s">
        <v>151</v>
      </c>
      <c r="T279" s="8" t="s">
        <v>175</v>
      </c>
      <c r="U279" s="9" t="s">
        <v>1309</v>
      </c>
      <c r="V279" s="8" t="s">
        <v>38</v>
      </c>
    </row>
    <row r="280" spans="1:22">
      <c r="A280" s="3" t="s">
        <v>1310</v>
      </c>
      <c r="B280" s="4" t="s">
        <v>100</v>
      </c>
      <c r="C280" s="4" t="s">
        <v>24</v>
      </c>
      <c r="D280" s="4" t="s">
        <v>860</v>
      </c>
      <c r="E280" s="4" t="s">
        <v>1311</v>
      </c>
      <c r="F280" s="4" t="s">
        <v>103</v>
      </c>
      <c r="G280" s="4" t="s">
        <v>28</v>
      </c>
      <c r="H280" s="4" t="s">
        <v>1312</v>
      </c>
      <c r="I280" s="4" t="s">
        <v>105</v>
      </c>
      <c r="J280" s="4" t="s">
        <v>106</v>
      </c>
      <c r="K280" s="4" t="s">
        <v>32</v>
      </c>
      <c r="L280" s="4" t="s">
        <v>33</v>
      </c>
      <c r="M280" s="4">
        <v>1</v>
      </c>
      <c r="N280" s="4">
        <v>2200</v>
      </c>
      <c r="O280" s="4">
        <v>0</v>
      </c>
      <c r="P280" s="4">
        <v>2200</v>
      </c>
      <c r="Q280" s="4">
        <v>4</v>
      </c>
      <c r="R280" s="4" t="s">
        <v>34</v>
      </c>
      <c r="S280" s="4" t="s">
        <v>49</v>
      </c>
      <c r="T280" s="4" t="s">
        <v>144</v>
      </c>
      <c r="U280" s="6" t="s">
        <v>1313</v>
      </c>
      <c r="V280" s="4" t="s">
        <v>69</v>
      </c>
    </row>
    <row r="281" spans="1:22">
      <c r="A281" s="7" t="s">
        <v>1314</v>
      </c>
      <c r="B281" s="8" t="s">
        <v>251</v>
      </c>
      <c r="C281" s="8" t="s">
        <v>92</v>
      </c>
      <c r="D281" s="8" t="s">
        <v>872</v>
      </c>
      <c r="E281" s="8" t="s">
        <v>1315</v>
      </c>
      <c r="F281" s="8" t="s">
        <v>254</v>
      </c>
      <c r="G281" s="8" t="s">
        <v>28</v>
      </c>
      <c r="H281" s="8" t="s">
        <v>1316</v>
      </c>
      <c r="I281" s="8" t="s">
        <v>138</v>
      </c>
      <c r="J281" s="8" t="s">
        <v>106</v>
      </c>
      <c r="K281" s="8" t="s">
        <v>32</v>
      </c>
      <c r="L281" s="8" t="s">
        <v>97</v>
      </c>
      <c r="M281" s="8">
        <v>10</v>
      </c>
      <c r="N281" s="8">
        <v>3500</v>
      </c>
      <c r="O281" s="8">
        <v>10</v>
      </c>
      <c r="P281" s="8">
        <v>31500</v>
      </c>
      <c r="Q281" s="8">
        <v>4</v>
      </c>
      <c r="R281" s="8" t="s">
        <v>48</v>
      </c>
      <c r="S281" s="8" t="s">
        <v>35</v>
      </c>
      <c r="T281" s="8" t="s">
        <v>256</v>
      </c>
      <c r="U281" s="9" t="s">
        <v>1317</v>
      </c>
      <c r="V281" s="8" t="s">
        <v>69</v>
      </c>
    </row>
    <row r="282" spans="1:22">
      <c r="A282" s="3" t="s">
        <v>1318</v>
      </c>
      <c r="B282" s="4" t="s">
        <v>71</v>
      </c>
      <c r="C282" s="4" t="s">
        <v>92</v>
      </c>
      <c r="D282" s="4" t="s">
        <v>1319</v>
      </c>
      <c r="E282" s="4" t="s">
        <v>1320</v>
      </c>
      <c r="F282" s="4" t="s">
        <v>217</v>
      </c>
      <c r="G282" s="4" t="s">
        <v>76</v>
      </c>
      <c r="H282" s="4" t="s">
        <v>1321</v>
      </c>
      <c r="I282" s="4" t="s">
        <v>212</v>
      </c>
      <c r="J282" s="4" t="s">
        <v>45</v>
      </c>
      <c r="K282" s="4" t="s">
        <v>32</v>
      </c>
      <c r="L282" s="4" t="s">
        <v>97</v>
      </c>
      <c r="M282" s="4">
        <v>16</v>
      </c>
      <c r="N282" s="4">
        <v>3500</v>
      </c>
      <c r="O282" s="4">
        <v>15</v>
      </c>
      <c r="P282" s="4">
        <v>47600</v>
      </c>
      <c r="Q282" s="4">
        <v>1</v>
      </c>
      <c r="R282" s="4" t="s">
        <v>79</v>
      </c>
      <c r="S282" s="4" t="s">
        <v>115</v>
      </c>
      <c r="T282" s="4" t="s">
        <v>80</v>
      </c>
      <c r="U282" s="6" t="s">
        <v>1322</v>
      </c>
      <c r="V282" s="4" t="s">
        <v>64</v>
      </c>
    </row>
    <row r="283" spans="1:22">
      <c r="A283" s="7" t="s">
        <v>1323</v>
      </c>
      <c r="B283" s="8" t="s">
        <v>251</v>
      </c>
      <c r="C283" s="8" t="s">
        <v>40</v>
      </c>
      <c r="D283" s="8" t="s">
        <v>1324</v>
      </c>
      <c r="E283" s="8" t="s">
        <v>25</v>
      </c>
      <c r="F283" s="8" t="s">
        <v>254</v>
      </c>
      <c r="G283" s="8" t="s">
        <v>28</v>
      </c>
      <c r="H283" s="8" t="s">
        <v>1325</v>
      </c>
      <c r="I283" s="8" t="s">
        <v>212</v>
      </c>
      <c r="J283" s="8" t="s">
        <v>45</v>
      </c>
      <c r="K283" s="8" t="s">
        <v>46</v>
      </c>
      <c r="L283" s="8" t="s">
        <v>47</v>
      </c>
      <c r="M283" s="8">
        <v>1</v>
      </c>
      <c r="N283" s="8">
        <v>12000</v>
      </c>
      <c r="O283" s="8">
        <v>0</v>
      </c>
      <c r="P283" s="8">
        <v>12000</v>
      </c>
      <c r="Q283" s="8">
        <v>4</v>
      </c>
      <c r="R283" s="8" t="s">
        <v>48</v>
      </c>
      <c r="S283" s="8" t="s">
        <v>115</v>
      </c>
      <c r="T283" s="8" t="s">
        <v>256</v>
      </c>
      <c r="U283" s="9" t="s">
        <v>1326</v>
      </c>
      <c r="V283" s="8" t="s">
        <v>69</v>
      </c>
    </row>
    <row r="284" spans="1:22">
      <c r="A284" s="3" t="s">
        <v>1327</v>
      </c>
      <c r="B284" s="4" t="s">
        <v>83</v>
      </c>
      <c r="C284" s="4" t="s">
        <v>184</v>
      </c>
      <c r="D284" s="4" t="s">
        <v>1328</v>
      </c>
      <c r="E284" s="4" t="s">
        <v>606</v>
      </c>
      <c r="F284" s="4" t="s">
        <v>180</v>
      </c>
      <c r="G284" s="4" t="s">
        <v>76</v>
      </c>
      <c r="H284" s="4" t="s">
        <v>1329</v>
      </c>
      <c r="I284" s="4" t="s">
        <v>105</v>
      </c>
      <c r="J284" s="4" t="s">
        <v>106</v>
      </c>
      <c r="K284" s="4" t="s">
        <v>46</v>
      </c>
      <c r="L284" s="4" t="s">
        <v>189</v>
      </c>
      <c r="M284" s="4">
        <v>6</v>
      </c>
      <c r="N284" s="4">
        <v>700</v>
      </c>
      <c r="O284" s="4">
        <v>20</v>
      </c>
      <c r="P284" s="4">
        <v>3360</v>
      </c>
      <c r="Q284" s="4">
        <v>2</v>
      </c>
      <c r="R284" s="4" t="s">
        <v>48</v>
      </c>
      <c r="S284" s="4" t="s">
        <v>115</v>
      </c>
      <c r="T284" s="4" t="s">
        <v>89</v>
      </c>
      <c r="U284" s="6" t="s">
        <v>1330</v>
      </c>
      <c r="V284" s="4" t="s">
        <v>64</v>
      </c>
    </row>
    <row r="285" spans="1:22">
      <c r="A285" s="7" t="s">
        <v>1331</v>
      </c>
      <c r="B285" s="8" t="s">
        <v>71</v>
      </c>
      <c r="C285" s="8" t="s">
        <v>24</v>
      </c>
      <c r="D285" s="8" t="s">
        <v>923</v>
      </c>
      <c r="E285" s="8" t="s">
        <v>1332</v>
      </c>
      <c r="F285" s="8" t="s">
        <v>217</v>
      </c>
      <c r="G285" s="8" t="s">
        <v>76</v>
      </c>
      <c r="H285" s="8" t="s">
        <v>1333</v>
      </c>
      <c r="I285" s="8" t="s">
        <v>138</v>
      </c>
      <c r="J285" s="8" t="s">
        <v>106</v>
      </c>
      <c r="K285" s="8" t="s">
        <v>32</v>
      </c>
      <c r="L285" s="8" t="s">
        <v>33</v>
      </c>
      <c r="M285" s="8">
        <v>3</v>
      </c>
      <c r="N285" s="8">
        <v>2200</v>
      </c>
      <c r="O285" s="8">
        <v>0</v>
      </c>
      <c r="P285" s="8">
        <v>6600</v>
      </c>
      <c r="Q285" s="8">
        <v>4</v>
      </c>
      <c r="R285" s="8" t="s">
        <v>79</v>
      </c>
      <c r="S285" s="8" t="s">
        <v>35</v>
      </c>
      <c r="T285" s="8" t="s">
        <v>80</v>
      </c>
      <c r="U285" s="9" t="s">
        <v>1334</v>
      </c>
      <c r="V285" s="8" t="s">
        <v>38</v>
      </c>
    </row>
    <row r="286" spans="1:22">
      <c r="A286" s="3" t="s">
        <v>1335</v>
      </c>
      <c r="B286" s="4" t="s">
        <v>251</v>
      </c>
      <c r="C286" s="4" t="s">
        <v>259</v>
      </c>
      <c r="D286" s="4" t="s">
        <v>1198</v>
      </c>
      <c r="E286" s="4" t="s">
        <v>216</v>
      </c>
      <c r="F286" s="4" t="s">
        <v>254</v>
      </c>
      <c r="G286" s="4" t="s">
        <v>28</v>
      </c>
      <c r="H286" s="4" t="s">
        <v>1336</v>
      </c>
      <c r="I286" s="4" t="s">
        <v>30</v>
      </c>
      <c r="J286" s="4" t="s">
        <v>31</v>
      </c>
      <c r="K286" s="4" t="s">
        <v>122</v>
      </c>
      <c r="L286" s="4" t="s">
        <v>263</v>
      </c>
      <c r="M286" s="4">
        <v>6</v>
      </c>
      <c r="N286" s="4">
        <v>45</v>
      </c>
      <c r="O286" s="4">
        <v>15</v>
      </c>
      <c r="P286" s="4">
        <v>229.5</v>
      </c>
      <c r="Q286" s="4">
        <v>1</v>
      </c>
      <c r="R286" s="4" t="s">
        <v>88</v>
      </c>
      <c r="S286" s="4" t="s">
        <v>49</v>
      </c>
      <c r="T286" s="4" t="s">
        <v>256</v>
      </c>
      <c r="U286" s="6" t="s">
        <v>1337</v>
      </c>
      <c r="V286" s="4" t="s">
        <v>38</v>
      </c>
    </row>
    <row r="287" spans="1:22">
      <c r="A287" s="7" t="s">
        <v>1338</v>
      </c>
      <c r="B287" s="8" t="s">
        <v>251</v>
      </c>
      <c r="C287" s="8" t="s">
        <v>72</v>
      </c>
      <c r="D287" s="8" t="s">
        <v>26</v>
      </c>
      <c r="E287" s="8" t="s">
        <v>1339</v>
      </c>
      <c r="F287" s="8" t="s">
        <v>254</v>
      </c>
      <c r="G287" s="8" t="s">
        <v>28</v>
      </c>
      <c r="H287" s="8" t="s">
        <v>1340</v>
      </c>
      <c r="I287" s="8" t="s">
        <v>59</v>
      </c>
      <c r="J287" s="8" t="s">
        <v>31</v>
      </c>
      <c r="K287" s="8" t="s">
        <v>46</v>
      </c>
      <c r="L287" s="8" t="s">
        <v>78</v>
      </c>
      <c r="M287" s="8">
        <v>2</v>
      </c>
      <c r="N287" s="8">
        <v>1200</v>
      </c>
      <c r="O287" s="8">
        <v>0</v>
      </c>
      <c r="P287" s="8">
        <v>2400</v>
      </c>
      <c r="Q287" s="8">
        <v>1</v>
      </c>
      <c r="R287" s="8" t="s">
        <v>34</v>
      </c>
      <c r="S287" s="8" t="s">
        <v>151</v>
      </c>
      <c r="T287" s="8" t="s">
        <v>256</v>
      </c>
      <c r="U287" s="9" t="s">
        <v>1341</v>
      </c>
      <c r="V287" s="8" t="s">
        <v>69</v>
      </c>
    </row>
    <row r="288" spans="1:22">
      <c r="A288" s="3" t="s">
        <v>1342</v>
      </c>
      <c r="B288" s="4" t="s">
        <v>168</v>
      </c>
      <c r="C288" s="4" t="s">
        <v>184</v>
      </c>
      <c r="D288" s="4" t="s">
        <v>1343</v>
      </c>
      <c r="E288" s="4" t="s">
        <v>1344</v>
      </c>
      <c r="F288" s="4" t="s">
        <v>361</v>
      </c>
      <c r="G288" s="4" t="s">
        <v>28</v>
      </c>
      <c r="H288" s="4" t="s">
        <v>1345</v>
      </c>
      <c r="I288" s="4" t="s">
        <v>30</v>
      </c>
      <c r="J288" s="4" t="s">
        <v>31</v>
      </c>
      <c r="K288" s="4" t="s">
        <v>46</v>
      </c>
      <c r="L288" s="4" t="s">
        <v>189</v>
      </c>
      <c r="M288" s="4">
        <v>14</v>
      </c>
      <c r="N288" s="4">
        <v>700</v>
      </c>
      <c r="O288" s="4">
        <v>15</v>
      </c>
      <c r="P288" s="4">
        <v>8330</v>
      </c>
      <c r="Q288" s="4">
        <v>5</v>
      </c>
      <c r="R288" s="4" t="s">
        <v>34</v>
      </c>
      <c r="S288" s="4" t="s">
        <v>115</v>
      </c>
      <c r="T288" s="4" t="s">
        <v>175</v>
      </c>
      <c r="U288" s="6" t="s">
        <v>1346</v>
      </c>
      <c r="V288" s="4" t="s">
        <v>64</v>
      </c>
    </row>
    <row r="289" spans="1:22">
      <c r="A289" s="7" t="s">
        <v>1347</v>
      </c>
      <c r="B289" s="8" t="s">
        <v>100</v>
      </c>
      <c r="C289" s="8" t="s">
        <v>222</v>
      </c>
      <c r="D289" s="8" t="s">
        <v>291</v>
      </c>
      <c r="E289" s="8" t="s">
        <v>507</v>
      </c>
      <c r="F289" s="8" t="s">
        <v>103</v>
      </c>
      <c r="G289" s="8" t="s">
        <v>28</v>
      </c>
      <c r="H289" s="8" t="s">
        <v>1348</v>
      </c>
      <c r="I289" s="8" t="s">
        <v>105</v>
      </c>
      <c r="J289" s="8" t="s">
        <v>106</v>
      </c>
      <c r="K289" s="8" t="s">
        <v>122</v>
      </c>
      <c r="L289" s="8" t="s">
        <v>227</v>
      </c>
      <c r="M289" s="8">
        <v>13</v>
      </c>
      <c r="N289" s="8">
        <v>20</v>
      </c>
      <c r="O289" s="8">
        <v>5</v>
      </c>
      <c r="P289" s="8">
        <v>247</v>
      </c>
      <c r="Q289" s="8">
        <v>1</v>
      </c>
      <c r="R289" s="8" t="s">
        <v>79</v>
      </c>
      <c r="S289" s="8" t="s">
        <v>35</v>
      </c>
      <c r="T289" s="8" t="s">
        <v>1349</v>
      </c>
      <c r="U289" s="9" t="s">
        <v>1350</v>
      </c>
      <c r="V289" s="8" t="s">
        <v>64</v>
      </c>
    </row>
    <row r="290" spans="1:22">
      <c r="A290" s="3" t="s">
        <v>1351</v>
      </c>
      <c r="B290" s="4" t="s">
        <v>71</v>
      </c>
      <c r="C290" s="4" t="s">
        <v>24</v>
      </c>
      <c r="D290" s="4" t="s">
        <v>135</v>
      </c>
      <c r="E290" s="4" t="s">
        <v>136</v>
      </c>
      <c r="F290" s="4" t="s">
        <v>217</v>
      </c>
      <c r="G290" s="4" t="s">
        <v>76</v>
      </c>
      <c r="H290" s="4" t="s">
        <v>1352</v>
      </c>
      <c r="I290" s="4" t="s">
        <v>114</v>
      </c>
      <c r="J290" s="4" t="s">
        <v>106</v>
      </c>
      <c r="K290" s="4" t="s">
        <v>32</v>
      </c>
      <c r="L290" s="4" t="s">
        <v>33</v>
      </c>
      <c r="M290" s="4">
        <v>3</v>
      </c>
      <c r="N290" s="4">
        <v>2200</v>
      </c>
      <c r="O290" s="4">
        <v>0</v>
      </c>
      <c r="P290" s="4">
        <v>6600</v>
      </c>
      <c r="Q290" s="4">
        <v>4</v>
      </c>
      <c r="R290" s="4" t="s">
        <v>48</v>
      </c>
      <c r="S290" s="4" t="s">
        <v>61</v>
      </c>
      <c r="T290" s="4" t="s">
        <v>80</v>
      </c>
      <c r="U290" s="6" t="s">
        <v>1353</v>
      </c>
      <c r="V290" s="4" t="s">
        <v>69</v>
      </c>
    </row>
    <row r="291" spans="1:22">
      <c r="A291" s="7" t="s">
        <v>1354</v>
      </c>
      <c r="B291" s="8" t="s">
        <v>71</v>
      </c>
      <c r="C291" s="8" t="s">
        <v>118</v>
      </c>
      <c r="D291" s="8" t="s">
        <v>450</v>
      </c>
      <c r="E291" s="8" t="s">
        <v>923</v>
      </c>
      <c r="F291" s="8" t="s">
        <v>217</v>
      </c>
      <c r="G291" s="8" t="s">
        <v>76</v>
      </c>
      <c r="H291" s="8" t="s">
        <v>1355</v>
      </c>
      <c r="I291" s="8" t="s">
        <v>114</v>
      </c>
      <c r="J291" s="8" t="s">
        <v>106</v>
      </c>
      <c r="K291" s="8" t="s">
        <v>122</v>
      </c>
      <c r="L291" s="8" t="s">
        <v>123</v>
      </c>
      <c r="M291" s="8">
        <v>3</v>
      </c>
      <c r="N291" s="8">
        <v>60</v>
      </c>
      <c r="O291" s="8">
        <v>15</v>
      </c>
      <c r="P291" s="8">
        <v>153</v>
      </c>
      <c r="Q291" s="8">
        <v>4</v>
      </c>
      <c r="R291" s="8" t="s">
        <v>88</v>
      </c>
      <c r="S291" s="8" t="s">
        <v>115</v>
      </c>
      <c r="T291" s="8" t="s">
        <v>80</v>
      </c>
      <c r="U291" s="9" t="s">
        <v>1356</v>
      </c>
      <c r="V291" s="8" t="s">
        <v>38</v>
      </c>
    </row>
    <row r="292" spans="1:22">
      <c r="A292" s="3" t="s">
        <v>1357</v>
      </c>
      <c r="B292" s="4" t="s">
        <v>127</v>
      </c>
      <c r="C292" s="4" t="s">
        <v>92</v>
      </c>
      <c r="D292" s="4" t="s">
        <v>624</v>
      </c>
      <c r="E292" s="4" t="s">
        <v>825</v>
      </c>
      <c r="F292" s="4" t="s">
        <v>200</v>
      </c>
      <c r="G292" s="4" t="s">
        <v>76</v>
      </c>
      <c r="H292" s="4" t="s">
        <v>584</v>
      </c>
      <c r="I292" s="4" t="s">
        <v>105</v>
      </c>
      <c r="J292" s="4" t="s">
        <v>106</v>
      </c>
      <c r="K292" s="4" t="s">
        <v>32</v>
      </c>
      <c r="L292" s="4" t="s">
        <v>97</v>
      </c>
      <c r="M292" s="4">
        <v>9</v>
      </c>
      <c r="N292" s="4">
        <v>3500</v>
      </c>
      <c r="O292" s="4">
        <v>5</v>
      </c>
      <c r="P292" s="4">
        <v>29925</v>
      </c>
      <c r="Q292" s="4">
        <v>1</v>
      </c>
      <c r="R292" s="4" t="s">
        <v>34</v>
      </c>
      <c r="S292" s="4" t="s">
        <v>61</v>
      </c>
      <c r="T292" s="4" t="s">
        <v>132</v>
      </c>
      <c r="U292" s="6" t="s">
        <v>1358</v>
      </c>
      <c r="V292" s="4" t="s">
        <v>64</v>
      </c>
    </row>
    <row r="293" spans="1:22">
      <c r="A293" s="7" t="s">
        <v>1359</v>
      </c>
      <c r="B293" s="8" t="s">
        <v>327</v>
      </c>
      <c r="C293" s="8" t="s">
        <v>72</v>
      </c>
      <c r="D293" s="8" t="s">
        <v>120</v>
      </c>
      <c r="E293" s="8" t="s">
        <v>1360</v>
      </c>
      <c r="F293" s="8" t="s">
        <v>394</v>
      </c>
      <c r="G293" s="8" t="s">
        <v>76</v>
      </c>
      <c r="H293" s="8" t="s">
        <v>1361</v>
      </c>
      <c r="I293" s="8" t="s">
        <v>212</v>
      </c>
      <c r="J293" s="8" t="s">
        <v>45</v>
      </c>
      <c r="K293" s="8" t="s">
        <v>46</v>
      </c>
      <c r="L293" s="8" t="s">
        <v>78</v>
      </c>
      <c r="M293" s="8">
        <v>5</v>
      </c>
      <c r="N293" s="8">
        <v>1200</v>
      </c>
      <c r="O293" s="8">
        <v>20</v>
      </c>
      <c r="P293" s="8">
        <v>4800</v>
      </c>
      <c r="Q293" s="8">
        <v>2</v>
      </c>
      <c r="R293" s="8" t="s">
        <v>88</v>
      </c>
      <c r="S293" s="8" t="s">
        <v>115</v>
      </c>
      <c r="T293" s="8" t="s">
        <v>332</v>
      </c>
      <c r="U293" s="9" t="s">
        <v>1362</v>
      </c>
      <c r="V293" s="8" t="s">
        <v>64</v>
      </c>
    </row>
    <row r="294" spans="1:22">
      <c r="A294" s="3" t="s">
        <v>1363</v>
      </c>
      <c r="B294" s="4" t="s">
        <v>53</v>
      </c>
      <c r="C294" s="4" t="s">
        <v>72</v>
      </c>
      <c r="D294" s="4" t="s">
        <v>1031</v>
      </c>
      <c r="E294" s="4" t="s">
        <v>910</v>
      </c>
      <c r="F294" s="4" t="s">
        <v>163</v>
      </c>
      <c r="G294" s="4" t="s">
        <v>28</v>
      </c>
      <c r="H294" s="4" t="s">
        <v>1364</v>
      </c>
      <c r="I294" s="4" t="s">
        <v>212</v>
      </c>
      <c r="J294" s="4" t="s">
        <v>45</v>
      </c>
      <c r="K294" s="4" t="s">
        <v>46</v>
      </c>
      <c r="L294" s="4" t="s">
        <v>78</v>
      </c>
      <c r="M294" s="4">
        <v>10</v>
      </c>
      <c r="N294" s="4">
        <v>1200</v>
      </c>
      <c r="O294" s="4">
        <v>20</v>
      </c>
      <c r="P294" s="4">
        <v>9600</v>
      </c>
      <c r="Q294" s="4">
        <v>4</v>
      </c>
      <c r="R294" s="4" t="s">
        <v>34</v>
      </c>
      <c r="S294" s="4" t="s">
        <v>49</v>
      </c>
      <c r="T294" s="5" t="s">
        <v>1365</v>
      </c>
      <c r="U294" s="6" t="s">
        <v>1366</v>
      </c>
      <c r="V294" s="4" t="s">
        <v>38</v>
      </c>
    </row>
    <row r="295" spans="1:22">
      <c r="A295" s="7" t="s">
        <v>1367</v>
      </c>
      <c r="B295" s="8" t="s">
        <v>23</v>
      </c>
      <c r="C295" s="8" t="s">
        <v>72</v>
      </c>
      <c r="D295" s="8" t="s">
        <v>1368</v>
      </c>
      <c r="E295" s="8" t="s">
        <v>1369</v>
      </c>
      <c r="F295" s="8" t="s">
        <v>27</v>
      </c>
      <c r="G295" s="8" t="s">
        <v>28</v>
      </c>
      <c r="H295" s="8" t="s">
        <v>1370</v>
      </c>
      <c r="I295" s="8" t="s">
        <v>138</v>
      </c>
      <c r="J295" s="8" t="s">
        <v>106</v>
      </c>
      <c r="K295" s="8" t="s">
        <v>46</v>
      </c>
      <c r="L295" s="8" t="s">
        <v>78</v>
      </c>
      <c r="M295" s="8">
        <v>5</v>
      </c>
      <c r="N295" s="8">
        <v>1200</v>
      </c>
      <c r="O295" s="8">
        <v>20</v>
      </c>
      <c r="P295" s="8">
        <v>4800</v>
      </c>
      <c r="Q295" s="8">
        <v>3</v>
      </c>
      <c r="R295" s="8" t="s">
        <v>48</v>
      </c>
      <c r="S295" s="8" t="s">
        <v>151</v>
      </c>
      <c r="T295" s="8" t="s">
        <v>50</v>
      </c>
      <c r="U295" s="9" t="s">
        <v>1371</v>
      </c>
      <c r="V295" s="8" t="s">
        <v>38</v>
      </c>
    </row>
    <row r="296" spans="1:22">
      <c r="A296" s="3" t="s">
        <v>1372</v>
      </c>
      <c r="B296" s="4" t="s">
        <v>168</v>
      </c>
      <c r="C296" s="4" t="s">
        <v>222</v>
      </c>
      <c r="D296" s="4" t="s">
        <v>1373</v>
      </c>
      <c r="E296" s="4" t="s">
        <v>1374</v>
      </c>
      <c r="F296" s="4" t="s">
        <v>361</v>
      </c>
      <c r="G296" s="4" t="s">
        <v>28</v>
      </c>
      <c r="H296" s="4" t="s">
        <v>1375</v>
      </c>
      <c r="I296" s="4" t="s">
        <v>105</v>
      </c>
      <c r="J296" s="4" t="s">
        <v>106</v>
      </c>
      <c r="K296" s="4" t="s">
        <v>122</v>
      </c>
      <c r="L296" s="4" t="s">
        <v>227</v>
      </c>
      <c r="M296" s="4">
        <v>10</v>
      </c>
      <c r="N296" s="4">
        <v>20</v>
      </c>
      <c r="O296" s="4">
        <v>5</v>
      </c>
      <c r="P296" s="4">
        <v>190</v>
      </c>
      <c r="Q296" s="4">
        <v>4</v>
      </c>
      <c r="R296" s="4" t="s">
        <v>34</v>
      </c>
      <c r="S296" s="4" t="s">
        <v>151</v>
      </c>
      <c r="T296" s="4" t="s">
        <v>175</v>
      </c>
      <c r="U296" s="6" t="s">
        <v>1376</v>
      </c>
      <c r="V296" s="4" t="s">
        <v>64</v>
      </c>
    </row>
    <row r="297" spans="1:22">
      <c r="A297" s="7" t="s">
        <v>1377</v>
      </c>
      <c r="B297" s="8" t="s">
        <v>100</v>
      </c>
      <c r="C297" s="8" t="s">
        <v>118</v>
      </c>
      <c r="D297" s="8" t="s">
        <v>1378</v>
      </c>
      <c r="E297" s="8" t="s">
        <v>1379</v>
      </c>
      <c r="F297" s="8" t="s">
        <v>103</v>
      </c>
      <c r="G297" s="8" t="s">
        <v>28</v>
      </c>
      <c r="H297" s="8" t="s">
        <v>1380</v>
      </c>
      <c r="I297" s="8" t="s">
        <v>44</v>
      </c>
      <c r="J297" s="8" t="s">
        <v>45</v>
      </c>
      <c r="K297" s="8" t="s">
        <v>122</v>
      </c>
      <c r="L297" s="8" t="s">
        <v>123</v>
      </c>
      <c r="M297" s="8">
        <v>20</v>
      </c>
      <c r="N297" s="8">
        <v>60</v>
      </c>
      <c r="O297" s="8">
        <v>15</v>
      </c>
      <c r="P297" s="8">
        <v>1020</v>
      </c>
      <c r="Q297" s="8">
        <v>5</v>
      </c>
      <c r="R297" s="8" t="s">
        <v>79</v>
      </c>
      <c r="S297" s="8" t="s">
        <v>35</v>
      </c>
      <c r="T297" s="8" t="s">
        <v>144</v>
      </c>
      <c r="U297" s="9" t="s">
        <v>1381</v>
      </c>
      <c r="V297" s="8" t="s">
        <v>64</v>
      </c>
    </row>
    <row r="298" spans="1:22">
      <c r="A298" s="3" t="s">
        <v>1382</v>
      </c>
      <c r="B298" s="4" t="s">
        <v>327</v>
      </c>
      <c r="C298" s="4" t="s">
        <v>24</v>
      </c>
      <c r="D298" s="4" t="s">
        <v>1360</v>
      </c>
      <c r="E298" s="4" t="s">
        <v>577</v>
      </c>
      <c r="F298" s="4" t="s">
        <v>394</v>
      </c>
      <c r="G298" s="4" t="s">
        <v>76</v>
      </c>
      <c r="H298" s="4" t="s">
        <v>1383</v>
      </c>
      <c r="I298" s="4" t="s">
        <v>138</v>
      </c>
      <c r="J298" s="4" t="s">
        <v>106</v>
      </c>
      <c r="K298" s="4" t="s">
        <v>32</v>
      </c>
      <c r="L298" s="4" t="s">
        <v>33</v>
      </c>
      <c r="M298" s="4">
        <v>7</v>
      </c>
      <c r="N298" s="4">
        <v>2200</v>
      </c>
      <c r="O298" s="4">
        <v>15</v>
      </c>
      <c r="P298" s="4">
        <v>13090</v>
      </c>
      <c r="Q298" s="4">
        <v>4</v>
      </c>
      <c r="R298" s="4" t="s">
        <v>34</v>
      </c>
      <c r="S298" s="4" t="s">
        <v>61</v>
      </c>
      <c r="T298" s="4" t="s">
        <v>332</v>
      </c>
      <c r="U298" s="6" t="s">
        <v>1384</v>
      </c>
      <c r="V298" s="4" t="s">
        <v>69</v>
      </c>
    </row>
    <row r="299" spans="1:22">
      <c r="A299" s="7" t="s">
        <v>1385</v>
      </c>
      <c r="B299" s="8" t="s">
        <v>127</v>
      </c>
      <c r="C299" s="8" t="s">
        <v>54</v>
      </c>
      <c r="D299" s="8" t="s">
        <v>619</v>
      </c>
      <c r="E299" s="8" t="s">
        <v>760</v>
      </c>
      <c r="F299" s="8" t="s">
        <v>200</v>
      </c>
      <c r="G299" s="8" t="s">
        <v>76</v>
      </c>
      <c r="H299" s="8" t="s">
        <v>1386</v>
      </c>
      <c r="I299" s="8" t="s">
        <v>30</v>
      </c>
      <c r="J299" s="8" t="s">
        <v>31</v>
      </c>
      <c r="K299" s="8" t="s">
        <v>46</v>
      </c>
      <c r="L299" s="8" t="s">
        <v>60</v>
      </c>
      <c r="M299" s="8">
        <v>11</v>
      </c>
      <c r="N299" s="8">
        <v>55000</v>
      </c>
      <c r="O299" s="8">
        <v>5</v>
      </c>
      <c r="P299" s="8">
        <v>574750</v>
      </c>
      <c r="Q299" s="8">
        <v>1</v>
      </c>
      <c r="R299" s="8" t="s">
        <v>88</v>
      </c>
      <c r="S299" s="8" t="s">
        <v>35</v>
      </c>
      <c r="T299" s="8" t="s">
        <v>132</v>
      </c>
      <c r="U299" s="9" t="s">
        <v>1387</v>
      </c>
      <c r="V299" s="8" t="s">
        <v>69</v>
      </c>
    </row>
    <row r="300" spans="1:22">
      <c r="A300" s="3" t="s">
        <v>1388</v>
      </c>
      <c r="B300" s="4" t="s">
        <v>83</v>
      </c>
      <c r="C300" s="4" t="s">
        <v>92</v>
      </c>
      <c r="D300" s="4" t="s">
        <v>308</v>
      </c>
      <c r="E300" s="4" t="s">
        <v>1389</v>
      </c>
      <c r="F300" s="4" t="s">
        <v>180</v>
      </c>
      <c r="G300" s="4" t="s">
        <v>76</v>
      </c>
      <c r="H300" s="4" t="s">
        <v>1390</v>
      </c>
      <c r="I300" s="4" t="s">
        <v>212</v>
      </c>
      <c r="J300" s="4" t="s">
        <v>45</v>
      </c>
      <c r="K300" s="4" t="s">
        <v>32</v>
      </c>
      <c r="L300" s="4" t="s">
        <v>97</v>
      </c>
      <c r="M300" s="4">
        <v>12</v>
      </c>
      <c r="N300" s="4">
        <v>3500</v>
      </c>
      <c r="O300" s="4">
        <v>0</v>
      </c>
      <c r="P300" s="4">
        <v>42000</v>
      </c>
      <c r="Q300" s="4">
        <v>2</v>
      </c>
      <c r="R300" s="4" t="s">
        <v>48</v>
      </c>
      <c r="S300" s="4"/>
      <c r="T300" s="4" t="s">
        <v>89</v>
      </c>
      <c r="U300" s="6" t="s">
        <v>1391</v>
      </c>
      <c r="V300" s="4" t="s">
        <v>64</v>
      </c>
    </row>
    <row r="301" spans="1:22">
      <c r="A301" s="7" t="s">
        <v>1392</v>
      </c>
      <c r="B301" s="8" t="s">
        <v>71</v>
      </c>
      <c r="C301" s="8" t="s">
        <v>259</v>
      </c>
      <c r="D301" s="8" t="s">
        <v>94</v>
      </c>
      <c r="E301" s="8" t="s">
        <v>298</v>
      </c>
      <c r="F301" s="8" t="s">
        <v>217</v>
      </c>
      <c r="G301" s="8" t="s">
        <v>76</v>
      </c>
      <c r="H301" s="8" t="s">
        <v>1393</v>
      </c>
      <c r="I301" s="8" t="s">
        <v>30</v>
      </c>
      <c r="J301" s="8" t="s">
        <v>31</v>
      </c>
      <c r="K301" s="8" t="s">
        <v>122</v>
      </c>
      <c r="L301" s="8" t="s">
        <v>263</v>
      </c>
      <c r="M301" s="8">
        <v>15</v>
      </c>
      <c r="N301" s="8">
        <v>45</v>
      </c>
      <c r="O301" s="8">
        <v>10</v>
      </c>
      <c r="P301" s="8">
        <v>607.5</v>
      </c>
      <c r="Q301" s="8">
        <v>2</v>
      </c>
      <c r="R301" s="8" t="s">
        <v>34</v>
      </c>
      <c r="S301" s="8" t="s">
        <v>151</v>
      </c>
      <c r="T301" s="8" t="s">
        <v>80</v>
      </c>
      <c r="U301" s="9" t="s">
        <v>1394</v>
      </c>
      <c r="V301" s="8" t="s">
        <v>64</v>
      </c>
    </row>
    <row r="302" spans="1:22">
      <c r="A302" s="3" t="s">
        <v>1395</v>
      </c>
      <c r="B302" s="4" t="s">
        <v>327</v>
      </c>
      <c r="C302" s="4" t="s">
        <v>259</v>
      </c>
      <c r="D302" s="4" t="s">
        <v>1320</v>
      </c>
      <c r="E302" s="4" t="s">
        <v>936</v>
      </c>
      <c r="F302" s="4" t="s">
        <v>394</v>
      </c>
      <c r="G302" s="4" t="s">
        <v>76</v>
      </c>
      <c r="H302" s="4" t="s">
        <v>1396</v>
      </c>
      <c r="I302" s="4" t="s">
        <v>59</v>
      </c>
      <c r="J302" s="4" t="s">
        <v>31</v>
      </c>
      <c r="K302" s="4" t="s">
        <v>122</v>
      </c>
      <c r="L302" s="4" t="s">
        <v>263</v>
      </c>
      <c r="M302" s="4">
        <v>13</v>
      </c>
      <c r="N302" s="4">
        <v>45</v>
      </c>
      <c r="O302" s="4">
        <v>0</v>
      </c>
      <c r="P302" s="4">
        <v>585</v>
      </c>
      <c r="Q302" s="4">
        <v>5</v>
      </c>
      <c r="R302" s="4" t="s">
        <v>48</v>
      </c>
      <c r="S302" s="4" t="s">
        <v>49</v>
      </c>
      <c r="T302" s="4" t="s">
        <v>332</v>
      </c>
      <c r="U302" s="6" t="s">
        <v>1397</v>
      </c>
      <c r="V302" s="4" t="s">
        <v>64</v>
      </c>
    </row>
    <row r="303" spans="1:22">
      <c r="A303" s="7" t="s">
        <v>1398</v>
      </c>
      <c r="B303" s="8" t="s">
        <v>127</v>
      </c>
      <c r="C303" s="8" t="s">
        <v>54</v>
      </c>
      <c r="D303" s="8" t="s">
        <v>711</v>
      </c>
      <c r="E303" s="8" t="s">
        <v>1199</v>
      </c>
      <c r="F303" s="8" t="s">
        <v>200</v>
      </c>
      <c r="G303" s="8" t="s">
        <v>76</v>
      </c>
      <c r="H303" s="8" t="s">
        <v>1399</v>
      </c>
      <c r="I303" s="8" t="s">
        <v>59</v>
      </c>
      <c r="J303" s="8" t="s">
        <v>31</v>
      </c>
      <c r="K303" s="8" t="s">
        <v>46</v>
      </c>
      <c r="L303" s="8" t="s">
        <v>60</v>
      </c>
      <c r="M303" s="8">
        <v>8</v>
      </c>
      <c r="N303" s="8">
        <v>55000</v>
      </c>
      <c r="O303" s="8">
        <v>0</v>
      </c>
      <c r="P303" s="8">
        <v>440000</v>
      </c>
      <c r="Q303" s="8">
        <v>2</v>
      </c>
      <c r="R303" s="8" t="s">
        <v>88</v>
      </c>
      <c r="S303" s="8" t="s">
        <v>151</v>
      </c>
      <c r="T303" s="8" t="s">
        <v>132</v>
      </c>
      <c r="U303" s="9" t="s">
        <v>1400</v>
      </c>
      <c r="V303" s="8" t="s">
        <v>69</v>
      </c>
    </row>
    <row r="304" spans="1:22">
      <c r="A304" s="3" t="s">
        <v>1401</v>
      </c>
      <c r="B304" s="4" t="s">
        <v>251</v>
      </c>
      <c r="C304" s="4" t="s">
        <v>54</v>
      </c>
      <c r="D304" s="4" t="s">
        <v>830</v>
      </c>
      <c r="E304" s="4" t="s">
        <v>381</v>
      </c>
      <c r="F304" s="4" t="s">
        <v>254</v>
      </c>
      <c r="G304" s="4" t="s">
        <v>28</v>
      </c>
      <c r="H304" s="4" t="s">
        <v>1402</v>
      </c>
      <c r="I304" s="4" t="s">
        <v>44</v>
      </c>
      <c r="J304" s="4" t="s">
        <v>45</v>
      </c>
      <c r="K304" s="4" t="s">
        <v>46</v>
      </c>
      <c r="L304" s="4" t="s">
        <v>60</v>
      </c>
      <c r="M304" s="4">
        <v>4</v>
      </c>
      <c r="N304" s="4">
        <v>55000</v>
      </c>
      <c r="O304" s="4">
        <v>20</v>
      </c>
      <c r="P304" s="4">
        <v>176000</v>
      </c>
      <c r="Q304" s="4">
        <v>5</v>
      </c>
      <c r="R304" s="4" t="s">
        <v>34</v>
      </c>
      <c r="S304" s="4" t="s">
        <v>49</v>
      </c>
      <c r="T304" s="4" t="s">
        <v>256</v>
      </c>
      <c r="U304" s="6" t="s">
        <v>1403</v>
      </c>
      <c r="V304" s="4" t="s">
        <v>64</v>
      </c>
    </row>
    <row r="305" spans="1:22">
      <c r="A305" s="7" t="s">
        <v>1404</v>
      </c>
      <c r="B305" s="8" t="s">
        <v>23</v>
      </c>
      <c r="C305" s="8" t="s">
        <v>92</v>
      </c>
      <c r="D305" s="8" t="s">
        <v>1405</v>
      </c>
      <c r="E305" s="8" t="s">
        <v>716</v>
      </c>
      <c r="F305" s="8" t="s">
        <v>27</v>
      </c>
      <c r="G305" s="8" t="s">
        <v>28</v>
      </c>
      <c r="H305" s="8" t="s">
        <v>1406</v>
      </c>
      <c r="I305" s="8" t="s">
        <v>138</v>
      </c>
      <c r="J305" s="8" t="s">
        <v>106</v>
      </c>
      <c r="K305" s="8" t="s">
        <v>32</v>
      </c>
      <c r="L305" s="8" t="s">
        <v>97</v>
      </c>
      <c r="M305" s="8">
        <v>19</v>
      </c>
      <c r="N305" s="8">
        <v>3500</v>
      </c>
      <c r="O305" s="8">
        <v>5</v>
      </c>
      <c r="P305" s="8">
        <v>63175</v>
      </c>
      <c r="Q305" s="8">
        <v>1</v>
      </c>
      <c r="R305" s="8" t="s">
        <v>79</v>
      </c>
      <c r="S305" s="8" t="s">
        <v>115</v>
      </c>
      <c r="T305" s="8" t="s">
        <v>50</v>
      </c>
      <c r="U305" s="9" t="s">
        <v>1407</v>
      </c>
      <c r="V305" s="8" t="s">
        <v>38</v>
      </c>
    </row>
    <row r="306" spans="1:22">
      <c r="A306" s="3" t="s">
        <v>1408</v>
      </c>
      <c r="B306" s="4" t="s">
        <v>221</v>
      </c>
      <c r="C306" s="4" t="s">
        <v>72</v>
      </c>
      <c r="D306" s="4" t="s">
        <v>1409</v>
      </c>
      <c r="E306" s="4" t="s">
        <v>414</v>
      </c>
      <c r="F306" s="4" t="s">
        <v>225</v>
      </c>
      <c r="G306" s="4" t="s">
        <v>76</v>
      </c>
      <c r="H306" s="4" t="s">
        <v>1410</v>
      </c>
      <c r="I306" s="4" t="s">
        <v>212</v>
      </c>
      <c r="J306" s="4" t="s">
        <v>45</v>
      </c>
      <c r="K306" s="4" t="s">
        <v>46</v>
      </c>
      <c r="L306" s="4" t="s">
        <v>78</v>
      </c>
      <c r="M306" s="4">
        <v>17</v>
      </c>
      <c r="N306" s="4">
        <v>1200</v>
      </c>
      <c r="O306" s="4">
        <v>15</v>
      </c>
      <c r="P306" s="4">
        <v>17340</v>
      </c>
      <c r="Q306" s="4">
        <v>2</v>
      </c>
      <c r="R306" s="4" t="s">
        <v>48</v>
      </c>
      <c r="S306" s="4" t="s">
        <v>49</v>
      </c>
      <c r="T306" s="4" t="s">
        <v>228</v>
      </c>
      <c r="U306" s="6" t="s">
        <v>1411</v>
      </c>
      <c r="V306" s="4" t="s">
        <v>38</v>
      </c>
    </row>
    <row r="307" spans="1:22">
      <c r="A307" s="7" t="s">
        <v>1412</v>
      </c>
      <c r="B307" s="8" t="s">
        <v>23</v>
      </c>
      <c r="C307" s="8" t="s">
        <v>24</v>
      </c>
      <c r="D307" s="8" t="s">
        <v>450</v>
      </c>
      <c r="E307" s="8" t="s">
        <v>736</v>
      </c>
      <c r="F307" s="8" t="s">
        <v>27</v>
      </c>
      <c r="G307" s="8" t="s">
        <v>28</v>
      </c>
      <c r="H307" s="8" t="s">
        <v>1413</v>
      </c>
      <c r="I307" s="8" t="s">
        <v>30</v>
      </c>
      <c r="J307" s="8" t="s">
        <v>31</v>
      </c>
      <c r="K307" s="8" t="s">
        <v>32</v>
      </c>
      <c r="L307" s="8" t="s">
        <v>33</v>
      </c>
      <c r="M307" s="8">
        <v>8</v>
      </c>
      <c r="N307" s="8">
        <v>2200</v>
      </c>
      <c r="O307" s="8">
        <v>5</v>
      </c>
      <c r="P307" s="8">
        <v>16720</v>
      </c>
      <c r="Q307" s="8">
        <v>3</v>
      </c>
      <c r="R307" s="8" t="s">
        <v>79</v>
      </c>
      <c r="S307" s="8" t="s">
        <v>115</v>
      </c>
      <c r="T307" s="8" t="s">
        <v>50</v>
      </c>
      <c r="U307" s="9" t="s">
        <v>1414</v>
      </c>
      <c r="V307" s="8" t="s">
        <v>64</v>
      </c>
    </row>
    <row r="308" spans="1:22">
      <c r="A308" s="3" t="s">
        <v>1415</v>
      </c>
      <c r="B308" s="4" t="s">
        <v>251</v>
      </c>
      <c r="C308" s="4" t="s">
        <v>184</v>
      </c>
      <c r="D308" s="4" t="s">
        <v>987</v>
      </c>
      <c r="E308" s="4" t="s">
        <v>387</v>
      </c>
      <c r="F308" s="4" t="s">
        <v>254</v>
      </c>
      <c r="G308" s="4" t="s">
        <v>28</v>
      </c>
      <c r="H308" s="4" t="s">
        <v>813</v>
      </c>
      <c r="I308" s="4" t="s">
        <v>105</v>
      </c>
      <c r="J308" s="4" t="s">
        <v>106</v>
      </c>
      <c r="K308" s="4" t="s">
        <v>46</v>
      </c>
      <c r="L308" s="4" t="s">
        <v>189</v>
      </c>
      <c r="M308" s="4">
        <v>17</v>
      </c>
      <c r="N308" s="4">
        <v>700</v>
      </c>
      <c r="O308" s="4">
        <v>20</v>
      </c>
      <c r="P308" s="4">
        <v>9520</v>
      </c>
      <c r="Q308" s="4">
        <v>4</v>
      </c>
      <c r="R308" s="4" t="s">
        <v>48</v>
      </c>
      <c r="S308" s="4" t="s">
        <v>115</v>
      </c>
      <c r="T308" s="4" t="s">
        <v>256</v>
      </c>
      <c r="U308" s="6" t="s">
        <v>1416</v>
      </c>
      <c r="V308" s="4" t="s">
        <v>38</v>
      </c>
    </row>
    <row r="309" spans="1:22">
      <c r="A309" s="7" t="s">
        <v>1417</v>
      </c>
      <c r="B309" s="8" t="s">
        <v>251</v>
      </c>
      <c r="C309" s="8" t="s">
        <v>169</v>
      </c>
      <c r="D309" s="8" t="s">
        <v>372</v>
      </c>
      <c r="E309" s="8" t="s">
        <v>246</v>
      </c>
      <c r="F309" s="8" t="s">
        <v>254</v>
      </c>
      <c r="G309" s="8" t="s">
        <v>28</v>
      </c>
      <c r="H309" s="8" t="s">
        <v>1215</v>
      </c>
      <c r="I309" s="8" t="s">
        <v>114</v>
      </c>
      <c r="J309" s="8" t="s">
        <v>106</v>
      </c>
      <c r="K309" s="8" t="s">
        <v>32</v>
      </c>
      <c r="L309" s="8" t="s">
        <v>174</v>
      </c>
      <c r="M309" s="8">
        <v>6</v>
      </c>
      <c r="N309" s="8">
        <v>8500</v>
      </c>
      <c r="O309" s="8">
        <v>15</v>
      </c>
      <c r="P309" s="8">
        <v>43350</v>
      </c>
      <c r="Q309" s="8">
        <v>1</v>
      </c>
      <c r="R309" s="8" t="s">
        <v>34</v>
      </c>
      <c r="S309" s="8" t="s">
        <v>61</v>
      </c>
      <c r="T309" s="8" t="s">
        <v>256</v>
      </c>
      <c r="U309" s="9" t="s">
        <v>1418</v>
      </c>
      <c r="V309" s="8" t="s">
        <v>38</v>
      </c>
    </row>
    <row r="310" spans="1:22">
      <c r="A310" s="3" t="s">
        <v>1419</v>
      </c>
      <c r="B310" s="4" t="s">
        <v>53</v>
      </c>
      <c r="C310" s="4" t="s">
        <v>92</v>
      </c>
      <c r="D310" s="4" t="s">
        <v>941</v>
      </c>
      <c r="E310" s="4" t="s">
        <v>345</v>
      </c>
      <c r="F310" s="4" t="s">
        <v>163</v>
      </c>
      <c r="G310" s="4" t="s">
        <v>28</v>
      </c>
      <c r="H310" s="4" t="s">
        <v>1420</v>
      </c>
      <c r="I310" s="4" t="s">
        <v>30</v>
      </c>
      <c r="J310" s="4" t="s">
        <v>31</v>
      </c>
      <c r="K310" s="4" t="s">
        <v>32</v>
      </c>
      <c r="L310" s="4" t="s">
        <v>97</v>
      </c>
      <c r="M310" s="4">
        <v>3</v>
      </c>
      <c r="N310" s="4">
        <v>3500</v>
      </c>
      <c r="O310" s="4">
        <v>10</v>
      </c>
      <c r="P310" s="4">
        <v>9450</v>
      </c>
      <c r="Q310" s="4">
        <v>1</v>
      </c>
      <c r="R310" s="4" t="s">
        <v>48</v>
      </c>
      <c r="S310" s="4" t="s">
        <v>49</v>
      </c>
      <c r="T310" s="4" t="s">
        <v>62</v>
      </c>
      <c r="U310" s="6" t="s">
        <v>1421</v>
      </c>
      <c r="V310" s="4" t="s">
        <v>38</v>
      </c>
    </row>
    <row r="311" spans="1:22">
      <c r="A311" s="7" t="s">
        <v>1422</v>
      </c>
      <c r="B311" s="8" t="s">
        <v>71</v>
      </c>
      <c r="C311" s="8" t="s">
        <v>40</v>
      </c>
      <c r="D311" s="8" t="s">
        <v>1378</v>
      </c>
      <c r="E311" s="8" t="s">
        <v>783</v>
      </c>
      <c r="F311" s="8" t="s">
        <v>217</v>
      </c>
      <c r="G311" s="8" t="s">
        <v>76</v>
      </c>
      <c r="H311" s="8" t="s">
        <v>1423</v>
      </c>
      <c r="I311" s="8" t="s">
        <v>138</v>
      </c>
      <c r="J311" s="8" t="s">
        <v>106</v>
      </c>
      <c r="K311" s="8" t="s">
        <v>46</v>
      </c>
      <c r="L311" s="8" t="s">
        <v>47</v>
      </c>
      <c r="M311" s="8">
        <v>2</v>
      </c>
      <c r="N311" s="8">
        <v>12000</v>
      </c>
      <c r="O311" s="8">
        <v>20</v>
      </c>
      <c r="P311" s="8">
        <v>19200</v>
      </c>
      <c r="Q311" s="8">
        <v>1</v>
      </c>
      <c r="R311" s="8" t="s">
        <v>79</v>
      </c>
      <c r="S311" s="8" t="s">
        <v>61</v>
      </c>
      <c r="T311" s="8" t="s">
        <v>80</v>
      </c>
      <c r="U311" s="9" t="s">
        <v>1424</v>
      </c>
      <c r="V311" s="8" t="s">
        <v>38</v>
      </c>
    </row>
    <row r="312" spans="1:22">
      <c r="A312" s="3" t="s">
        <v>1425</v>
      </c>
      <c r="B312" s="4" t="s">
        <v>221</v>
      </c>
      <c r="C312" s="4" t="s">
        <v>222</v>
      </c>
      <c r="D312" s="4" t="s">
        <v>340</v>
      </c>
      <c r="E312" s="4" t="s">
        <v>1426</v>
      </c>
      <c r="F312" s="4" t="s">
        <v>225</v>
      </c>
      <c r="G312" s="4" t="s">
        <v>76</v>
      </c>
      <c r="H312" s="4" t="s">
        <v>1427</v>
      </c>
      <c r="I312" s="4" t="s">
        <v>44</v>
      </c>
      <c r="J312" s="4" t="s">
        <v>45</v>
      </c>
      <c r="K312" s="4" t="s">
        <v>122</v>
      </c>
      <c r="L312" s="4" t="s">
        <v>227</v>
      </c>
      <c r="M312" s="4">
        <v>12</v>
      </c>
      <c r="N312" s="4">
        <v>20</v>
      </c>
      <c r="O312" s="4">
        <v>20</v>
      </c>
      <c r="P312" s="4">
        <v>192</v>
      </c>
      <c r="Q312" s="4">
        <v>2</v>
      </c>
      <c r="R312" s="4" t="s">
        <v>79</v>
      </c>
      <c r="S312" s="4" t="s">
        <v>49</v>
      </c>
      <c r="T312" s="4" t="s">
        <v>228</v>
      </c>
      <c r="U312" s="6" t="s">
        <v>1428</v>
      </c>
      <c r="V312" s="4" t="s">
        <v>38</v>
      </c>
    </row>
    <row r="313" spans="1:22">
      <c r="A313" s="7" t="s">
        <v>1429</v>
      </c>
      <c r="B313" s="8" t="s">
        <v>100</v>
      </c>
      <c r="C313" s="8" t="s">
        <v>40</v>
      </c>
      <c r="D313" s="8" t="s">
        <v>716</v>
      </c>
      <c r="E313" s="8" t="s">
        <v>1430</v>
      </c>
      <c r="F313" s="8" t="s">
        <v>103</v>
      </c>
      <c r="G313" s="8" t="s">
        <v>28</v>
      </c>
      <c r="H313" s="8" t="s">
        <v>1431</v>
      </c>
      <c r="I313" s="8" t="s">
        <v>294</v>
      </c>
      <c r="J313" s="8" t="s">
        <v>295</v>
      </c>
      <c r="K313" s="8" t="s">
        <v>46</v>
      </c>
      <c r="L313" s="8" t="s">
        <v>47</v>
      </c>
      <c r="M313" s="8">
        <v>20</v>
      </c>
      <c r="N313" s="8">
        <v>12000</v>
      </c>
      <c r="O313" s="8">
        <v>15</v>
      </c>
      <c r="P313" s="8">
        <v>204000</v>
      </c>
      <c r="Q313" s="8">
        <v>3</v>
      </c>
      <c r="R313" s="8" t="s">
        <v>34</v>
      </c>
      <c r="S313" s="8" t="s">
        <v>35</v>
      </c>
      <c r="T313" s="8" t="s">
        <v>144</v>
      </c>
      <c r="U313" s="9" t="s">
        <v>1432</v>
      </c>
      <c r="V313" s="8" t="s">
        <v>64</v>
      </c>
    </row>
    <row r="314" spans="1:22">
      <c r="A314" s="3" t="s">
        <v>1433</v>
      </c>
      <c r="B314" s="4" t="s">
        <v>53</v>
      </c>
      <c r="C314" s="4" t="s">
        <v>118</v>
      </c>
      <c r="D314" s="4" t="s">
        <v>398</v>
      </c>
      <c r="E314" s="4" t="s">
        <v>740</v>
      </c>
      <c r="F314" s="4" t="s">
        <v>163</v>
      </c>
      <c r="G314" s="4" t="s">
        <v>28</v>
      </c>
      <c r="H314" s="4" t="s">
        <v>1434</v>
      </c>
      <c r="I314" s="4" t="s">
        <v>212</v>
      </c>
      <c r="J314" s="4" t="s">
        <v>45</v>
      </c>
      <c r="K314" s="4" t="s">
        <v>122</v>
      </c>
      <c r="L314" s="4" t="s">
        <v>123</v>
      </c>
      <c r="M314" s="4">
        <v>13</v>
      </c>
      <c r="N314" s="4">
        <v>60</v>
      </c>
      <c r="O314" s="4">
        <v>10</v>
      </c>
      <c r="P314" s="4">
        <v>702</v>
      </c>
      <c r="Q314" s="4">
        <v>5</v>
      </c>
      <c r="R314" s="4" t="s">
        <v>34</v>
      </c>
      <c r="S314" s="4" t="s">
        <v>35</v>
      </c>
      <c r="T314" s="4" t="s">
        <v>62</v>
      </c>
      <c r="U314" s="6" t="s">
        <v>1435</v>
      </c>
      <c r="V314" s="4" t="s">
        <v>64</v>
      </c>
    </row>
    <row r="315" spans="1:22">
      <c r="A315" s="7" t="s">
        <v>1436</v>
      </c>
      <c r="B315" s="8" t="s">
        <v>71</v>
      </c>
      <c r="C315" s="8" t="s">
        <v>54</v>
      </c>
      <c r="D315" s="8" t="s">
        <v>1437</v>
      </c>
      <c r="E315" s="8" t="s">
        <v>1294</v>
      </c>
      <c r="F315" s="8" t="s">
        <v>217</v>
      </c>
      <c r="G315" s="8" t="s">
        <v>76</v>
      </c>
      <c r="H315" s="8" t="s">
        <v>1438</v>
      </c>
      <c r="I315" s="8" t="s">
        <v>114</v>
      </c>
      <c r="J315" s="8" t="s">
        <v>106</v>
      </c>
      <c r="K315" s="8" t="s">
        <v>46</v>
      </c>
      <c r="L315" s="8" t="s">
        <v>60</v>
      </c>
      <c r="M315" s="8">
        <v>13</v>
      </c>
      <c r="N315" s="8">
        <v>55000</v>
      </c>
      <c r="O315" s="8">
        <v>5</v>
      </c>
      <c r="P315" s="8">
        <v>679250</v>
      </c>
      <c r="Q315" s="8">
        <v>1</v>
      </c>
      <c r="R315" s="8" t="s">
        <v>88</v>
      </c>
      <c r="S315" s="8" t="s">
        <v>151</v>
      </c>
      <c r="T315" s="8" t="s">
        <v>80</v>
      </c>
      <c r="U315" s="9" t="s">
        <v>1439</v>
      </c>
      <c r="V315" s="8" t="s">
        <v>64</v>
      </c>
    </row>
    <row r="316" spans="1:22">
      <c r="A316" s="3" t="s">
        <v>1440</v>
      </c>
      <c r="B316" s="4" t="s">
        <v>100</v>
      </c>
      <c r="C316" s="4" t="s">
        <v>72</v>
      </c>
      <c r="D316" s="4" t="s">
        <v>797</v>
      </c>
      <c r="E316" s="4" t="s">
        <v>798</v>
      </c>
      <c r="F316" s="4" t="s">
        <v>103</v>
      </c>
      <c r="G316" s="4" t="s">
        <v>28</v>
      </c>
      <c r="H316" s="4" t="s">
        <v>1441</v>
      </c>
      <c r="I316" s="4" t="s">
        <v>59</v>
      </c>
      <c r="J316" s="4" t="s">
        <v>31</v>
      </c>
      <c r="K316" s="4" t="s">
        <v>46</v>
      </c>
      <c r="L316" s="4" t="s">
        <v>78</v>
      </c>
      <c r="M316" s="4">
        <v>7</v>
      </c>
      <c r="N316" s="4">
        <v>1200</v>
      </c>
      <c r="O316" s="4">
        <v>15</v>
      </c>
      <c r="P316" s="4">
        <v>7140</v>
      </c>
      <c r="Q316" s="4">
        <v>5</v>
      </c>
      <c r="R316" s="4" t="s">
        <v>88</v>
      </c>
      <c r="S316" s="4" t="s">
        <v>49</v>
      </c>
      <c r="T316" s="4" t="s">
        <v>144</v>
      </c>
      <c r="U316" s="6" t="s">
        <v>1442</v>
      </c>
      <c r="V316" s="4" t="s">
        <v>64</v>
      </c>
    </row>
    <row r="317" spans="1:22">
      <c r="A317" s="7" t="s">
        <v>1443</v>
      </c>
      <c r="B317" s="8" t="s">
        <v>83</v>
      </c>
      <c r="C317" s="8" t="s">
        <v>40</v>
      </c>
      <c r="D317" s="8" t="s">
        <v>961</v>
      </c>
      <c r="E317" s="8" t="s">
        <v>1444</v>
      </c>
      <c r="F317" s="8" t="s">
        <v>180</v>
      </c>
      <c r="G317" s="8" t="s">
        <v>76</v>
      </c>
      <c r="H317" s="8" t="s">
        <v>1445</v>
      </c>
      <c r="I317" s="8" t="s">
        <v>212</v>
      </c>
      <c r="J317" s="8" t="s">
        <v>45</v>
      </c>
      <c r="K317" s="8" t="s">
        <v>46</v>
      </c>
      <c r="L317" s="8" t="s">
        <v>47</v>
      </c>
      <c r="M317" s="8">
        <v>17</v>
      </c>
      <c r="N317" s="8">
        <v>12000</v>
      </c>
      <c r="O317" s="8">
        <v>5</v>
      </c>
      <c r="P317" s="8">
        <v>193800</v>
      </c>
      <c r="Q317" s="8">
        <v>1</v>
      </c>
      <c r="R317" s="8" t="s">
        <v>34</v>
      </c>
      <c r="S317" s="8" t="s">
        <v>61</v>
      </c>
      <c r="T317" s="8" t="s">
        <v>89</v>
      </c>
      <c r="U317" s="9" t="s">
        <v>1446</v>
      </c>
      <c r="V317" s="8" t="s">
        <v>69</v>
      </c>
    </row>
    <row r="318" spans="1:22">
      <c r="A318" s="3" t="s">
        <v>1447</v>
      </c>
      <c r="B318" s="4" t="s">
        <v>83</v>
      </c>
      <c r="C318" s="4" t="s">
        <v>222</v>
      </c>
      <c r="D318" s="4" t="s">
        <v>356</v>
      </c>
      <c r="E318" s="4" t="s">
        <v>517</v>
      </c>
      <c r="F318" s="4" t="s">
        <v>180</v>
      </c>
      <c r="G318" s="4" t="s">
        <v>76</v>
      </c>
      <c r="H318" s="4" t="s">
        <v>1448</v>
      </c>
      <c r="I318" s="4" t="s">
        <v>59</v>
      </c>
      <c r="J318" s="4" t="s">
        <v>31</v>
      </c>
      <c r="K318" s="4" t="s">
        <v>122</v>
      </c>
      <c r="L318" s="4" t="s">
        <v>227</v>
      </c>
      <c r="M318" s="4">
        <v>10</v>
      </c>
      <c r="N318" s="4">
        <v>20</v>
      </c>
      <c r="O318" s="4">
        <v>5</v>
      </c>
      <c r="P318" s="4">
        <v>190</v>
      </c>
      <c r="Q318" s="4">
        <v>2</v>
      </c>
      <c r="R318" s="4" t="s">
        <v>34</v>
      </c>
      <c r="S318" s="4" t="s">
        <v>61</v>
      </c>
      <c r="T318" s="4" t="s">
        <v>89</v>
      </c>
      <c r="U318" s="6" t="s">
        <v>1449</v>
      </c>
      <c r="V318" s="4" t="s">
        <v>69</v>
      </c>
    </row>
    <row r="319" spans="1:22">
      <c r="A319" s="7" t="s">
        <v>1450</v>
      </c>
      <c r="B319" s="8" t="s">
        <v>168</v>
      </c>
      <c r="C319" s="8" t="s">
        <v>24</v>
      </c>
      <c r="D319" s="8" t="s">
        <v>291</v>
      </c>
      <c r="E319" s="8" t="s">
        <v>1451</v>
      </c>
      <c r="F319" s="8" t="s">
        <v>361</v>
      </c>
      <c r="G319" s="8" t="s">
        <v>28</v>
      </c>
      <c r="H319" s="8" t="s">
        <v>1452</v>
      </c>
      <c r="I319" s="8" t="s">
        <v>44</v>
      </c>
      <c r="J319" s="8" t="s">
        <v>45</v>
      </c>
      <c r="K319" s="8" t="s">
        <v>32</v>
      </c>
      <c r="L319" s="8" t="s">
        <v>33</v>
      </c>
      <c r="M319" s="8">
        <v>11</v>
      </c>
      <c r="N319" s="8">
        <v>2200</v>
      </c>
      <c r="O319" s="8">
        <v>5</v>
      </c>
      <c r="P319" s="8">
        <v>22990</v>
      </c>
      <c r="Q319" s="8">
        <v>5</v>
      </c>
      <c r="R319" s="8" t="s">
        <v>79</v>
      </c>
      <c r="S319" s="8" t="s">
        <v>49</v>
      </c>
      <c r="T319" s="8" t="s">
        <v>175</v>
      </c>
      <c r="U319" s="9" t="s">
        <v>1453</v>
      </c>
      <c r="V319" s="8" t="s">
        <v>64</v>
      </c>
    </row>
    <row r="320" spans="1:22">
      <c r="A320" s="3" t="s">
        <v>1454</v>
      </c>
      <c r="B320" s="4" t="s">
        <v>100</v>
      </c>
      <c r="C320" s="4" t="s">
        <v>118</v>
      </c>
      <c r="D320" s="4" t="s">
        <v>1369</v>
      </c>
      <c r="E320" s="4" t="s">
        <v>178</v>
      </c>
      <c r="F320" s="4" t="s">
        <v>103</v>
      </c>
      <c r="G320" s="4" t="s">
        <v>28</v>
      </c>
      <c r="H320" s="4" t="s">
        <v>1455</v>
      </c>
      <c r="I320" s="4" t="s">
        <v>212</v>
      </c>
      <c r="J320" s="4" t="s">
        <v>45</v>
      </c>
      <c r="K320" s="4" t="s">
        <v>122</v>
      </c>
      <c r="L320" s="4" t="s">
        <v>123</v>
      </c>
      <c r="M320" s="4">
        <v>8</v>
      </c>
      <c r="N320" s="4">
        <v>60</v>
      </c>
      <c r="O320" s="4">
        <v>15</v>
      </c>
      <c r="P320" s="4">
        <v>408</v>
      </c>
      <c r="Q320" s="4">
        <v>4</v>
      </c>
      <c r="R320" s="4" t="s">
        <v>34</v>
      </c>
      <c r="S320" s="4" t="s">
        <v>49</v>
      </c>
      <c r="T320" s="4" t="s">
        <v>144</v>
      </c>
      <c r="U320" s="6" t="s">
        <v>1456</v>
      </c>
      <c r="V320" s="4" t="s">
        <v>64</v>
      </c>
    </row>
    <row r="321" spans="1:22">
      <c r="A321" s="7" t="s">
        <v>1457</v>
      </c>
      <c r="B321" s="8" t="s">
        <v>221</v>
      </c>
      <c r="C321" s="8" t="s">
        <v>259</v>
      </c>
      <c r="D321" s="8" t="s">
        <v>825</v>
      </c>
      <c r="E321" s="8" t="s">
        <v>119</v>
      </c>
      <c r="F321" s="8" t="s">
        <v>225</v>
      </c>
      <c r="G321" s="8" t="s">
        <v>76</v>
      </c>
      <c r="H321" s="8" t="s">
        <v>1458</v>
      </c>
      <c r="I321" s="8" t="s">
        <v>44</v>
      </c>
      <c r="J321" s="8" t="s">
        <v>45</v>
      </c>
      <c r="K321" s="8" t="s">
        <v>122</v>
      </c>
      <c r="L321" s="8" t="s">
        <v>263</v>
      </c>
      <c r="M321" s="8">
        <v>17</v>
      </c>
      <c r="N321" s="8">
        <v>45</v>
      </c>
      <c r="O321" s="8">
        <v>15</v>
      </c>
      <c r="P321" s="8">
        <v>650.25</v>
      </c>
      <c r="Q321" s="8">
        <v>2</v>
      </c>
      <c r="R321" s="8" t="s">
        <v>88</v>
      </c>
      <c r="S321" s="8" t="s">
        <v>151</v>
      </c>
      <c r="T321" s="8" t="s">
        <v>228</v>
      </c>
      <c r="U321" s="9" t="s">
        <v>1459</v>
      </c>
      <c r="V321" s="8" t="s">
        <v>38</v>
      </c>
    </row>
    <row r="322" spans="1:22">
      <c r="A322" s="3" t="s">
        <v>1460</v>
      </c>
      <c r="B322" s="4" t="s">
        <v>327</v>
      </c>
      <c r="C322" s="4" t="s">
        <v>184</v>
      </c>
      <c r="D322" s="4" t="s">
        <v>632</v>
      </c>
      <c r="E322" s="4" t="s">
        <v>1461</v>
      </c>
      <c r="F322" s="4" t="s">
        <v>394</v>
      </c>
      <c r="G322" s="4" t="s">
        <v>76</v>
      </c>
      <c r="H322" s="4" t="s">
        <v>1462</v>
      </c>
      <c r="I322" s="4" t="s">
        <v>212</v>
      </c>
      <c r="J322" s="4" t="s">
        <v>45</v>
      </c>
      <c r="K322" s="4" t="s">
        <v>46</v>
      </c>
      <c r="L322" s="4" t="s">
        <v>189</v>
      </c>
      <c r="M322" s="4">
        <v>14</v>
      </c>
      <c r="N322" s="4">
        <v>700</v>
      </c>
      <c r="O322" s="4">
        <v>15</v>
      </c>
      <c r="P322" s="4">
        <v>8330</v>
      </c>
      <c r="Q322" s="4">
        <v>1</v>
      </c>
      <c r="R322" s="4" t="s">
        <v>79</v>
      </c>
      <c r="S322" s="4" t="s">
        <v>115</v>
      </c>
      <c r="T322" s="4" t="s">
        <v>332</v>
      </c>
      <c r="U322" s="6" t="s">
        <v>1463</v>
      </c>
      <c r="V322" s="4" t="s">
        <v>38</v>
      </c>
    </row>
    <row r="323" spans="1:22">
      <c r="A323" s="7" t="s">
        <v>1464</v>
      </c>
      <c r="B323" s="8" t="s">
        <v>83</v>
      </c>
      <c r="C323" s="8" t="s">
        <v>72</v>
      </c>
      <c r="D323" s="8" t="s">
        <v>1465</v>
      </c>
      <c r="E323" s="8" t="s">
        <v>948</v>
      </c>
      <c r="F323" s="8" t="s">
        <v>180</v>
      </c>
      <c r="G323" s="8" t="s">
        <v>76</v>
      </c>
      <c r="H323" s="8" t="s">
        <v>1466</v>
      </c>
      <c r="I323" s="8" t="s">
        <v>114</v>
      </c>
      <c r="J323" s="8" t="s">
        <v>106</v>
      </c>
      <c r="K323" s="8" t="s">
        <v>46</v>
      </c>
      <c r="L323" s="8" t="s">
        <v>78</v>
      </c>
      <c r="M323" s="8">
        <v>3</v>
      </c>
      <c r="N323" s="8">
        <v>1200</v>
      </c>
      <c r="O323" s="8">
        <v>5</v>
      </c>
      <c r="P323" s="8">
        <v>3420</v>
      </c>
      <c r="Q323" s="8">
        <v>3</v>
      </c>
      <c r="R323" s="8" t="s">
        <v>48</v>
      </c>
      <c r="S323" s="8" t="s">
        <v>151</v>
      </c>
      <c r="T323" s="8" t="s">
        <v>89</v>
      </c>
      <c r="U323" s="9" t="s">
        <v>1467</v>
      </c>
      <c r="V323" s="8" t="s">
        <v>38</v>
      </c>
    </row>
    <row r="324" spans="1:22">
      <c r="A324" s="3" t="s">
        <v>1468</v>
      </c>
      <c r="B324" s="4" t="s">
        <v>23</v>
      </c>
      <c r="C324" s="4" t="s">
        <v>72</v>
      </c>
      <c r="D324" s="4" t="s">
        <v>489</v>
      </c>
      <c r="E324" s="4" t="s">
        <v>914</v>
      </c>
      <c r="F324" s="4" t="s">
        <v>27</v>
      </c>
      <c r="G324" s="4" t="s">
        <v>28</v>
      </c>
      <c r="H324" s="4" t="s">
        <v>1469</v>
      </c>
      <c r="I324" s="4" t="s">
        <v>138</v>
      </c>
      <c r="J324" s="4" t="s">
        <v>106</v>
      </c>
      <c r="K324" s="4" t="s">
        <v>46</v>
      </c>
      <c r="L324" s="4" t="s">
        <v>78</v>
      </c>
      <c r="M324" s="4">
        <v>9</v>
      </c>
      <c r="N324" s="4">
        <v>1200</v>
      </c>
      <c r="O324" s="4">
        <v>15</v>
      </c>
      <c r="P324" s="4">
        <v>9180</v>
      </c>
      <c r="Q324" s="4">
        <v>3</v>
      </c>
      <c r="R324" s="4" t="s">
        <v>34</v>
      </c>
      <c r="S324" s="4" t="s">
        <v>49</v>
      </c>
      <c r="T324" s="4" t="s">
        <v>50</v>
      </c>
      <c r="U324" s="6" t="s">
        <v>1470</v>
      </c>
      <c r="V324" s="4" t="s">
        <v>38</v>
      </c>
    </row>
    <row r="325" spans="1:22">
      <c r="A325" s="7" t="s">
        <v>1471</v>
      </c>
      <c r="B325" s="8" t="s">
        <v>251</v>
      </c>
      <c r="C325" s="8" t="s">
        <v>222</v>
      </c>
      <c r="D325" s="8" t="s">
        <v>224</v>
      </c>
      <c r="E325" s="8" t="s">
        <v>360</v>
      </c>
      <c r="F325" s="8" t="s">
        <v>254</v>
      </c>
      <c r="G325" s="8" t="s">
        <v>28</v>
      </c>
      <c r="H325" s="8" t="s">
        <v>1472</v>
      </c>
      <c r="I325" s="8" t="s">
        <v>105</v>
      </c>
      <c r="J325" s="8" t="s">
        <v>106</v>
      </c>
      <c r="K325" s="8" t="s">
        <v>122</v>
      </c>
      <c r="L325" s="8" t="s">
        <v>227</v>
      </c>
      <c r="M325" s="8">
        <v>5</v>
      </c>
      <c r="N325" s="8">
        <v>20</v>
      </c>
      <c r="O325" s="8">
        <v>5</v>
      </c>
      <c r="P325" s="8">
        <v>95</v>
      </c>
      <c r="Q325" s="8">
        <v>4</v>
      </c>
      <c r="R325" s="8" t="s">
        <v>34</v>
      </c>
      <c r="S325" s="8" t="s">
        <v>151</v>
      </c>
      <c r="T325" s="8" t="s">
        <v>256</v>
      </c>
      <c r="U325" s="9" t="s">
        <v>1473</v>
      </c>
      <c r="V325" s="8" t="s">
        <v>38</v>
      </c>
    </row>
    <row r="326" spans="1:22">
      <c r="A326" s="3" t="s">
        <v>1474</v>
      </c>
      <c r="B326" s="4" t="s">
        <v>251</v>
      </c>
      <c r="C326" s="4" t="s">
        <v>24</v>
      </c>
      <c r="D326" s="4" t="s">
        <v>1475</v>
      </c>
      <c r="E326" s="4" t="s">
        <v>1476</v>
      </c>
      <c r="F326" s="4" t="s">
        <v>254</v>
      </c>
      <c r="G326" s="4" t="s">
        <v>28</v>
      </c>
      <c r="H326" s="4" t="s">
        <v>1477</v>
      </c>
      <c r="I326" s="4" t="s">
        <v>138</v>
      </c>
      <c r="J326" s="4" t="s">
        <v>106</v>
      </c>
      <c r="K326" s="4" t="s">
        <v>32</v>
      </c>
      <c r="L326" s="4" t="s">
        <v>33</v>
      </c>
      <c r="M326" s="4">
        <v>8</v>
      </c>
      <c r="N326" s="4">
        <v>2200</v>
      </c>
      <c r="O326" s="4">
        <v>10</v>
      </c>
      <c r="P326" s="4">
        <v>15840</v>
      </c>
      <c r="Q326" s="4">
        <v>4</v>
      </c>
      <c r="R326" s="4" t="s">
        <v>88</v>
      </c>
      <c r="S326" s="4" t="s">
        <v>61</v>
      </c>
      <c r="T326" s="4" t="s">
        <v>256</v>
      </c>
      <c r="U326" s="6" t="s">
        <v>1478</v>
      </c>
      <c r="V326" s="4" t="s">
        <v>69</v>
      </c>
    </row>
    <row r="327" spans="1:22">
      <c r="A327" s="7" t="s">
        <v>1479</v>
      </c>
      <c r="B327" s="8" t="s">
        <v>251</v>
      </c>
      <c r="C327" s="8" t="s">
        <v>184</v>
      </c>
      <c r="D327" s="8" t="s">
        <v>298</v>
      </c>
      <c r="E327" s="8" t="s">
        <v>1480</v>
      </c>
      <c r="F327" s="8" t="s">
        <v>254</v>
      </c>
      <c r="G327" s="8" t="s">
        <v>28</v>
      </c>
      <c r="H327" s="8" t="s">
        <v>1481</v>
      </c>
      <c r="I327" s="8" t="s">
        <v>105</v>
      </c>
      <c r="J327" s="8" t="s">
        <v>106</v>
      </c>
      <c r="K327" s="8" t="s">
        <v>46</v>
      </c>
      <c r="L327" s="8" t="s">
        <v>189</v>
      </c>
      <c r="M327" s="8">
        <v>10</v>
      </c>
      <c r="N327" s="8">
        <v>700</v>
      </c>
      <c r="O327" s="8">
        <v>20</v>
      </c>
      <c r="P327" s="8">
        <v>5600</v>
      </c>
      <c r="Q327" s="8">
        <v>1</v>
      </c>
      <c r="R327" s="8" t="s">
        <v>88</v>
      </c>
      <c r="S327" s="8" t="s">
        <v>115</v>
      </c>
      <c r="T327" s="8" t="s">
        <v>256</v>
      </c>
      <c r="U327" s="9" t="s">
        <v>1482</v>
      </c>
      <c r="V327" s="8" t="s">
        <v>38</v>
      </c>
    </row>
    <row r="328" spans="1:22">
      <c r="A328" s="3" t="s">
        <v>1483</v>
      </c>
      <c r="B328" s="4" t="s">
        <v>83</v>
      </c>
      <c r="C328" s="4" t="s">
        <v>184</v>
      </c>
      <c r="D328" s="4" t="s">
        <v>1484</v>
      </c>
      <c r="E328" s="4" t="s">
        <v>1485</v>
      </c>
      <c r="F328" s="4" t="s">
        <v>180</v>
      </c>
      <c r="G328" s="4" t="s">
        <v>76</v>
      </c>
      <c r="H328" s="4" t="s">
        <v>1486</v>
      </c>
      <c r="I328" s="4" t="s">
        <v>59</v>
      </c>
      <c r="J328" s="4" t="s">
        <v>31</v>
      </c>
      <c r="K328" s="4" t="s">
        <v>46</v>
      </c>
      <c r="L328" s="4" t="s">
        <v>189</v>
      </c>
      <c r="M328" s="4">
        <v>2</v>
      </c>
      <c r="N328" s="4">
        <v>700</v>
      </c>
      <c r="O328" s="4">
        <v>20</v>
      </c>
      <c r="P328" s="4">
        <v>1120</v>
      </c>
      <c r="Q328" s="4">
        <v>2</v>
      </c>
      <c r="R328" s="4" t="s">
        <v>34</v>
      </c>
      <c r="S328" s="4" t="s">
        <v>115</v>
      </c>
      <c r="T328" s="4" t="s">
        <v>89</v>
      </c>
      <c r="U328" s="6" t="s">
        <v>1487</v>
      </c>
      <c r="V328" s="4" t="s">
        <v>64</v>
      </c>
    </row>
    <row r="329" spans="1:22">
      <c r="A329" s="7" t="s">
        <v>1488</v>
      </c>
      <c r="B329" s="8" t="s">
        <v>221</v>
      </c>
      <c r="C329" s="8" t="s">
        <v>92</v>
      </c>
      <c r="D329" s="8" t="s">
        <v>872</v>
      </c>
      <c r="E329" s="8" t="s">
        <v>965</v>
      </c>
      <c r="F329" s="8" t="s">
        <v>225</v>
      </c>
      <c r="G329" s="8" t="s">
        <v>76</v>
      </c>
      <c r="H329" s="8" t="s">
        <v>1489</v>
      </c>
      <c r="I329" s="8" t="s">
        <v>114</v>
      </c>
      <c r="J329" s="8" t="s">
        <v>106</v>
      </c>
      <c r="K329" s="8" t="s">
        <v>32</v>
      </c>
      <c r="L329" s="8" t="s">
        <v>97</v>
      </c>
      <c r="M329" s="8">
        <v>16</v>
      </c>
      <c r="N329" s="8">
        <v>3500</v>
      </c>
      <c r="O329" s="8">
        <v>20</v>
      </c>
      <c r="P329" s="8">
        <v>44800</v>
      </c>
      <c r="Q329" s="8">
        <v>2</v>
      </c>
      <c r="R329" s="8" t="s">
        <v>88</v>
      </c>
      <c r="S329" s="8" t="s">
        <v>35</v>
      </c>
      <c r="T329" s="8" t="s">
        <v>228</v>
      </c>
      <c r="U329" s="9" t="s">
        <v>1490</v>
      </c>
      <c r="V329" s="8" t="s">
        <v>64</v>
      </c>
    </row>
    <row r="330" spans="1:22">
      <c r="A330" s="3" t="s">
        <v>1491</v>
      </c>
      <c r="B330" s="4" t="s">
        <v>168</v>
      </c>
      <c r="C330" s="4" t="s">
        <v>92</v>
      </c>
      <c r="D330" s="4" t="s">
        <v>829</v>
      </c>
      <c r="E330" s="4" t="s">
        <v>756</v>
      </c>
      <c r="F330" s="4" t="s">
        <v>361</v>
      </c>
      <c r="G330" s="4" t="s">
        <v>28</v>
      </c>
      <c r="H330" s="4" t="s">
        <v>1492</v>
      </c>
      <c r="I330" s="4" t="s">
        <v>44</v>
      </c>
      <c r="J330" s="4" t="s">
        <v>45</v>
      </c>
      <c r="K330" s="4" t="s">
        <v>32</v>
      </c>
      <c r="L330" s="4" t="s">
        <v>97</v>
      </c>
      <c r="M330" s="4">
        <v>9</v>
      </c>
      <c r="N330" s="4">
        <v>3500</v>
      </c>
      <c r="O330" s="4">
        <v>20</v>
      </c>
      <c r="P330" s="4">
        <v>25200</v>
      </c>
      <c r="Q330" s="4">
        <v>1</v>
      </c>
      <c r="R330" s="4" t="s">
        <v>79</v>
      </c>
      <c r="S330" s="4" t="s">
        <v>49</v>
      </c>
      <c r="T330" s="4" t="s">
        <v>175</v>
      </c>
      <c r="U330" s="6" t="s">
        <v>1493</v>
      </c>
      <c r="V330" s="4" t="s">
        <v>69</v>
      </c>
    </row>
    <row r="331" spans="1:22">
      <c r="A331" s="7" t="s">
        <v>1494</v>
      </c>
      <c r="B331" s="8" t="s">
        <v>127</v>
      </c>
      <c r="C331" s="8" t="s">
        <v>184</v>
      </c>
      <c r="D331" s="8" t="s">
        <v>896</v>
      </c>
      <c r="E331" s="8" t="s">
        <v>530</v>
      </c>
      <c r="F331" s="8" t="s">
        <v>200</v>
      </c>
      <c r="G331" s="8" t="s">
        <v>76</v>
      </c>
      <c r="H331" s="8" t="s">
        <v>1495</v>
      </c>
      <c r="I331" s="8" t="s">
        <v>30</v>
      </c>
      <c r="J331" s="8" t="s">
        <v>31</v>
      </c>
      <c r="K331" s="8" t="s">
        <v>46</v>
      </c>
      <c r="L331" s="8" t="s">
        <v>189</v>
      </c>
      <c r="M331" s="8">
        <v>15</v>
      </c>
      <c r="N331" s="8">
        <v>700</v>
      </c>
      <c r="O331" s="8">
        <v>5</v>
      </c>
      <c r="P331" s="8">
        <v>9975</v>
      </c>
      <c r="Q331" s="8">
        <v>1</v>
      </c>
      <c r="R331" s="8" t="s">
        <v>34</v>
      </c>
      <c r="S331" s="8" t="s">
        <v>49</v>
      </c>
      <c r="T331" s="8" t="s">
        <v>132</v>
      </c>
      <c r="U331" s="9" t="s">
        <v>1496</v>
      </c>
      <c r="V331" s="8" t="s">
        <v>69</v>
      </c>
    </row>
    <row r="332" spans="1:22">
      <c r="A332" s="3" t="s">
        <v>1497</v>
      </c>
      <c r="B332" s="4" t="s">
        <v>53</v>
      </c>
      <c r="C332" s="4" t="s">
        <v>72</v>
      </c>
      <c r="D332" s="4" t="s">
        <v>179</v>
      </c>
      <c r="E332" s="4" t="s">
        <v>798</v>
      </c>
      <c r="F332" s="4" t="s">
        <v>163</v>
      </c>
      <c r="G332" s="4" t="s">
        <v>28</v>
      </c>
      <c r="H332" s="4" t="s">
        <v>1498</v>
      </c>
      <c r="I332" s="4" t="s">
        <v>138</v>
      </c>
      <c r="J332" s="4" t="s">
        <v>106</v>
      </c>
      <c r="K332" s="4" t="s">
        <v>46</v>
      </c>
      <c r="L332" s="4" t="s">
        <v>78</v>
      </c>
      <c r="M332" s="4">
        <v>13</v>
      </c>
      <c r="N332" s="4">
        <v>1200</v>
      </c>
      <c r="O332" s="4">
        <v>0</v>
      </c>
      <c r="P332" s="4">
        <v>15600</v>
      </c>
      <c r="Q332" s="4">
        <v>3</v>
      </c>
      <c r="R332" s="4" t="s">
        <v>48</v>
      </c>
      <c r="S332" s="4" t="s">
        <v>115</v>
      </c>
      <c r="T332" s="4" t="s">
        <v>62</v>
      </c>
      <c r="U332" s="6" t="s">
        <v>1499</v>
      </c>
      <c r="V332" s="4" t="s">
        <v>69</v>
      </c>
    </row>
    <row r="333" spans="1:22">
      <c r="A333" s="7" t="s">
        <v>1500</v>
      </c>
      <c r="B333" s="8" t="s">
        <v>327</v>
      </c>
      <c r="C333" s="8" t="s">
        <v>40</v>
      </c>
      <c r="D333" s="8" t="s">
        <v>1501</v>
      </c>
      <c r="E333" s="8" t="s">
        <v>1502</v>
      </c>
      <c r="F333" s="8" t="s">
        <v>394</v>
      </c>
      <c r="G333" s="8" t="s">
        <v>76</v>
      </c>
      <c r="H333" s="8" t="s">
        <v>1503</v>
      </c>
      <c r="I333" s="8" t="s">
        <v>44</v>
      </c>
      <c r="J333" s="8" t="s">
        <v>45</v>
      </c>
      <c r="K333" s="8" t="s">
        <v>46</v>
      </c>
      <c r="L333" s="8" t="s">
        <v>47</v>
      </c>
      <c r="M333" s="8">
        <v>5</v>
      </c>
      <c r="N333" s="8">
        <v>12000</v>
      </c>
      <c r="O333" s="8">
        <v>10</v>
      </c>
      <c r="P333" s="8">
        <v>54000</v>
      </c>
      <c r="Q333" s="8">
        <v>3</v>
      </c>
      <c r="R333" s="8" t="s">
        <v>88</v>
      </c>
      <c r="S333" s="8" t="s">
        <v>49</v>
      </c>
      <c r="T333" s="8" t="s">
        <v>332</v>
      </c>
      <c r="U333" s="9" t="s">
        <v>1504</v>
      </c>
      <c r="V333" s="8" t="s">
        <v>38</v>
      </c>
    </row>
    <row r="334" spans="1:22">
      <c r="A334" s="3" t="s">
        <v>1505</v>
      </c>
      <c r="B334" s="4" t="s">
        <v>53</v>
      </c>
      <c r="C334" s="4" t="s">
        <v>259</v>
      </c>
      <c r="D334" s="4" t="s">
        <v>1506</v>
      </c>
      <c r="E334" s="4" t="s">
        <v>1507</v>
      </c>
      <c r="F334" s="4" t="s">
        <v>163</v>
      </c>
      <c r="G334" s="4" t="s">
        <v>28</v>
      </c>
      <c r="H334" s="4" t="s">
        <v>1508</v>
      </c>
      <c r="I334" s="4" t="s">
        <v>59</v>
      </c>
      <c r="J334" s="4" t="s">
        <v>31</v>
      </c>
      <c r="K334" s="4" t="s">
        <v>122</v>
      </c>
      <c r="L334" s="4" t="s">
        <v>263</v>
      </c>
      <c r="M334" s="4">
        <v>12</v>
      </c>
      <c r="N334" s="4">
        <v>45</v>
      </c>
      <c r="O334" s="4">
        <v>20</v>
      </c>
      <c r="P334" s="4">
        <v>432</v>
      </c>
      <c r="Q334" s="4">
        <v>3</v>
      </c>
      <c r="R334" s="4" t="s">
        <v>48</v>
      </c>
      <c r="S334" s="4" t="s">
        <v>61</v>
      </c>
      <c r="T334" s="4" t="s">
        <v>62</v>
      </c>
      <c r="U334" s="6" t="s">
        <v>1509</v>
      </c>
      <c r="V334" s="4" t="s">
        <v>38</v>
      </c>
    </row>
    <row r="335" spans="1:22">
      <c r="A335" s="7" t="s">
        <v>1510</v>
      </c>
      <c r="B335" s="8" t="s">
        <v>23</v>
      </c>
      <c r="C335" s="8" t="s">
        <v>92</v>
      </c>
      <c r="D335" s="8" t="s">
        <v>652</v>
      </c>
      <c r="E335" s="8" t="s">
        <v>666</v>
      </c>
      <c r="F335" s="8" t="s">
        <v>27</v>
      </c>
      <c r="G335" s="8" t="s">
        <v>28</v>
      </c>
      <c r="H335" s="8" t="s">
        <v>1511</v>
      </c>
      <c r="I335" s="8" t="s">
        <v>59</v>
      </c>
      <c r="J335" s="8" t="s">
        <v>31</v>
      </c>
      <c r="K335" s="8" t="s">
        <v>32</v>
      </c>
      <c r="L335" s="8" t="s">
        <v>97</v>
      </c>
      <c r="M335" s="8">
        <v>2</v>
      </c>
      <c r="N335" s="8">
        <v>3500</v>
      </c>
      <c r="O335" s="8">
        <v>0</v>
      </c>
      <c r="P335" s="8">
        <v>7000</v>
      </c>
      <c r="Q335" s="8">
        <v>1</v>
      </c>
      <c r="R335" s="8" t="s">
        <v>48</v>
      </c>
      <c r="S335" s="8" t="s">
        <v>115</v>
      </c>
      <c r="T335" s="8" t="s">
        <v>50</v>
      </c>
      <c r="U335" s="9" t="s">
        <v>1512</v>
      </c>
      <c r="V335" s="8" t="s">
        <v>64</v>
      </c>
    </row>
    <row r="336" spans="1:22">
      <c r="A336" s="3" t="s">
        <v>1513</v>
      </c>
      <c r="B336" s="4" t="s">
        <v>23</v>
      </c>
      <c r="C336" s="4" t="s">
        <v>24</v>
      </c>
      <c r="D336" s="4" t="s">
        <v>426</v>
      </c>
      <c r="E336" s="4" t="s">
        <v>1180</v>
      </c>
      <c r="F336" s="4" t="s">
        <v>27</v>
      </c>
      <c r="G336" s="4" t="s">
        <v>28</v>
      </c>
      <c r="H336" s="4" t="s">
        <v>1514</v>
      </c>
      <c r="I336" s="4" t="s">
        <v>114</v>
      </c>
      <c r="J336" s="4" t="s">
        <v>106</v>
      </c>
      <c r="K336" s="4" t="s">
        <v>32</v>
      </c>
      <c r="L336" s="4" t="s">
        <v>33</v>
      </c>
      <c r="M336" s="4">
        <v>15</v>
      </c>
      <c r="N336" s="4">
        <v>2200</v>
      </c>
      <c r="O336" s="4">
        <v>15</v>
      </c>
      <c r="P336" s="4">
        <v>28050</v>
      </c>
      <c r="Q336" s="4">
        <v>2</v>
      </c>
      <c r="R336" s="4" t="s">
        <v>48</v>
      </c>
      <c r="S336" s="4" t="s">
        <v>49</v>
      </c>
      <c r="T336" s="4" t="s">
        <v>50</v>
      </c>
      <c r="U336" s="6" t="s">
        <v>1515</v>
      </c>
      <c r="V336" s="4" t="s">
        <v>64</v>
      </c>
    </row>
    <row r="337" spans="1:22">
      <c r="A337" s="7" t="s">
        <v>1516</v>
      </c>
      <c r="B337" s="8" t="s">
        <v>100</v>
      </c>
      <c r="C337" s="8" t="s">
        <v>222</v>
      </c>
      <c r="D337" s="8" t="s">
        <v>186</v>
      </c>
      <c r="E337" s="8" t="s">
        <v>1253</v>
      </c>
      <c r="F337" s="8" t="s">
        <v>103</v>
      </c>
      <c r="G337" s="8" t="s">
        <v>28</v>
      </c>
      <c r="H337" s="8" t="s">
        <v>1517</v>
      </c>
      <c r="I337" s="8" t="s">
        <v>138</v>
      </c>
      <c r="J337" s="8" t="s">
        <v>106</v>
      </c>
      <c r="K337" s="8" t="s">
        <v>122</v>
      </c>
      <c r="L337" s="8" t="s">
        <v>227</v>
      </c>
      <c r="M337" s="8">
        <v>8</v>
      </c>
      <c r="N337" s="8">
        <v>20</v>
      </c>
      <c r="O337" s="8">
        <v>20</v>
      </c>
      <c r="P337" s="8">
        <v>128</v>
      </c>
      <c r="Q337" s="8">
        <v>5</v>
      </c>
      <c r="R337" s="8" t="s">
        <v>88</v>
      </c>
      <c r="S337" s="8" t="s">
        <v>49</v>
      </c>
      <c r="T337" s="8" t="s">
        <v>144</v>
      </c>
      <c r="U337" s="9" t="s">
        <v>1518</v>
      </c>
      <c r="V337" s="8" t="s">
        <v>38</v>
      </c>
    </row>
    <row r="338" spans="1:22">
      <c r="A338" s="3" t="s">
        <v>1519</v>
      </c>
      <c r="B338" s="4" t="s">
        <v>127</v>
      </c>
      <c r="C338" s="4" t="s">
        <v>222</v>
      </c>
      <c r="D338" s="4" t="s">
        <v>298</v>
      </c>
      <c r="E338" s="4" t="s">
        <v>798</v>
      </c>
      <c r="F338" s="4" t="s">
        <v>200</v>
      </c>
      <c r="G338" s="4" t="s">
        <v>76</v>
      </c>
      <c r="H338" s="4" t="s">
        <v>1520</v>
      </c>
      <c r="I338" s="4" t="s">
        <v>30</v>
      </c>
      <c r="J338" s="4" t="s">
        <v>31</v>
      </c>
      <c r="K338" s="4" t="s">
        <v>122</v>
      </c>
      <c r="L338" s="4" t="s">
        <v>227</v>
      </c>
      <c r="M338" s="4">
        <v>1</v>
      </c>
      <c r="N338" s="4">
        <v>20</v>
      </c>
      <c r="O338" s="4">
        <v>0</v>
      </c>
      <c r="P338" s="4">
        <v>20</v>
      </c>
      <c r="Q338" s="4">
        <v>3</v>
      </c>
      <c r="R338" s="4" t="s">
        <v>88</v>
      </c>
      <c r="S338" s="4" t="s">
        <v>35</v>
      </c>
      <c r="T338" s="4" t="s">
        <v>132</v>
      </c>
      <c r="U338" s="6" t="s">
        <v>1521</v>
      </c>
      <c r="V338" s="4" t="s">
        <v>38</v>
      </c>
    </row>
    <row r="339" spans="1:22">
      <c r="A339" s="7" t="s">
        <v>1522</v>
      </c>
      <c r="B339" s="8" t="s">
        <v>23</v>
      </c>
      <c r="C339" s="8" t="s">
        <v>184</v>
      </c>
      <c r="D339" s="8" t="s">
        <v>1199</v>
      </c>
      <c r="E339" s="8" t="s">
        <v>253</v>
      </c>
      <c r="F339" s="8" t="s">
        <v>27</v>
      </c>
      <c r="G339" s="8" t="s">
        <v>28</v>
      </c>
      <c r="H339" s="8" t="s">
        <v>1523</v>
      </c>
      <c r="I339" s="8" t="s">
        <v>212</v>
      </c>
      <c r="J339" s="8" t="s">
        <v>45</v>
      </c>
      <c r="K339" s="8" t="s">
        <v>46</v>
      </c>
      <c r="L339" s="8" t="s">
        <v>189</v>
      </c>
      <c r="M339" s="8">
        <v>15</v>
      </c>
      <c r="N339" s="8">
        <v>700</v>
      </c>
      <c r="O339" s="8">
        <v>0</v>
      </c>
      <c r="P339" s="8">
        <v>10500</v>
      </c>
      <c r="Q339" s="8">
        <v>2</v>
      </c>
      <c r="R339" s="8" t="s">
        <v>88</v>
      </c>
      <c r="S339" s="8" t="s">
        <v>49</v>
      </c>
      <c r="T339" s="8" t="s">
        <v>50</v>
      </c>
      <c r="U339" s="9" t="s">
        <v>1524</v>
      </c>
      <c r="V339" s="8" t="s">
        <v>38</v>
      </c>
    </row>
    <row r="340" spans="1:22">
      <c r="A340" s="3" t="s">
        <v>1525</v>
      </c>
      <c r="B340" s="4" t="s">
        <v>327</v>
      </c>
      <c r="C340" s="4" t="s">
        <v>92</v>
      </c>
      <c r="D340" s="4" t="s">
        <v>932</v>
      </c>
      <c r="E340" s="4" t="s">
        <v>1526</v>
      </c>
      <c r="F340" s="4" t="s">
        <v>394</v>
      </c>
      <c r="G340" s="4" t="s">
        <v>76</v>
      </c>
      <c r="H340" s="4" t="s">
        <v>1527</v>
      </c>
      <c r="I340" s="4" t="s">
        <v>30</v>
      </c>
      <c r="J340" s="4" t="s">
        <v>31</v>
      </c>
      <c r="K340" s="4" t="s">
        <v>32</v>
      </c>
      <c r="L340" s="4" t="s">
        <v>97</v>
      </c>
      <c r="M340" s="4">
        <v>15</v>
      </c>
      <c r="N340" s="4">
        <v>3500</v>
      </c>
      <c r="O340" s="4">
        <v>10</v>
      </c>
      <c r="P340" s="4">
        <v>47250</v>
      </c>
      <c r="Q340" s="4">
        <v>3</v>
      </c>
      <c r="R340" s="4" t="s">
        <v>34</v>
      </c>
      <c r="S340" s="4" t="s">
        <v>151</v>
      </c>
      <c r="T340" s="4" t="s">
        <v>332</v>
      </c>
      <c r="U340" s="6" t="s">
        <v>1528</v>
      </c>
      <c r="V340" s="4" t="s">
        <v>64</v>
      </c>
    </row>
    <row r="341" spans="1:22">
      <c r="A341" s="7" t="s">
        <v>1529</v>
      </c>
      <c r="B341" s="8" t="s">
        <v>23</v>
      </c>
      <c r="C341" s="8" t="s">
        <v>118</v>
      </c>
      <c r="D341" s="8" t="s">
        <v>1530</v>
      </c>
      <c r="E341" s="8" t="s">
        <v>156</v>
      </c>
      <c r="F341" s="8" t="s">
        <v>27</v>
      </c>
      <c r="G341" s="8" t="s">
        <v>28</v>
      </c>
      <c r="H341" s="8" t="s">
        <v>1531</v>
      </c>
      <c r="I341" s="8" t="s">
        <v>294</v>
      </c>
      <c r="J341" s="8" t="s">
        <v>295</v>
      </c>
      <c r="K341" s="8" t="s">
        <v>122</v>
      </c>
      <c r="L341" s="8" t="s">
        <v>123</v>
      </c>
      <c r="M341" s="8">
        <v>16</v>
      </c>
      <c r="N341" s="8">
        <v>60</v>
      </c>
      <c r="O341" s="8">
        <v>10</v>
      </c>
      <c r="P341" s="8">
        <v>864</v>
      </c>
      <c r="Q341" s="8">
        <v>4</v>
      </c>
      <c r="R341" s="8" t="s">
        <v>79</v>
      </c>
      <c r="S341" s="8" t="s">
        <v>61</v>
      </c>
      <c r="T341" s="8" t="s">
        <v>50</v>
      </c>
      <c r="U341" s="9" t="s">
        <v>1532</v>
      </c>
      <c r="V341" s="8" t="s">
        <v>38</v>
      </c>
    </row>
    <row r="342" spans="1:22">
      <c r="A342" s="3" t="s">
        <v>1533</v>
      </c>
      <c r="B342" s="4" t="s">
        <v>127</v>
      </c>
      <c r="C342" s="4" t="s">
        <v>259</v>
      </c>
      <c r="D342" s="4" t="s">
        <v>309</v>
      </c>
      <c r="E342" s="4" t="s">
        <v>793</v>
      </c>
      <c r="F342" s="4" t="s">
        <v>200</v>
      </c>
      <c r="G342" s="4" t="s">
        <v>76</v>
      </c>
      <c r="H342" s="4" t="s">
        <v>1534</v>
      </c>
      <c r="I342" s="4" t="s">
        <v>44</v>
      </c>
      <c r="J342" s="4" t="s">
        <v>45</v>
      </c>
      <c r="K342" s="4" t="s">
        <v>122</v>
      </c>
      <c r="L342" s="4" t="s">
        <v>263</v>
      </c>
      <c r="M342" s="4">
        <v>2</v>
      </c>
      <c r="N342" s="4">
        <v>45</v>
      </c>
      <c r="O342" s="4">
        <v>15</v>
      </c>
      <c r="P342" s="4">
        <v>76.5</v>
      </c>
      <c r="Q342" s="4">
        <v>1</v>
      </c>
      <c r="R342" s="4" t="s">
        <v>88</v>
      </c>
      <c r="S342" s="4" t="s">
        <v>151</v>
      </c>
      <c r="T342" s="4" t="s">
        <v>132</v>
      </c>
      <c r="U342" s="6" t="s">
        <v>1535</v>
      </c>
      <c r="V342" s="4" t="s">
        <v>69</v>
      </c>
    </row>
    <row r="343" spans="1:22">
      <c r="A343" s="7" t="s">
        <v>1536</v>
      </c>
      <c r="B343" s="8" t="s">
        <v>168</v>
      </c>
      <c r="C343" s="8" t="s">
        <v>118</v>
      </c>
      <c r="D343" s="8" t="s">
        <v>1537</v>
      </c>
      <c r="E343" s="8" t="s">
        <v>1214</v>
      </c>
      <c r="F343" s="8" t="s">
        <v>361</v>
      </c>
      <c r="G343" s="8" t="s">
        <v>28</v>
      </c>
      <c r="H343" s="8" t="s">
        <v>1538</v>
      </c>
      <c r="I343" s="8" t="s">
        <v>44</v>
      </c>
      <c r="J343" s="8" t="s">
        <v>45</v>
      </c>
      <c r="K343" s="8" t="s">
        <v>122</v>
      </c>
      <c r="L343" s="8" t="s">
        <v>123</v>
      </c>
      <c r="M343" s="8">
        <v>13</v>
      </c>
      <c r="N343" s="8">
        <v>60</v>
      </c>
      <c r="O343" s="8">
        <v>15</v>
      </c>
      <c r="P343" s="8">
        <v>663</v>
      </c>
      <c r="Q343" s="8">
        <v>2</v>
      </c>
      <c r="R343" s="8" t="s">
        <v>48</v>
      </c>
      <c r="S343" s="8" t="s">
        <v>61</v>
      </c>
      <c r="T343" s="8" t="s">
        <v>175</v>
      </c>
      <c r="U343" s="9" t="s">
        <v>1539</v>
      </c>
      <c r="V343" s="8" t="s">
        <v>69</v>
      </c>
    </row>
    <row r="344" spans="1:22">
      <c r="A344" s="3" t="s">
        <v>1540</v>
      </c>
      <c r="B344" s="4" t="s">
        <v>83</v>
      </c>
      <c r="C344" s="4" t="s">
        <v>40</v>
      </c>
      <c r="D344" s="4" t="s">
        <v>1086</v>
      </c>
      <c r="E344" s="4" t="s">
        <v>236</v>
      </c>
      <c r="F344" s="4" t="s">
        <v>180</v>
      </c>
      <c r="G344" s="4" t="s">
        <v>76</v>
      </c>
      <c r="H344" s="4" t="s">
        <v>1541</v>
      </c>
      <c r="I344" s="4" t="s">
        <v>44</v>
      </c>
      <c r="J344" s="4" t="s">
        <v>45</v>
      </c>
      <c r="K344" s="4" t="s">
        <v>46</v>
      </c>
      <c r="L344" s="4" t="s">
        <v>47</v>
      </c>
      <c r="M344" s="4">
        <v>15</v>
      </c>
      <c r="N344" s="4">
        <v>12000</v>
      </c>
      <c r="O344" s="4">
        <v>20</v>
      </c>
      <c r="P344" s="4">
        <v>144000</v>
      </c>
      <c r="Q344" s="4">
        <v>3</v>
      </c>
      <c r="R344" s="4" t="s">
        <v>79</v>
      </c>
      <c r="S344" s="4" t="s">
        <v>35</v>
      </c>
      <c r="T344" s="4" t="s">
        <v>89</v>
      </c>
      <c r="U344" s="6" t="s">
        <v>1542</v>
      </c>
      <c r="V344" s="4" t="s">
        <v>69</v>
      </c>
    </row>
    <row r="345" spans="1:22">
      <c r="A345" s="7" t="s">
        <v>1543</v>
      </c>
      <c r="B345" s="8" t="s">
        <v>327</v>
      </c>
      <c r="C345" s="8" t="s">
        <v>222</v>
      </c>
      <c r="D345" s="8" t="s">
        <v>755</v>
      </c>
      <c r="E345" s="8" t="s">
        <v>1544</v>
      </c>
      <c r="F345" s="8" t="s">
        <v>394</v>
      </c>
      <c r="G345" s="8" t="s">
        <v>76</v>
      </c>
      <c r="H345" s="8" t="s">
        <v>1545</v>
      </c>
      <c r="I345" s="8" t="s">
        <v>44</v>
      </c>
      <c r="J345" s="8" t="s">
        <v>45</v>
      </c>
      <c r="K345" s="8" t="s">
        <v>122</v>
      </c>
      <c r="L345" s="8" t="s">
        <v>227</v>
      </c>
      <c r="M345" s="8">
        <v>2</v>
      </c>
      <c r="N345" s="8">
        <v>20</v>
      </c>
      <c r="O345" s="8">
        <v>20</v>
      </c>
      <c r="P345" s="8">
        <v>32</v>
      </c>
      <c r="Q345" s="8">
        <v>4</v>
      </c>
      <c r="R345" s="8" t="s">
        <v>34</v>
      </c>
      <c r="S345" s="8" t="s">
        <v>35</v>
      </c>
      <c r="T345" s="8" t="s">
        <v>332</v>
      </c>
      <c r="U345" s="9" t="s">
        <v>1546</v>
      </c>
      <c r="V345" s="8" t="s">
        <v>64</v>
      </c>
    </row>
    <row r="346" spans="1:22">
      <c r="A346" s="3" t="s">
        <v>1547</v>
      </c>
      <c r="B346" s="4" t="s">
        <v>127</v>
      </c>
      <c r="C346" s="4" t="s">
        <v>92</v>
      </c>
      <c r="D346" s="4" t="s">
        <v>382</v>
      </c>
      <c r="E346" s="4" t="s">
        <v>1548</v>
      </c>
      <c r="F346" s="4" t="s">
        <v>200</v>
      </c>
      <c r="G346" s="4" t="s">
        <v>76</v>
      </c>
      <c r="H346" s="4" t="s">
        <v>1549</v>
      </c>
      <c r="I346" s="4" t="s">
        <v>59</v>
      </c>
      <c r="J346" s="4" t="s">
        <v>31</v>
      </c>
      <c r="K346" s="4" t="s">
        <v>32</v>
      </c>
      <c r="L346" s="4" t="s">
        <v>97</v>
      </c>
      <c r="M346" s="4">
        <v>16</v>
      </c>
      <c r="N346" s="4">
        <v>3500</v>
      </c>
      <c r="O346" s="4">
        <v>0</v>
      </c>
      <c r="P346" s="4">
        <v>56000</v>
      </c>
      <c r="Q346" s="4">
        <v>4</v>
      </c>
      <c r="R346" s="4" t="s">
        <v>34</v>
      </c>
      <c r="S346" s="4" t="s">
        <v>115</v>
      </c>
      <c r="T346" s="4" t="s">
        <v>132</v>
      </c>
      <c r="U346" s="6" t="s">
        <v>1550</v>
      </c>
      <c r="V346" s="4" t="s">
        <v>38</v>
      </c>
    </row>
    <row r="347" spans="1:22">
      <c r="A347" s="7" t="s">
        <v>1551</v>
      </c>
      <c r="B347" s="8" t="s">
        <v>53</v>
      </c>
      <c r="C347" s="8" t="s">
        <v>92</v>
      </c>
      <c r="D347" s="8" t="s">
        <v>1302</v>
      </c>
      <c r="E347" s="8" t="s">
        <v>94</v>
      </c>
      <c r="F347" s="8" t="s">
        <v>163</v>
      </c>
      <c r="G347" s="8" t="s">
        <v>28</v>
      </c>
      <c r="H347" s="8" t="s">
        <v>1552</v>
      </c>
      <c r="I347" s="8" t="s">
        <v>138</v>
      </c>
      <c r="J347" s="8" t="s">
        <v>106</v>
      </c>
      <c r="K347" s="8" t="s">
        <v>32</v>
      </c>
      <c r="L347" s="8" t="s">
        <v>97</v>
      </c>
      <c r="M347" s="8">
        <v>18</v>
      </c>
      <c r="N347" s="8">
        <v>3500</v>
      </c>
      <c r="O347" s="8">
        <v>15</v>
      </c>
      <c r="P347" s="8">
        <v>53550</v>
      </c>
      <c r="Q347" s="8">
        <v>5</v>
      </c>
      <c r="R347" s="8" t="s">
        <v>34</v>
      </c>
      <c r="S347" s="8" t="s">
        <v>151</v>
      </c>
      <c r="T347" s="8" t="s">
        <v>62</v>
      </c>
      <c r="U347" s="9" t="s">
        <v>1553</v>
      </c>
      <c r="V347" s="8" t="s">
        <v>69</v>
      </c>
    </row>
    <row r="348" spans="1:22">
      <c r="A348" s="3" t="s">
        <v>1554</v>
      </c>
      <c r="B348" s="4" t="s">
        <v>23</v>
      </c>
      <c r="C348" s="4" t="s">
        <v>259</v>
      </c>
      <c r="D348" s="4" t="s">
        <v>65</v>
      </c>
      <c r="E348" s="4" t="s">
        <v>544</v>
      </c>
      <c r="F348" s="4" t="s">
        <v>27</v>
      </c>
      <c r="G348" s="4" t="s">
        <v>28</v>
      </c>
      <c r="H348" s="4" t="s">
        <v>1555</v>
      </c>
      <c r="I348" s="4" t="s">
        <v>138</v>
      </c>
      <c r="J348" s="4" t="s">
        <v>106</v>
      </c>
      <c r="K348" s="4" t="s">
        <v>122</v>
      </c>
      <c r="L348" s="4" t="s">
        <v>263</v>
      </c>
      <c r="M348" s="4">
        <v>20</v>
      </c>
      <c r="N348" s="4">
        <v>45</v>
      </c>
      <c r="O348" s="4">
        <v>15</v>
      </c>
      <c r="P348" s="4">
        <v>765</v>
      </c>
      <c r="Q348" s="4">
        <v>4</v>
      </c>
      <c r="R348" s="4" t="s">
        <v>34</v>
      </c>
      <c r="S348" s="4" t="s">
        <v>151</v>
      </c>
      <c r="T348" s="4" t="s">
        <v>50</v>
      </c>
      <c r="U348" s="6" t="s">
        <v>1556</v>
      </c>
      <c r="V348" s="4" t="s">
        <v>69</v>
      </c>
    </row>
    <row r="349" spans="1:22">
      <c r="A349" s="7" t="s">
        <v>1557</v>
      </c>
      <c r="B349" s="8" t="s">
        <v>251</v>
      </c>
      <c r="C349" s="8" t="s">
        <v>24</v>
      </c>
      <c r="D349" s="8" t="s">
        <v>1286</v>
      </c>
      <c r="E349" s="8" t="s">
        <v>356</v>
      </c>
      <c r="F349" s="8" t="s">
        <v>254</v>
      </c>
      <c r="G349" s="8" t="s">
        <v>28</v>
      </c>
      <c r="H349" s="8" t="s">
        <v>1558</v>
      </c>
      <c r="I349" s="8" t="s">
        <v>44</v>
      </c>
      <c r="J349" s="8" t="s">
        <v>45</v>
      </c>
      <c r="K349" s="8" t="s">
        <v>32</v>
      </c>
      <c r="L349" s="8" t="s">
        <v>33</v>
      </c>
      <c r="M349" s="8">
        <v>13</v>
      </c>
      <c r="N349" s="8">
        <v>2200</v>
      </c>
      <c r="O349" s="8">
        <v>15</v>
      </c>
      <c r="P349" s="8">
        <v>24310</v>
      </c>
      <c r="Q349" s="8">
        <v>2</v>
      </c>
      <c r="R349" s="8" t="s">
        <v>48</v>
      </c>
      <c r="S349" s="8" t="s">
        <v>115</v>
      </c>
      <c r="T349" s="8" t="s">
        <v>256</v>
      </c>
      <c r="U349" s="9" t="s">
        <v>1559</v>
      </c>
      <c r="V349" s="8" t="s">
        <v>64</v>
      </c>
    </row>
    <row r="350" spans="1:22">
      <c r="A350" s="3" t="s">
        <v>1560</v>
      </c>
      <c r="B350" s="4" t="s">
        <v>53</v>
      </c>
      <c r="C350" s="4" t="s">
        <v>1561</v>
      </c>
      <c r="D350" s="4" t="s">
        <v>340</v>
      </c>
      <c r="E350" s="4" t="s">
        <v>346</v>
      </c>
      <c r="F350" s="4" t="s">
        <v>163</v>
      </c>
      <c r="G350" s="4" t="s">
        <v>28</v>
      </c>
      <c r="H350" s="4" t="s">
        <v>1562</v>
      </c>
      <c r="I350" s="4" t="s">
        <v>294</v>
      </c>
      <c r="J350" s="4" t="s">
        <v>295</v>
      </c>
      <c r="K350" s="4" t="s">
        <v>32</v>
      </c>
      <c r="L350" s="4" t="s">
        <v>174</v>
      </c>
      <c r="M350" s="4">
        <v>11</v>
      </c>
      <c r="N350" s="4">
        <v>8500</v>
      </c>
      <c r="O350" s="4">
        <v>5</v>
      </c>
      <c r="P350" s="4">
        <v>88825</v>
      </c>
      <c r="Q350" s="4">
        <v>1</v>
      </c>
      <c r="R350" s="4" t="s">
        <v>88</v>
      </c>
      <c r="S350" s="4" t="s">
        <v>115</v>
      </c>
      <c r="T350" s="4" t="s">
        <v>62</v>
      </c>
      <c r="U350" s="6" t="s">
        <v>1563</v>
      </c>
      <c r="V350" s="4" t="s">
        <v>69</v>
      </c>
    </row>
    <row r="351" spans="1:22">
      <c r="A351" s="7" t="s">
        <v>1564</v>
      </c>
      <c r="B351" s="8" t="s">
        <v>53</v>
      </c>
      <c r="C351" s="8" t="s">
        <v>24</v>
      </c>
      <c r="D351" s="8" t="s">
        <v>1565</v>
      </c>
      <c r="E351" s="8" t="s">
        <v>1475</v>
      </c>
      <c r="F351" s="8" t="s">
        <v>163</v>
      </c>
      <c r="G351" s="8" t="s">
        <v>28</v>
      </c>
      <c r="H351" s="8" t="s">
        <v>1566</v>
      </c>
      <c r="I351" s="8" t="s">
        <v>212</v>
      </c>
      <c r="J351" s="8" t="s">
        <v>45</v>
      </c>
      <c r="K351" s="8" t="s">
        <v>32</v>
      </c>
      <c r="L351" s="8" t="s">
        <v>33</v>
      </c>
      <c r="M351" s="8">
        <v>2</v>
      </c>
      <c r="N351" s="8">
        <v>2200</v>
      </c>
      <c r="O351" s="8">
        <v>0</v>
      </c>
      <c r="P351" s="8">
        <v>4400</v>
      </c>
      <c r="Q351" s="8">
        <v>4</v>
      </c>
      <c r="R351" s="8" t="s">
        <v>88</v>
      </c>
      <c r="S351" s="8" t="s">
        <v>151</v>
      </c>
      <c r="T351" s="8" t="s">
        <v>62</v>
      </c>
      <c r="U351" s="9" t="s">
        <v>1567</v>
      </c>
      <c r="V351" s="8" t="s">
        <v>64</v>
      </c>
    </row>
    <row r="352" spans="1:22">
      <c r="A352" s="3" t="s">
        <v>1568</v>
      </c>
      <c r="B352" s="4" t="s">
        <v>83</v>
      </c>
      <c r="C352" s="4" t="s">
        <v>184</v>
      </c>
      <c r="D352" s="4" t="s">
        <v>1242</v>
      </c>
      <c r="E352" s="4" t="s">
        <v>720</v>
      </c>
      <c r="F352" s="4" t="s">
        <v>180</v>
      </c>
      <c r="G352" s="4" t="s">
        <v>76</v>
      </c>
      <c r="H352" s="4" t="s">
        <v>1569</v>
      </c>
      <c r="I352" s="4" t="s">
        <v>105</v>
      </c>
      <c r="J352" s="4" t="s">
        <v>106</v>
      </c>
      <c r="K352" s="4" t="s">
        <v>46</v>
      </c>
      <c r="L352" s="4" t="s">
        <v>189</v>
      </c>
      <c r="M352" s="4">
        <v>15</v>
      </c>
      <c r="N352" s="4">
        <v>700</v>
      </c>
      <c r="O352" s="4">
        <v>15</v>
      </c>
      <c r="P352" s="4">
        <v>8925</v>
      </c>
      <c r="Q352" s="4">
        <v>3</v>
      </c>
      <c r="R352" s="4" t="s">
        <v>48</v>
      </c>
      <c r="S352" s="4" t="s">
        <v>115</v>
      </c>
      <c r="T352" s="4" t="s">
        <v>89</v>
      </c>
      <c r="U352" s="6" t="s">
        <v>1570</v>
      </c>
      <c r="V352" s="4" t="s">
        <v>38</v>
      </c>
    </row>
    <row r="353" spans="1:22">
      <c r="A353" s="7" t="s">
        <v>1571</v>
      </c>
      <c r="B353" s="8" t="s">
        <v>127</v>
      </c>
      <c r="C353" s="8" t="s">
        <v>24</v>
      </c>
      <c r="D353" s="8" t="s">
        <v>1572</v>
      </c>
      <c r="E353" s="8" t="s">
        <v>835</v>
      </c>
      <c r="F353" s="8" t="s">
        <v>200</v>
      </c>
      <c r="G353" s="8" t="s">
        <v>76</v>
      </c>
      <c r="H353" s="8" t="s">
        <v>1573</v>
      </c>
      <c r="I353" s="8" t="s">
        <v>138</v>
      </c>
      <c r="J353" s="8" t="s">
        <v>106</v>
      </c>
      <c r="K353" s="8" t="s">
        <v>32</v>
      </c>
      <c r="L353" s="8" t="s">
        <v>33</v>
      </c>
      <c r="M353" s="8">
        <v>5</v>
      </c>
      <c r="N353" s="8">
        <v>2200</v>
      </c>
      <c r="O353" s="8">
        <v>15</v>
      </c>
      <c r="P353" s="8">
        <v>9350</v>
      </c>
      <c r="Q353" s="8">
        <v>1</v>
      </c>
      <c r="R353" s="8" t="s">
        <v>48</v>
      </c>
      <c r="S353" s="8" t="s">
        <v>115</v>
      </c>
      <c r="T353" s="8" t="s">
        <v>132</v>
      </c>
      <c r="U353" s="9" t="s">
        <v>1574</v>
      </c>
      <c r="V353" s="8" t="s">
        <v>64</v>
      </c>
    </row>
    <row r="354" spans="1:22">
      <c r="A354" s="3" t="s">
        <v>1575</v>
      </c>
      <c r="B354" s="4" t="s">
        <v>83</v>
      </c>
      <c r="C354" s="4" t="s">
        <v>72</v>
      </c>
      <c r="D354" s="4" t="s">
        <v>554</v>
      </c>
      <c r="E354" s="4" t="s">
        <v>1480</v>
      </c>
      <c r="F354" s="4" t="s">
        <v>180</v>
      </c>
      <c r="G354" s="4" t="s">
        <v>76</v>
      </c>
      <c r="H354" s="4" t="s">
        <v>1576</v>
      </c>
      <c r="I354" s="4" t="s">
        <v>138</v>
      </c>
      <c r="J354" s="4" t="s">
        <v>106</v>
      </c>
      <c r="K354" s="4" t="s">
        <v>46</v>
      </c>
      <c r="L354" s="4" t="s">
        <v>78</v>
      </c>
      <c r="M354" s="4">
        <v>15</v>
      </c>
      <c r="N354" s="4">
        <v>1200</v>
      </c>
      <c r="O354" s="4">
        <v>0</v>
      </c>
      <c r="P354" s="4">
        <v>18000</v>
      </c>
      <c r="Q354" s="4">
        <v>3</v>
      </c>
      <c r="R354" s="4" t="s">
        <v>48</v>
      </c>
      <c r="S354" s="4" t="s">
        <v>61</v>
      </c>
      <c r="T354" s="4" t="s">
        <v>89</v>
      </c>
      <c r="U354" s="6" t="s">
        <v>1577</v>
      </c>
      <c r="V354" s="4" t="s">
        <v>69</v>
      </c>
    </row>
    <row r="355" spans="1:22">
      <c r="A355" s="7" t="s">
        <v>1578</v>
      </c>
      <c r="B355" s="8" t="s">
        <v>251</v>
      </c>
      <c r="C355" s="8" t="s">
        <v>72</v>
      </c>
      <c r="D355" s="8" t="s">
        <v>161</v>
      </c>
      <c r="E355" s="8" t="s">
        <v>657</v>
      </c>
      <c r="F355" s="8" t="s">
        <v>254</v>
      </c>
      <c r="G355" s="8" t="s">
        <v>28</v>
      </c>
      <c r="H355" s="8" t="s">
        <v>1579</v>
      </c>
      <c r="I355" s="8" t="s">
        <v>105</v>
      </c>
      <c r="J355" s="8" t="s">
        <v>106</v>
      </c>
      <c r="K355" s="8" t="s">
        <v>46</v>
      </c>
      <c r="L355" s="8" t="s">
        <v>78</v>
      </c>
      <c r="M355" s="8">
        <v>19</v>
      </c>
      <c r="N355" s="8">
        <v>1200</v>
      </c>
      <c r="O355" s="8">
        <v>0</v>
      </c>
      <c r="P355" s="8">
        <v>22800</v>
      </c>
      <c r="Q355" s="8">
        <v>1</v>
      </c>
      <c r="R355" s="8" t="s">
        <v>34</v>
      </c>
      <c r="S355" s="8" t="s">
        <v>49</v>
      </c>
      <c r="T355" s="8" t="s">
        <v>256</v>
      </c>
      <c r="U355" s="9" t="s">
        <v>1580</v>
      </c>
      <c r="V355" s="8" t="s">
        <v>69</v>
      </c>
    </row>
    <row r="356" spans="1:22">
      <c r="A356" s="3" t="s">
        <v>1581</v>
      </c>
      <c r="B356" s="4" t="s">
        <v>168</v>
      </c>
      <c r="C356" s="4" t="s">
        <v>40</v>
      </c>
      <c r="D356" s="4" t="s">
        <v>25</v>
      </c>
      <c r="E356" s="4" t="s">
        <v>1582</v>
      </c>
      <c r="F356" s="4" t="s">
        <v>361</v>
      </c>
      <c r="G356" s="4" t="s">
        <v>28</v>
      </c>
      <c r="H356" s="4" t="s">
        <v>1583</v>
      </c>
      <c r="I356" s="4" t="s">
        <v>105</v>
      </c>
      <c r="J356" s="4" t="s">
        <v>106</v>
      </c>
      <c r="K356" s="4" t="s">
        <v>46</v>
      </c>
      <c r="L356" s="4" t="s">
        <v>47</v>
      </c>
      <c r="M356" s="4">
        <v>9</v>
      </c>
      <c r="N356" s="4">
        <v>12000</v>
      </c>
      <c r="O356" s="4">
        <v>15</v>
      </c>
      <c r="P356" s="4">
        <v>91800</v>
      </c>
      <c r="Q356" s="4">
        <v>3</v>
      </c>
      <c r="R356" s="4" t="s">
        <v>88</v>
      </c>
      <c r="S356" s="4" t="s">
        <v>49</v>
      </c>
      <c r="T356" s="4" t="s">
        <v>175</v>
      </c>
      <c r="U356" s="6" t="s">
        <v>1584</v>
      </c>
      <c r="V356" s="4" t="s">
        <v>69</v>
      </c>
    </row>
    <row r="357" spans="1:22">
      <c r="A357" s="7" t="s">
        <v>1585</v>
      </c>
      <c r="B357" s="8" t="s">
        <v>23</v>
      </c>
      <c r="C357" s="8" t="s">
        <v>259</v>
      </c>
      <c r="D357" s="8" t="s">
        <v>345</v>
      </c>
      <c r="E357" s="8" t="s">
        <v>793</v>
      </c>
      <c r="F357" s="8" t="s">
        <v>27</v>
      </c>
      <c r="G357" s="8" t="s">
        <v>28</v>
      </c>
      <c r="H357" s="8" t="s">
        <v>1586</v>
      </c>
      <c r="I357" s="8" t="s">
        <v>212</v>
      </c>
      <c r="J357" s="8" t="s">
        <v>45</v>
      </c>
      <c r="K357" s="8" t="s">
        <v>122</v>
      </c>
      <c r="L357" s="8" t="s">
        <v>263</v>
      </c>
      <c r="M357" s="8">
        <v>5</v>
      </c>
      <c r="N357" s="8">
        <v>45</v>
      </c>
      <c r="O357" s="8">
        <v>5</v>
      </c>
      <c r="P357" s="8">
        <v>213.75</v>
      </c>
      <c r="Q357" s="8">
        <v>1</v>
      </c>
      <c r="R357" s="8" t="s">
        <v>79</v>
      </c>
      <c r="S357" s="8" t="s">
        <v>115</v>
      </c>
      <c r="T357" s="8" t="s">
        <v>50</v>
      </c>
      <c r="U357" s="9" t="s">
        <v>1587</v>
      </c>
      <c r="V357" s="8" t="s">
        <v>38</v>
      </c>
    </row>
    <row r="358" spans="1:22">
      <c r="A358" s="3" t="s">
        <v>1588</v>
      </c>
      <c r="B358" s="4" t="s">
        <v>251</v>
      </c>
      <c r="C358" s="4" t="s">
        <v>184</v>
      </c>
      <c r="D358" s="4" t="s">
        <v>1589</v>
      </c>
      <c r="E358" s="4" t="s">
        <v>1373</v>
      </c>
      <c r="F358" s="4" t="s">
        <v>254</v>
      </c>
      <c r="G358" s="4" t="s">
        <v>28</v>
      </c>
      <c r="H358" s="4" t="s">
        <v>1590</v>
      </c>
      <c r="I358" s="4" t="s">
        <v>105</v>
      </c>
      <c r="J358" s="4" t="s">
        <v>106</v>
      </c>
      <c r="K358" s="4" t="s">
        <v>46</v>
      </c>
      <c r="L358" s="4" t="s">
        <v>189</v>
      </c>
      <c r="M358" s="4">
        <v>3</v>
      </c>
      <c r="N358" s="4">
        <v>700</v>
      </c>
      <c r="O358" s="4">
        <v>15</v>
      </c>
      <c r="P358" s="4">
        <v>1785</v>
      </c>
      <c r="Q358" s="4">
        <v>4</v>
      </c>
      <c r="R358" s="4" t="s">
        <v>34</v>
      </c>
      <c r="S358" s="4" t="s">
        <v>151</v>
      </c>
      <c r="T358" s="4" t="s">
        <v>256</v>
      </c>
      <c r="U358" s="6" t="s">
        <v>1591</v>
      </c>
      <c r="V358" s="4" t="s">
        <v>38</v>
      </c>
    </row>
    <row r="359" spans="1:22">
      <c r="A359" s="7" t="s">
        <v>1592</v>
      </c>
      <c r="B359" s="8" t="s">
        <v>71</v>
      </c>
      <c r="C359" s="8" t="s">
        <v>169</v>
      </c>
      <c r="D359" s="8" t="s">
        <v>454</v>
      </c>
      <c r="E359" s="8" t="s">
        <v>961</v>
      </c>
      <c r="F359" s="8" t="s">
        <v>217</v>
      </c>
      <c r="G359" s="8" t="s">
        <v>76</v>
      </c>
      <c r="H359" s="8" t="s">
        <v>1593</v>
      </c>
      <c r="I359" s="8" t="s">
        <v>212</v>
      </c>
      <c r="J359" s="8" t="s">
        <v>45</v>
      </c>
      <c r="K359" s="8" t="s">
        <v>32</v>
      </c>
      <c r="L359" s="8" t="s">
        <v>174</v>
      </c>
      <c r="M359" s="8">
        <v>12</v>
      </c>
      <c r="N359" s="8">
        <v>8500</v>
      </c>
      <c r="O359" s="8">
        <v>5</v>
      </c>
      <c r="P359" s="8">
        <v>96900</v>
      </c>
      <c r="Q359" s="8">
        <v>3</v>
      </c>
      <c r="R359" s="8" t="s">
        <v>79</v>
      </c>
      <c r="S359" s="8" t="s">
        <v>61</v>
      </c>
      <c r="T359" s="8" t="s">
        <v>80</v>
      </c>
      <c r="U359" s="9" t="s">
        <v>1594</v>
      </c>
      <c r="V359" s="8" t="s">
        <v>64</v>
      </c>
    </row>
    <row r="360" spans="1:22">
      <c r="A360" s="3" t="s">
        <v>1595</v>
      </c>
      <c r="B360" s="4" t="s">
        <v>251</v>
      </c>
      <c r="C360" s="4" t="s">
        <v>169</v>
      </c>
      <c r="D360" s="4" t="s">
        <v>162</v>
      </c>
      <c r="E360" s="4" t="s">
        <v>356</v>
      </c>
      <c r="F360" s="4" t="s">
        <v>254</v>
      </c>
      <c r="G360" s="4" t="s">
        <v>28</v>
      </c>
      <c r="H360" s="4" t="s">
        <v>1596</v>
      </c>
      <c r="I360" s="4" t="s">
        <v>114</v>
      </c>
      <c r="J360" s="4" t="s">
        <v>106</v>
      </c>
      <c r="K360" s="4" t="s">
        <v>32</v>
      </c>
      <c r="L360" s="4" t="s">
        <v>174</v>
      </c>
      <c r="M360" s="4">
        <v>4</v>
      </c>
      <c r="N360" s="4">
        <v>8500</v>
      </c>
      <c r="O360" s="4">
        <v>15</v>
      </c>
      <c r="P360" s="4">
        <v>28900</v>
      </c>
      <c r="Q360" s="4">
        <v>4</v>
      </c>
      <c r="R360" s="4" t="s">
        <v>48</v>
      </c>
      <c r="S360" s="4" t="s">
        <v>61</v>
      </c>
      <c r="T360" s="4" t="s">
        <v>256</v>
      </c>
      <c r="U360" s="6" t="s">
        <v>1597</v>
      </c>
      <c r="V360" s="4" t="s">
        <v>64</v>
      </c>
    </row>
    <row r="361" spans="1:22">
      <c r="A361" s="7" t="s">
        <v>1598</v>
      </c>
      <c r="B361" s="8" t="s">
        <v>127</v>
      </c>
      <c r="C361" s="8" t="s">
        <v>222</v>
      </c>
      <c r="D361" s="8" t="s">
        <v>102</v>
      </c>
      <c r="E361" s="8" t="s">
        <v>953</v>
      </c>
      <c r="F361" s="8" t="s">
        <v>200</v>
      </c>
      <c r="G361" s="8" t="s">
        <v>76</v>
      </c>
      <c r="H361" s="8" t="s">
        <v>1599</v>
      </c>
      <c r="I361" s="8" t="s">
        <v>212</v>
      </c>
      <c r="J361" s="8" t="s">
        <v>45</v>
      </c>
      <c r="K361" s="8" t="s">
        <v>122</v>
      </c>
      <c r="L361" s="8" t="s">
        <v>227</v>
      </c>
      <c r="M361" s="8">
        <v>16</v>
      </c>
      <c r="N361" s="8">
        <v>20</v>
      </c>
      <c r="O361" s="8">
        <v>10</v>
      </c>
      <c r="P361" s="8">
        <v>288</v>
      </c>
      <c r="Q361" s="8">
        <v>4</v>
      </c>
      <c r="R361" s="8" t="s">
        <v>34</v>
      </c>
      <c r="S361" s="8" t="s">
        <v>115</v>
      </c>
      <c r="T361" s="8" t="s">
        <v>132</v>
      </c>
      <c r="U361" s="9" t="s">
        <v>1600</v>
      </c>
      <c r="V361" s="8" t="s">
        <v>69</v>
      </c>
    </row>
    <row r="362" spans="1:22">
      <c r="A362" s="3" t="s">
        <v>1601</v>
      </c>
      <c r="B362" s="4" t="s">
        <v>127</v>
      </c>
      <c r="C362" s="4" t="s">
        <v>118</v>
      </c>
      <c r="D362" s="4" t="s">
        <v>601</v>
      </c>
      <c r="E362" s="4" t="s">
        <v>1602</v>
      </c>
      <c r="F362" s="4" t="s">
        <v>200</v>
      </c>
      <c r="G362" s="4" t="s">
        <v>76</v>
      </c>
      <c r="H362" s="4" t="s">
        <v>1603</v>
      </c>
      <c r="I362" s="4" t="s">
        <v>105</v>
      </c>
      <c r="J362" s="4" t="s">
        <v>106</v>
      </c>
      <c r="K362" s="4" t="s">
        <v>122</v>
      </c>
      <c r="L362" s="4" t="s">
        <v>123</v>
      </c>
      <c r="M362" s="4">
        <v>3</v>
      </c>
      <c r="N362" s="4">
        <v>60</v>
      </c>
      <c r="O362" s="4">
        <v>20</v>
      </c>
      <c r="P362" s="4">
        <v>144</v>
      </c>
      <c r="Q362" s="4">
        <v>4</v>
      </c>
      <c r="R362" s="4" t="s">
        <v>88</v>
      </c>
      <c r="S362" s="4" t="s">
        <v>151</v>
      </c>
      <c r="T362" s="4" t="s">
        <v>132</v>
      </c>
      <c r="U362" s="6" t="s">
        <v>1604</v>
      </c>
      <c r="V362" s="4" t="s">
        <v>64</v>
      </c>
    </row>
    <row r="363" spans="1:22">
      <c r="A363" s="7" t="s">
        <v>1605</v>
      </c>
      <c r="B363" s="8" t="s">
        <v>71</v>
      </c>
      <c r="C363" s="8" t="s">
        <v>24</v>
      </c>
      <c r="D363" s="8" t="s">
        <v>1106</v>
      </c>
      <c r="E363" s="8" t="s">
        <v>155</v>
      </c>
      <c r="F363" s="8" t="s">
        <v>217</v>
      </c>
      <c r="G363" s="8" t="s">
        <v>76</v>
      </c>
      <c r="H363" s="8" t="s">
        <v>1606</v>
      </c>
      <c r="I363" s="8" t="s">
        <v>105</v>
      </c>
      <c r="J363" s="8" t="s">
        <v>106</v>
      </c>
      <c r="K363" s="8" t="s">
        <v>32</v>
      </c>
      <c r="L363" s="8" t="s">
        <v>33</v>
      </c>
      <c r="M363" s="8">
        <v>19</v>
      </c>
      <c r="N363" s="8">
        <v>2200</v>
      </c>
      <c r="O363" s="8">
        <v>10</v>
      </c>
      <c r="P363" s="8">
        <v>37620</v>
      </c>
      <c r="Q363" s="8">
        <v>2</v>
      </c>
      <c r="R363" s="8" t="s">
        <v>34</v>
      </c>
      <c r="S363" s="8" t="s">
        <v>151</v>
      </c>
      <c r="T363" s="8" t="s">
        <v>80</v>
      </c>
      <c r="U363" s="9" t="s">
        <v>1607</v>
      </c>
      <c r="V363" s="8" t="s">
        <v>64</v>
      </c>
    </row>
    <row r="364" spans="1:22">
      <c r="A364" s="3" t="s">
        <v>1608</v>
      </c>
      <c r="B364" s="4" t="s">
        <v>71</v>
      </c>
      <c r="C364" s="4" t="s">
        <v>72</v>
      </c>
      <c r="D364" s="4" t="s">
        <v>1609</v>
      </c>
      <c r="E364" s="4" t="s">
        <v>588</v>
      </c>
      <c r="F364" s="4" t="s">
        <v>217</v>
      </c>
      <c r="G364" s="4" t="s">
        <v>76</v>
      </c>
      <c r="H364" s="4" t="s">
        <v>1610</v>
      </c>
      <c r="I364" s="4" t="s">
        <v>30</v>
      </c>
      <c r="J364" s="4" t="s">
        <v>31</v>
      </c>
      <c r="K364" s="4" t="s">
        <v>46</v>
      </c>
      <c r="L364" s="4" t="s">
        <v>78</v>
      </c>
      <c r="M364" s="4">
        <v>7</v>
      </c>
      <c r="N364" s="4">
        <v>1200</v>
      </c>
      <c r="O364" s="4">
        <v>20</v>
      </c>
      <c r="P364" s="4">
        <v>6720</v>
      </c>
      <c r="Q364" s="4">
        <v>3</v>
      </c>
      <c r="R364" s="4" t="s">
        <v>79</v>
      </c>
      <c r="S364" s="4" t="s">
        <v>115</v>
      </c>
      <c r="T364" s="4" t="s">
        <v>80</v>
      </c>
      <c r="U364" s="6" t="s">
        <v>1611</v>
      </c>
      <c r="V364" s="4" t="s">
        <v>69</v>
      </c>
    </row>
    <row r="365" spans="1:22">
      <c r="A365" s="7" t="s">
        <v>1612</v>
      </c>
      <c r="B365" s="8" t="s">
        <v>53</v>
      </c>
      <c r="C365" s="8" t="s">
        <v>222</v>
      </c>
      <c r="D365" s="8" t="s">
        <v>543</v>
      </c>
      <c r="E365" s="8" t="s">
        <v>65</v>
      </c>
      <c r="F365" s="8" t="s">
        <v>163</v>
      </c>
      <c r="G365" s="8" t="s">
        <v>28</v>
      </c>
      <c r="H365" s="8" t="s">
        <v>1613</v>
      </c>
      <c r="I365" s="8" t="s">
        <v>59</v>
      </c>
      <c r="J365" s="8" t="s">
        <v>31</v>
      </c>
      <c r="K365" s="8" t="s">
        <v>122</v>
      </c>
      <c r="L365" s="8" t="s">
        <v>227</v>
      </c>
      <c r="M365" s="8">
        <v>20</v>
      </c>
      <c r="N365" s="8">
        <v>20</v>
      </c>
      <c r="O365" s="8">
        <v>20</v>
      </c>
      <c r="P365" s="8">
        <v>320</v>
      </c>
      <c r="Q365" s="8">
        <v>5</v>
      </c>
      <c r="R365" s="8" t="s">
        <v>79</v>
      </c>
      <c r="S365" s="8" t="s">
        <v>115</v>
      </c>
      <c r="T365" s="8" t="s">
        <v>62</v>
      </c>
      <c r="U365" s="9" t="s">
        <v>1614</v>
      </c>
      <c r="V365" s="8" t="s">
        <v>64</v>
      </c>
    </row>
    <row r="366" spans="1:22">
      <c r="A366" s="3" t="s">
        <v>1615</v>
      </c>
      <c r="B366" s="4" t="s">
        <v>100</v>
      </c>
      <c r="C366" s="4" t="s">
        <v>72</v>
      </c>
      <c r="D366" s="4" t="s">
        <v>210</v>
      </c>
      <c r="E366" s="4" t="s">
        <v>1616</v>
      </c>
      <c r="F366" s="4" t="s">
        <v>103</v>
      </c>
      <c r="G366" s="4" t="s">
        <v>28</v>
      </c>
      <c r="H366" s="4" t="s">
        <v>1617</v>
      </c>
      <c r="I366" s="4" t="s">
        <v>30</v>
      </c>
      <c r="J366" s="4" t="s">
        <v>31</v>
      </c>
      <c r="K366" s="4" t="s">
        <v>46</v>
      </c>
      <c r="L366" s="4" t="s">
        <v>78</v>
      </c>
      <c r="M366" s="4">
        <v>19</v>
      </c>
      <c r="N366" s="4">
        <v>1200</v>
      </c>
      <c r="O366" s="4">
        <v>5</v>
      </c>
      <c r="P366" s="4">
        <v>21660</v>
      </c>
      <c r="Q366" s="4">
        <v>3</v>
      </c>
      <c r="R366" s="4" t="s">
        <v>79</v>
      </c>
      <c r="S366" s="4" t="s">
        <v>35</v>
      </c>
      <c r="T366" s="4" t="s">
        <v>144</v>
      </c>
      <c r="U366" s="6" t="s">
        <v>1618</v>
      </c>
      <c r="V366" s="4" t="s">
        <v>64</v>
      </c>
    </row>
    <row r="367" spans="1:22">
      <c r="A367" s="7" t="s">
        <v>1619</v>
      </c>
      <c r="B367" s="8" t="s">
        <v>53</v>
      </c>
      <c r="C367" s="8" t="s">
        <v>222</v>
      </c>
      <c r="D367" s="8" t="s">
        <v>1620</v>
      </c>
      <c r="E367" s="8" t="s">
        <v>302</v>
      </c>
      <c r="F367" s="8" t="s">
        <v>163</v>
      </c>
      <c r="G367" s="8" t="s">
        <v>28</v>
      </c>
      <c r="H367" s="8" t="s">
        <v>1621</v>
      </c>
      <c r="I367" s="8" t="s">
        <v>30</v>
      </c>
      <c r="J367" s="8" t="s">
        <v>31</v>
      </c>
      <c r="K367" s="8" t="s">
        <v>122</v>
      </c>
      <c r="L367" s="8" t="s">
        <v>227</v>
      </c>
      <c r="M367" s="8">
        <v>5</v>
      </c>
      <c r="N367" s="8">
        <v>20</v>
      </c>
      <c r="O367" s="8">
        <v>0</v>
      </c>
      <c r="P367" s="8">
        <v>100</v>
      </c>
      <c r="Q367" s="8">
        <v>2</v>
      </c>
      <c r="R367" s="8" t="s">
        <v>88</v>
      </c>
      <c r="S367" s="8" t="s">
        <v>49</v>
      </c>
      <c r="T367" s="8" t="s">
        <v>62</v>
      </c>
      <c r="U367" s="9" t="s">
        <v>1622</v>
      </c>
      <c r="V367" s="8" t="s">
        <v>64</v>
      </c>
    </row>
    <row r="368" spans="1:22">
      <c r="A368" s="3" t="s">
        <v>1623</v>
      </c>
      <c r="B368" s="4" t="s">
        <v>100</v>
      </c>
      <c r="C368" s="4" t="s">
        <v>259</v>
      </c>
      <c r="D368" s="4" t="s">
        <v>797</v>
      </c>
      <c r="E368" s="4" t="s">
        <v>543</v>
      </c>
      <c r="F368" s="4" t="s">
        <v>103</v>
      </c>
      <c r="G368" s="4" t="s">
        <v>28</v>
      </c>
      <c r="H368" s="4" t="s">
        <v>1624</v>
      </c>
      <c r="I368" s="4" t="s">
        <v>212</v>
      </c>
      <c r="J368" s="4" t="s">
        <v>45</v>
      </c>
      <c r="K368" s="4" t="s">
        <v>122</v>
      </c>
      <c r="L368" s="4" t="s">
        <v>263</v>
      </c>
      <c r="M368" s="4">
        <v>16</v>
      </c>
      <c r="N368" s="4">
        <v>45</v>
      </c>
      <c r="O368" s="4">
        <v>15</v>
      </c>
      <c r="P368" s="4">
        <v>612</v>
      </c>
      <c r="Q368" s="4">
        <v>5</v>
      </c>
      <c r="R368" s="4" t="s">
        <v>34</v>
      </c>
      <c r="S368" s="4" t="s">
        <v>61</v>
      </c>
      <c r="T368" s="4" t="s">
        <v>144</v>
      </c>
      <c r="U368" s="6" t="s">
        <v>1625</v>
      </c>
      <c r="V368" s="4" t="s">
        <v>69</v>
      </c>
    </row>
    <row r="369" spans="1:22">
      <c r="A369" s="7" t="s">
        <v>1626</v>
      </c>
      <c r="B369" s="8" t="s">
        <v>23</v>
      </c>
      <c r="C369" s="8" t="s">
        <v>24</v>
      </c>
      <c r="D369" s="8" t="s">
        <v>1263</v>
      </c>
      <c r="E369" s="8" t="s">
        <v>944</v>
      </c>
      <c r="F369" s="8" t="s">
        <v>27</v>
      </c>
      <c r="G369" s="8" t="s">
        <v>28</v>
      </c>
      <c r="H369" s="8" t="s">
        <v>1627</v>
      </c>
      <c r="I369" s="8" t="s">
        <v>212</v>
      </c>
      <c r="J369" s="8" t="s">
        <v>45</v>
      </c>
      <c r="K369" s="8" t="s">
        <v>32</v>
      </c>
      <c r="L369" s="8" t="s">
        <v>33</v>
      </c>
      <c r="M369" s="8">
        <v>1</v>
      </c>
      <c r="N369" s="8">
        <v>2200</v>
      </c>
      <c r="O369" s="8">
        <v>10</v>
      </c>
      <c r="P369" s="8">
        <v>1980</v>
      </c>
      <c r="Q369" s="8">
        <v>5</v>
      </c>
      <c r="R369" s="8" t="s">
        <v>79</v>
      </c>
      <c r="S369" s="8" t="s">
        <v>49</v>
      </c>
      <c r="T369" s="8" t="s">
        <v>50</v>
      </c>
      <c r="U369" s="9" t="s">
        <v>1628</v>
      </c>
      <c r="V369" s="8" t="s">
        <v>38</v>
      </c>
    </row>
    <row r="370" spans="1:22">
      <c r="A370" s="3" t="s">
        <v>1629</v>
      </c>
      <c r="B370" s="4" t="s">
        <v>53</v>
      </c>
      <c r="C370" s="4" t="s">
        <v>118</v>
      </c>
      <c r="D370" s="4" t="s">
        <v>891</v>
      </c>
      <c r="E370" s="4" t="s">
        <v>1630</v>
      </c>
      <c r="F370" s="4" t="s">
        <v>163</v>
      </c>
      <c r="G370" s="4" t="s">
        <v>28</v>
      </c>
      <c r="H370" s="4" t="s">
        <v>1631</v>
      </c>
      <c r="I370" s="4" t="s">
        <v>30</v>
      </c>
      <c r="J370" s="4" t="s">
        <v>31</v>
      </c>
      <c r="K370" s="4" t="s">
        <v>122</v>
      </c>
      <c r="L370" s="4" t="s">
        <v>123</v>
      </c>
      <c r="M370" s="4">
        <v>19</v>
      </c>
      <c r="N370" s="4">
        <v>60</v>
      </c>
      <c r="O370" s="4">
        <v>15</v>
      </c>
      <c r="P370" s="4">
        <v>969</v>
      </c>
      <c r="Q370" s="4">
        <v>4</v>
      </c>
      <c r="R370" s="4" t="s">
        <v>48</v>
      </c>
      <c r="S370" s="4" t="s">
        <v>115</v>
      </c>
      <c r="T370" s="4" t="s">
        <v>62</v>
      </c>
      <c r="U370" s="6" t="s">
        <v>1632</v>
      </c>
      <c r="V370" s="4" t="s">
        <v>69</v>
      </c>
    </row>
    <row r="371" spans="1:22">
      <c r="A371" s="7" t="s">
        <v>1633</v>
      </c>
      <c r="B371" s="8" t="s">
        <v>327</v>
      </c>
      <c r="C371" s="8" t="s">
        <v>54</v>
      </c>
      <c r="D371" s="8"/>
      <c r="E371" s="8" t="s">
        <v>1634</v>
      </c>
      <c r="F371" s="8" t="s">
        <v>394</v>
      </c>
      <c r="G371" s="8" t="s">
        <v>76</v>
      </c>
      <c r="H371" s="8" t="s">
        <v>1635</v>
      </c>
      <c r="I371" s="8" t="s">
        <v>44</v>
      </c>
      <c r="J371" s="8" t="s">
        <v>45</v>
      </c>
      <c r="K371" s="8" t="s">
        <v>46</v>
      </c>
      <c r="L371" s="8" t="s">
        <v>60</v>
      </c>
      <c r="M371" s="8">
        <v>15</v>
      </c>
      <c r="N371" s="8">
        <v>55000</v>
      </c>
      <c r="O371" s="8">
        <v>0</v>
      </c>
      <c r="P371" s="8">
        <v>825000</v>
      </c>
      <c r="Q371" s="8">
        <v>5</v>
      </c>
      <c r="R371" s="8" t="s">
        <v>79</v>
      </c>
      <c r="S371" s="8" t="s">
        <v>115</v>
      </c>
      <c r="T371" s="8" t="s">
        <v>332</v>
      </c>
      <c r="U371" s="9" t="s">
        <v>1636</v>
      </c>
      <c r="V371" s="8" t="s">
        <v>69</v>
      </c>
    </row>
    <row r="372" spans="1:22">
      <c r="A372" s="3" t="s">
        <v>1637</v>
      </c>
      <c r="B372" s="4" t="s">
        <v>71</v>
      </c>
      <c r="C372" s="4" t="s">
        <v>259</v>
      </c>
      <c r="D372" s="4" t="s">
        <v>941</v>
      </c>
      <c r="E372" s="4" t="s">
        <v>1638</v>
      </c>
      <c r="F372" s="4" t="s">
        <v>217</v>
      </c>
      <c r="G372" s="4" t="s">
        <v>76</v>
      </c>
      <c r="H372" s="4" t="s">
        <v>1639</v>
      </c>
      <c r="I372" s="4" t="s">
        <v>59</v>
      </c>
      <c r="J372" s="4" t="s">
        <v>31</v>
      </c>
      <c r="K372" s="4" t="s">
        <v>122</v>
      </c>
      <c r="L372" s="4" t="s">
        <v>263</v>
      </c>
      <c r="M372" s="4">
        <v>11</v>
      </c>
      <c r="N372" s="4">
        <v>45</v>
      </c>
      <c r="O372" s="4">
        <v>5</v>
      </c>
      <c r="P372" s="4">
        <v>470.25</v>
      </c>
      <c r="Q372" s="4">
        <v>5</v>
      </c>
      <c r="R372" s="4" t="s">
        <v>48</v>
      </c>
      <c r="S372" s="4" t="s">
        <v>151</v>
      </c>
      <c r="T372" s="4" t="s">
        <v>80</v>
      </c>
      <c r="U372" s="6" t="s">
        <v>1640</v>
      </c>
      <c r="V372" s="4" t="s">
        <v>38</v>
      </c>
    </row>
    <row r="373" spans="1:22">
      <c r="A373" s="7" t="s">
        <v>1641</v>
      </c>
      <c r="B373" s="8" t="s">
        <v>251</v>
      </c>
      <c r="C373" s="8" t="s">
        <v>222</v>
      </c>
      <c r="D373" s="8" t="s">
        <v>1642</v>
      </c>
      <c r="E373" s="8" t="s">
        <v>1643</v>
      </c>
      <c r="F373" s="8" t="s">
        <v>254</v>
      </c>
      <c r="G373" s="8" t="s">
        <v>28</v>
      </c>
      <c r="H373" s="8" t="s">
        <v>1644</v>
      </c>
      <c r="I373" s="8" t="s">
        <v>212</v>
      </c>
      <c r="J373" s="8" t="s">
        <v>45</v>
      </c>
      <c r="K373" s="8" t="s">
        <v>122</v>
      </c>
      <c r="L373" s="8" t="s">
        <v>227</v>
      </c>
      <c r="M373" s="8">
        <v>9</v>
      </c>
      <c r="N373" s="8">
        <v>20</v>
      </c>
      <c r="O373" s="8">
        <v>10</v>
      </c>
      <c r="P373" s="8">
        <v>162</v>
      </c>
      <c r="Q373" s="8">
        <v>1</v>
      </c>
      <c r="R373" s="8" t="s">
        <v>79</v>
      </c>
      <c r="S373" s="8" t="s">
        <v>49</v>
      </c>
      <c r="T373" s="8" t="s">
        <v>256</v>
      </c>
      <c r="U373" s="9" t="s">
        <v>1645</v>
      </c>
      <c r="V373" s="8" t="s">
        <v>69</v>
      </c>
    </row>
    <row r="374" spans="1:22">
      <c r="A374" s="3" t="s">
        <v>1646</v>
      </c>
      <c r="B374" s="4" t="s">
        <v>168</v>
      </c>
      <c r="C374" s="4" t="s">
        <v>259</v>
      </c>
      <c r="D374" s="4" t="s">
        <v>645</v>
      </c>
      <c r="E374" s="4" t="s">
        <v>980</v>
      </c>
      <c r="F374" s="4" t="s">
        <v>361</v>
      </c>
      <c r="G374" s="4" t="s">
        <v>28</v>
      </c>
      <c r="H374" s="4" t="s">
        <v>1647</v>
      </c>
      <c r="I374" s="4" t="s">
        <v>59</v>
      </c>
      <c r="J374" s="4" t="s">
        <v>31</v>
      </c>
      <c r="K374" s="4" t="s">
        <v>122</v>
      </c>
      <c r="L374" s="4" t="s">
        <v>263</v>
      </c>
      <c r="M374" s="4">
        <v>5</v>
      </c>
      <c r="N374" s="4">
        <v>45</v>
      </c>
      <c r="O374" s="4">
        <v>5</v>
      </c>
      <c r="P374" s="4">
        <v>213.75</v>
      </c>
      <c r="Q374" s="4">
        <v>3</v>
      </c>
      <c r="R374" s="4" t="s">
        <v>79</v>
      </c>
      <c r="S374" s="4" t="s">
        <v>115</v>
      </c>
      <c r="T374" s="4" t="s">
        <v>175</v>
      </c>
      <c r="U374" s="6" t="s">
        <v>1648</v>
      </c>
      <c r="V374" s="4" t="s">
        <v>64</v>
      </c>
    </row>
    <row r="375" spans="1:22">
      <c r="A375" s="7" t="s">
        <v>1649</v>
      </c>
      <c r="B375" s="8" t="s">
        <v>83</v>
      </c>
      <c r="C375" s="8" t="s">
        <v>184</v>
      </c>
      <c r="D375" s="8" t="s">
        <v>1650</v>
      </c>
      <c r="E375" s="8" t="s">
        <v>1102</v>
      </c>
      <c r="F375" s="8" t="s">
        <v>180</v>
      </c>
      <c r="G375" s="8" t="s">
        <v>76</v>
      </c>
      <c r="H375" s="8" t="s">
        <v>1651</v>
      </c>
      <c r="I375" s="8" t="s">
        <v>30</v>
      </c>
      <c r="J375" s="8" t="s">
        <v>31</v>
      </c>
      <c r="K375" s="8" t="s">
        <v>46</v>
      </c>
      <c r="L375" s="8" t="s">
        <v>189</v>
      </c>
      <c r="M375" s="8">
        <v>5</v>
      </c>
      <c r="N375" s="8">
        <v>700</v>
      </c>
      <c r="O375" s="8">
        <v>10</v>
      </c>
      <c r="P375" s="8">
        <v>3150</v>
      </c>
      <c r="Q375" s="8">
        <v>2</v>
      </c>
      <c r="R375" s="8" t="s">
        <v>88</v>
      </c>
      <c r="S375" s="8" t="s">
        <v>49</v>
      </c>
      <c r="T375" s="8" t="s">
        <v>89</v>
      </c>
      <c r="U375" s="9" t="s">
        <v>1652</v>
      </c>
      <c r="V375" s="8" t="s">
        <v>38</v>
      </c>
    </row>
    <row r="376" spans="1:22">
      <c r="A376" s="3" t="s">
        <v>1653</v>
      </c>
      <c r="B376" s="4" t="s">
        <v>221</v>
      </c>
      <c r="C376" s="4" t="s">
        <v>184</v>
      </c>
      <c r="D376" s="4" t="s">
        <v>957</v>
      </c>
      <c r="E376" s="4" t="s">
        <v>1654</v>
      </c>
      <c r="F376" s="4" t="s">
        <v>225</v>
      </c>
      <c r="G376" s="4" t="s">
        <v>76</v>
      </c>
      <c r="H376" s="4" t="s">
        <v>1655</v>
      </c>
      <c r="I376" s="4" t="s">
        <v>294</v>
      </c>
      <c r="J376" s="4" t="s">
        <v>295</v>
      </c>
      <c r="K376" s="4" t="s">
        <v>46</v>
      </c>
      <c r="L376" s="4" t="s">
        <v>189</v>
      </c>
      <c r="M376" s="4">
        <v>1</v>
      </c>
      <c r="N376" s="4">
        <v>700</v>
      </c>
      <c r="O376" s="4">
        <v>0</v>
      </c>
      <c r="P376" s="4">
        <v>700</v>
      </c>
      <c r="Q376" s="4">
        <v>1</v>
      </c>
      <c r="R376" s="4" t="s">
        <v>88</v>
      </c>
      <c r="S376" s="4" t="s">
        <v>151</v>
      </c>
      <c r="T376" s="4" t="s">
        <v>228</v>
      </c>
      <c r="U376" s="6" t="s">
        <v>1656</v>
      </c>
      <c r="V376" s="4" t="s">
        <v>38</v>
      </c>
    </row>
    <row r="377" spans="1:22">
      <c r="A377" s="7" t="s">
        <v>1657</v>
      </c>
      <c r="B377" s="8" t="s">
        <v>23</v>
      </c>
      <c r="C377" s="8" t="s">
        <v>184</v>
      </c>
      <c r="D377" s="8" t="s">
        <v>1368</v>
      </c>
      <c r="E377" s="8" t="s">
        <v>923</v>
      </c>
      <c r="F377" s="8" t="s">
        <v>27</v>
      </c>
      <c r="G377" s="8" t="s">
        <v>28</v>
      </c>
      <c r="H377" s="8" t="s">
        <v>1658</v>
      </c>
      <c r="I377" s="8" t="s">
        <v>105</v>
      </c>
      <c r="J377" s="8" t="s">
        <v>106</v>
      </c>
      <c r="K377" s="8" t="s">
        <v>46</v>
      </c>
      <c r="L377" s="8" t="s">
        <v>189</v>
      </c>
      <c r="M377" s="8">
        <v>13</v>
      </c>
      <c r="N377" s="8">
        <v>700</v>
      </c>
      <c r="O377" s="8">
        <v>20</v>
      </c>
      <c r="P377" s="8">
        <v>7280</v>
      </c>
      <c r="Q377" s="8">
        <v>2</v>
      </c>
      <c r="R377" s="8" t="s">
        <v>79</v>
      </c>
      <c r="S377" s="8" t="s">
        <v>35</v>
      </c>
      <c r="T377" s="8" t="s">
        <v>50</v>
      </c>
      <c r="U377" s="9" t="s">
        <v>1659</v>
      </c>
      <c r="V377" s="8" t="s">
        <v>38</v>
      </c>
    </row>
    <row r="378" spans="1:22">
      <c r="A378" s="3" t="s">
        <v>1660</v>
      </c>
      <c r="B378" s="4" t="s">
        <v>71</v>
      </c>
      <c r="C378" s="4" t="s">
        <v>40</v>
      </c>
      <c r="D378" s="4" t="s">
        <v>1153</v>
      </c>
      <c r="E378" s="4" t="s">
        <v>303</v>
      </c>
      <c r="F378" s="4" t="s">
        <v>217</v>
      </c>
      <c r="G378" s="4" t="s">
        <v>76</v>
      </c>
      <c r="H378" s="4" t="s">
        <v>1661</v>
      </c>
      <c r="I378" s="4" t="s">
        <v>114</v>
      </c>
      <c r="J378" s="4" t="s">
        <v>106</v>
      </c>
      <c r="K378" s="4" t="s">
        <v>46</v>
      </c>
      <c r="L378" s="4" t="s">
        <v>47</v>
      </c>
      <c r="M378" s="4">
        <v>20</v>
      </c>
      <c r="N378" s="4">
        <v>12000</v>
      </c>
      <c r="O378" s="4">
        <v>0</v>
      </c>
      <c r="P378" s="4">
        <v>240000</v>
      </c>
      <c r="Q378" s="4">
        <v>2</v>
      </c>
      <c r="R378" s="4" t="s">
        <v>79</v>
      </c>
      <c r="S378" s="4" t="s">
        <v>115</v>
      </c>
      <c r="T378" s="4" t="s">
        <v>80</v>
      </c>
      <c r="U378" s="6" t="s">
        <v>1662</v>
      </c>
      <c r="V378" s="4" t="s">
        <v>38</v>
      </c>
    </row>
    <row r="379" spans="1:22">
      <c r="A379" s="7" t="s">
        <v>1663</v>
      </c>
      <c r="B379" s="8" t="s">
        <v>83</v>
      </c>
      <c r="C379" s="8" t="s">
        <v>72</v>
      </c>
      <c r="D379" s="8" t="s">
        <v>1198</v>
      </c>
      <c r="E379" s="8" t="s">
        <v>712</v>
      </c>
      <c r="F379" s="8" t="s">
        <v>180</v>
      </c>
      <c r="G379" s="8" t="s">
        <v>76</v>
      </c>
      <c r="H379" s="8" t="s">
        <v>1664</v>
      </c>
      <c r="I379" s="8" t="s">
        <v>294</v>
      </c>
      <c r="J379" s="8" t="s">
        <v>295</v>
      </c>
      <c r="K379" s="8" t="s">
        <v>46</v>
      </c>
      <c r="L379" s="8" t="s">
        <v>78</v>
      </c>
      <c r="M379" s="8">
        <v>9</v>
      </c>
      <c r="N379" s="8">
        <v>1200</v>
      </c>
      <c r="O379" s="8">
        <v>15</v>
      </c>
      <c r="P379" s="8">
        <v>9180</v>
      </c>
      <c r="Q379" s="8">
        <v>1</v>
      </c>
      <c r="R379" s="8" t="s">
        <v>88</v>
      </c>
      <c r="S379" s="8" t="s">
        <v>35</v>
      </c>
      <c r="T379" s="8" t="s">
        <v>89</v>
      </c>
      <c r="U379" s="9" t="s">
        <v>1665</v>
      </c>
      <c r="V379" s="8" t="s">
        <v>64</v>
      </c>
    </row>
    <row r="380" spans="1:22">
      <c r="A380" s="3" t="s">
        <v>1666</v>
      </c>
      <c r="B380" s="4" t="s">
        <v>83</v>
      </c>
      <c r="C380" s="4" t="s">
        <v>222</v>
      </c>
      <c r="D380" s="4" t="s">
        <v>1221</v>
      </c>
      <c r="E380" s="4" t="s">
        <v>1667</v>
      </c>
      <c r="F380" s="4" t="s">
        <v>180</v>
      </c>
      <c r="G380" s="4" t="s">
        <v>76</v>
      </c>
      <c r="H380" s="4" t="s">
        <v>1668</v>
      </c>
      <c r="I380" s="4" t="s">
        <v>212</v>
      </c>
      <c r="J380" s="4" t="s">
        <v>45</v>
      </c>
      <c r="K380" s="4" t="s">
        <v>122</v>
      </c>
      <c r="L380" s="4" t="s">
        <v>227</v>
      </c>
      <c r="M380" s="4">
        <v>3</v>
      </c>
      <c r="N380" s="4">
        <v>20</v>
      </c>
      <c r="O380" s="4">
        <v>15</v>
      </c>
      <c r="P380" s="4">
        <v>51</v>
      </c>
      <c r="Q380" s="4">
        <v>3</v>
      </c>
      <c r="R380" s="4" t="s">
        <v>34</v>
      </c>
      <c r="S380" s="4" t="s">
        <v>115</v>
      </c>
      <c r="T380" s="4" t="s">
        <v>89</v>
      </c>
      <c r="U380" s="6" t="s">
        <v>1669</v>
      </c>
      <c r="V380" s="4" t="s">
        <v>64</v>
      </c>
    </row>
    <row r="381" spans="1:22">
      <c r="A381" s="7" t="s">
        <v>1670</v>
      </c>
      <c r="B381" s="8" t="s">
        <v>251</v>
      </c>
      <c r="C381" s="8" t="s">
        <v>54</v>
      </c>
      <c r="D381" s="8" t="s">
        <v>788</v>
      </c>
      <c r="E381" s="8" t="s">
        <v>455</v>
      </c>
      <c r="F381" s="8" t="s">
        <v>254</v>
      </c>
      <c r="G381" s="8" t="s">
        <v>28</v>
      </c>
      <c r="H381" s="8" t="s">
        <v>1671</v>
      </c>
      <c r="I381" s="8" t="s">
        <v>44</v>
      </c>
      <c r="J381" s="8" t="s">
        <v>45</v>
      </c>
      <c r="K381" s="8" t="s">
        <v>46</v>
      </c>
      <c r="L381" s="8" t="s">
        <v>60</v>
      </c>
      <c r="M381" s="8">
        <v>8</v>
      </c>
      <c r="N381" s="8">
        <v>55000</v>
      </c>
      <c r="O381" s="8">
        <v>20</v>
      </c>
      <c r="P381" s="8">
        <v>352000</v>
      </c>
      <c r="Q381" s="8">
        <v>5</v>
      </c>
      <c r="R381" s="8" t="s">
        <v>79</v>
      </c>
      <c r="S381" s="8" t="s">
        <v>151</v>
      </c>
      <c r="T381" s="8" t="s">
        <v>256</v>
      </c>
      <c r="U381" s="9" t="s">
        <v>1672</v>
      </c>
      <c r="V381" s="8" t="s">
        <v>64</v>
      </c>
    </row>
    <row r="382" spans="1:22">
      <c r="A382" s="3" t="s">
        <v>1673</v>
      </c>
      <c r="B382" s="4" t="s">
        <v>251</v>
      </c>
      <c r="C382" s="4" t="s">
        <v>118</v>
      </c>
      <c r="D382" s="4" t="s">
        <v>1311</v>
      </c>
      <c r="E382" s="4" t="s">
        <v>74</v>
      </c>
      <c r="F382" s="4" t="s">
        <v>254</v>
      </c>
      <c r="G382" s="4" t="s">
        <v>28</v>
      </c>
      <c r="H382" s="4" t="s">
        <v>1674</v>
      </c>
      <c r="I382" s="4" t="s">
        <v>44</v>
      </c>
      <c r="J382" s="4" t="s">
        <v>45</v>
      </c>
      <c r="K382" s="4" t="s">
        <v>122</v>
      </c>
      <c r="L382" s="4" t="s">
        <v>123</v>
      </c>
      <c r="M382" s="4">
        <v>17</v>
      </c>
      <c r="N382" s="4">
        <v>60</v>
      </c>
      <c r="O382" s="4">
        <v>20</v>
      </c>
      <c r="P382" s="4">
        <v>816</v>
      </c>
      <c r="Q382" s="4">
        <v>1</v>
      </c>
      <c r="R382" s="4" t="s">
        <v>88</v>
      </c>
      <c r="S382" s="4" t="s">
        <v>35</v>
      </c>
      <c r="T382" s="4" t="s">
        <v>256</v>
      </c>
      <c r="U382" s="6" t="s">
        <v>1675</v>
      </c>
      <c r="V382" s="4" t="s">
        <v>64</v>
      </c>
    </row>
    <row r="383" spans="1:22">
      <c r="A383" s="7" t="s">
        <v>1676</v>
      </c>
      <c r="B383" s="8" t="s">
        <v>127</v>
      </c>
      <c r="C383" s="8" t="s">
        <v>222</v>
      </c>
      <c r="D383" s="8" t="s">
        <v>1677</v>
      </c>
      <c r="E383" s="8" t="s">
        <v>236</v>
      </c>
      <c r="F383" s="8" t="s">
        <v>200</v>
      </c>
      <c r="G383" s="8" t="s">
        <v>76</v>
      </c>
      <c r="H383" s="8" t="s">
        <v>1678</v>
      </c>
      <c r="I383" s="8" t="s">
        <v>59</v>
      </c>
      <c r="J383" s="8" t="s">
        <v>31</v>
      </c>
      <c r="K383" s="8" t="s">
        <v>122</v>
      </c>
      <c r="L383" s="8" t="s">
        <v>227</v>
      </c>
      <c r="M383" s="8">
        <v>4</v>
      </c>
      <c r="N383" s="8">
        <v>20</v>
      </c>
      <c r="O383" s="8">
        <v>15</v>
      </c>
      <c r="P383" s="8">
        <v>68</v>
      </c>
      <c r="Q383" s="8">
        <v>3</v>
      </c>
      <c r="R383" s="8" t="s">
        <v>48</v>
      </c>
      <c r="S383" s="8" t="s">
        <v>61</v>
      </c>
      <c r="T383" s="8" t="s">
        <v>132</v>
      </c>
      <c r="U383" s="9" t="s">
        <v>1679</v>
      </c>
      <c r="V383" s="8" t="s">
        <v>64</v>
      </c>
    </row>
    <row r="384" spans="1:22">
      <c r="A384" s="3" t="s">
        <v>1680</v>
      </c>
      <c r="B384" s="4" t="s">
        <v>127</v>
      </c>
      <c r="C384" s="4" t="s">
        <v>24</v>
      </c>
      <c r="D384" s="4" t="s">
        <v>1360</v>
      </c>
      <c r="E384" s="4" t="s">
        <v>775</v>
      </c>
      <c r="F384" s="4" t="s">
        <v>1681</v>
      </c>
      <c r="G384" s="4" t="s">
        <v>76</v>
      </c>
      <c r="H384" s="4" t="s">
        <v>1682</v>
      </c>
      <c r="I384" s="4" t="s">
        <v>294</v>
      </c>
      <c r="J384" s="4" t="s">
        <v>295</v>
      </c>
      <c r="K384" s="4" t="s">
        <v>32</v>
      </c>
      <c r="L384" s="4" t="s">
        <v>33</v>
      </c>
      <c r="M384" s="4">
        <v>2</v>
      </c>
      <c r="N384" s="4">
        <v>2200</v>
      </c>
      <c r="O384" s="4">
        <v>10</v>
      </c>
      <c r="P384" s="4">
        <v>3960</v>
      </c>
      <c r="Q384" s="4">
        <v>2</v>
      </c>
      <c r="R384" s="4" t="s">
        <v>88</v>
      </c>
      <c r="S384" s="4" t="s">
        <v>49</v>
      </c>
      <c r="T384" s="4" t="s">
        <v>132</v>
      </c>
      <c r="U384" s="6" t="s">
        <v>1683</v>
      </c>
      <c r="V384" s="4" t="s">
        <v>64</v>
      </c>
    </row>
    <row r="385" spans="1:22">
      <c r="A385" s="7" t="s">
        <v>1684</v>
      </c>
      <c r="B385" s="8" t="s">
        <v>221</v>
      </c>
      <c r="C385" s="8" t="s">
        <v>118</v>
      </c>
      <c r="D385" s="8" t="s">
        <v>366</v>
      </c>
      <c r="E385" s="8" t="s">
        <v>539</v>
      </c>
      <c r="F385" s="8" t="s">
        <v>225</v>
      </c>
      <c r="G385" s="8" t="s">
        <v>76</v>
      </c>
      <c r="H385" s="8" t="s">
        <v>1685</v>
      </c>
      <c r="I385" s="8" t="s">
        <v>59</v>
      </c>
      <c r="J385" s="8" t="s">
        <v>31</v>
      </c>
      <c r="K385" s="8" t="s">
        <v>122</v>
      </c>
      <c r="L385" s="8" t="s">
        <v>123</v>
      </c>
      <c r="M385" s="8">
        <v>5</v>
      </c>
      <c r="N385" s="8">
        <v>60</v>
      </c>
      <c r="O385" s="8">
        <v>5</v>
      </c>
      <c r="P385" s="8">
        <v>285</v>
      </c>
      <c r="Q385" s="8">
        <v>1</v>
      </c>
      <c r="R385" s="8" t="s">
        <v>88</v>
      </c>
      <c r="S385" s="8" t="s">
        <v>35</v>
      </c>
      <c r="T385" s="8" t="s">
        <v>228</v>
      </c>
      <c r="U385" s="9" t="s">
        <v>1686</v>
      </c>
      <c r="V385" s="8" t="s">
        <v>69</v>
      </c>
    </row>
    <row r="386" spans="1:22">
      <c r="A386" s="3" t="s">
        <v>1687</v>
      </c>
      <c r="B386" s="4" t="s">
        <v>127</v>
      </c>
      <c r="C386" s="4" t="s">
        <v>24</v>
      </c>
      <c r="D386" s="4" t="s">
        <v>1688</v>
      </c>
      <c r="E386" s="4" t="s">
        <v>1689</v>
      </c>
      <c r="F386" s="4" t="s">
        <v>200</v>
      </c>
      <c r="G386" s="4" t="s">
        <v>76</v>
      </c>
      <c r="H386" s="4" t="s">
        <v>1690</v>
      </c>
      <c r="I386" s="4" t="s">
        <v>44</v>
      </c>
      <c r="J386" s="4" t="s">
        <v>45</v>
      </c>
      <c r="K386" s="4" t="s">
        <v>32</v>
      </c>
      <c r="L386" s="4" t="s">
        <v>33</v>
      </c>
      <c r="M386" s="4">
        <v>17</v>
      </c>
      <c r="N386" s="4">
        <v>2200</v>
      </c>
      <c r="O386" s="4">
        <v>0</v>
      </c>
      <c r="P386" s="4">
        <v>37400</v>
      </c>
      <c r="Q386" s="4">
        <v>2</v>
      </c>
      <c r="R386" s="4" t="s">
        <v>88</v>
      </c>
      <c r="S386" s="4" t="s">
        <v>151</v>
      </c>
      <c r="T386" s="4" t="s">
        <v>132</v>
      </c>
      <c r="U386" s="6" t="s">
        <v>1691</v>
      </c>
      <c r="V386" s="4" t="s">
        <v>69</v>
      </c>
    </row>
    <row r="387" spans="1:22">
      <c r="A387" s="7" t="s">
        <v>1692</v>
      </c>
      <c r="B387" s="8" t="s">
        <v>168</v>
      </c>
      <c r="C387" s="8" t="s">
        <v>118</v>
      </c>
      <c r="D387" s="8" t="s">
        <v>186</v>
      </c>
      <c r="E387" s="8" t="s">
        <v>610</v>
      </c>
      <c r="F387" s="8" t="s">
        <v>361</v>
      </c>
      <c r="G387" s="8" t="s">
        <v>28</v>
      </c>
      <c r="H387" s="8" t="s">
        <v>1693</v>
      </c>
      <c r="I387" s="8" t="s">
        <v>138</v>
      </c>
      <c r="J387" s="8" t="s">
        <v>106</v>
      </c>
      <c r="K387" s="8" t="s">
        <v>122</v>
      </c>
      <c r="L387" s="8" t="s">
        <v>123</v>
      </c>
      <c r="M387" s="8">
        <v>7</v>
      </c>
      <c r="N387" s="8">
        <v>60</v>
      </c>
      <c r="O387" s="8">
        <v>0</v>
      </c>
      <c r="P387" s="8">
        <v>420</v>
      </c>
      <c r="Q387" s="8">
        <v>2</v>
      </c>
      <c r="R387" s="8" t="s">
        <v>88</v>
      </c>
      <c r="S387" s="8" t="s">
        <v>61</v>
      </c>
      <c r="T387" s="8" t="s">
        <v>175</v>
      </c>
      <c r="U387" s="9" t="s">
        <v>1694</v>
      </c>
      <c r="V387" s="8" t="s">
        <v>64</v>
      </c>
    </row>
    <row r="388" spans="1:22">
      <c r="A388" s="3" t="s">
        <v>1695</v>
      </c>
      <c r="B388" s="4" t="s">
        <v>221</v>
      </c>
      <c r="C388" s="4" t="s">
        <v>54</v>
      </c>
      <c r="D388" s="4" t="s">
        <v>702</v>
      </c>
      <c r="E388" s="4" t="s">
        <v>1696</v>
      </c>
      <c r="F388" s="4" t="s">
        <v>225</v>
      </c>
      <c r="G388" s="4" t="s">
        <v>76</v>
      </c>
      <c r="H388" s="4" t="s">
        <v>1697</v>
      </c>
      <c r="I388" s="4" t="s">
        <v>30</v>
      </c>
      <c r="J388" s="4" t="s">
        <v>31</v>
      </c>
      <c r="K388" s="4" t="s">
        <v>46</v>
      </c>
      <c r="L388" s="4" t="s">
        <v>60</v>
      </c>
      <c r="M388" s="4">
        <v>6</v>
      </c>
      <c r="N388" s="4">
        <v>55000</v>
      </c>
      <c r="O388" s="4">
        <v>5</v>
      </c>
      <c r="P388" s="4">
        <v>313500</v>
      </c>
      <c r="Q388" s="4">
        <v>4</v>
      </c>
      <c r="R388" s="4" t="s">
        <v>79</v>
      </c>
      <c r="S388" s="4" t="s">
        <v>61</v>
      </c>
      <c r="T388" s="4" t="s">
        <v>228</v>
      </c>
      <c r="U388" s="6" t="s">
        <v>1698</v>
      </c>
      <c r="V388" s="4" t="s">
        <v>38</v>
      </c>
    </row>
    <row r="389" spans="1:22">
      <c r="A389" s="7" t="s">
        <v>1699</v>
      </c>
      <c r="B389" s="8" t="s">
        <v>71</v>
      </c>
      <c r="C389" s="8" t="s">
        <v>222</v>
      </c>
      <c r="D389" s="8" t="s">
        <v>1306</v>
      </c>
      <c r="E389" s="8" t="s">
        <v>1700</v>
      </c>
      <c r="F389" s="8" t="s">
        <v>217</v>
      </c>
      <c r="G389" s="8" t="s">
        <v>76</v>
      </c>
      <c r="H389" s="8" t="s">
        <v>1701</v>
      </c>
      <c r="I389" s="8" t="s">
        <v>30</v>
      </c>
      <c r="J389" s="8" t="s">
        <v>31</v>
      </c>
      <c r="K389" s="8" t="s">
        <v>122</v>
      </c>
      <c r="L389" s="8" t="s">
        <v>227</v>
      </c>
      <c r="M389" s="8">
        <v>16</v>
      </c>
      <c r="N389" s="8">
        <v>20</v>
      </c>
      <c r="O389" s="8">
        <v>5</v>
      </c>
      <c r="P389" s="8">
        <v>304</v>
      </c>
      <c r="Q389" s="8">
        <v>1</v>
      </c>
      <c r="R389" s="8" t="s">
        <v>79</v>
      </c>
      <c r="S389" s="8" t="s">
        <v>49</v>
      </c>
      <c r="T389" s="8" t="s">
        <v>80</v>
      </c>
      <c r="U389" s="9" t="s">
        <v>1702</v>
      </c>
      <c r="V389" s="8" t="s">
        <v>38</v>
      </c>
    </row>
    <row r="390" spans="1:22">
      <c r="A390" s="3" t="s">
        <v>1703</v>
      </c>
      <c r="B390" s="4" t="s">
        <v>23</v>
      </c>
      <c r="C390" s="4" t="s">
        <v>24</v>
      </c>
      <c r="D390" s="4" t="s">
        <v>1704</v>
      </c>
      <c r="E390" s="4" t="s">
        <v>1705</v>
      </c>
      <c r="F390" s="4" t="s">
        <v>27</v>
      </c>
      <c r="G390" s="4" t="s">
        <v>28</v>
      </c>
      <c r="H390" s="4" t="s">
        <v>1706</v>
      </c>
      <c r="I390" s="4" t="s">
        <v>294</v>
      </c>
      <c r="J390" s="4" t="s">
        <v>295</v>
      </c>
      <c r="K390" s="4" t="s">
        <v>32</v>
      </c>
      <c r="L390" s="4" t="s">
        <v>33</v>
      </c>
      <c r="M390" s="4">
        <v>11</v>
      </c>
      <c r="N390" s="4">
        <v>2200</v>
      </c>
      <c r="O390" s="4">
        <v>15</v>
      </c>
      <c r="P390" s="4">
        <v>20570</v>
      </c>
      <c r="Q390" s="4">
        <v>1</v>
      </c>
      <c r="R390" s="4" t="s">
        <v>48</v>
      </c>
      <c r="S390" s="4" t="s">
        <v>115</v>
      </c>
      <c r="T390" s="4" t="s">
        <v>50</v>
      </c>
      <c r="U390" s="6" t="s">
        <v>1707</v>
      </c>
      <c r="V390" s="4" t="s">
        <v>69</v>
      </c>
    </row>
    <row r="391" spans="1:22">
      <c r="A391" s="7" t="s">
        <v>1708</v>
      </c>
      <c r="B391" s="8" t="s">
        <v>100</v>
      </c>
      <c r="C391" s="8" t="s">
        <v>222</v>
      </c>
      <c r="D391" s="8" t="s">
        <v>1069</v>
      </c>
      <c r="E391" s="8" t="s">
        <v>1409</v>
      </c>
      <c r="F391" s="8" t="s">
        <v>103</v>
      </c>
      <c r="G391" s="8" t="s">
        <v>28</v>
      </c>
      <c r="H391" s="8" t="s">
        <v>1709</v>
      </c>
      <c r="I391" s="8" t="s">
        <v>114</v>
      </c>
      <c r="J391" s="8" t="s">
        <v>106</v>
      </c>
      <c r="K391" s="8" t="s">
        <v>122</v>
      </c>
      <c r="L391" s="8" t="s">
        <v>227</v>
      </c>
      <c r="M391" s="8">
        <v>19</v>
      </c>
      <c r="N391" s="8">
        <v>20</v>
      </c>
      <c r="O391" s="8">
        <v>5</v>
      </c>
      <c r="P391" s="8">
        <v>361</v>
      </c>
      <c r="Q391" s="8">
        <v>4</v>
      </c>
      <c r="R391" s="8" t="s">
        <v>88</v>
      </c>
      <c r="S391" s="8" t="s">
        <v>35</v>
      </c>
      <c r="T391" s="8" t="s">
        <v>144</v>
      </c>
      <c r="U391" s="9" t="s">
        <v>1710</v>
      </c>
      <c r="V391" s="8" t="s">
        <v>64</v>
      </c>
    </row>
    <row r="392" spans="1:22">
      <c r="A392" s="3" t="s">
        <v>1711</v>
      </c>
      <c r="B392" s="4" t="s">
        <v>100</v>
      </c>
      <c r="C392" s="4" t="s">
        <v>72</v>
      </c>
      <c r="D392" s="4" t="s">
        <v>1712</v>
      </c>
      <c r="E392" s="4" t="s">
        <v>1713</v>
      </c>
      <c r="F392" s="4" t="s">
        <v>103</v>
      </c>
      <c r="G392" s="4" t="s">
        <v>28</v>
      </c>
      <c r="H392" s="4" t="s">
        <v>1714</v>
      </c>
      <c r="I392" s="4" t="s">
        <v>114</v>
      </c>
      <c r="J392" s="4" t="s">
        <v>106</v>
      </c>
      <c r="K392" s="4" t="s">
        <v>46</v>
      </c>
      <c r="L392" s="4" t="s">
        <v>78</v>
      </c>
      <c r="M392" s="4">
        <v>20</v>
      </c>
      <c r="N392" s="4">
        <v>1200</v>
      </c>
      <c r="O392" s="4">
        <v>15</v>
      </c>
      <c r="P392" s="4">
        <v>20400</v>
      </c>
      <c r="Q392" s="4">
        <v>4</v>
      </c>
      <c r="R392" s="4" t="s">
        <v>79</v>
      </c>
      <c r="S392" s="4" t="s">
        <v>35</v>
      </c>
      <c r="T392" s="4" t="s">
        <v>144</v>
      </c>
      <c r="U392" s="6" t="s">
        <v>1715</v>
      </c>
      <c r="V392" s="4" t="s">
        <v>64</v>
      </c>
    </row>
    <row r="393" spans="1:22">
      <c r="A393" s="7" t="s">
        <v>1716</v>
      </c>
      <c r="B393" s="8" t="s">
        <v>53</v>
      </c>
      <c r="C393" s="8" t="s">
        <v>222</v>
      </c>
      <c r="D393" s="8" t="s">
        <v>1717</v>
      </c>
      <c r="E393" s="8" t="s">
        <v>1718</v>
      </c>
      <c r="F393" s="8" t="s">
        <v>163</v>
      </c>
      <c r="G393" s="8" t="s">
        <v>28</v>
      </c>
      <c r="H393" s="8" t="s">
        <v>1719</v>
      </c>
      <c r="I393" s="8" t="s">
        <v>30</v>
      </c>
      <c r="J393" s="8" t="s">
        <v>31</v>
      </c>
      <c r="K393" s="8" t="s">
        <v>122</v>
      </c>
      <c r="L393" s="8" t="s">
        <v>227</v>
      </c>
      <c r="M393" s="8">
        <v>13</v>
      </c>
      <c r="N393" s="8">
        <v>20</v>
      </c>
      <c r="O393" s="8">
        <v>15</v>
      </c>
      <c r="P393" s="8">
        <v>221</v>
      </c>
      <c r="Q393" s="8">
        <v>4</v>
      </c>
      <c r="R393" s="8" t="s">
        <v>34</v>
      </c>
      <c r="S393" s="8" t="s">
        <v>35</v>
      </c>
      <c r="T393" s="8" t="s">
        <v>62</v>
      </c>
      <c r="U393" s="9" t="s">
        <v>1720</v>
      </c>
      <c r="V393" s="8" t="s">
        <v>64</v>
      </c>
    </row>
    <row r="394" spans="1:22">
      <c r="A394" s="3" t="s">
        <v>1721</v>
      </c>
      <c r="B394" s="4" t="s">
        <v>251</v>
      </c>
      <c r="C394" s="4" t="s">
        <v>72</v>
      </c>
      <c r="D394" s="4" t="s">
        <v>205</v>
      </c>
      <c r="E394" s="4" t="s">
        <v>206</v>
      </c>
      <c r="F394" s="4" t="s">
        <v>254</v>
      </c>
      <c r="G394" s="4" t="s">
        <v>28</v>
      </c>
      <c r="H394" s="4" t="s">
        <v>1722</v>
      </c>
      <c r="I394" s="4" t="s">
        <v>44</v>
      </c>
      <c r="J394" s="4" t="s">
        <v>45</v>
      </c>
      <c r="K394" s="4" t="s">
        <v>46</v>
      </c>
      <c r="L394" s="4" t="s">
        <v>78</v>
      </c>
      <c r="M394" s="4">
        <v>12</v>
      </c>
      <c r="N394" s="4">
        <v>1200</v>
      </c>
      <c r="O394" s="4">
        <v>10</v>
      </c>
      <c r="P394" s="4">
        <v>12960</v>
      </c>
      <c r="Q394" s="4">
        <v>3</v>
      </c>
      <c r="R394" s="4" t="s">
        <v>48</v>
      </c>
      <c r="S394" s="4" t="s">
        <v>35</v>
      </c>
      <c r="T394" s="4" t="s">
        <v>256</v>
      </c>
      <c r="U394" s="6" t="s">
        <v>1723</v>
      </c>
      <c r="V394" s="4" t="s">
        <v>64</v>
      </c>
    </row>
    <row r="395" spans="1:22">
      <c r="A395" s="7" t="s">
        <v>1724</v>
      </c>
      <c r="B395" s="8" t="s">
        <v>100</v>
      </c>
      <c r="C395" s="8" t="s">
        <v>169</v>
      </c>
      <c r="D395" s="8" t="s">
        <v>1705</v>
      </c>
      <c r="E395" s="8" t="s">
        <v>783</v>
      </c>
      <c r="F395" s="8" t="s">
        <v>103</v>
      </c>
      <c r="G395" s="8" t="s">
        <v>28</v>
      </c>
      <c r="H395" s="8" t="s">
        <v>1725</v>
      </c>
      <c r="I395" s="8" t="s">
        <v>294</v>
      </c>
      <c r="J395" s="8" t="s">
        <v>295</v>
      </c>
      <c r="K395" s="8" t="s">
        <v>32</v>
      </c>
      <c r="L395" s="8" t="s">
        <v>174</v>
      </c>
      <c r="M395" s="8">
        <v>6</v>
      </c>
      <c r="N395" s="8">
        <v>8500</v>
      </c>
      <c r="O395" s="8">
        <v>5</v>
      </c>
      <c r="P395" s="8">
        <v>48450</v>
      </c>
      <c r="Q395" s="8">
        <v>5</v>
      </c>
      <c r="R395" s="8" t="s">
        <v>34</v>
      </c>
      <c r="S395" s="8" t="s">
        <v>115</v>
      </c>
      <c r="T395" s="8" t="s">
        <v>144</v>
      </c>
      <c r="U395" s="9" t="s">
        <v>1726</v>
      </c>
      <c r="V395" s="8" t="s">
        <v>69</v>
      </c>
    </row>
    <row r="396" spans="1:22">
      <c r="A396" s="3" t="s">
        <v>1727</v>
      </c>
      <c r="B396" s="4" t="s">
        <v>23</v>
      </c>
      <c r="C396" s="4" t="s">
        <v>169</v>
      </c>
      <c r="D396" s="4" t="s">
        <v>1302</v>
      </c>
      <c r="E396" s="4" t="s">
        <v>1728</v>
      </c>
      <c r="F396" s="4" t="s">
        <v>27</v>
      </c>
      <c r="G396" s="4" t="s">
        <v>28</v>
      </c>
      <c r="H396" s="4" t="s">
        <v>1729</v>
      </c>
      <c r="I396" s="4" t="s">
        <v>138</v>
      </c>
      <c r="J396" s="4" t="s">
        <v>106</v>
      </c>
      <c r="K396" s="4" t="s">
        <v>32</v>
      </c>
      <c r="L396" s="4" t="s">
        <v>174</v>
      </c>
      <c r="M396" s="4">
        <v>15</v>
      </c>
      <c r="N396" s="4">
        <v>8500</v>
      </c>
      <c r="O396" s="4">
        <v>10</v>
      </c>
      <c r="P396" s="4">
        <v>114750</v>
      </c>
      <c r="Q396" s="4">
        <v>1</v>
      </c>
      <c r="R396" s="4" t="s">
        <v>34</v>
      </c>
      <c r="S396" s="4" t="s">
        <v>115</v>
      </c>
      <c r="T396" s="4" t="s">
        <v>50</v>
      </c>
      <c r="U396" s="6" t="s">
        <v>1730</v>
      </c>
      <c r="V396" s="4" t="s">
        <v>38</v>
      </c>
    </row>
    <row r="397" spans="1:22">
      <c r="A397" s="7" t="s">
        <v>1731</v>
      </c>
      <c r="B397" s="8" t="s">
        <v>127</v>
      </c>
      <c r="C397" s="8" t="s">
        <v>40</v>
      </c>
      <c r="D397" s="8" t="s">
        <v>1732</v>
      </c>
      <c r="E397" s="8" t="s">
        <v>1733</v>
      </c>
      <c r="F397" s="8" t="s">
        <v>200</v>
      </c>
      <c r="G397" s="8" t="s">
        <v>76</v>
      </c>
      <c r="H397" s="8" t="s">
        <v>1734</v>
      </c>
      <c r="I397" s="8" t="s">
        <v>30</v>
      </c>
      <c r="J397" s="8" t="s">
        <v>31</v>
      </c>
      <c r="K397" s="8" t="s">
        <v>46</v>
      </c>
      <c r="L397" s="8" t="s">
        <v>47</v>
      </c>
      <c r="M397" s="8">
        <v>19</v>
      </c>
      <c r="N397" s="8">
        <v>12000</v>
      </c>
      <c r="O397" s="8">
        <v>20</v>
      </c>
      <c r="P397" s="8">
        <v>182400</v>
      </c>
      <c r="Q397" s="8">
        <v>5</v>
      </c>
      <c r="R397" s="8" t="s">
        <v>34</v>
      </c>
      <c r="S397" s="8" t="s">
        <v>115</v>
      </c>
      <c r="T397" s="8" t="s">
        <v>132</v>
      </c>
      <c r="U397" s="9" t="s">
        <v>1735</v>
      </c>
      <c r="V397" s="8" t="s">
        <v>38</v>
      </c>
    </row>
    <row r="398" spans="1:22">
      <c r="A398" s="3" t="s">
        <v>1736</v>
      </c>
      <c r="B398" s="4" t="s">
        <v>83</v>
      </c>
      <c r="C398" s="4" t="s">
        <v>184</v>
      </c>
      <c r="D398" s="4" t="s">
        <v>142</v>
      </c>
      <c r="E398" s="4" t="s">
        <v>1737</v>
      </c>
      <c r="F398" s="4" t="s">
        <v>180</v>
      </c>
      <c r="G398" s="4" t="s">
        <v>76</v>
      </c>
      <c r="H398" s="4" t="s">
        <v>1738</v>
      </c>
      <c r="I398" s="4" t="s">
        <v>44</v>
      </c>
      <c r="J398" s="4" t="s">
        <v>45</v>
      </c>
      <c r="K398" s="4" t="s">
        <v>46</v>
      </c>
      <c r="L398" s="4" t="s">
        <v>189</v>
      </c>
      <c r="M398" s="4">
        <v>5</v>
      </c>
      <c r="N398" s="4">
        <v>700</v>
      </c>
      <c r="O398" s="4">
        <v>0</v>
      </c>
      <c r="P398" s="4">
        <v>3500</v>
      </c>
      <c r="Q398" s="4">
        <v>2</v>
      </c>
      <c r="R398" s="4" t="s">
        <v>79</v>
      </c>
      <c r="S398" s="4" t="s">
        <v>61</v>
      </c>
      <c r="T398" s="4" t="s">
        <v>89</v>
      </c>
      <c r="U398" s="6" t="s">
        <v>1739</v>
      </c>
      <c r="V398" s="4" t="s">
        <v>69</v>
      </c>
    </row>
    <row r="399" spans="1:22">
      <c r="A399" s="7" t="s">
        <v>1740</v>
      </c>
      <c r="B399" s="8" t="s">
        <v>83</v>
      </c>
      <c r="C399" s="8" t="s">
        <v>40</v>
      </c>
      <c r="D399" s="8" t="s">
        <v>1654</v>
      </c>
      <c r="E399" s="8" t="s">
        <v>765</v>
      </c>
      <c r="F399" s="8" t="s">
        <v>180</v>
      </c>
      <c r="G399" s="8" t="s">
        <v>76</v>
      </c>
      <c r="H399" s="8" t="s">
        <v>1741</v>
      </c>
      <c r="I399" s="8" t="s">
        <v>294</v>
      </c>
      <c r="J399" s="8" t="s">
        <v>295</v>
      </c>
      <c r="K399" s="8" t="s">
        <v>46</v>
      </c>
      <c r="L399" s="8" t="s">
        <v>47</v>
      </c>
      <c r="M399" s="8">
        <v>19</v>
      </c>
      <c r="N399" s="8">
        <v>12000</v>
      </c>
      <c r="O399" s="8">
        <v>0</v>
      </c>
      <c r="P399" s="8">
        <v>228000</v>
      </c>
      <c r="Q399" s="8">
        <v>4</v>
      </c>
      <c r="R399" s="8" t="s">
        <v>88</v>
      </c>
      <c r="S399" s="8" t="s">
        <v>61</v>
      </c>
      <c r="T399" s="8" t="s">
        <v>89</v>
      </c>
      <c r="U399" s="9" t="s">
        <v>1742</v>
      </c>
      <c r="V399" s="8" t="s">
        <v>64</v>
      </c>
    </row>
    <row r="400" spans="1:22">
      <c r="A400" s="3" t="s">
        <v>1743</v>
      </c>
      <c r="B400" s="4" t="s">
        <v>327</v>
      </c>
      <c r="C400" s="4" t="s">
        <v>184</v>
      </c>
      <c r="D400" s="4"/>
      <c r="E400" s="4" t="s">
        <v>1225</v>
      </c>
      <c r="F400" s="4" t="s">
        <v>394</v>
      </c>
      <c r="G400" s="4" t="s">
        <v>76</v>
      </c>
      <c r="H400" s="4" t="s">
        <v>1744</v>
      </c>
      <c r="I400" s="4" t="s">
        <v>59</v>
      </c>
      <c r="J400" s="4" t="s">
        <v>31</v>
      </c>
      <c r="K400" s="4" t="s">
        <v>46</v>
      </c>
      <c r="L400" s="4" t="s">
        <v>189</v>
      </c>
      <c r="M400" s="4">
        <v>12</v>
      </c>
      <c r="N400" s="4">
        <v>700</v>
      </c>
      <c r="O400" s="4">
        <v>15</v>
      </c>
      <c r="P400" s="4">
        <v>7140</v>
      </c>
      <c r="Q400" s="4">
        <v>3</v>
      </c>
      <c r="R400" s="4" t="s">
        <v>79</v>
      </c>
      <c r="S400" s="4" t="s">
        <v>35</v>
      </c>
      <c r="T400" s="4" t="s">
        <v>332</v>
      </c>
      <c r="U400" s="6" t="s">
        <v>1745</v>
      </c>
      <c r="V400" s="4" t="s">
        <v>38</v>
      </c>
    </row>
    <row r="401" spans="1:22">
      <c r="A401" s="7" t="s">
        <v>1746</v>
      </c>
      <c r="B401" s="8" t="s">
        <v>23</v>
      </c>
      <c r="C401" s="8" t="s">
        <v>72</v>
      </c>
      <c r="D401" s="8" t="s">
        <v>1747</v>
      </c>
      <c r="E401" s="8" t="s">
        <v>707</v>
      </c>
      <c r="F401" s="8" t="s">
        <v>27</v>
      </c>
      <c r="G401" s="8" t="s">
        <v>28</v>
      </c>
      <c r="H401" s="8" t="s">
        <v>1748</v>
      </c>
      <c r="I401" s="8" t="s">
        <v>44</v>
      </c>
      <c r="J401" s="8" t="s">
        <v>45</v>
      </c>
      <c r="K401" s="8" t="s">
        <v>46</v>
      </c>
      <c r="L401" s="8" t="s">
        <v>78</v>
      </c>
      <c r="M401" s="8">
        <v>16</v>
      </c>
      <c r="N401" s="8">
        <v>1200</v>
      </c>
      <c r="O401" s="8">
        <v>20</v>
      </c>
      <c r="P401" s="8">
        <v>15360</v>
      </c>
      <c r="Q401" s="8">
        <v>1</v>
      </c>
      <c r="R401" s="8" t="s">
        <v>34</v>
      </c>
      <c r="S401" s="8" t="s">
        <v>49</v>
      </c>
      <c r="T401" s="8" t="s">
        <v>50</v>
      </c>
      <c r="U401" s="9" t="s">
        <v>1749</v>
      </c>
      <c r="V401" s="8" t="s">
        <v>64</v>
      </c>
    </row>
    <row r="402" spans="1:22">
      <c r="A402" s="3" t="s">
        <v>1750</v>
      </c>
      <c r="B402" s="4" t="s">
        <v>71</v>
      </c>
      <c r="C402" s="4" t="s">
        <v>169</v>
      </c>
      <c r="D402" s="4" t="s">
        <v>1052</v>
      </c>
      <c r="E402" s="4" t="s">
        <v>84</v>
      </c>
      <c r="F402" s="4" t="s">
        <v>217</v>
      </c>
      <c r="G402" s="4" t="s">
        <v>76</v>
      </c>
      <c r="H402" s="4" t="s">
        <v>1751</v>
      </c>
      <c r="I402" s="4" t="s">
        <v>30</v>
      </c>
      <c r="J402" s="4" t="s">
        <v>31</v>
      </c>
      <c r="K402" s="4" t="s">
        <v>32</v>
      </c>
      <c r="L402" s="4" t="s">
        <v>174</v>
      </c>
      <c r="M402" s="4">
        <v>10</v>
      </c>
      <c r="N402" s="4">
        <v>8500</v>
      </c>
      <c r="O402" s="4">
        <v>5</v>
      </c>
      <c r="P402" s="4">
        <v>80750</v>
      </c>
      <c r="Q402" s="4">
        <v>5</v>
      </c>
      <c r="R402" s="4" t="s">
        <v>48</v>
      </c>
      <c r="S402" s="4" t="s">
        <v>35</v>
      </c>
      <c r="T402" s="4" t="s">
        <v>80</v>
      </c>
      <c r="U402" s="6" t="s">
        <v>1752</v>
      </c>
      <c r="V402" s="4" t="s">
        <v>38</v>
      </c>
    </row>
    <row r="403" spans="1:22">
      <c r="A403" s="7" t="s">
        <v>1753</v>
      </c>
      <c r="B403" s="8" t="s">
        <v>23</v>
      </c>
      <c r="C403" s="8" t="s">
        <v>222</v>
      </c>
      <c r="D403" s="8" t="s">
        <v>1373</v>
      </c>
      <c r="E403" s="8" t="s">
        <v>386</v>
      </c>
      <c r="F403" s="8" t="s">
        <v>27</v>
      </c>
      <c r="G403" s="8" t="s">
        <v>28</v>
      </c>
      <c r="H403" s="8" t="s">
        <v>1754</v>
      </c>
      <c r="I403" s="8" t="s">
        <v>138</v>
      </c>
      <c r="J403" s="8" t="s">
        <v>106</v>
      </c>
      <c r="K403" s="8" t="s">
        <v>122</v>
      </c>
      <c r="L403" s="8" t="s">
        <v>227</v>
      </c>
      <c r="M403" s="8">
        <v>18</v>
      </c>
      <c r="N403" s="8">
        <v>20</v>
      </c>
      <c r="O403" s="8">
        <v>20</v>
      </c>
      <c r="P403" s="8">
        <v>288</v>
      </c>
      <c r="Q403" s="8">
        <v>1</v>
      </c>
      <c r="R403" s="8" t="s">
        <v>88</v>
      </c>
      <c r="S403" s="8" t="s">
        <v>35</v>
      </c>
      <c r="T403" s="8" t="s">
        <v>50</v>
      </c>
      <c r="U403" s="9" t="s">
        <v>1755</v>
      </c>
      <c r="V403" s="8" t="s">
        <v>64</v>
      </c>
    </row>
    <row r="404" spans="1:22">
      <c r="A404" s="3" t="s">
        <v>1756</v>
      </c>
      <c r="B404" s="4" t="s">
        <v>71</v>
      </c>
      <c r="C404" s="4" t="s">
        <v>169</v>
      </c>
      <c r="D404" s="4" t="s">
        <v>241</v>
      </c>
      <c r="E404" s="4" t="s">
        <v>404</v>
      </c>
      <c r="F404" s="4" t="s">
        <v>217</v>
      </c>
      <c r="G404" s="4" t="s">
        <v>76</v>
      </c>
      <c r="H404" s="4" t="s">
        <v>1757</v>
      </c>
      <c r="I404" s="4" t="s">
        <v>105</v>
      </c>
      <c r="J404" s="4" t="s">
        <v>106</v>
      </c>
      <c r="K404" s="4" t="s">
        <v>32</v>
      </c>
      <c r="L404" s="4" t="s">
        <v>174</v>
      </c>
      <c r="M404" s="4">
        <v>9</v>
      </c>
      <c r="N404" s="4">
        <v>8500</v>
      </c>
      <c r="O404" s="4">
        <v>0</v>
      </c>
      <c r="P404" s="4">
        <v>76500</v>
      </c>
      <c r="Q404" s="4">
        <v>2</v>
      </c>
      <c r="R404" s="4" t="s">
        <v>79</v>
      </c>
      <c r="S404" s="4" t="s">
        <v>35</v>
      </c>
      <c r="T404" s="4" t="s">
        <v>80</v>
      </c>
      <c r="U404" s="6" t="s">
        <v>1758</v>
      </c>
      <c r="V404" s="4" t="s">
        <v>64</v>
      </c>
    </row>
    <row r="405" spans="1:22">
      <c r="A405" s="7" t="s">
        <v>1759</v>
      </c>
      <c r="B405" s="8" t="s">
        <v>23</v>
      </c>
      <c r="C405" s="8" t="s">
        <v>169</v>
      </c>
      <c r="D405" s="8" t="s">
        <v>1221</v>
      </c>
      <c r="E405" s="8" t="s">
        <v>1760</v>
      </c>
      <c r="F405" s="8" t="s">
        <v>27</v>
      </c>
      <c r="G405" s="8" t="s">
        <v>28</v>
      </c>
      <c r="H405" s="8" t="s">
        <v>1761</v>
      </c>
      <c r="I405" s="8" t="s">
        <v>105</v>
      </c>
      <c r="J405" s="8" t="s">
        <v>106</v>
      </c>
      <c r="K405" s="8" t="s">
        <v>32</v>
      </c>
      <c r="L405" s="8" t="s">
        <v>174</v>
      </c>
      <c r="M405" s="8">
        <v>8</v>
      </c>
      <c r="N405" s="8">
        <v>8500</v>
      </c>
      <c r="O405" s="8">
        <v>10</v>
      </c>
      <c r="P405" s="8">
        <v>61200</v>
      </c>
      <c r="Q405" s="8">
        <v>4</v>
      </c>
      <c r="R405" s="8" t="s">
        <v>34</v>
      </c>
      <c r="S405" s="8" t="s">
        <v>115</v>
      </c>
      <c r="T405" s="8" t="s">
        <v>50</v>
      </c>
      <c r="U405" s="9" t="s">
        <v>1762</v>
      </c>
      <c r="V405" s="8" t="s">
        <v>69</v>
      </c>
    </row>
    <row r="406" spans="1:22">
      <c r="A406" s="3" t="s">
        <v>1763</v>
      </c>
      <c r="B406" s="4" t="s">
        <v>53</v>
      </c>
      <c r="C406" s="4" t="s">
        <v>222</v>
      </c>
      <c r="D406" s="4" t="s">
        <v>483</v>
      </c>
      <c r="E406" s="4" t="s">
        <v>1764</v>
      </c>
      <c r="F406" s="4" t="s">
        <v>163</v>
      </c>
      <c r="G406" s="4" t="s">
        <v>28</v>
      </c>
      <c r="H406" s="4" t="s">
        <v>1765</v>
      </c>
      <c r="I406" s="4" t="s">
        <v>114</v>
      </c>
      <c r="J406" s="4" t="s">
        <v>106</v>
      </c>
      <c r="K406" s="4" t="s">
        <v>122</v>
      </c>
      <c r="L406" s="4" t="s">
        <v>227</v>
      </c>
      <c r="M406" s="4">
        <v>3</v>
      </c>
      <c r="N406" s="4">
        <v>20</v>
      </c>
      <c r="O406" s="4">
        <v>10</v>
      </c>
      <c r="P406" s="4">
        <v>54</v>
      </c>
      <c r="Q406" s="4">
        <v>3</v>
      </c>
      <c r="R406" s="4" t="s">
        <v>79</v>
      </c>
      <c r="S406" s="4" t="s">
        <v>151</v>
      </c>
      <c r="T406" s="4" t="s">
        <v>62</v>
      </c>
      <c r="U406" s="6" t="s">
        <v>1766</v>
      </c>
      <c r="V406" s="4" t="s">
        <v>64</v>
      </c>
    </row>
    <row r="407" spans="1:22">
      <c r="A407" s="7" t="s">
        <v>1767</v>
      </c>
      <c r="B407" s="8" t="s">
        <v>168</v>
      </c>
      <c r="C407" s="8" t="s">
        <v>169</v>
      </c>
      <c r="D407" s="8" t="s">
        <v>232</v>
      </c>
      <c r="E407" s="8" t="s">
        <v>641</v>
      </c>
      <c r="F407" s="8" t="s">
        <v>361</v>
      </c>
      <c r="G407" s="8" t="s">
        <v>28</v>
      </c>
      <c r="H407" s="8" t="s">
        <v>1768</v>
      </c>
      <c r="I407" s="8" t="s">
        <v>294</v>
      </c>
      <c r="J407" s="8" t="s">
        <v>295</v>
      </c>
      <c r="K407" s="8" t="s">
        <v>32</v>
      </c>
      <c r="L407" s="8" t="s">
        <v>174</v>
      </c>
      <c r="M407" s="8">
        <v>18</v>
      </c>
      <c r="N407" s="8">
        <v>8500</v>
      </c>
      <c r="O407" s="8">
        <v>10</v>
      </c>
      <c r="P407" s="8">
        <v>137700</v>
      </c>
      <c r="Q407" s="8">
        <v>4</v>
      </c>
      <c r="R407" s="8" t="s">
        <v>34</v>
      </c>
      <c r="S407" s="8" t="s">
        <v>49</v>
      </c>
      <c r="T407" s="8" t="s">
        <v>175</v>
      </c>
      <c r="U407" s="9" t="s">
        <v>1769</v>
      </c>
      <c r="V407" s="8" t="s">
        <v>69</v>
      </c>
    </row>
    <row r="408" spans="1:22">
      <c r="A408" s="3" t="s">
        <v>1770</v>
      </c>
      <c r="B408" s="4" t="s">
        <v>53</v>
      </c>
      <c r="C408" s="4" t="s">
        <v>259</v>
      </c>
      <c r="D408" s="4" t="s">
        <v>308</v>
      </c>
      <c r="E408" s="4" t="s">
        <v>281</v>
      </c>
      <c r="F408" s="4" t="s">
        <v>163</v>
      </c>
      <c r="G408" s="4" t="s">
        <v>28</v>
      </c>
      <c r="H408" s="4" t="s">
        <v>1771</v>
      </c>
      <c r="I408" s="4" t="s">
        <v>114</v>
      </c>
      <c r="J408" s="4" t="s">
        <v>106</v>
      </c>
      <c r="K408" s="4" t="s">
        <v>122</v>
      </c>
      <c r="L408" s="4" t="s">
        <v>263</v>
      </c>
      <c r="M408" s="4">
        <v>5</v>
      </c>
      <c r="N408" s="4">
        <v>45</v>
      </c>
      <c r="O408" s="4">
        <v>10</v>
      </c>
      <c r="P408" s="4">
        <v>202.5</v>
      </c>
      <c r="Q408" s="4">
        <v>3</v>
      </c>
      <c r="R408" s="4" t="s">
        <v>34</v>
      </c>
      <c r="S408" s="4" t="s">
        <v>115</v>
      </c>
      <c r="T408" s="4" t="s">
        <v>62</v>
      </c>
      <c r="U408" s="6" t="s">
        <v>1772</v>
      </c>
      <c r="V408" s="4" t="s">
        <v>64</v>
      </c>
    </row>
    <row r="409" spans="1:22">
      <c r="A409" s="7" t="s">
        <v>1773</v>
      </c>
      <c r="B409" s="8" t="s">
        <v>71</v>
      </c>
      <c r="C409" s="8" t="s">
        <v>259</v>
      </c>
      <c r="D409" s="8" t="s">
        <v>683</v>
      </c>
      <c r="E409" s="8" t="s">
        <v>684</v>
      </c>
      <c r="F409" s="8" t="s">
        <v>217</v>
      </c>
      <c r="G409" s="8" t="s">
        <v>76</v>
      </c>
      <c r="H409" s="8" t="s">
        <v>1774</v>
      </c>
      <c r="I409" s="8" t="s">
        <v>105</v>
      </c>
      <c r="J409" s="8" t="s">
        <v>106</v>
      </c>
      <c r="K409" s="8" t="s">
        <v>122</v>
      </c>
      <c r="L409" s="8" t="s">
        <v>263</v>
      </c>
      <c r="M409" s="8">
        <v>2</v>
      </c>
      <c r="N409" s="8">
        <v>45</v>
      </c>
      <c r="O409" s="8">
        <v>20</v>
      </c>
      <c r="P409" s="8">
        <v>72</v>
      </c>
      <c r="Q409" s="8">
        <v>5</v>
      </c>
      <c r="R409" s="8" t="s">
        <v>88</v>
      </c>
      <c r="S409" s="8" t="s">
        <v>61</v>
      </c>
      <c r="T409" s="8" t="s">
        <v>80</v>
      </c>
      <c r="U409" s="9" t="s">
        <v>1775</v>
      </c>
      <c r="V409" s="8" t="s">
        <v>69</v>
      </c>
    </row>
    <row r="410" spans="1:22">
      <c r="A410" s="3" t="s">
        <v>1776</v>
      </c>
      <c r="B410" s="4" t="s">
        <v>100</v>
      </c>
      <c r="C410" s="4" t="s">
        <v>259</v>
      </c>
      <c r="D410" s="4" t="s">
        <v>1379</v>
      </c>
      <c r="E410" s="4" t="s">
        <v>900</v>
      </c>
      <c r="F410" s="4" t="s">
        <v>103</v>
      </c>
      <c r="G410" s="4" t="s">
        <v>28</v>
      </c>
      <c r="H410" s="4" t="s">
        <v>1777</v>
      </c>
      <c r="I410" s="4" t="s">
        <v>30</v>
      </c>
      <c r="J410" s="4" t="s">
        <v>31</v>
      </c>
      <c r="K410" s="4" t="s">
        <v>122</v>
      </c>
      <c r="L410" s="4" t="s">
        <v>263</v>
      </c>
      <c r="M410" s="4">
        <v>18</v>
      </c>
      <c r="N410" s="4">
        <v>45</v>
      </c>
      <c r="O410" s="4">
        <v>10</v>
      </c>
      <c r="P410" s="4">
        <v>729</v>
      </c>
      <c r="Q410" s="4">
        <v>2</v>
      </c>
      <c r="R410" s="4" t="s">
        <v>48</v>
      </c>
      <c r="S410" s="4" t="s">
        <v>115</v>
      </c>
      <c r="T410" s="4" t="s">
        <v>144</v>
      </c>
      <c r="U410" s="6" t="s">
        <v>1778</v>
      </c>
      <c r="V410" s="4" t="s">
        <v>64</v>
      </c>
    </row>
    <row r="411" spans="1:22">
      <c r="A411" s="7" t="s">
        <v>1779</v>
      </c>
      <c r="B411" s="8" t="s">
        <v>127</v>
      </c>
      <c r="C411" s="8" t="s">
        <v>72</v>
      </c>
      <c r="D411" s="8" t="s">
        <v>463</v>
      </c>
      <c r="E411" s="8" t="s">
        <v>216</v>
      </c>
      <c r="F411" s="8" t="s">
        <v>200</v>
      </c>
      <c r="G411" s="8" t="s">
        <v>76</v>
      </c>
      <c r="H411" s="8" t="s">
        <v>1780</v>
      </c>
      <c r="I411" s="8" t="s">
        <v>294</v>
      </c>
      <c r="J411" s="8" t="s">
        <v>295</v>
      </c>
      <c r="K411" s="8" t="s">
        <v>46</v>
      </c>
      <c r="L411" s="8" t="s">
        <v>78</v>
      </c>
      <c r="M411" s="8">
        <v>13</v>
      </c>
      <c r="N411" s="8">
        <v>1200</v>
      </c>
      <c r="O411" s="8">
        <v>5</v>
      </c>
      <c r="P411" s="8">
        <v>14820</v>
      </c>
      <c r="Q411" s="8">
        <v>4</v>
      </c>
      <c r="R411" s="8" t="s">
        <v>79</v>
      </c>
      <c r="S411" s="8" t="s">
        <v>115</v>
      </c>
      <c r="T411" s="8" t="s">
        <v>132</v>
      </c>
      <c r="U411" s="9" t="s">
        <v>1781</v>
      </c>
      <c r="V411" s="8" t="s">
        <v>38</v>
      </c>
    </row>
    <row r="412" spans="1:22">
      <c r="A412" s="3" t="s">
        <v>1782</v>
      </c>
      <c r="B412" s="4" t="s">
        <v>23</v>
      </c>
      <c r="C412" s="4" t="s">
        <v>222</v>
      </c>
      <c r="D412" s="4" t="s">
        <v>1344</v>
      </c>
      <c r="E412" s="4" t="s">
        <v>1783</v>
      </c>
      <c r="F412" s="4" t="s">
        <v>27</v>
      </c>
      <c r="G412" s="4" t="s">
        <v>28</v>
      </c>
      <c r="H412" s="4" t="s">
        <v>1784</v>
      </c>
      <c r="I412" s="4" t="s">
        <v>30</v>
      </c>
      <c r="J412" s="4" t="s">
        <v>31</v>
      </c>
      <c r="K412" s="4" t="s">
        <v>122</v>
      </c>
      <c r="L412" s="4" t="s">
        <v>227</v>
      </c>
      <c r="M412" s="4">
        <v>14</v>
      </c>
      <c r="N412" s="4">
        <v>20</v>
      </c>
      <c r="O412" s="4">
        <v>20</v>
      </c>
      <c r="P412" s="4">
        <v>224</v>
      </c>
      <c r="Q412" s="4">
        <v>5</v>
      </c>
      <c r="R412" s="4" t="s">
        <v>88</v>
      </c>
      <c r="S412" s="4" t="s">
        <v>49</v>
      </c>
      <c r="T412" s="4" t="s">
        <v>50</v>
      </c>
      <c r="U412" s="6" t="s">
        <v>1785</v>
      </c>
      <c r="V412" s="4" t="s">
        <v>64</v>
      </c>
    </row>
    <row r="413" spans="1:22">
      <c r="A413" s="7" t="s">
        <v>1786</v>
      </c>
      <c r="B413" s="8" t="s">
        <v>100</v>
      </c>
      <c r="C413" s="8" t="s">
        <v>92</v>
      </c>
      <c r="D413" s="8" t="s">
        <v>1787</v>
      </c>
      <c r="E413" s="8" t="s">
        <v>1689</v>
      </c>
      <c r="F413" s="8" t="s">
        <v>103</v>
      </c>
      <c r="G413" s="8" t="s">
        <v>28</v>
      </c>
      <c r="H413" s="8" t="s">
        <v>1788</v>
      </c>
      <c r="I413" s="8" t="s">
        <v>30</v>
      </c>
      <c r="J413" s="8" t="s">
        <v>31</v>
      </c>
      <c r="K413" s="8" t="s">
        <v>32</v>
      </c>
      <c r="L413" s="8" t="s">
        <v>97</v>
      </c>
      <c r="M413" s="8">
        <v>16</v>
      </c>
      <c r="N413" s="8">
        <v>3500</v>
      </c>
      <c r="O413" s="8">
        <v>15</v>
      </c>
      <c r="P413" s="8">
        <v>47600</v>
      </c>
      <c r="Q413" s="8">
        <v>3</v>
      </c>
      <c r="R413" s="8" t="s">
        <v>88</v>
      </c>
      <c r="S413" s="8" t="s">
        <v>61</v>
      </c>
      <c r="T413" s="8" t="s">
        <v>144</v>
      </c>
      <c r="U413" s="9" t="s">
        <v>1789</v>
      </c>
      <c r="V413" s="8" t="s">
        <v>69</v>
      </c>
    </row>
    <row r="414" spans="1:22">
      <c r="A414" s="3" t="s">
        <v>1790</v>
      </c>
      <c r="B414" s="4" t="s">
        <v>251</v>
      </c>
      <c r="C414" s="4" t="s">
        <v>222</v>
      </c>
      <c r="D414" s="4" t="s">
        <v>987</v>
      </c>
      <c r="E414" s="4" t="s">
        <v>1110</v>
      </c>
      <c r="F414" s="4" t="s">
        <v>254</v>
      </c>
      <c r="G414" s="4" t="s">
        <v>28</v>
      </c>
      <c r="H414" s="4" t="s">
        <v>1791</v>
      </c>
      <c r="I414" s="4" t="s">
        <v>59</v>
      </c>
      <c r="J414" s="4" t="s">
        <v>31</v>
      </c>
      <c r="K414" s="4" t="s">
        <v>122</v>
      </c>
      <c r="L414" s="4" t="s">
        <v>227</v>
      </c>
      <c r="M414" s="4">
        <v>20</v>
      </c>
      <c r="N414" s="4">
        <v>20</v>
      </c>
      <c r="O414" s="4">
        <v>15</v>
      </c>
      <c r="P414" s="4">
        <v>340</v>
      </c>
      <c r="Q414" s="4">
        <v>1</v>
      </c>
      <c r="R414" s="4" t="s">
        <v>48</v>
      </c>
      <c r="S414" s="4" t="s">
        <v>61</v>
      </c>
      <c r="T414" s="4" t="s">
        <v>256</v>
      </c>
      <c r="U414" s="6" t="s">
        <v>1792</v>
      </c>
      <c r="V414" s="4" t="s">
        <v>69</v>
      </c>
    </row>
    <row r="415" spans="1:22">
      <c r="A415" s="7" t="s">
        <v>1793</v>
      </c>
      <c r="B415" s="8" t="s">
        <v>168</v>
      </c>
      <c r="C415" s="8" t="s">
        <v>54</v>
      </c>
      <c r="D415" s="8" t="s">
        <v>652</v>
      </c>
      <c r="E415" s="8" t="s">
        <v>666</v>
      </c>
      <c r="F415" s="8" t="s">
        <v>361</v>
      </c>
      <c r="G415" s="8" t="s">
        <v>28</v>
      </c>
      <c r="H415" s="8" t="s">
        <v>1794</v>
      </c>
      <c r="I415" s="8" t="s">
        <v>138</v>
      </c>
      <c r="J415" s="8" t="s">
        <v>106</v>
      </c>
      <c r="K415" s="8" t="s">
        <v>46</v>
      </c>
      <c r="L415" s="8" t="s">
        <v>60</v>
      </c>
      <c r="M415" s="8">
        <v>1</v>
      </c>
      <c r="N415" s="8">
        <v>55000</v>
      </c>
      <c r="O415" s="8">
        <v>15</v>
      </c>
      <c r="P415" s="8">
        <v>46750</v>
      </c>
      <c r="Q415" s="8">
        <v>2</v>
      </c>
      <c r="R415" s="8" t="s">
        <v>88</v>
      </c>
      <c r="S415" s="8" t="s">
        <v>115</v>
      </c>
      <c r="T415" s="8" t="s">
        <v>175</v>
      </c>
      <c r="U415" s="9" t="s">
        <v>1795</v>
      </c>
      <c r="V415" s="8" t="s">
        <v>69</v>
      </c>
    </row>
    <row r="416" spans="1:22">
      <c r="A416" s="3" t="s">
        <v>1796</v>
      </c>
      <c r="B416" s="4" t="s">
        <v>100</v>
      </c>
      <c r="C416" s="4" t="s">
        <v>118</v>
      </c>
      <c r="D416" s="4" t="s">
        <v>142</v>
      </c>
      <c r="E416" s="4" t="s">
        <v>620</v>
      </c>
      <c r="F416" s="4" t="s">
        <v>103</v>
      </c>
      <c r="G416" s="4" t="s">
        <v>28</v>
      </c>
      <c r="H416" s="4" t="s">
        <v>1797</v>
      </c>
      <c r="I416" s="4" t="s">
        <v>138</v>
      </c>
      <c r="J416" s="4" t="s">
        <v>106</v>
      </c>
      <c r="K416" s="4" t="s">
        <v>122</v>
      </c>
      <c r="L416" s="4" t="s">
        <v>123</v>
      </c>
      <c r="M416" s="4">
        <v>15</v>
      </c>
      <c r="N416" s="4">
        <v>60</v>
      </c>
      <c r="O416" s="4">
        <v>5</v>
      </c>
      <c r="P416" s="4">
        <v>855</v>
      </c>
      <c r="Q416" s="4">
        <v>4</v>
      </c>
      <c r="R416" s="4" t="s">
        <v>48</v>
      </c>
      <c r="S416" s="4" t="s">
        <v>61</v>
      </c>
      <c r="T416" s="4" t="s">
        <v>144</v>
      </c>
      <c r="U416" s="6" t="s">
        <v>1798</v>
      </c>
      <c r="V416" s="4" t="s">
        <v>38</v>
      </c>
    </row>
    <row r="417" spans="1:22">
      <c r="A417" s="7" t="s">
        <v>1799</v>
      </c>
      <c r="B417" s="8" t="s">
        <v>83</v>
      </c>
      <c r="C417" s="8" t="s">
        <v>184</v>
      </c>
      <c r="D417" s="8" t="s">
        <v>1800</v>
      </c>
      <c r="E417" s="8" t="s">
        <v>66</v>
      </c>
      <c r="F417" s="8" t="s">
        <v>180</v>
      </c>
      <c r="G417" s="8" t="s">
        <v>76</v>
      </c>
      <c r="H417" s="8" t="s">
        <v>1801</v>
      </c>
      <c r="I417" s="8" t="s">
        <v>105</v>
      </c>
      <c r="J417" s="8" t="s">
        <v>106</v>
      </c>
      <c r="K417" s="8" t="s">
        <v>46</v>
      </c>
      <c r="L417" s="8" t="s">
        <v>189</v>
      </c>
      <c r="M417" s="8">
        <v>15</v>
      </c>
      <c r="N417" s="8">
        <v>700</v>
      </c>
      <c r="O417" s="8">
        <v>0</v>
      </c>
      <c r="P417" s="8">
        <v>10500</v>
      </c>
      <c r="Q417" s="8">
        <v>5</v>
      </c>
      <c r="R417" s="8" t="s">
        <v>48</v>
      </c>
      <c r="S417" s="8" t="s">
        <v>115</v>
      </c>
      <c r="T417" s="8" t="s">
        <v>89</v>
      </c>
      <c r="U417" s="9" t="s">
        <v>1802</v>
      </c>
      <c r="V417" s="8" t="s">
        <v>38</v>
      </c>
    </row>
    <row r="418" spans="1:22">
      <c r="A418" s="3" t="s">
        <v>1803</v>
      </c>
      <c r="B418" s="4" t="s">
        <v>221</v>
      </c>
      <c r="C418" s="4" t="s">
        <v>40</v>
      </c>
      <c r="D418" s="4" t="s">
        <v>1199</v>
      </c>
      <c r="E418" s="4" t="s">
        <v>440</v>
      </c>
      <c r="F418" s="4" t="s">
        <v>225</v>
      </c>
      <c r="G418" s="4" t="s">
        <v>76</v>
      </c>
      <c r="H418" s="4" t="s">
        <v>1804</v>
      </c>
      <c r="I418" s="4" t="s">
        <v>294</v>
      </c>
      <c r="J418" s="4" t="s">
        <v>295</v>
      </c>
      <c r="K418" s="4" t="s">
        <v>46</v>
      </c>
      <c r="L418" s="4" t="s">
        <v>47</v>
      </c>
      <c r="M418" s="4">
        <v>13</v>
      </c>
      <c r="N418" s="4">
        <v>12000</v>
      </c>
      <c r="O418" s="4">
        <v>10</v>
      </c>
      <c r="P418" s="4">
        <v>140400</v>
      </c>
      <c r="Q418" s="4">
        <v>1</v>
      </c>
      <c r="R418" s="4" t="s">
        <v>34</v>
      </c>
      <c r="S418" s="4" t="s">
        <v>151</v>
      </c>
      <c r="T418" s="4" t="s">
        <v>228</v>
      </c>
      <c r="U418" s="6" t="s">
        <v>1805</v>
      </c>
      <c r="V418" s="4" t="s">
        <v>69</v>
      </c>
    </row>
    <row r="419" spans="1:22">
      <c r="A419" s="7" t="s">
        <v>1806</v>
      </c>
      <c r="B419" s="8" t="s">
        <v>83</v>
      </c>
      <c r="C419" s="8" t="s">
        <v>40</v>
      </c>
      <c r="D419" s="8" t="s">
        <v>1807</v>
      </c>
      <c r="E419" s="8" t="s">
        <v>1081</v>
      </c>
      <c r="F419" s="8" t="s">
        <v>180</v>
      </c>
      <c r="G419" s="8" t="s">
        <v>76</v>
      </c>
      <c r="H419" s="8" t="s">
        <v>1808</v>
      </c>
      <c r="I419" s="8" t="s">
        <v>30</v>
      </c>
      <c r="J419" s="8" t="s">
        <v>31</v>
      </c>
      <c r="K419" s="8" t="s">
        <v>46</v>
      </c>
      <c r="L419" s="8" t="s">
        <v>47</v>
      </c>
      <c r="M419" s="8">
        <v>12</v>
      </c>
      <c r="N419" s="8">
        <v>12000</v>
      </c>
      <c r="O419" s="8">
        <v>20</v>
      </c>
      <c r="P419" s="8">
        <v>115200</v>
      </c>
      <c r="Q419" s="8">
        <v>2</v>
      </c>
      <c r="R419" s="8" t="s">
        <v>34</v>
      </c>
      <c r="S419" s="8" t="s">
        <v>35</v>
      </c>
      <c r="T419" s="8" t="s">
        <v>89</v>
      </c>
      <c r="U419" s="9" t="s">
        <v>1809</v>
      </c>
      <c r="V419" s="8" t="s">
        <v>38</v>
      </c>
    </row>
    <row r="420" spans="1:22">
      <c r="A420" s="3" t="s">
        <v>1810</v>
      </c>
      <c r="B420" s="4" t="s">
        <v>83</v>
      </c>
      <c r="C420" s="4" t="s">
        <v>259</v>
      </c>
      <c r="D420" s="4" t="s">
        <v>119</v>
      </c>
      <c r="E420" s="4" t="s">
        <v>1298</v>
      </c>
      <c r="F420" s="4" t="s">
        <v>180</v>
      </c>
      <c r="G420" s="4" t="s">
        <v>76</v>
      </c>
      <c r="H420" s="4" t="s">
        <v>1811</v>
      </c>
      <c r="I420" s="4" t="s">
        <v>105</v>
      </c>
      <c r="J420" s="4" t="s">
        <v>106</v>
      </c>
      <c r="K420" s="4" t="s">
        <v>122</v>
      </c>
      <c r="L420" s="4" t="s">
        <v>263</v>
      </c>
      <c r="M420" s="4">
        <v>10</v>
      </c>
      <c r="N420" s="4">
        <v>45</v>
      </c>
      <c r="O420" s="4">
        <v>0</v>
      </c>
      <c r="P420" s="4">
        <v>450</v>
      </c>
      <c r="Q420" s="4">
        <v>5</v>
      </c>
      <c r="R420" s="4" t="s">
        <v>79</v>
      </c>
      <c r="S420" s="4" t="s">
        <v>115</v>
      </c>
      <c r="T420" s="4" t="s">
        <v>89</v>
      </c>
      <c r="U420" s="6" t="s">
        <v>1812</v>
      </c>
      <c r="V420" s="4" t="s">
        <v>69</v>
      </c>
    </row>
    <row r="421" spans="1:22">
      <c r="A421" s="7" t="s">
        <v>1813</v>
      </c>
      <c r="B421" s="8" t="s">
        <v>127</v>
      </c>
      <c r="C421" s="8" t="s">
        <v>72</v>
      </c>
      <c r="D421" s="8" t="s">
        <v>41</v>
      </c>
      <c r="E421" s="8" t="s">
        <v>596</v>
      </c>
      <c r="F421" s="8" t="s">
        <v>200</v>
      </c>
      <c r="G421" s="8" t="s">
        <v>76</v>
      </c>
      <c r="H421" s="8" t="s">
        <v>1814</v>
      </c>
      <c r="I421" s="8" t="s">
        <v>105</v>
      </c>
      <c r="J421" s="8" t="s">
        <v>106</v>
      </c>
      <c r="K421" s="8" t="s">
        <v>46</v>
      </c>
      <c r="L421" s="8" t="s">
        <v>78</v>
      </c>
      <c r="M421" s="8">
        <v>20</v>
      </c>
      <c r="N421" s="8">
        <v>1200</v>
      </c>
      <c r="O421" s="8">
        <v>20</v>
      </c>
      <c r="P421" s="8">
        <v>19200</v>
      </c>
      <c r="Q421" s="8">
        <v>5</v>
      </c>
      <c r="R421" s="8" t="s">
        <v>48</v>
      </c>
      <c r="S421" s="8" t="s">
        <v>61</v>
      </c>
      <c r="T421" s="8" t="s">
        <v>132</v>
      </c>
      <c r="U421" s="9" t="s">
        <v>1815</v>
      </c>
      <c r="V421" s="8" t="s">
        <v>69</v>
      </c>
    </row>
    <row r="422" spans="1:22">
      <c r="A422" s="3" t="s">
        <v>1816</v>
      </c>
      <c r="B422" s="4" t="s">
        <v>71</v>
      </c>
      <c r="C422" s="4" t="s">
        <v>72</v>
      </c>
      <c r="D422" s="4" t="s">
        <v>128</v>
      </c>
      <c r="E422" s="4" t="s">
        <v>1817</v>
      </c>
      <c r="F422" s="4" t="s">
        <v>217</v>
      </c>
      <c r="G422" s="4" t="s">
        <v>76</v>
      </c>
      <c r="H422" s="4" t="s">
        <v>1818</v>
      </c>
      <c r="I422" s="4" t="s">
        <v>114</v>
      </c>
      <c r="J422" s="4" t="s">
        <v>106</v>
      </c>
      <c r="K422" s="4" t="s">
        <v>46</v>
      </c>
      <c r="L422" s="4" t="s">
        <v>78</v>
      </c>
      <c r="M422" s="4">
        <v>8</v>
      </c>
      <c r="N422" s="4">
        <v>1200</v>
      </c>
      <c r="O422" s="4">
        <v>10</v>
      </c>
      <c r="P422" s="4">
        <v>8640</v>
      </c>
      <c r="Q422" s="4">
        <v>4</v>
      </c>
      <c r="R422" s="4" t="s">
        <v>48</v>
      </c>
      <c r="S422" s="4" t="s">
        <v>61</v>
      </c>
      <c r="T422" s="4" t="s">
        <v>80</v>
      </c>
      <c r="U422" s="6" t="s">
        <v>1819</v>
      </c>
      <c r="V422" s="4" t="s">
        <v>38</v>
      </c>
    </row>
    <row r="423" spans="1:22">
      <c r="A423" s="7" t="s">
        <v>1820</v>
      </c>
      <c r="B423" s="8" t="s">
        <v>127</v>
      </c>
      <c r="C423" s="8" t="s">
        <v>72</v>
      </c>
      <c r="D423" s="8" t="s">
        <v>1085</v>
      </c>
      <c r="E423" s="8" t="s">
        <v>1086</v>
      </c>
      <c r="F423" s="8" t="s">
        <v>200</v>
      </c>
      <c r="G423" s="8" t="s">
        <v>76</v>
      </c>
      <c r="H423" s="8" t="s">
        <v>1821</v>
      </c>
      <c r="I423" s="8" t="s">
        <v>212</v>
      </c>
      <c r="J423" s="8" t="s">
        <v>45</v>
      </c>
      <c r="K423" s="8" t="s">
        <v>46</v>
      </c>
      <c r="L423" s="8" t="s">
        <v>78</v>
      </c>
      <c r="M423" s="8">
        <v>8</v>
      </c>
      <c r="N423" s="8">
        <v>1200</v>
      </c>
      <c r="O423" s="8">
        <v>10</v>
      </c>
      <c r="P423" s="8">
        <v>8640</v>
      </c>
      <c r="Q423" s="8">
        <v>5</v>
      </c>
      <c r="R423" s="8" t="s">
        <v>79</v>
      </c>
      <c r="S423" s="8" t="s">
        <v>49</v>
      </c>
      <c r="T423" s="8" t="s">
        <v>132</v>
      </c>
      <c r="U423" s="9" t="s">
        <v>1822</v>
      </c>
      <c r="V423" s="8" t="s">
        <v>69</v>
      </c>
    </row>
    <row r="424" spans="1:22">
      <c r="A424" s="3" t="s">
        <v>1823</v>
      </c>
      <c r="B424" s="4" t="s">
        <v>327</v>
      </c>
      <c r="C424" s="4" t="s">
        <v>24</v>
      </c>
      <c r="D424" s="4" t="s">
        <v>1824</v>
      </c>
      <c r="E424" s="4" t="s">
        <v>1444</v>
      </c>
      <c r="F424" s="4" t="s">
        <v>394</v>
      </c>
      <c r="G424" s="4" t="s">
        <v>76</v>
      </c>
      <c r="H424" s="4" t="s">
        <v>1825</v>
      </c>
      <c r="I424" s="4" t="s">
        <v>212</v>
      </c>
      <c r="J424" s="4" t="s">
        <v>45</v>
      </c>
      <c r="K424" s="4" t="s">
        <v>32</v>
      </c>
      <c r="L424" s="4" t="s">
        <v>33</v>
      </c>
      <c r="M424" s="4">
        <v>9</v>
      </c>
      <c r="N424" s="4">
        <v>2200</v>
      </c>
      <c r="O424" s="4">
        <v>20</v>
      </c>
      <c r="P424" s="4">
        <v>15840</v>
      </c>
      <c r="Q424" s="4">
        <v>1</v>
      </c>
      <c r="R424" s="4" t="s">
        <v>48</v>
      </c>
      <c r="S424" s="4" t="s">
        <v>115</v>
      </c>
      <c r="T424" s="4" t="s">
        <v>332</v>
      </c>
      <c r="U424" s="6" t="s">
        <v>1826</v>
      </c>
      <c r="V424" s="4" t="s">
        <v>38</v>
      </c>
    </row>
    <row r="425" spans="1:22">
      <c r="A425" s="7" t="s">
        <v>1827</v>
      </c>
      <c r="B425" s="8" t="s">
        <v>127</v>
      </c>
      <c r="C425" s="8" t="s">
        <v>222</v>
      </c>
      <c r="D425" s="8" t="s">
        <v>1268</v>
      </c>
      <c r="E425" s="8" t="s">
        <v>760</v>
      </c>
      <c r="F425" s="8" t="s">
        <v>200</v>
      </c>
      <c r="G425" s="8" t="s">
        <v>76</v>
      </c>
      <c r="H425" s="8" t="s">
        <v>1828</v>
      </c>
      <c r="I425" s="8" t="s">
        <v>294</v>
      </c>
      <c r="J425" s="8" t="s">
        <v>295</v>
      </c>
      <c r="K425" s="8" t="s">
        <v>122</v>
      </c>
      <c r="L425" s="8" t="s">
        <v>227</v>
      </c>
      <c r="M425" s="8">
        <v>8</v>
      </c>
      <c r="N425" s="8">
        <v>20</v>
      </c>
      <c r="O425" s="8">
        <v>20</v>
      </c>
      <c r="P425" s="8">
        <v>128</v>
      </c>
      <c r="Q425" s="8">
        <v>4</v>
      </c>
      <c r="R425" s="8" t="s">
        <v>34</v>
      </c>
      <c r="S425" s="8" t="s">
        <v>35</v>
      </c>
      <c r="T425" s="8" t="s">
        <v>132</v>
      </c>
      <c r="U425" s="9" t="s">
        <v>1829</v>
      </c>
      <c r="V425" s="8" t="s">
        <v>69</v>
      </c>
    </row>
    <row r="426" spans="1:22">
      <c r="A426" s="3" t="s">
        <v>1830</v>
      </c>
      <c r="B426" s="4" t="s">
        <v>221</v>
      </c>
      <c r="C426" s="4" t="s">
        <v>54</v>
      </c>
      <c r="D426" s="4" t="s">
        <v>1176</v>
      </c>
      <c r="E426" s="4" t="s">
        <v>1831</v>
      </c>
      <c r="F426" s="4" t="s">
        <v>225</v>
      </c>
      <c r="G426" s="4" t="s">
        <v>76</v>
      </c>
      <c r="H426" s="4" t="s">
        <v>1006</v>
      </c>
      <c r="I426" s="4" t="s">
        <v>114</v>
      </c>
      <c r="J426" s="4" t="s">
        <v>106</v>
      </c>
      <c r="K426" s="4" t="s">
        <v>46</v>
      </c>
      <c r="L426" s="4" t="s">
        <v>60</v>
      </c>
      <c r="M426" s="4">
        <v>5</v>
      </c>
      <c r="N426" s="4">
        <v>55000</v>
      </c>
      <c r="O426" s="4">
        <v>0</v>
      </c>
      <c r="P426" s="4">
        <v>275000</v>
      </c>
      <c r="Q426" s="4">
        <v>1</v>
      </c>
      <c r="R426" s="4" t="s">
        <v>79</v>
      </c>
      <c r="S426" s="4" t="s">
        <v>115</v>
      </c>
      <c r="T426" s="4" t="s">
        <v>228</v>
      </c>
      <c r="U426" s="6" t="s">
        <v>1832</v>
      </c>
      <c r="V426" s="4" t="s">
        <v>38</v>
      </c>
    </row>
    <row r="427" spans="1:22">
      <c r="A427" s="7" t="s">
        <v>1833</v>
      </c>
      <c r="B427" s="8" t="s">
        <v>100</v>
      </c>
      <c r="C427" s="8" t="s">
        <v>72</v>
      </c>
      <c r="D427" s="8" t="s">
        <v>1834</v>
      </c>
      <c r="E427" s="8" t="s">
        <v>636</v>
      </c>
      <c r="F427" s="8" t="s">
        <v>103</v>
      </c>
      <c r="G427" s="8" t="s">
        <v>28</v>
      </c>
      <c r="H427" s="8" t="s">
        <v>1835</v>
      </c>
      <c r="I427" s="8" t="s">
        <v>105</v>
      </c>
      <c r="J427" s="8" t="s">
        <v>106</v>
      </c>
      <c r="K427" s="8" t="s">
        <v>46</v>
      </c>
      <c r="L427" s="8" t="s">
        <v>78</v>
      </c>
      <c r="M427" s="8">
        <v>13</v>
      </c>
      <c r="N427" s="8">
        <v>1200</v>
      </c>
      <c r="O427" s="8">
        <v>5</v>
      </c>
      <c r="P427" s="8">
        <v>14820</v>
      </c>
      <c r="Q427" s="8">
        <v>2</v>
      </c>
      <c r="R427" s="8" t="s">
        <v>79</v>
      </c>
      <c r="S427" s="8" t="s">
        <v>35</v>
      </c>
      <c r="T427" s="8" t="s">
        <v>144</v>
      </c>
      <c r="U427" s="9" t="s">
        <v>1836</v>
      </c>
      <c r="V427" s="8" t="s">
        <v>69</v>
      </c>
    </row>
    <row r="428" spans="1:22">
      <c r="A428" s="3" t="s">
        <v>1837</v>
      </c>
      <c r="B428" s="4" t="s">
        <v>83</v>
      </c>
      <c r="C428" s="4" t="s">
        <v>169</v>
      </c>
      <c r="D428" s="4" t="s">
        <v>1484</v>
      </c>
      <c r="E428" s="4" t="s">
        <v>1838</v>
      </c>
      <c r="F428" s="4" t="s">
        <v>180</v>
      </c>
      <c r="G428" s="4" t="s">
        <v>76</v>
      </c>
      <c r="H428" s="4" t="s">
        <v>1839</v>
      </c>
      <c r="I428" s="4" t="s">
        <v>212</v>
      </c>
      <c r="J428" s="4" t="s">
        <v>45</v>
      </c>
      <c r="K428" s="4" t="s">
        <v>32</v>
      </c>
      <c r="L428" s="4" t="s">
        <v>174</v>
      </c>
      <c r="M428" s="4">
        <v>13</v>
      </c>
      <c r="N428" s="4">
        <v>8500</v>
      </c>
      <c r="O428" s="4">
        <v>20</v>
      </c>
      <c r="P428" s="4">
        <v>88400</v>
      </c>
      <c r="Q428" s="4">
        <v>5</v>
      </c>
      <c r="R428" s="4" t="s">
        <v>34</v>
      </c>
      <c r="S428" s="4" t="s">
        <v>49</v>
      </c>
      <c r="T428" s="4" t="s">
        <v>89</v>
      </c>
      <c r="U428" s="6" t="s">
        <v>1840</v>
      </c>
      <c r="V428" s="4" t="s">
        <v>64</v>
      </c>
    </row>
    <row r="429" spans="1:22">
      <c r="A429" s="7" t="s">
        <v>1841</v>
      </c>
      <c r="B429" s="8" t="s">
        <v>71</v>
      </c>
      <c r="C429" s="8" t="s">
        <v>118</v>
      </c>
      <c r="D429" s="8" t="s">
        <v>765</v>
      </c>
      <c r="E429" s="8" t="s">
        <v>1842</v>
      </c>
      <c r="F429" s="8" t="s">
        <v>217</v>
      </c>
      <c r="G429" s="8" t="s">
        <v>76</v>
      </c>
      <c r="H429" s="8" t="s">
        <v>1843</v>
      </c>
      <c r="I429" s="8" t="s">
        <v>114</v>
      </c>
      <c r="J429" s="8" t="s">
        <v>106</v>
      </c>
      <c r="K429" s="8" t="s">
        <v>122</v>
      </c>
      <c r="L429" s="8" t="s">
        <v>123</v>
      </c>
      <c r="M429" s="8">
        <v>14</v>
      </c>
      <c r="N429" s="8">
        <v>60</v>
      </c>
      <c r="O429" s="8">
        <v>10</v>
      </c>
      <c r="P429" s="8">
        <v>756</v>
      </c>
      <c r="Q429" s="8">
        <v>1</v>
      </c>
      <c r="R429" s="8" t="s">
        <v>34</v>
      </c>
      <c r="S429" s="8" t="s">
        <v>61</v>
      </c>
      <c r="T429" s="8" t="s">
        <v>80</v>
      </c>
      <c r="U429" s="9" t="s">
        <v>1844</v>
      </c>
      <c r="V429" s="8" t="s">
        <v>69</v>
      </c>
    </row>
    <row r="430" spans="1:22">
      <c r="A430" s="3" t="s">
        <v>1845</v>
      </c>
      <c r="B430" s="4" t="s">
        <v>251</v>
      </c>
      <c r="C430" s="4" t="s">
        <v>24</v>
      </c>
      <c r="D430" s="4" t="s">
        <v>336</v>
      </c>
      <c r="E430" s="4" t="s">
        <v>606</v>
      </c>
      <c r="F430" s="4" t="s">
        <v>254</v>
      </c>
      <c r="G430" s="4" t="s">
        <v>28</v>
      </c>
      <c r="H430" s="4" t="s">
        <v>1846</v>
      </c>
      <c r="I430" s="4" t="s">
        <v>59</v>
      </c>
      <c r="J430" s="4" t="s">
        <v>31</v>
      </c>
      <c r="K430" s="4" t="s">
        <v>32</v>
      </c>
      <c r="L430" s="4" t="s">
        <v>33</v>
      </c>
      <c r="M430" s="4">
        <v>15</v>
      </c>
      <c r="N430" s="4">
        <v>2200</v>
      </c>
      <c r="O430" s="4">
        <v>0</v>
      </c>
      <c r="P430" s="4">
        <v>33000</v>
      </c>
      <c r="Q430" s="4">
        <v>1</v>
      </c>
      <c r="R430" s="4" t="s">
        <v>34</v>
      </c>
      <c r="S430" s="4" t="s">
        <v>61</v>
      </c>
      <c r="T430" s="4" t="s">
        <v>256</v>
      </c>
      <c r="U430" s="6" t="s">
        <v>1847</v>
      </c>
      <c r="V430" s="4" t="s">
        <v>38</v>
      </c>
    </row>
    <row r="431" spans="1:22">
      <c r="A431" s="7" t="s">
        <v>1848</v>
      </c>
      <c r="B431" s="8" t="s">
        <v>83</v>
      </c>
      <c r="C431" s="8" t="s">
        <v>118</v>
      </c>
      <c r="D431" s="8" t="s">
        <v>1849</v>
      </c>
      <c r="E431" s="8" t="s">
        <v>1850</v>
      </c>
      <c r="F431" s="8" t="s">
        <v>180</v>
      </c>
      <c r="G431" s="8" t="s">
        <v>76</v>
      </c>
      <c r="H431" s="8" t="s">
        <v>1851</v>
      </c>
      <c r="I431" s="8" t="s">
        <v>212</v>
      </c>
      <c r="J431" s="8" t="s">
        <v>45</v>
      </c>
      <c r="K431" s="8" t="s">
        <v>122</v>
      </c>
      <c r="L431" s="8" t="s">
        <v>123</v>
      </c>
      <c r="M431" s="8">
        <v>19</v>
      </c>
      <c r="N431" s="8">
        <v>60</v>
      </c>
      <c r="O431" s="8">
        <v>20</v>
      </c>
      <c r="P431" s="8">
        <v>912</v>
      </c>
      <c r="Q431" s="8">
        <v>3</v>
      </c>
      <c r="R431" s="8" t="s">
        <v>34</v>
      </c>
      <c r="S431" s="8" t="s">
        <v>151</v>
      </c>
      <c r="T431" s="8" t="s">
        <v>89</v>
      </c>
      <c r="U431" s="9" t="s">
        <v>1852</v>
      </c>
      <c r="V431" s="8" t="s">
        <v>64</v>
      </c>
    </row>
    <row r="432" spans="1:22">
      <c r="A432" s="3" t="s">
        <v>1853</v>
      </c>
      <c r="B432" s="4" t="s">
        <v>53</v>
      </c>
      <c r="C432" s="4" t="s">
        <v>259</v>
      </c>
      <c r="D432" s="4" t="s">
        <v>1760</v>
      </c>
      <c r="E432" s="4" t="s">
        <v>341</v>
      </c>
      <c r="F432" s="4" t="s">
        <v>163</v>
      </c>
      <c r="G432" s="4" t="s">
        <v>28</v>
      </c>
      <c r="H432" s="4" t="s">
        <v>1854</v>
      </c>
      <c r="I432" s="4" t="s">
        <v>212</v>
      </c>
      <c r="J432" s="4" t="s">
        <v>45</v>
      </c>
      <c r="K432" s="4" t="s">
        <v>122</v>
      </c>
      <c r="L432" s="4" t="s">
        <v>263</v>
      </c>
      <c r="M432" s="4">
        <v>13</v>
      </c>
      <c r="N432" s="4">
        <v>45</v>
      </c>
      <c r="O432" s="4">
        <v>15</v>
      </c>
      <c r="P432" s="4">
        <v>497.25</v>
      </c>
      <c r="Q432" s="4">
        <v>2</v>
      </c>
      <c r="R432" s="4" t="s">
        <v>34</v>
      </c>
      <c r="S432" s="4" t="s">
        <v>49</v>
      </c>
      <c r="T432" s="4" t="s">
        <v>62</v>
      </c>
      <c r="U432" s="6" t="s">
        <v>1855</v>
      </c>
      <c r="V432" s="4" t="s">
        <v>38</v>
      </c>
    </row>
    <row r="433" spans="1:22">
      <c r="A433" s="7" t="s">
        <v>1856</v>
      </c>
      <c r="B433" s="8" t="s">
        <v>251</v>
      </c>
      <c r="C433" s="8" t="s">
        <v>40</v>
      </c>
      <c r="D433" s="8" t="s">
        <v>998</v>
      </c>
      <c r="E433" s="8" t="s">
        <v>1128</v>
      </c>
      <c r="F433" s="8" t="s">
        <v>254</v>
      </c>
      <c r="G433" s="8" t="s">
        <v>28</v>
      </c>
      <c r="H433" s="8" t="s">
        <v>1857</v>
      </c>
      <c r="I433" s="8" t="s">
        <v>105</v>
      </c>
      <c r="J433" s="8" t="s">
        <v>106</v>
      </c>
      <c r="K433" s="8" t="s">
        <v>46</v>
      </c>
      <c r="L433" s="8" t="s">
        <v>47</v>
      </c>
      <c r="M433" s="8">
        <v>7</v>
      </c>
      <c r="N433" s="8">
        <v>12000</v>
      </c>
      <c r="O433" s="8">
        <v>5</v>
      </c>
      <c r="P433" s="8">
        <v>79800</v>
      </c>
      <c r="Q433" s="8">
        <v>4</v>
      </c>
      <c r="R433" s="8" t="s">
        <v>79</v>
      </c>
      <c r="S433" s="8" t="s">
        <v>151</v>
      </c>
      <c r="T433" s="8" t="s">
        <v>256</v>
      </c>
      <c r="U433" s="9" t="s">
        <v>1858</v>
      </c>
      <c r="V433" s="8" t="s">
        <v>69</v>
      </c>
    </row>
    <row r="434" spans="1:22">
      <c r="A434" s="3" t="s">
        <v>1859</v>
      </c>
      <c r="B434" s="4" t="s">
        <v>327</v>
      </c>
      <c r="C434" s="4" t="s">
        <v>222</v>
      </c>
      <c r="D434" s="4" t="s">
        <v>601</v>
      </c>
      <c r="E434" s="4"/>
      <c r="F434" s="4" t="s">
        <v>394</v>
      </c>
      <c r="G434" s="4" t="s">
        <v>76</v>
      </c>
      <c r="H434" s="4" t="s">
        <v>1860</v>
      </c>
      <c r="I434" s="4" t="s">
        <v>294</v>
      </c>
      <c r="J434" s="4" t="s">
        <v>295</v>
      </c>
      <c r="K434" s="4" t="s">
        <v>122</v>
      </c>
      <c r="L434" s="4" t="s">
        <v>227</v>
      </c>
      <c r="M434" s="4">
        <v>8</v>
      </c>
      <c r="N434" s="4">
        <v>20</v>
      </c>
      <c r="O434" s="4">
        <v>0</v>
      </c>
      <c r="P434" s="4">
        <v>160</v>
      </c>
      <c r="Q434" s="4">
        <v>4</v>
      </c>
      <c r="R434" s="4" t="s">
        <v>79</v>
      </c>
      <c r="S434" s="4" t="s">
        <v>61</v>
      </c>
      <c r="T434" s="4" t="s">
        <v>332</v>
      </c>
      <c r="U434" s="6" t="s">
        <v>1861</v>
      </c>
      <c r="V434" s="4" t="s">
        <v>64</v>
      </c>
    </row>
    <row r="435" spans="1:22">
      <c r="A435" s="7" t="s">
        <v>1862</v>
      </c>
      <c r="B435" s="8" t="s">
        <v>23</v>
      </c>
      <c r="C435" s="8" t="s">
        <v>92</v>
      </c>
      <c r="D435" s="8" t="s">
        <v>1863</v>
      </c>
      <c r="E435" s="8" t="s">
        <v>900</v>
      </c>
      <c r="F435" s="8" t="s">
        <v>27</v>
      </c>
      <c r="G435" s="8" t="s">
        <v>28</v>
      </c>
      <c r="H435" s="8" t="s">
        <v>1864</v>
      </c>
      <c r="I435" s="8" t="s">
        <v>294</v>
      </c>
      <c r="J435" s="8" t="s">
        <v>295</v>
      </c>
      <c r="K435" s="8" t="s">
        <v>32</v>
      </c>
      <c r="L435" s="8" t="s">
        <v>97</v>
      </c>
      <c r="M435" s="8">
        <v>16</v>
      </c>
      <c r="N435" s="8">
        <v>3500</v>
      </c>
      <c r="O435" s="8">
        <v>5</v>
      </c>
      <c r="P435" s="8">
        <v>53200</v>
      </c>
      <c r="Q435" s="8">
        <v>1</v>
      </c>
      <c r="R435" s="8" t="s">
        <v>79</v>
      </c>
      <c r="S435" s="8" t="s">
        <v>61</v>
      </c>
      <c r="T435" s="8" t="s">
        <v>50</v>
      </c>
      <c r="U435" s="9" t="s">
        <v>1865</v>
      </c>
      <c r="V435" s="8" t="s">
        <v>69</v>
      </c>
    </row>
    <row r="436" spans="1:22">
      <c r="A436" s="3" t="s">
        <v>1866</v>
      </c>
      <c r="B436" s="4" t="s">
        <v>327</v>
      </c>
      <c r="C436" s="4" t="s">
        <v>169</v>
      </c>
      <c r="D436" s="4" t="s">
        <v>1867</v>
      </c>
      <c r="E436" s="4" t="s">
        <v>1157</v>
      </c>
      <c r="F436" s="4" t="s">
        <v>394</v>
      </c>
      <c r="G436" s="4" t="s">
        <v>76</v>
      </c>
      <c r="H436" s="4" t="s">
        <v>1868</v>
      </c>
      <c r="I436" s="4" t="s">
        <v>105</v>
      </c>
      <c r="J436" s="4" t="s">
        <v>106</v>
      </c>
      <c r="K436" s="4" t="s">
        <v>32</v>
      </c>
      <c r="L436" s="4" t="s">
        <v>174</v>
      </c>
      <c r="M436" s="4">
        <v>12</v>
      </c>
      <c r="N436" s="4">
        <v>8500</v>
      </c>
      <c r="O436" s="4">
        <v>10</v>
      </c>
      <c r="P436" s="4">
        <v>91800</v>
      </c>
      <c r="Q436" s="4">
        <v>3</v>
      </c>
      <c r="R436" s="4" t="s">
        <v>79</v>
      </c>
      <c r="S436" s="4" t="s">
        <v>35</v>
      </c>
      <c r="T436" s="4" t="s">
        <v>332</v>
      </c>
      <c r="U436" s="6" t="s">
        <v>1869</v>
      </c>
      <c r="V436" s="4" t="s">
        <v>38</v>
      </c>
    </row>
    <row r="437" spans="1:22">
      <c r="A437" s="7" t="s">
        <v>1870</v>
      </c>
      <c r="B437" s="8" t="s">
        <v>23</v>
      </c>
      <c r="C437" s="8" t="s">
        <v>118</v>
      </c>
      <c r="D437" s="8" t="s">
        <v>539</v>
      </c>
      <c r="E437" s="8" t="s">
        <v>1114</v>
      </c>
      <c r="F437" s="8" t="s">
        <v>27</v>
      </c>
      <c r="G437" s="8" t="s">
        <v>28</v>
      </c>
      <c r="H437" s="8" t="s">
        <v>1871</v>
      </c>
      <c r="I437" s="8" t="s">
        <v>138</v>
      </c>
      <c r="J437" s="8" t="s">
        <v>106</v>
      </c>
      <c r="K437" s="8" t="s">
        <v>122</v>
      </c>
      <c r="L437" s="8" t="s">
        <v>123</v>
      </c>
      <c r="M437" s="8">
        <v>1</v>
      </c>
      <c r="N437" s="8">
        <v>60</v>
      </c>
      <c r="O437" s="8">
        <v>20</v>
      </c>
      <c r="P437" s="8">
        <v>48</v>
      </c>
      <c r="Q437" s="8">
        <v>2</v>
      </c>
      <c r="R437" s="8" t="s">
        <v>79</v>
      </c>
      <c r="S437" s="8" t="s">
        <v>151</v>
      </c>
      <c r="T437" s="8" t="s">
        <v>50</v>
      </c>
      <c r="U437" s="9" t="s">
        <v>1872</v>
      </c>
      <c r="V437" s="8" t="s">
        <v>38</v>
      </c>
    </row>
    <row r="438" spans="1:22">
      <c r="A438" s="3" t="s">
        <v>1873</v>
      </c>
      <c r="B438" s="4" t="s">
        <v>127</v>
      </c>
      <c r="C438" s="4" t="s">
        <v>118</v>
      </c>
      <c r="D438" s="4" t="s">
        <v>507</v>
      </c>
      <c r="E438" s="4" t="s">
        <v>535</v>
      </c>
      <c r="F438" s="4" t="s">
        <v>200</v>
      </c>
      <c r="G438" s="4" t="s">
        <v>76</v>
      </c>
      <c r="H438" s="4" t="s">
        <v>1874</v>
      </c>
      <c r="I438" s="4" t="s">
        <v>30</v>
      </c>
      <c r="J438" s="4" t="s">
        <v>31</v>
      </c>
      <c r="K438" s="4" t="s">
        <v>122</v>
      </c>
      <c r="L438" s="4" t="s">
        <v>123</v>
      </c>
      <c r="M438" s="4">
        <v>3</v>
      </c>
      <c r="N438" s="4">
        <v>60</v>
      </c>
      <c r="O438" s="4">
        <v>15</v>
      </c>
      <c r="P438" s="4">
        <v>153</v>
      </c>
      <c r="Q438" s="4">
        <v>4</v>
      </c>
      <c r="R438" s="4" t="s">
        <v>79</v>
      </c>
      <c r="S438" s="4" t="s">
        <v>35</v>
      </c>
      <c r="T438" s="4" t="s">
        <v>132</v>
      </c>
      <c r="U438" s="6" t="s">
        <v>1875</v>
      </c>
      <c r="V438" s="4" t="s">
        <v>38</v>
      </c>
    </row>
    <row r="439" spans="1:22">
      <c r="A439" s="7" t="s">
        <v>1876</v>
      </c>
      <c r="B439" s="8" t="s">
        <v>100</v>
      </c>
      <c r="C439" s="8" t="s">
        <v>184</v>
      </c>
      <c r="D439" s="8" t="s">
        <v>568</v>
      </c>
      <c r="E439" s="8" t="s">
        <v>119</v>
      </c>
      <c r="F439" s="8" t="s">
        <v>103</v>
      </c>
      <c r="G439" s="8" t="s">
        <v>28</v>
      </c>
      <c r="H439" s="8" t="s">
        <v>1877</v>
      </c>
      <c r="I439" s="8" t="s">
        <v>294</v>
      </c>
      <c r="J439" s="8" t="s">
        <v>295</v>
      </c>
      <c r="K439" s="8" t="s">
        <v>46</v>
      </c>
      <c r="L439" s="8" t="s">
        <v>189</v>
      </c>
      <c r="M439" s="8">
        <v>10</v>
      </c>
      <c r="N439" s="8">
        <v>700</v>
      </c>
      <c r="O439" s="8">
        <v>15</v>
      </c>
      <c r="P439" s="8">
        <v>5950</v>
      </c>
      <c r="Q439" s="8">
        <v>3</v>
      </c>
      <c r="R439" s="8" t="s">
        <v>48</v>
      </c>
      <c r="S439" s="8" t="s">
        <v>35</v>
      </c>
      <c r="T439" s="8" t="s">
        <v>144</v>
      </c>
      <c r="U439" s="9" t="s">
        <v>1878</v>
      </c>
      <c r="V439" s="8" t="s">
        <v>64</v>
      </c>
    </row>
    <row r="440" spans="1:22">
      <c r="A440" s="3" t="s">
        <v>1879</v>
      </c>
      <c r="B440" s="4" t="s">
        <v>83</v>
      </c>
      <c r="C440" s="4" t="s">
        <v>222</v>
      </c>
      <c r="D440" s="4" t="s">
        <v>1880</v>
      </c>
      <c r="E440" s="4" t="s">
        <v>1881</v>
      </c>
      <c r="F440" s="4" t="s">
        <v>180</v>
      </c>
      <c r="G440" s="4" t="s">
        <v>76</v>
      </c>
      <c r="H440" s="4" t="s">
        <v>1882</v>
      </c>
      <c r="I440" s="4" t="s">
        <v>138</v>
      </c>
      <c r="J440" s="4" t="s">
        <v>106</v>
      </c>
      <c r="K440" s="4" t="s">
        <v>122</v>
      </c>
      <c r="L440" s="4" t="s">
        <v>227</v>
      </c>
      <c r="M440" s="4">
        <v>2</v>
      </c>
      <c r="N440" s="4">
        <v>20</v>
      </c>
      <c r="O440" s="4">
        <v>10</v>
      </c>
      <c r="P440" s="4">
        <v>36</v>
      </c>
      <c r="Q440" s="4">
        <v>2</v>
      </c>
      <c r="R440" s="4" t="s">
        <v>88</v>
      </c>
      <c r="S440" s="4" t="s">
        <v>61</v>
      </c>
      <c r="T440" s="4" t="s">
        <v>89</v>
      </c>
      <c r="U440" s="6" t="s">
        <v>1883</v>
      </c>
      <c r="V440" s="4" t="s">
        <v>38</v>
      </c>
    </row>
    <row r="441" spans="1:22">
      <c r="A441" s="7" t="s">
        <v>1884</v>
      </c>
      <c r="B441" s="8" t="s">
        <v>83</v>
      </c>
      <c r="C441" s="8" t="s">
        <v>222</v>
      </c>
      <c r="D441" s="8" t="s">
        <v>1885</v>
      </c>
      <c r="E441" s="8" t="s">
        <v>1199</v>
      </c>
      <c r="F441" s="8" t="s">
        <v>180</v>
      </c>
      <c r="G441" s="8" t="s">
        <v>76</v>
      </c>
      <c r="H441" s="8" t="s">
        <v>1886</v>
      </c>
      <c r="I441" s="8" t="s">
        <v>44</v>
      </c>
      <c r="J441" s="8" t="s">
        <v>45</v>
      </c>
      <c r="K441" s="8" t="s">
        <v>122</v>
      </c>
      <c r="L441" s="8" t="s">
        <v>227</v>
      </c>
      <c r="M441" s="8">
        <v>14</v>
      </c>
      <c r="N441" s="8">
        <v>20</v>
      </c>
      <c r="O441" s="8">
        <v>20</v>
      </c>
      <c r="P441" s="8">
        <v>224</v>
      </c>
      <c r="Q441" s="8">
        <v>5</v>
      </c>
      <c r="R441" s="8" t="s">
        <v>34</v>
      </c>
      <c r="S441" s="8" t="s">
        <v>151</v>
      </c>
      <c r="T441" s="8" t="s">
        <v>89</v>
      </c>
      <c r="U441" s="9" t="s">
        <v>1887</v>
      </c>
      <c r="V441" s="8" t="s">
        <v>64</v>
      </c>
    </row>
    <row r="442" spans="1:22">
      <c r="A442" s="3" t="s">
        <v>1888</v>
      </c>
      <c r="B442" s="4" t="s">
        <v>327</v>
      </c>
      <c r="C442" s="4" t="s">
        <v>92</v>
      </c>
      <c r="D442" s="4" t="s">
        <v>1713</v>
      </c>
      <c r="E442" s="4" t="s">
        <v>193</v>
      </c>
      <c r="F442" s="4" t="s">
        <v>394</v>
      </c>
      <c r="G442" s="4" t="s">
        <v>76</v>
      </c>
      <c r="H442" s="4" t="s">
        <v>1889</v>
      </c>
      <c r="I442" s="4" t="s">
        <v>138</v>
      </c>
      <c r="J442" s="4" t="s">
        <v>106</v>
      </c>
      <c r="K442" s="4" t="s">
        <v>32</v>
      </c>
      <c r="L442" s="4" t="s">
        <v>97</v>
      </c>
      <c r="M442" s="4">
        <v>4</v>
      </c>
      <c r="N442" s="4">
        <v>3500</v>
      </c>
      <c r="O442" s="4">
        <v>0</v>
      </c>
      <c r="P442" s="4">
        <v>14000</v>
      </c>
      <c r="Q442" s="4">
        <v>2</v>
      </c>
      <c r="R442" s="4" t="s">
        <v>88</v>
      </c>
      <c r="S442" s="4" t="s">
        <v>35</v>
      </c>
      <c r="T442" s="4" t="s">
        <v>332</v>
      </c>
      <c r="U442" s="6" t="s">
        <v>1890</v>
      </c>
      <c r="V442" s="4" t="s">
        <v>69</v>
      </c>
    </row>
    <row r="443" spans="1:22">
      <c r="A443" s="7" t="s">
        <v>1891</v>
      </c>
      <c r="B443" s="8" t="s">
        <v>83</v>
      </c>
      <c r="C443" s="8" t="s">
        <v>92</v>
      </c>
      <c r="D443" s="8" t="s">
        <v>318</v>
      </c>
      <c r="E443" s="8" t="s">
        <v>1119</v>
      </c>
      <c r="F443" s="8" t="s">
        <v>180</v>
      </c>
      <c r="G443" s="8" t="s">
        <v>76</v>
      </c>
      <c r="H443" s="8" t="s">
        <v>1892</v>
      </c>
      <c r="I443" s="8" t="s">
        <v>212</v>
      </c>
      <c r="J443" s="8" t="s">
        <v>45</v>
      </c>
      <c r="K443" s="8" t="s">
        <v>32</v>
      </c>
      <c r="L443" s="8" t="s">
        <v>97</v>
      </c>
      <c r="M443" s="8">
        <v>9</v>
      </c>
      <c r="N443" s="8">
        <v>3500</v>
      </c>
      <c r="O443" s="8">
        <v>5</v>
      </c>
      <c r="P443" s="8">
        <v>29925</v>
      </c>
      <c r="Q443" s="8">
        <v>3</v>
      </c>
      <c r="R443" s="8" t="s">
        <v>79</v>
      </c>
      <c r="S443" s="8" t="s">
        <v>61</v>
      </c>
      <c r="T443" s="8" t="s">
        <v>89</v>
      </c>
      <c r="U443" s="9" t="s">
        <v>1893</v>
      </c>
      <c r="V443" s="8" t="s">
        <v>38</v>
      </c>
    </row>
    <row r="444" spans="1:22">
      <c r="A444" s="3" t="s">
        <v>1894</v>
      </c>
      <c r="B444" s="4" t="s">
        <v>127</v>
      </c>
      <c r="C444" s="4" t="s">
        <v>118</v>
      </c>
      <c r="D444" s="4" t="s">
        <v>683</v>
      </c>
      <c r="E444" s="4" t="s">
        <v>1465</v>
      </c>
      <c r="F444" s="4" t="s">
        <v>200</v>
      </c>
      <c r="G444" s="4" t="s">
        <v>76</v>
      </c>
      <c r="H444" s="4" t="s">
        <v>1895</v>
      </c>
      <c r="I444" s="4" t="s">
        <v>105</v>
      </c>
      <c r="J444" s="4" t="s">
        <v>106</v>
      </c>
      <c r="K444" s="4" t="s">
        <v>122</v>
      </c>
      <c r="L444" s="4" t="s">
        <v>123</v>
      </c>
      <c r="M444" s="4">
        <v>9</v>
      </c>
      <c r="N444" s="4">
        <v>60</v>
      </c>
      <c r="O444" s="4">
        <v>0</v>
      </c>
      <c r="P444" s="4">
        <v>540</v>
      </c>
      <c r="Q444" s="4">
        <v>3</v>
      </c>
      <c r="R444" s="4" t="s">
        <v>88</v>
      </c>
      <c r="S444" s="4" t="s">
        <v>35</v>
      </c>
      <c r="T444" s="4" t="s">
        <v>132</v>
      </c>
      <c r="U444" s="6" t="s">
        <v>1896</v>
      </c>
      <c r="V444" s="4" t="s">
        <v>64</v>
      </c>
    </row>
    <row r="445" spans="1:22">
      <c r="A445" s="7" t="s">
        <v>1897</v>
      </c>
      <c r="B445" s="8" t="s">
        <v>168</v>
      </c>
      <c r="C445" s="8" t="s">
        <v>72</v>
      </c>
      <c r="D445" s="8" t="s">
        <v>1898</v>
      </c>
      <c r="E445" s="8" t="s">
        <v>1263</v>
      </c>
      <c r="F445" s="8" t="s">
        <v>361</v>
      </c>
      <c r="G445" s="8" t="s">
        <v>28</v>
      </c>
      <c r="H445" s="8" t="s">
        <v>1899</v>
      </c>
      <c r="I445" s="8" t="s">
        <v>138</v>
      </c>
      <c r="J445" s="8" t="s">
        <v>106</v>
      </c>
      <c r="K445" s="8" t="s">
        <v>46</v>
      </c>
      <c r="L445" s="8" t="s">
        <v>78</v>
      </c>
      <c r="M445" s="8">
        <v>4</v>
      </c>
      <c r="N445" s="8">
        <v>1200</v>
      </c>
      <c r="O445" s="8">
        <v>0</v>
      </c>
      <c r="P445" s="8">
        <v>4800</v>
      </c>
      <c r="Q445" s="8">
        <v>1</v>
      </c>
      <c r="R445" s="8" t="s">
        <v>48</v>
      </c>
      <c r="S445" s="8" t="s">
        <v>61</v>
      </c>
      <c r="T445" s="8" t="s">
        <v>175</v>
      </c>
      <c r="U445" s="9" t="s">
        <v>1900</v>
      </c>
      <c r="V445" s="8" t="s">
        <v>38</v>
      </c>
    </row>
    <row r="446" spans="1:22">
      <c r="A446" s="3" t="s">
        <v>1901</v>
      </c>
      <c r="B446" s="4" t="s">
        <v>53</v>
      </c>
      <c r="C446" s="4" t="s">
        <v>54</v>
      </c>
      <c r="D446" s="4" t="s">
        <v>1620</v>
      </c>
      <c r="E446" s="4" t="s">
        <v>302</v>
      </c>
      <c r="F446" s="4" t="s">
        <v>163</v>
      </c>
      <c r="G446" s="4" t="s">
        <v>28</v>
      </c>
      <c r="H446" s="4" t="s">
        <v>1902</v>
      </c>
      <c r="I446" s="4" t="s">
        <v>30</v>
      </c>
      <c r="J446" s="4" t="s">
        <v>31</v>
      </c>
      <c r="K446" s="4" t="s">
        <v>46</v>
      </c>
      <c r="L446" s="4" t="s">
        <v>60</v>
      </c>
      <c r="M446" s="4">
        <v>10</v>
      </c>
      <c r="N446" s="4">
        <v>55000</v>
      </c>
      <c r="O446" s="4">
        <v>5</v>
      </c>
      <c r="P446" s="4">
        <v>522500</v>
      </c>
      <c r="Q446" s="4">
        <v>5</v>
      </c>
      <c r="R446" s="4" t="s">
        <v>88</v>
      </c>
      <c r="S446" s="4" t="s">
        <v>115</v>
      </c>
      <c r="T446" s="4" t="s">
        <v>62</v>
      </c>
      <c r="U446" s="6" t="s">
        <v>1903</v>
      </c>
      <c r="V446" s="4" t="s">
        <v>38</v>
      </c>
    </row>
    <row r="447" spans="1:22">
      <c r="A447" s="7" t="s">
        <v>1904</v>
      </c>
      <c r="B447" s="8" t="s">
        <v>221</v>
      </c>
      <c r="C447" s="8" t="s">
        <v>259</v>
      </c>
      <c r="D447" s="8" t="s">
        <v>1905</v>
      </c>
      <c r="E447" s="8" t="s">
        <v>881</v>
      </c>
      <c r="F447" s="8" t="s">
        <v>225</v>
      </c>
      <c r="G447" s="8" t="s">
        <v>76</v>
      </c>
      <c r="H447" s="8" t="s">
        <v>1906</v>
      </c>
      <c r="I447" s="8" t="s">
        <v>30</v>
      </c>
      <c r="J447" s="8" t="s">
        <v>31</v>
      </c>
      <c r="K447" s="8" t="s">
        <v>122</v>
      </c>
      <c r="L447" s="8" t="s">
        <v>263</v>
      </c>
      <c r="M447" s="8">
        <v>20</v>
      </c>
      <c r="N447" s="8">
        <v>45</v>
      </c>
      <c r="O447" s="8">
        <v>15</v>
      </c>
      <c r="P447" s="8">
        <v>765</v>
      </c>
      <c r="Q447" s="8">
        <v>2</v>
      </c>
      <c r="R447" s="8" t="s">
        <v>79</v>
      </c>
      <c r="S447" s="8" t="s">
        <v>35</v>
      </c>
      <c r="T447" s="8" t="s">
        <v>228</v>
      </c>
      <c r="U447" s="9" t="s">
        <v>1907</v>
      </c>
      <c r="V447" s="8" t="s">
        <v>69</v>
      </c>
    </row>
    <row r="448" spans="1:22">
      <c r="A448" s="3" t="s">
        <v>1908</v>
      </c>
      <c r="B448" s="4" t="s">
        <v>23</v>
      </c>
      <c r="C448" s="4" t="s">
        <v>222</v>
      </c>
      <c r="D448" s="4" t="s">
        <v>314</v>
      </c>
      <c r="E448" s="4" t="s">
        <v>170</v>
      </c>
      <c r="F448" s="4" t="s">
        <v>27</v>
      </c>
      <c r="G448" s="4" t="s">
        <v>28</v>
      </c>
      <c r="H448" s="4" t="s">
        <v>1909</v>
      </c>
      <c r="I448" s="4" t="s">
        <v>105</v>
      </c>
      <c r="J448" s="4" t="s">
        <v>106</v>
      </c>
      <c r="K448" s="4" t="s">
        <v>122</v>
      </c>
      <c r="L448" s="4" t="s">
        <v>227</v>
      </c>
      <c r="M448" s="4">
        <v>9</v>
      </c>
      <c r="N448" s="4">
        <v>20</v>
      </c>
      <c r="O448" s="4">
        <v>20</v>
      </c>
      <c r="P448" s="4">
        <v>144</v>
      </c>
      <c r="Q448" s="4">
        <v>3</v>
      </c>
      <c r="R448" s="4" t="s">
        <v>79</v>
      </c>
      <c r="S448" s="4" t="s">
        <v>61</v>
      </c>
      <c r="T448" s="4" t="s">
        <v>50</v>
      </c>
      <c r="U448" s="6" t="s">
        <v>1910</v>
      </c>
      <c r="V448" s="4" t="s">
        <v>38</v>
      </c>
    </row>
    <row r="449" spans="1:22">
      <c r="A449" s="7" t="s">
        <v>1911</v>
      </c>
      <c r="B449" s="8" t="s">
        <v>23</v>
      </c>
      <c r="C449" s="8" t="s">
        <v>54</v>
      </c>
      <c r="D449" s="8" t="s">
        <v>1912</v>
      </c>
      <c r="E449" s="8" t="s">
        <v>910</v>
      </c>
      <c r="F449" s="8" t="s">
        <v>27</v>
      </c>
      <c r="G449" s="8" t="s">
        <v>28</v>
      </c>
      <c r="H449" s="8" t="s">
        <v>1913</v>
      </c>
      <c r="I449" s="8" t="s">
        <v>114</v>
      </c>
      <c r="J449" s="8" t="s">
        <v>106</v>
      </c>
      <c r="K449" s="8" t="s">
        <v>46</v>
      </c>
      <c r="L449" s="8" t="s">
        <v>60</v>
      </c>
      <c r="M449" s="8">
        <v>8</v>
      </c>
      <c r="N449" s="8">
        <v>55000</v>
      </c>
      <c r="O449" s="8">
        <v>0</v>
      </c>
      <c r="P449" s="8">
        <v>440000</v>
      </c>
      <c r="Q449" s="8">
        <v>4</v>
      </c>
      <c r="R449" s="8" t="s">
        <v>34</v>
      </c>
      <c r="S449" s="8" t="s">
        <v>115</v>
      </c>
      <c r="T449" s="8" t="s">
        <v>50</v>
      </c>
      <c r="U449" s="9" t="s">
        <v>1914</v>
      </c>
      <c r="V449" s="8" t="s">
        <v>38</v>
      </c>
    </row>
    <row r="450" spans="1:22">
      <c r="A450" s="3" t="s">
        <v>1915</v>
      </c>
      <c r="B450" s="4" t="s">
        <v>327</v>
      </c>
      <c r="C450" s="4" t="s">
        <v>72</v>
      </c>
      <c r="D450" s="4" t="s">
        <v>1916</v>
      </c>
      <c r="E450" s="4" t="s">
        <v>1430</v>
      </c>
      <c r="F450" s="4" t="s">
        <v>394</v>
      </c>
      <c r="G450" s="4" t="s">
        <v>76</v>
      </c>
      <c r="H450" s="4" t="s">
        <v>1917</v>
      </c>
      <c r="I450" s="4" t="s">
        <v>138</v>
      </c>
      <c r="J450" s="4" t="s">
        <v>106</v>
      </c>
      <c r="K450" s="4" t="s">
        <v>46</v>
      </c>
      <c r="L450" s="4" t="s">
        <v>78</v>
      </c>
      <c r="M450" s="4">
        <v>4</v>
      </c>
      <c r="N450" s="4">
        <v>1200</v>
      </c>
      <c r="O450" s="4">
        <v>10</v>
      </c>
      <c r="P450" s="4">
        <v>4320</v>
      </c>
      <c r="Q450" s="4">
        <v>4</v>
      </c>
      <c r="R450" s="4" t="s">
        <v>88</v>
      </c>
      <c r="S450" s="4" t="s">
        <v>35</v>
      </c>
      <c r="T450" s="5" t="s">
        <v>1918</v>
      </c>
      <c r="U450" s="6" t="s">
        <v>1919</v>
      </c>
      <c r="V450" s="4" t="s">
        <v>69</v>
      </c>
    </row>
    <row r="451" spans="1:22">
      <c r="A451" s="7" t="s">
        <v>1920</v>
      </c>
      <c r="B451" s="8" t="s">
        <v>327</v>
      </c>
      <c r="C451" s="8" t="s">
        <v>169</v>
      </c>
      <c r="D451" s="8" t="s">
        <v>518</v>
      </c>
      <c r="E451" s="8" t="s">
        <v>426</v>
      </c>
      <c r="F451" s="8" t="s">
        <v>394</v>
      </c>
      <c r="G451" s="8" t="s">
        <v>76</v>
      </c>
      <c r="H451" s="8" t="s">
        <v>1921</v>
      </c>
      <c r="I451" s="8" t="s">
        <v>294</v>
      </c>
      <c r="J451" s="8" t="s">
        <v>295</v>
      </c>
      <c r="K451" s="8" t="s">
        <v>32</v>
      </c>
      <c r="L451" s="8" t="s">
        <v>174</v>
      </c>
      <c r="M451" s="8">
        <v>14</v>
      </c>
      <c r="N451" s="8">
        <v>8500</v>
      </c>
      <c r="O451" s="8">
        <v>10</v>
      </c>
      <c r="P451" s="8">
        <v>107100</v>
      </c>
      <c r="Q451" s="8">
        <v>4</v>
      </c>
      <c r="R451" s="8" t="s">
        <v>34</v>
      </c>
      <c r="S451" s="8" t="s">
        <v>35</v>
      </c>
      <c r="T451" s="8" t="s">
        <v>332</v>
      </c>
      <c r="U451" s="9" t="s">
        <v>1922</v>
      </c>
      <c r="V451" s="8" t="s">
        <v>38</v>
      </c>
    </row>
    <row r="452" spans="1:22">
      <c r="A452" s="3" t="s">
        <v>1923</v>
      </c>
      <c r="B452" s="4" t="s">
        <v>71</v>
      </c>
      <c r="C452" s="4" t="s">
        <v>259</v>
      </c>
      <c r="D452" s="4" t="s">
        <v>683</v>
      </c>
      <c r="E452" s="4" t="s">
        <v>1924</v>
      </c>
      <c r="F452" s="4" t="s">
        <v>217</v>
      </c>
      <c r="G452" s="4" t="s">
        <v>76</v>
      </c>
      <c r="H452" s="4" t="s">
        <v>1925</v>
      </c>
      <c r="I452" s="4" t="s">
        <v>30</v>
      </c>
      <c r="J452" s="4" t="s">
        <v>31</v>
      </c>
      <c r="K452" s="4" t="s">
        <v>122</v>
      </c>
      <c r="L452" s="4" t="s">
        <v>263</v>
      </c>
      <c r="M452" s="4">
        <v>1</v>
      </c>
      <c r="N452" s="4">
        <v>45</v>
      </c>
      <c r="O452" s="4">
        <v>0</v>
      </c>
      <c r="P452" s="4">
        <v>45</v>
      </c>
      <c r="Q452" s="4">
        <v>3</v>
      </c>
      <c r="R452" s="4" t="s">
        <v>88</v>
      </c>
      <c r="S452" s="4" t="s">
        <v>151</v>
      </c>
      <c r="T452" s="4" t="s">
        <v>80</v>
      </c>
      <c r="U452" s="6" t="s">
        <v>1926</v>
      </c>
      <c r="V452" s="4" t="s">
        <v>69</v>
      </c>
    </row>
    <row r="453" spans="1:22">
      <c r="A453" s="7" t="s">
        <v>1927</v>
      </c>
      <c r="B453" s="8" t="s">
        <v>71</v>
      </c>
      <c r="C453" s="8" t="s">
        <v>54</v>
      </c>
      <c r="D453" s="8" t="s">
        <v>901</v>
      </c>
      <c r="E453" s="8" t="s">
        <v>1069</v>
      </c>
      <c r="F453" s="8" t="s">
        <v>217</v>
      </c>
      <c r="G453" s="8" t="s">
        <v>76</v>
      </c>
      <c r="H453" s="8" t="s">
        <v>1928</v>
      </c>
      <c r="I453" s="8" t="s">
        <v>44</v>
      </c>
      <c r="J453" s="8" t="s">
        <v>45</v>
      </c>
      <c r="K453" s="8" t="s">
        <v>46</v>
      </c>
      <c r="L453" s="8" t="s">
        <v>60</v>
      </c>
      <c r="M453" s="8">
        <v>16</v>
      </c>
      <c r="N453" s="8">
        <v>55000</v>
      </c>
      <c r="O453" s="8">
        <v>15</v>
      </c>
      <c r="P453" s="8">
        <v>748000</v>
      </c>
      <c r="Q453" s="8">
        <v>1</v>
      </c>
      <c r="R453" s="8" t="s">
        <v>79</v>
      </c>
      <c r="S453" s="8" t="s">
        <v>151</v>
      </c>
      <c r="T453" s="8" t="s">
        <v>80</v>
      </c>
      <c r="U453" s="9" t="s">
        <v>1929</v>
      </c>
      <c r="V453" s="8" t="s">
        <v>69</v>
      </c>
    </row>
    <row r="454" spans="1:22">
      <c r="A454" s="3" t="s">
        <v>1930</v>
      </c>
      <c r="B454" s="4" t="s">
        <v>53</v>
      </c>
      <c r="C454" s="4" t="s">
        <v>184</v>
      </c>
      <c r="D454" s="4" t="s">
        <v>1931</v>
      </c>
      <c r="E454" s="4" t="s">
        <v>1932</v>
      </c>
      <c r="F454" s="4" t="s">
        <v>163</v>
      </c>
      <c r="G454" s="4" t="s">
        <v>28</v>
      </c>
      <c r="H454" s="4" t="s">
        <v>1933</v>
      </c>
      <c r="I454" s="4" t="s">
        <v>138</v>
      </c>
      <c r="J454" s="4" t="s">
        <v>106</v>
      </c>
      <c r="K454" s="4" t="s">
        <v>46</v>
      </c>
      <c r="L454" s="4" t="s">
        <v>189</v>
      </c>
      <c r="M454" s="4">
        <v>8</v>
      </c>
      <c r="N454" s="4">
        <v>700</v>
      </c>
      <c r="O454" s="4">
        <v>0</v>
      </c>
      <c r="P454" s="4">
        <v>5600</v>
      </c>
      <c r="Q454" s="4">
        <v>3</v>
      </c>
      <c r="R454" s="4" t="s">
        <v>34</v>
      </c>
      <c r="S454" s="4" t="s">
        <v>49</v>
      </c>
      <c r="T454" s="4" t="s">
        <v>62</v>
      </c>
      <c r="U454" s="6" t="s">
        <v>1934</v>
      </c>
      <c r="V454" s="4" t="s">
        <v>38</v>
      </c>
    </row>
    <row r="455" spans="1:22">
      <c r="A455" s="7" t="s">
        <v>1935</v>
      </c>
      <c r="B455" s="8" t="s">
        <v>251</v>
      </c>
      <c r="C455" s="8" t="s">
        <v>72</v>
      </c>
      <c r="D455" s="8" t="s">
        <v>66</v>
      </c>
      <c r="E455" s="8" t="s">
        <v>1936</v>
      </c>
      <c r="F455" s="8" t="s">
        <v>254</v>
      </c>
      <c r="G455" s="8" t="s">
        <v>28</v>
      </c>
      <c r="H455" s="8" t="s">
        <v>1937</v>
      </c>
      <c r="I455" s="8" t="s">
        <v>138</v>
      </c>
      <c r="J455" s="8" t="s">
        <v>106</v>
      </c>
      <c r="K455" s="8" t="s">
        <v>46</v>
      </c>
      <c r="L455" s="8" t="s">
        <v>78</v>
      </c>
      <c r="M455" s="8">
        <v>3</v>
      </c>
      <c r="N455" s="8">
        <v>1200</v>
      </c>
      <c r="O455" s="8">
        <v>0</v>
      </c>
      <c r="P455" s="8">
        <v>3600</v>
      </c>
      <c r="Q455" s="8">
        <v>1</v>
      </c>
      <c r="R455" s="8" t="s">
        <v>79</v>
      </c>
      <c r="S455" s="8" t="s">
        <v>49</v>
      </c>
      <c r="T455" s="8" t="s">
        <v>256</v>
      </c>
      <c r="U455" s="9" t="s">
        <v>1938</v>
      </c>
      <c r="V455" s="8" t="s">
        <v>69</v>
      </c>
    </row>
    <row r="456" spans="1:22">
      <c r="A456" s="3" t="s">
        <v>1939</v>
      </c>
      <c r="B456" s="4" t="s">
        <v>71</v>
      </c>
      <c r="C456" s="4" t="s">
        <v>92</v>
      </c>
      <c r="D456" s="4" t="s">
        <v>988</v>
      </c>
      <c r="E456" s="4" t="s">
        <v>387</v>
      </c>
      <c r="F456" s="4" t="s">
        <v>217</v>
      </c>
      <c r="G456" s="4" t="s">
        <v>76</v>
      </c>
      <c r="H456" s="4" t="s">
        <v>1940</v>
      </c>
      <c r="I456" s="4" t="s">
        <v>294</v>
      </c>
      <c r="J456" s="4" t="s">
        <v>295</v>
      </c>
      <c r="K456" s="4" t="s">
        <v>32</v>
      </c>
      <c r="L456" s="4" t="s">
        <v>97</v>
      </c>
      <c r="M456" s="4">
        <v>7</v>
      </c>
      <c r="N456" s="4">
        <v>3500</v>
      </c>
      <c r="O456" s="4">
        <v>15</v>
      </c>
      <c r="P456" s="4">
        <v>20825</v>
      </c>
      <c r="Q456" s="4">
        <v>4</v>
      </c>
      <c r="R456" s="4" t="s">
        <v>79</v>
      </c>
      <c r="S456" s="4" t="s">
        <v>61</v>
      </c>
      <c r="T456" s="4" t="s">
        <v>80</v>
      </c>
      <c r="U456" s="6" t="s">
        <v>1941</v>
      </c>
      <c r="V456" s="4" t="s">
        <v>64</v>
      </c>
    </row>
    <row r="457" spans="1:22">
      <c r="A457" s="7" t="s">
        <v>1942</v>
      </c>
      <c r="B457" s="8" t="s">
        <v>53</v>
      </c>
      <c r="C457" s="8" t="s">
        <v>54</v>
      </c>
      <c r="D457" s="8" t="s">
        <v>1932</v>
      </c>
      <c r="E457" s="8" t="s">
        <v>740</v>
      </c>
      <c r="F457" s="8" t="s">
        <v>163</v>
      </c>
      <c r="G457" s="8" t="s">
        <v>28</v>
      </c>
      <c r="H457" s="8" t="s">
        <v>1943</v>
      </c>
      <c r="I457" s="8" t="s">
        <v>114</v>
      </c>
      <c r="J457" s="8" t="s">
        <v>106</v>
      </c>
      <c r="K457" s="8" t="s">
        <v>46</v>
      </c>
      <c r="L457" s="8" t="s">
        <v>60</v>
      </c>
      <c r="M457" s="8">
        <v>9</v>
      </c>
      <c r="N457" s="8">
        <v>55000</v>
      </c>
      <c r="O457" s="8">
        <v>15</v>
      </c>
      <c r="P457" s="8">
        <v>420750</v>
      </c>
      <c r="Q457" s="8">
        <v>3</v>
      </c>
      <c r="R457" s="8" t="s">
        <v>88</v>
      </c>
      <c r="S457" s="8" t="s">
        <v>35</v>
      </c>
      <c r="T457" s="8" t="s">
        <v>62</v>
      </c>
      <c r="U457" s="9" t="s">
        <v>1944</v>
      </c>
      <c r="V457" s="8" t="s">
        <v>69</v>
      </c>
    </row>
    <row r="458" spans="1:22">
      <c r="A458" s="3" t="s">
        <v>1945</v>
      </c>
      <c r="B458" s="4" t="s">
        <v>327</v>
      </c>
      <c r="C458" s="4" t="s">
        <v>40</v>
      </c>
      <c r="D458" s="4" t="s">
        <v>185</v>
      </c>
      <c r="E458" s="4" t="s">
        <v>918</v>
      </c>
      <c r="F458" s="4" t="s">
        <v>394</v>
      </c>
      <c r="G458" s="4" t="s">
        <v>76</v>
      </c>
      <c r="H458" s="4" t="s">
        <v>1946</v>
      </c>
      <c r="I458" s="4" t="s">
        <v>59</v>
      </c>
      <c r="J458" s="4" t="s">
        <v>31</v>
      </c>
      <c r="K458" s="4" t="s">
        <v>46</v>
      </c>
      <c r="L458" s="4" t="s">
        <v>47</v>
      </c>
      <c r="M458" s="4">
        <v>12</v>
      </c>
      <c r="N458" s="4">
        <v>12000</v>
      </c>
      <c r="O458" s="4">
        <v>0</v>
      </c>
      <c r="P458" s="4">
        <v>144000</v>
      </c>
      <c r="Q458" s="4">
        <v>3</v>
      </c>
      <c r="R458" s="4" t="s">
        <v>79</v>
      </c>
      <c r="S458" s="4" t="s">
        <v>151</v>
      </c>
      <c r="T458" s="4" t="s">
        <v>332</v>
      </c>
      <c r="U458" s="6" t="s">
        <v>1947</v>
      </c>
      <c r="V458" s="4" t="s">
        <v>69</v>
      </c>
    </row>
    <row r="459" spans="1:22">
      <c r="A459" s="7" t="s">
        <v>1948</v>
      </c>
      <c r="B459" s="8" t="s">
        <v>100</v>
      </c>
      <c r="C459" s="8" t="s">
        <v>118</v>
      </c>
      <c r="D459" s="8" t="s">
        <v>42</v>
      </c>
      <c r="E459" s="8" t="s">
        <v>597</v>
      </c>
      <c r="F459" s="8" t="s">
        <v>103</v>
      </c>
      <c r="G459" s="8" t="s">
        <v>28</v>
      </c>
      <c r="H459" s="8" t="s">
        <v>1949</v>
      </c>
      <c r="I459" s="8" t="s">
        <v>138</v>
      </c>
      <c r="J459" s="8" t="s">
        <v>106</v>
      </c>
      <c r="K459" s="8" t="s">
        <v>122</v>
      </c>
      <c r="L459" s="8" t="s">
        <v>123</v>
      </c>
      <c r="M459" s="8">
        <v>7</v>
      </c>
      <c r="N459" s="8">
        <v>60</v>
      </c>
      <c r="O459" s="8">
        <v>10</v>
      </c>
      <c r="P459" s="8">
        <v>378</v>
      </c>
      <c r="Q459" s="8">
        <v>4</v>
      </c>
      <c r="R459" s="8" t="s">
        <v>34</v>
      </c>
      <c r="S459" s="8" t="s">
        <v>49</v>
      </c>
      <c r="T459" s="8" t="s">
        <v>144</v>
      </c>
      <c r="U459" s="9" t="s">
        <v>1950</v>
      </c>
      <c r="V459" s="8" t="s">
        <v>69</v>
      </c>
    </row>
    <row r="460" spans="1:22">
      <c r="A460" s="3" t="s">
        <v>1951</v>
      </c>
      <c r="B460" s="4" t="s">
        <v>221</v>
      </c>
      <c r="C460" s="4" t="s">
        <v>24</v>
      </c>
      <c r="D460" s="4" t="s">
        <v>377</v>
      </c>
      <c r="E460" s="4" t="s">
        <v>674</v>
      </c>
      <c r="F460" s="4" t="s">
        <v>225</v>
      </c>
      <c r="G460" s="4" t="s">
        <v>76</v>
      </c>
      <c r="H460" s="4" t="s">
        <v>1952</v>
      </c>
      <c r="I460" s="4" t="s">
        <v>105</v>
      </c>
      <c r="J460" s="4" t="s">
        <v>106</v>
      </c>
      <c r="K460" s="4" t="s">
        <v>32</v>
      </c>
      <c r="L460" s="4" t="s">
        <v>33</v>
      </c>
      <c r="M460" s="4">
        <v>17</v>
      </c>
      <c r="N460" s="4">
        <v>2200</v>
      </c>
      <c r="O460" s="4">
        <v>15</v>
      </c>
      <c r="P460" s="4">
        <v>31790</v>
      </c>
      <c r="Q460" s="4">
        <v>3</v>
      </c>
      <c r="R460" s="4" t="s">
        <v>88</v>
      </c>
      <c r="S460" s="4" t="s">
        <v>151</v>
      </c>
      <c r="T460" s="4" t="s">
        <v>228</v>
      </c>
      <c r="U460" s="6" t="s">
        <v>1953</v>
      </c>
      <c r="V460" s="4" t="s">
        <v>64</v>
      </c>
    </row>
    <row r="461" spans="1:22">
      <c r="A461" s="7" t="s">
        <v>1954</v>
      </c>
      <c r="B461" s="8" t="s">
        <v>327</v>
      </c>
      <c r="C461" s="8" t="s">
        <v>184</v>
      </c>
      <c r="D461" s="8" t="s">
        <v>351</v>
      </c>
      <c r="E461" s="8" t="s">
        <v>1537</v>
      </c>
      <c r="F461" s="8" t="s">
        <v>394</v>
      </c>
      <c r="G461" s="8" t="s">
        <v>76</v>
      </c>
      <c r="H461" s="8" t="s">
        <v>1955</v>
      </c>
      <c r="I461" s="8" t="s">
        <v>59</v>
      </c>
      <c r="J461" s="8" t="s">
        <v>31</v>
      </c>
      <c r="K461" s="8" t="s">
        <v>46</v>
      </c>
      <c r="L461" s="8" t="s">
        <v>189</v>
      </c>
      <c r="M461" s="8">
        <v>17</v>
      </c>
      <c r="N461" s="8">
        <v>700</v>
      </c>
      <c r="O461" s="8">
        <v>10</v>
      </c>
      <c r="P461" s="8">
        <v>10710</v>
      </c>
      <c r="Q461" s="8">
        <v>2</v>
      </c>
      <c r="R461" s="8" t="s">
        <v>34</v>
      </c>
      <c r="S461" s="8" t="s">
        <v>61</v>
      </c>
      <c r="T461" s="8" t="s">
        <v>332</v>
      </c>
      <c r="U461" s="9" t="s">
        <v>1956</v>
      </c>
      <c r="V461" s="8" t="s">
        <v>64</v>
      </c>
    </row>
    <row r="462" spans="1:22">
      <c r="A462" s="3" t="s">
        <v>1957</v>
      </c>
      <c r="B462" s="4" t="s">
        <v>327</v>
      </c>
      <c r="C462" s="4" t="s">
        <v>54</v>
      </c>
      <c r="D462" s="4" t="s">
        <v>1958</v>
      </c>
      <c r="E462" s="4" t="s">
        <v>1188</v>
      </c>
      <c r="F462" s="4" t="s">
        <v>394</v>
      </c>
      <c r="G462" s="4" t="s">
        <v>76</v>
      </c>
      <c r="H462" s="4" t="s">
        <v>1959</v>
      </c>
      <c r="I462" s="4" t="s">
        <v>44</v>
      </c>
      <c r="J462" s="4" t="s">
        <v>45</v>
      </c>
      <c r="K462" s="4" t="s">
        <v>46</v>
      </c>
      <c r="L462" s="4" t="s">
        <v>60</v>
      </c>
      <c r="M462" s="4">
        <v>19</v>
      </c>
      <c r="N462" s="4">
        <v>55000</v>
      </c>
      <c r="O462" s="4">
        <v>20</v>
      </c>
      <c r="P462" s="4">
        <v>836000</v>
      </c>
      <c r="Q462" s="4">
        <v>5</v>
      </c>
      <c r="R462" s="4" t="s">
        <v>48</v>
      </c>
      <c r="S462" s="4" t="s">
        <v>61</v>
      </c>
      <c r="T462" s="4" t="s">
        <v>332</v>
      </c>
      <c r="U462" s="6" t="s">
        <v>1960</v>
      </c>
      <c r="V462" s="4" t="s">
        <v>38</v>
      </c>
    </row>
    <row r="463" spans="1:22">
      <c r="A463" s="7" t="s">
        <v>1961</v>
      </c>
      <c r="B463" s="8" t="s">
        <v>127</v>
      </c>
      <c r="C463" s="8" t="s">
        <v>118</v>
      </c>
      <c r="D463" s="8" t="s">
        <v>1172</v>
      </c>
      <c r="E463" s="8" t="s">
        <v>128</v>
      </c>
      <c r="F463" s="8" t="s">
        <v>200</v>
      </c>
      <c r="G463" s="8" t="s">
        <v>76</v>
      </c>
      <c r="H463" s="8" t="s">
        <v>1962</v>
      </c>
      <c r="I463" s="8" t="s">
        <v>44</v>
      </c>
      <c r="J463" s="8" t="s">
        <v>45</v>
      </c>
      <c r="K463" s="8" t="s">
        <v>122</v>
      </c>
      <c r="L463" s="8" t="s">
        <v>123</v>
      </c>
      <c r="M463" s="8">
        <v>1</v>
      </c>
      <c r="N463" s="8">
        <v>60</v>
      </c>
      <c r="O463" s="8">
        <v>10</v>
      </c>
      <c r="P463" s="8">
        <v>54</v>
      </c>
      <c r="Q463" s="8">
        <v>4</v>
      </c>
      <c r="R463" s="8" t="s">
        <v>48</v>
      </c>
      <c r="S463" s="8"/>
      <c r="T463" s="10" t="s">
        <v>1963</v>
      </c>
      <c r="U463" s="9" t="s">
        <v>1964</v>
      </c>
      <c r="V463" s="8" t="s">
        <v>69</v>
      </c>
    </row>
    <row r="464" spans="1:22">
      <c r="A464" s="3" t="s">
        <v>1965</v>
      </c>
      <c r="B464" s="4" t="s">
        <v>71</v>
      </c>
      <c r="C464" s="4" t="s">
        <v>92</v>
      </c>
      <c r="D464" s="4" t="s">
        <v>1142</v>
      </c>
      <c r="E464" s="4" t="s">
        <v>554</v>
      </c>
      <c r="F464" s="4" t="s">
        <v>217</v>
      </c>
      <c r="G464" s="4" t="s">
        <v>76</v>
      </c>
      <c r="H464" s="4" t="s">
        <v>1966</v>
      </c>
      <c r="I464" s="4" t="s">
        <v>30</v>
      </c>
      <c r="J464" s="4" t="s">
        <v>31</v>
      </c>
      <c r="K464" s="4" t="s">
        <v>32</v>
      </c>
      <c r="L464" s="4" t="s">
        <v>97</v>
      </c>
      <c r="M464" s="4">
        <v>16</v>
      </c>
      <c r="N464" s="4">
        <v>3500</v>
      </c>
      <c r="O464" s="4">
        <v>0</v>
      </c>
      <c r="P464" s="4">
        <v>56000</v>
      </c>
      <c r="Q464" s="4">
        <v>4</v>
      </c>
      <c r="R464" s="4" t="s">
        <v>48</v>
      </c>
      <c r="S464" s="4" t="s">
        <v>35</v>
      </c>
      <c r="T464" s="4" t="s">
        <v>80</v>
      </c>
      <c r="U464" s="6" t="s">
        <v>1967</v>
      </c>
      <c r="V464" s="4" t="s">
        <v>64</v>
      </c>
    </row>
    <row r="465" spans="1:22">
      <c r="A465" s="7" t="s">
        <v>1968</v>
      </c>
      <c r="B465" s="8" t="s">
        <v>127</v>
      </c>
      <c r="C465" s="8" t="s">
        <v>222</v>
      </c>
      <c r="D465" s="8" t="s">
        <v>957</v>
      </c>
      <c r="E465" s="8" t="s">
        <v>766</v>
      </c>
      <c r="F465" s="8" t="s">
        <v>200</v>
      </c>
      <c r="G465" s="8" t="s">
        <v>76</v>
      </c>
      <c r="H465" s="8" t="s">
        <v>1295</v>
      </c>
      <c r="I465" s="8" t="s">
        <v>114</v>
      </c>
      <c r="J465" s="8" t="s">
        <v>106</v>
      </c>
      <c r="K465" s="8" t="s">
        <v>122</v>
      </c>
      <c r="L465" s="8" t="s">
        <v>227</v>
      </c>
      <c r="M465" s="8">
        <v>14</v>
      </c>
      <c r="N465" s="8">
        <v>20</v>
      </c>
      <c r="O465" s="8">
        <v>10</v>
      </c>
      <c r="P465" s="8">
        <v>252</v>
      </c>
      <c r="Q465" s="8">
        <v>1</v>
      </c>
      <c r="R465" s="8" t="s">
        <v>48</v>
      </c>
      <c r="S465" s="8" t="s">
        <v>61</v>
      </c>
      <c r="T465" s="8" t="s">
        <v>132</v>
      </c>
      <c r="U465" s="9" t="s">
        <v>1969</v>
      </c>
      <c r="V465" s="8" t="s">
        <v>64</v>
      </c>
    </row>
    <row r="466" spans="1:22">
      <c r="A466" s="3" t="s">
        <v>1970</v>
      </c>
      <c r="B466" s="4" t="s">
        <v>71</v>
      </c>
      <c r="C466" s="4" t="s">
        <v>24</v>
      </c>
      <c r="D466" s="4" t="s">
        <v>473</v>
      </c>
      <c r="E466" s="4" t="s">
        <v>454</v>
      </c>
      <c r="F466" s="4" t="s">
        <v>217</v>
      </c>
      <c r="G466" s="4" t="s">
        <v>76</v>
      </c>
      <c r="H466" s="4" t="s">
        <v>1971</v>
      </c>
      <c r="I466" s="4" t="s">
        <v>59</v>
      </c>
      <c r="J466" s="4" t="s">
        <v>31</v>
      </c>
      <c r="K466" s="4" t="s">
        <v>32</v>
      </c>
      <c r="L466" s="4" t="s">
        <v>33</v>
      </c>
      <c r="M466" s="4">
        <v>11</v>
      </c>
      <c r="N466" s="4">
        <v>2200</v>
      </c>
      <c r="O466" s="4">
        <v>15</v>
      </c>
      <c r="P466" s="4">
        <v>20570</v>
      </c>
      <c r="Q466" s="4">
        <v>4</v>
      </c>
      <c r="R466" s="4" t="s">
        <v>48</v>
      </c>
      <c r="S466" s="4" t="s">
        <v>49</v>
      </c>
      <c r="T466" s="4" t="s">
        <v>80</v>
      </c>
      <c r="U466" s="6" t="s">
        <v>1972</v>
      </c>
      <c r="V466" s="4" t="s">
        <v>69</v>
      </c>
    </row>
    <row r="467" spans="1:22">
      <c r="A467" s="7" t="s">
        <v>1973</v>
      </c>
      <c r="B467" s="8" t="s">
        <v>83</v>
      </c>
      <c r="C467" s="8" t="s">
        <v>54</v>
      </c>
      <c r="D467" s="8" t="s">
        <v>756</v>
      </c>
      <c r="E467" s="8" t="s">
        <v>1282</v>
      </c>
      <c r="F467" s="8" t="s">
        <v>180</v>
      </c>
      <c r="G467" s="8" t="s">
        <v>76</v>
      </c>
      <c r="H467" s="8" t="s">
        <v>1974</v>
      </c>
      <c r="I467" s="8" t="s">
        <v>212</v>
      </c>
      <c r="J467" s="8" t="s">
        <v>45</v>
      </c>
      <c r="K467" s="8" t="s">
        <v>46</v>
      </c>
      <c r="L467" s="8" t="s">
        <v>60</v>
      </c>
      <c r="M467" s="8">
        <v>2</v>
      </c>
      <c r="N467" s="8">
        <v>55000</v>
      </c>
      <c r="O467" s="8">
        <v>0</v>
      </c>
      <c r="P467" s="8">
        <v>110000</v>
      </c>
      <c r="Q467" s="8">
        <v>4</v>
      </c>
      <c r="R467" s="8" t="s">
        <v>48</v>
      </c>
      <c r="S467" s="8" t="s">
        <v>49</v>
      </c>
      <c r="T467" s="8" t="s">
        <v>89</v>
      </c>
      <c r="U467" s="9" t="s">
        <v>1975</v>
      </c>
      <c r="V467" s="8" t="s">
        <v>69</v>
      </c>
    </row>
    <row r="468" spans="1:22">
      <c r="A468" s="3" t="s">
        <v>1976</v>
      </c>
      <c r="B468" s="4" t="s">
        <v>53</v>
      </c>
      <c r="C468" s="4" t="s">
        <v>24</v>
      </c>
      <c r="D468" s="4" t="s">
        <v>512</v>
      </c>
      <c r="E468" s="4" t="s">
        <v>513</v>
      </c>
      <c r="F468" s="4" t="s">
        <v>163</v>
      </c>
      <c r="G468" s="4" t="s">
        <v>28</v>
      </c>
      <c r="H468" s="4" t="s">
        <v>1977</v>
      </c>
      <c r="I468" s="4" t="s">
        <v>114</v>
      </c>
      <c r="J468" s="4" t="s">
        <v>106</v>
      </c>
      <c r="K468" s="4" t="s">
        <v>32</v>
      </c>
      <c r="L468" s="4" t="s">
        <v>33</v>
      </c>
      <c r="M468" s="4">
        <v>7</v>
      </c>
      <c r="N468" s="4">
        <v>2200</v>
      </c>
      <c r="O468" s="4">
        <v>5</v>
      </c>
      <c r="P468" s="4">
        <v>14630</v>
      </c>
      <c r="Q468" s="4">
        <v>4</v>
      </c>
      <c r="R468" s="4" t="s">
        <v>79</v>
      </c>
      <c r="S468" s="4" t="s">
        <v>115</v>
      </c>
      <c r="T468" s="4" t="s">
        <v>62</v>
      </c>
      <c r="U468" s="6" t="s">
        <v>1978</v>
      </c>
      <c r="V468" s="4" t="s">
        <v>69</v>
      </c>
    </row>
    <row r="469" spans="1:22">
      <c r="A469" s="7" t="s">
        <v>1979</v>
      </c>
      <c r="B469" s="8" t="s">
        <v>23</v>
      </c>
      <c r="C469" s="8" t="s">
        <v>259</v>
      </c>
      <c r="D469" s="8" t="s">
        <v>1507</v>
      </c>
      <c r="E469" s="8" t="s">
        <v>577</v>
      </c>
      <c r="F469" s="8" t="s">
        <v>27</v>
      </c>
      <c r="G469" s="8" t="s">
        <v>28</v>
      </c>
      <c r="H469" s="8" t="s">
        <v>1980</v>
      </c>
      <c r="I469" s="8" t="s">
        <v>138</v>
      </c>
      <c r="J469" s="8" t="s">
        <v>106</v>
      </c>
      <c r="K469" s="8" t="s">
        <v>122</v>
      </c>
      <c r="L469" s="8" t="s">
        <v>263</v>
      </c>
      <c r="M469" s="8">
        <v>11</v>
      </c>
      <c r="N469" s="8">
        <v>45</v>
      </c>
      <c r="O469" s="8">
        <v>15</v>
      </c>
      <c r="P469" s="8">
        <v>420.75</v>
      </c>
      <c r="Q469" s="8">
        <v>4</v>
      </c>
      <c r="R469" s="8" t="s">
        <v>79</v>
      </c>
      <c r="S469" s="8" t="s">
        <v>61</v>
      </c>
      <c r="T469" s="8" t="s">
        <v>50</v>
      </c>
      <c r="U469" s="9" t="s">
        <v>1981</v>
      </c>
      <c r="V469" s="8" t="s">
        <v>64</v>
      </c>
    </row>
    <row r="470" spans="1:22">
      <c r="A470" s="3" t="s">
        <v>1982</v>
      </c>
      <c r="B470" s="4" t="s">
        <v>100</v>
      </c>
      <c r="C470" s="4" t="s">
        <v>118</v>
      </c>
      <c r="D470" s="4" t="s">
        <v>1114</v>
      </c>
      <c r="E470" s="4" t="s">
        <v>210</v>
      </c>
      <c r="F470" s="4" t="s">
        <v>103</v>
      </c>
      <c r="G470" s="4" t="s">
        <v>28</v>
      </c>
      <c r="H470" s="4" t="s">
        <v>1983</v>
      </c>
      <c r="I470" s="4" t="s">
        <v>105</v>
      </c>
      <c r="J470" s="4" t="s">
        <v>106</v>
      </c>
      <c r="K470" s="4" t="s">
        <v>122</v>
      </c>
      <c r="L470" s="4" t="s">
        <v>123</v>
      </c>
      <c r="M470" s="4">
        <v>16</v>
      </c>
      <c r="N470" s="4">
        <v>60</v>
      </c>
      <c r="O470" s="4">
        <v>5</v>
      </c>
      <c r="P470" s="4">
        <v>912</v>
      </c>
      <c r="Q470" s="4">
        <v>2</v>
      </c>
      <c r="R470" s="4" t="s">
        <v>34</v>
      </c>
      <c r="S470" s="4" t="s">
        <v>115</v>
      </c>
      <c r="T470" s="4" t="s">
        <v>144</v>
      </c>
      <c r="U470" s="6" t="s">
        <v>1984</v>
      </c>
      <c r="V470" s="4" t="s">
        <v>69</v>
      </c>
    </row>
    <row r="471" spans="1:22">
      <c r="A471" s="7" t="s">
        <v>1985</v>
      </c>
      <c r="B471" s="8" t="s">
        <v>327</v>
      </c>
      <c r="C471" s="8" t="s">
        <v>54</v>
      </c>
      <c r="D471" s="8" t="s">
        <v>1102</v>
      </c>
      <c r="E471" s="8" t="s">
        <v>864</v>
      </c>
      <c r="F471" s="8" t="s">
        <v>394</v>
      </c>
      <c r="G471" s="8" t="s">
        <v>76</v>
      </c>
      <c r="H471" s="8" t="s">
        <v>1986</v>
      </c>
      <c r="I471" s="8" t="s">
        <v>114</v>
      </c>
      <c r="J471" s="8" t="s">
        <v>106</v>
      </c>
      <c r="K471" s="8" t="s">
        <v>46</v>
      </c>
      <c r="L471" s="8" t="s">
        <v>60</v>
      </c>
      <c r="M471" s="8">
        <v>18</v>
      </c>
      <c r="N471" s="8">
        <v>55000</v>
      </c>
      <c r="O471" s="8">
        <v>0</v>
      </c>
      <c r="P471" s="8">
        <v>990000</v>
      </c>
      <c r="Q471" s="8">
        <v>5</v>
      </c>
      <c r="R471" s="8" t="s">
        <v>48</v>
      </c>
      <c r="S471" s="8" t="s">
        <v>49</v>
      </c>
      <c r="T471" s="8" t="s">
        <v>332</v>
      </c>
      <c r="U471" s="9" t="s">
        <v>1987</v>
      </c>
      <c r="V471" s="8" t="s">
        <v>64</v>
      </c>
    </row>
    <row r="472" spans="1:22">
      <c r="A472" s="3" t="s">
        <v>1988</v>
      </c>
      <c r="B472" s="4" t="s">
        <v>23</v>
      </c>
      <c r="C472" s="4" t="s">
        <v>72</v>
      </c>
      <c r="D472" s="4" t="s">
        <v>1989</v>
      </c>
      <c r="E472" s="4" t="s">
        <v>1880</v>
      </c>
      <c r="F472" s="4" t="s">
        <v>27</v>
      </c>
      <c r="G472" s="4" t="s">
        <v>28</v>
      </c>
      <c r="H472" s="4" t="s">
        <v>1990</v>
      </c>
      <c r="I472" s="4" t="s">
        <v>59</v>
      </c>
      <c r="J472" s="4" t="s">
        <v>31</v>
      </c>
      <c r="K472" s="4" t="s">
        <v>46</v>
      </c>
      <c r="L472" s="4" t="s">
        <v>78</v>
      </c>
      <c r="M472" s="4">
        <v>17</v>
      </c>
      <c r="N472" s="4">
        <v>1200</v>
      </c>
      <c r="O472" s="4">
        <v>5</v>
      </c>
      <c r="P472" s="4">
        <v>19380</v>
      </c>
      <c r="Q472" s="4">
        <v>1</v>
      </c>
      <c r="R472" s="4" t="s">
        <v>48</v>
      </c>
      <c r="S472" s="4" t="s">
        <v>35</v>
      </c>
      <c r="T472" s="4" t="s">
        <v>50</v>
      </c>
      <c r="U472" s="6" t="s">
        <v>1991</v>
      </c>
      <c r="V472" s="4" t="s">
        <v>64</v>
      </c>
    </row>
    <row r="473" spans="1:22">
      <c r="A473" s="7" t="s">
        <v>1992</v>
      </c>
      <c r="B473" s="8" t="s">
        <v>53</v>
      </c>
      <c r="C473" s="8" t="s">
        <v>54</v>
      </c>
      <c r="D473" s="8" t="s">
        <v>41</v>
      </c>
      <c r="E473" s="8" t="s">
        <v>199</v>
      </c>
      <c r="F473" s="8" t="s">
        <v>163</v>
      </c>
      <c r="G473" s="8" t="s">
        <v>28</v>
      </c>
      <c r="H473" s="8" t="s">
        <v>1993</v>
      </c>
      <c r="I473" s="8" t="s">
        <v>114</v>
      </c>
      <c r="J473" s="8" t="s">
        <v>106</v>
      </c>
      <c r="K473" s="8" t="s">
        <v>46</v>
      </c>
      <c r="L473" s="8" t="s">
        <v>60</v>
      </c>
      <c r="M473" s="8">
        <v>11</v>
      </c>
      <c r="N473" s="8">
        <v>55000</v>
      </c>
      <c r="O473" s="8">
        <v>0</v>
      </c>
      <c r="P473" s="8">
        <v>605000</v>
      </c>
      <c r="Q473" s="8">
        <v>2</v>
      </c>
      <c r="R473" s="8" t="s">
        <v>34</v>
      </c>
      <c r="S473" s="8" t="s">
        <v>61</v>
      </c>
      <c r="T473" s="8" t="s">
        <v>62</v>
      </c>
      <c r="U473" s="9" t="s">
        <v>1994</v>
      </c>
      <c r="V473" s="8" t="s">
        <v>64</v>
      </c>
    </row>
    <row r="474" spans="1:22">
      <c r="A474" s="3" t="s">
        <v>1995</v>
      </c>
      <c r="B474" s="4" t="s">
        <v>251</v>
      </c>
      <c r="C474" s="4" t="s">
        <v>184</v>
      </c>
      <c r="D474" s="4" t="s">
        <v>236</v>
      </c>
      <c r="E474" s="4" t="s">
        <v>678</v>
      </c>
      <c r="F474" s="4" t="s">
        <v>254</v>
      </c>
      <c r="G474" s="4" t="s">
        <v>28</v>
      </c>
      <c r="H474" s="4" t="s">
        <v>1996</v>
      </c>
      <c r="I474" s="4" t="s">
        <v>44</v>
      </c>
      <c r="J474" s="4" t="s">
        <v>45</v>
      </c>
      <c r="K474" s="4" t="s">
        <v>46</v>
      </c>
      <c r="L474" s="4" t="s">
        <v>189</v>
      </c>
      <c r="M474" s="4">
        <v>20</v>
      </c>
      <c r="N474" s="4">
        <v>700</v>
      </c>
      <c r="O474" s="4">
        <v>20</v>
      </c>
      <c r="P474" s="4">
        <v>11200</v>
      </c>
      <c r="Q474" s="4">
        <v>5</v>
      </c>
      <c r="R474" s="4" t="s">
        <v>48</v>
      </c>
      <c r="S474" s="4" t="s">
        <v>61</v>
      </c>
      <c r="T474" s="4" t="s">
        <v>256</v>
      </c>
      <c r="U474" s="6" t="s">
        <v>1997</v>
      </c>
      <c r="V474" s="4" t="s">
        <v>38</v>
      </c>
    </row>
    <row r="475" spans="1:22">
      <c r="A475" s="7" t="s">
        <v>1998</v>
      </c>
      <c r="B475" s="8" t="s">
        <v>71</v>
      </c>
      <c r="C475" s="8" t="s">
        <v>222</v>
      </c>
      <c r="D475" s="8" t="s">
        <v>484</v>
      </c>
      <c r="E475" s="8" t="s">
        <v>322</v>
      </c>
      <c r="F475" s="8" t="s">
        <v>217</v>
      </c>
      <c r="G475" s="8" t="s">
        <v>76</v>
      </c>
      <c r="H475" s="8" t="s">
        <v>1999</v>
      </c>
      <c r="I475" s="8" t="s">
        <v>44</v>
      </c>
      <c r="J475" s="8" t="s">
        <v>45</v>
      </c>
      <c r="K475" s="8" t="s">
        <v>122</v>
      </c>
      <c r="L475" s="8" t="s">
        <v>227</v>
      </c>
      <c r="M475" s="8">
        <v>5</v>
      </c>
      <c r="N475" s="8">
        <v>20</v>
      </c>
      <c r="O475" s="8">
        <v>5</v>
      </c>
      <c r="P475" s="8">
        <v>95</v>
      </c>
      <c r="Q475" s="8">
        <v>4</v>
      </c>
      <c r="R475" s="8" t="s">
        <v>34</v>
      </c>
      <c r="S475" s="8" t="s">
        <v>49</v>
      </c>
      <c r="T475" s="8" t="s">
        <v>80</v>
      </c>
      <c r="U475" s="9" t="s">
        <v>2000</v>
      </c>
      <c r="V475" s="8" t="s">
        <v>69</v>
      </c>
    </row>
    <row r="476" spans="1:22">
      <c r="A476" s="3" t="s">
        <v>2001</v>
      </c>
      <c r="B476" s="4" t="s">
        <v>327</v>
      </c>
      <c r="C476" s="4" t="s">
        <v>54</v>
      </c>
      <c r="D476" s="4" t="s">
        <v>765</v>
      </c>
      <c r="E476" s="4" t="s">
        <v>1373</v>
      </c>
      <c r="F476" s="4" t="s">
        <v>394</v>
      </c>
      <c r="G476" s="4" t="s">
        <v>76</v>
      </c>
      <c r="H476" s="4" t="s">
        <v>2002</v>
      </c>
      <c r="I476" s="4" t="s">
        <v>105</v>
      </c>
      <c r="J476" s="4" t="s">
        <v>106</v>
      </c>
      <c r="K476" s="4" t="s">
        <v>46</v>
      </c>
      <c r="L476" s="4" t="s">
        <v>60</v>
      </c>
      <c r="M476" s="4">
        <v>13</v>
      </c>
      <c r="N476" s="4">
        <v>55000</v>
      </c>
      <c r="O476" s="4">
        <v>5</v>
      </c>
      <c r="P476" s="4">
        <v>679250</v>
      </c>
      <c r="Q476" s="4">
        <v>1</v>
      </c>
      <c r="R476" s="4" t="s">
        <v>48</v>
      </c>
      <c r="S476" s="4" t="s">
        <v>49</v>
      </c>
      <c r="T476" s="4" t="s">
        <v>332</v>
      </c>
      <c r="U476" s="6" t="s">
        <v>2003</v>
      </c>
      <c r="V476" s="4" t="s">
        <v>64</v>
      </c>
    </row>
    <row r="477" spans="1:22">
      <c r="A477" s="7" t="s">
        <v>2004</v>
      </c>
      <c r="B477" s="8" t="s">
        <v>127</v>
      </c>
      <c r="C477" s="8" t="s">
        <v>54</v>
      </c>
      <c r="D477" s="8" t="s">
        <v>102</v>
      </c>
      <c r="E477" s="8" t="s">
        <v>1114</v>
      </c>
      <c r="F477" s="8" t="s">
        <v>200</v>
      </c>
      <c r="G477" s="8" t="s">
        <v>76</v>
      </c>
      <c r="H477" s="8" t="s">
        <v>2005</v>
      </c>
      <c r="I477" s="8" t="s">
        <v>294</v>
      </c>
      <c r="J477" s="8" t="s">
        <v>295</v>
      </c>
      <c r="K477" s="8" t="s">
        <v>46</v>
      </c>
      <c r="L477" s="8" t="s">
        <v>60</v>
      </c>
      <c r="M477" s="8">
        <v>12</v>
      </c>
      <c r="N477" s="8">
        <v>55000</v>
      </c>
      <c r="O477" s="8">
        <v>5</v>
      </c>
      <c r="P477" s="8">
        <v>627000</v>
      </c>
      <c r="Q477" s="8">
        <v>1</v>
      </c>
      <c r="R477" s="8" t="s">
        <v>48</v>
      </c>
      <c r="S477" s="8" t="s">
        <v>115</v>
      </c>
      <c r="T477" s="8" t="s">
        <v>132</v>
      </c>
      <c r="U477" s="9" t="s">
        <v>2006</v>
      </c>
      <c r="V477" s="8" t="s">
        <v>69</v>
      </c>
    </row>
    <row r="478" spans="1:22">
      <c r="A478" s="3" t="s">
        <v>2007</v>
      </c>
      <c r="B478" s="4" t="s">
        <v>53</v>
      </c>
      <c r="C478" s="4" t="s">
        <v>259</v>
      </c>
      <c r="D478" s="4" t="s">
        <v>761</v>
      </c>
      <c r="E478" s="4" t="s">
        <v>1705</v>
      </c>
      <c r="F478" s="4" t="s">
        <v>163</v>
      </c>
      <c r="G478" s="4" t="s">
        <v>28</v>
      </c>
      <c r="H478" s="4" t="s">
        <v>2008</v>
      </c>
      <c r="I478" s="4" t="s">
        <v>105</v>
      </c>
      <c r="J478" s="4" t="s">
        <v>106</v>
      </c>
      <c r="K478" s="4" t="s">
        <v>122</v>
      </c>
      <c r="L478" s="4" t="s">
        <v>263</v>
      </c>
      <c r="M478" s="4">
        <v>16</v>
      </c>
      <c r="N478" s="4">
        <v>45</v>
      </c>
      <c r="O478" s="4">
        <v>20</v>
      </c>
      <c r="P478" s="4">
        <v>576</v>
      </c>
      <c r="Q478" s="4">
        <v>2</v>
      </c>
      <c r="R478" s="4" t="s">
        <v>34</v>
      </c>
      <c r="S478" s="4" t="s">
        <v>49</v>
      </c>
      <c r="T478" s="4" t="s">
        <v>62</v>
      </c>
      <c r="U478" s="6" t="s">
        <v>2009</v>
      </c>
      <c r="V478" s="4" t="s">
        <v>64</v>
      </c>
    </row>
    <row r="479" spans="1:22">
      <c r="A479" s="7" t="s">
        <v>2010</v>
      </c>
      <c r="B479" s="8" t="s">
        <v>23</v>
      </c>
      <c r="C479" s="8" t="s">
        <v>72</v>
      </c>
      <c r="D479" s="8" t="s">
        <v>25</v>
      </c>
      <c r="E479" s="8" t="s">
        <v>73</v>
      </c>
      <c r="F479" s="8" t="s">
        <v>27</v>
      </c>
      <c r="G479" s="8" t="s">
        <v>28</v>
      </c>
      <c r="H479" s="8" t="s">
        <v>2011</v>
      </c>
      <c r="I479" s="8" t="s">
        <v>59</v>
      </c>
      <c r="J479" s="8" t="s">
        <v>31</v>
      </c>
      <c r="K479" s="8" t="s">
        <v>46</v>
      </c>
      <c r="L479" s="8" t="s">
        <v>78</v>
      </c>
      <c r="M479" s="8">
        <v>5</v>
      </c>
      <c r="N479" s="8">
        <v>1200</v>
      </c>
      <c r="O479" s="8">
        <v>10</v>
      </c>
      <c r="P479" s="8">
        <v>5400</v>
      </c>
      <c r="Q479" s="8">
        <v>1</v>
      </c>
      <c r="R479" s="8" t="s">
        <v>34</v>
      </c>
      <c r="S479" s="8"/>
      <c r="T479" s="10" t="s">
        <v>2012</v>
      </c>
      <c r="U479" s="9" t="s">
        <v>2013</v>
      </c>
      <c r="V479" s="8" t="s">
        <v>38</v>
      </c>
    </row>
    <row r="480" spans="1:22">
      <c r="A480" s="3" t="s">
        <v>2014</v>
      </c>
      <c r="B480" s="4" t="s">
        <v>168</v>
      </c>
      <c r="C480" s="4" t="s">
        <v>259</v>
      </c>
      <c r="D480" s="4" t="s">
        <v>282</v>
      </c>
      <c r="E480" s="4" t="s">
        <v>702</v>
      </c>
      <c r="F480" s="4" t="s">
        <v>2015</v>
      </c>
      <c r="G480" s="4" t="s">
        <v>28</v>
      </c>
      <c r="H480" s="4" t="s">
        <v>2016</v>
      </c>
      <c r="I480" s="4" t="s">
        <v>294</v>
      </c>
      <c r="J480" s="4" t="s">
        <v>295</v>
      </c>
      <c r="K480" s="4" t="s">
        <v>122</v>
      </c>
      <c r="L480" s="4" t="s">
        <v>263</v>
      </c>
      <c r="M480" s="4">
        <v>2</v>
      </c>
      <c r="N480" s="4">
        <v>45</v>
      </c>
      <c r="O480" s="4">
        <v>10</v>
      </c>
      <c r="P480" s="4">
        <v>81</v>
      </c>
      <c r="Q480" s="4">
        <v>4</v>
      </c>
      <c r="R480" s="4" t="s">
        <v>88</v>
      </c>
      <c r="S480" s="4" t="s">
        <v>49</v>
      </c>
      <c r="T480" s="4" t="s">
        <v>175</v>
      </c>
      <c r="U480" s="6" t="s">
        <v>2017</v>
      </c>
      <c r="V480" s="4" t="s">
        <v>64</v>
      </c>
    </row>
    <row r="481" spans="1:22">
      <c r="A481" s="7" t="s">
        <v>2018</v>
      </c>
      <c r="B481" s="8" t="s">
        <v>127</v>
      </c>
      <c r="C481" s="8" t="s">
        <v>40</v>
      </c>
      <c r="D481" s="8" t="s">
        <v>85</v>
      </c>
      <c r="E481" s="8" t="s">
        <v>587</v>
      </c>
      <c r="F481" s="8" t="s">
        <v>200</v>
      </c>
      <c r="G481" s="8" t="s">
        <v>76</v>
      </c>
      <c r="H481" s="8" t="s">
        <v>2019</v>
      </c>
      <c r="I481" s="8" t="s">
        <v>138</v>
      </c>
      <c r="J481" s="8" t="s">
        <v>106</v>
      </c>
      <c r="K481" s="8" t="s">
        <v>46</v>
      </c>
      <c r="L481" s="8" t="s">
        <v>47</v>
      </c>
      <c r="M481" s="8">
        <v>3</v>
      </c>
      <c r="N481" s="8">
        <v>12000</v>
      </c>
      <c r="O481" s="8">
        <v>0</v>
      </c>
      <c r="P481" s="8">
        <v>36000</v>
      </c>
      <c r="Q481" s="8">
        <v>2</v>
      </c>
      <c r="R481" s="8" t="s">
        <v>88</v>
      </c>
      <c r="S481" s="8" t="s">
        <v>151</v>
      </c>
      <c r="T481" s="8" t="s">
        <v>132</v>
      </c>
      <c r="U481" s="9" t="s">
        <v>2020</v>
      </c>
      <c r="V481" s="8" t="s">
        <v>64</v>
      </c>
    </row>
    <row r="482" spans="1:22">
      <c r="A482" s="3" t="s">
        <v>2021</v>
      </c>
      <c r="B482" s="4" t="s">
        <v>23</v>
      </c>
      <c r="C482" s="4" t="s">
        <v>40</v>
      </c>
      <c r="D482" s="4" t="s">
        <v>2022</v>
      </c>
      <c r="E482" s="4" t="s">
        <v>1863</v>
      </c>
      <c r="F482" s="4" t="s">
        <v>95</v>
      </c>
      <c r="G482" s="4" t="s">
        <v>28</v>
      </c>
      <c r="H482" s="4" t="s">
        <v>2023</v>
      </c>
      <c r="I482" s="4" t="s">
        <v>59</v>
      </c>
      <c r="J482" s="4" t="s">
        <v>31</v>
      </c>
      <c r="K482" s="4" t="s">
        <v>46</v>
      </c>
      <c r="L482" s="4" t="s">
        <v>47</v>
      </c>
      <c r="M482" s="4">
        <v>3</v>
      </c>
      <c r="N482" s="4">
        <v>12000</v>
      </c>
      <c r="O482" s="4">
        <v>20</v>
      </c>
      <c r="P482" s="4">
        <v>28800</v>
      </c>
      <c r="Q482" s="4">
        <v>3</v>
      </c>
      <c r="R482" s="4" t="s">
        <v>88</v>
      </c>
      <c r="S482" s="4" t="s">
        <v>115</v>
      </c>
      <c r="T482" s="4" t="s">
        <v>50</v>
      </c>
      <c r="U482" s="6" t="s">
        <v>2024</v>
      </c>
      <c r="V482" s="4" t="s">
        <v>38</v>
      </c>
    </row>
    <row r="483" spans="1:22">
      <c r="A483" s="7" t="s">
        <v>2025</v>
      </c>
      <c r="B483" s="8" t="s">
        <v>127</v>
      </c>
      <c r="C483" s="8" t="s">
        <v>169</v>
      </c>
      <c r="D483" s="8" t="s">
        <v>892</v>
      </c>
      <c r="E483" s="8" t="s">
        <v>161</v>
      </c>
      <c r="F483" s="8" t="s">
        <v>200</v>
      </c>
      <c r="G483" s="8" t="s">
        <v>76</v>
      </c>
      <c r="H483" s="8" t="s">
        <v>2026</v>
      </c>
      <c r="I483" s="8" t="s">
        <v>294</v>
      </c>
      <c r="J483" s="8" t="s">
        <v>295</v>
      </c>
      <c r="K483" s="8" t="s">
        <v>32</v>
      </c>
      <c r="L483" s="8" t="s">
        <v>174</v>
      </c>
      <c r="M483" s="8">
        <v>9</v>
      </c>
      <c r="N483" s="8">
        <v>8500</v>
      </c>
      <c r="O483" s="8">
        <v>15</v>
      </c>
      <c r="P483" s="8">
        <v>65025</v>
      </c>
      <c r="Q483" s="8">
        <v>5</v>
      </c>
      <c r="R483" s="8" t="s">
        <v>34</v>
      </c>
      <c r="S483" s="8" t="s">
        <v>49</v>
      </c>
      <c r="T483" s="8" t="s">
        <v>132</v>
      </c>
      <c r="U483" s="9" t="s">
        <v>2027</v>
      </c>
      <c r="V483" s="8" t="s">
        <v>64</v>
      </c>
    </row>
    <row r="484" spans="1:22">
      <c r="A484" s="3" t="s">
        <v>2028</v>
      </c>
      <c r="B484" s="4" t="s">
        <v>71</v>
      </c>
      <c r="C484" s="4" t="s">
        <v>184</v>
      </c>
      <c r="D484" s="4" t="s">
        <v>261</v>
      </c>
      <c r="E484" s="4" t="s">
        <v>881</v>
      </c>
      <c r="F484" s="4" t="s">
        <v>2029</v>
      </c>
      <c r="G484" s="4" t="s">
        <v>76</v>
      </c>
      <c r="H484" s="4" t="s">
        <v>2030</v>
      </c>
      <c r="I484" s="4" t="s">
        <v>294</v>
      </c>
      <c r="J484" s="4" t="s">
        <v>295</v>
      </c>
      <c r="K484" s="4" t="s">
        <v>46</v>
      </c>
      <c r="L484" s="4" t="s">
        <v>189</v>
      </c>
      <c r="M484" s="4">
        <v>17</v>
      </c>
      <c r="N484" s="4">
        <v>700</v>
      </c>
      <c r="O484" s="4">
        <v>0</v>
      </c>
      <c r="P484" s="4">
        <v>11900</v>
      </c>
      <c r="Q484" s="4">
        <v>2</v>
      </c>
      <c r="R484" s="4" t="s">
        <v>34</v>
      </c>
      <c r="S484" s="4" t="s">
        <v>61</v>
      </c>
      <c r="T484" s="4" t="s">
        <v>80</v>
      </c>
      <c r="U484" s="6" t="s">
        <v>2031</v>
      </c>
      <c r="V484" s="4" t="s">
        <v>69</v>
      </c>
    </row>
    <row r="485" spans="1:22">
      <c r="A485" s="7" t="s">
        <v>2032</v>
      </c>
      <c r="B485" s="8" t="s">
        <v>23</v>
      </c>
      <c r="C485" s="8" t="s">
        <v>184</v>
      </c>
      <c r="D485" s="8" t="s">
        <v>1249</v>
      </c>
      <c r="E485" s="8" t="s">
        <v>1572</v>
      </c>
      <c r="F485" s="8" t="s">
        <v>27</v>
      </c>
      <c r="G485" s="8" t="s">
        <v>28</v>
      </c>
      <c r="H485" s="8" t="s">
        <v>2033</v>
      </c>
      <c r="I485" s="8" t="s">
        <v>30</v>
      </c>
      <c r="J485" s="8" t="s">
        <v>31</v>
      </c>
      <c r="K485" s="8" t="s">
        <v>46</v>
      </c>
      <c r="L485" s="8" t="s">
        <v>189</v>
      </c>
      <c r="M485" s="8">
        <v>20</v>
      </c>
      <c r="N485" s="8">
        <v>700</v>
      </c>
      <c r="O485" s="8">
        <v>5</v>
      </c>
      <c r="P485" s="8">
        <v>13300</v>
      </c>
      <c r="Q485" s="8">
        <v>2</v>
      </c>
      <c r="R485" s="8" t="s">
        <v>88</v>
      </c>
      <c r="S485" s="8" t="s">
        <v>35</v>
      </c>
      <c r="T485" s="8" t="s">
        <v>50</v>
      </c>
      <c r="U485" s="9" t="s">
        <v>2034</v>
      </c>
      <c r="V485" s="8" t="s">
        <v>38</v>
      </c>
    </row>
    <row r="486" spans="1:22">
      <c r="A486" s="3" t="s">
        <v>2035</v>
      </c>
      <c r="B486" s="4" t="s">
        <v>327</v>
      </c>
      <c r="C486" s="4" t="s">
        <v>72</v>
      </c>
      <c r="D486" s="4" t="s">
        <v>554</v>
      </c>
      <c r="E486" s="4" t="s">
        <v>65</v>
      </c>
      <c r="F486" s="4" t="s">
        <v>2036</v>
      </c>
      <c r="G486" s="4" t="s">
        <v>76</v>
      </c>
      <c r="H486" s="4" t="s">
        <v>2037</v>
      </c>
      <c r="I486" s="4" t="s">
        <v>138</v>
      </c>
      <c r="J486" s="4" t="s">
        <v>106</v>
      </c>
      <c r="K486" s="4" t="s">
        <v>46</v>
      </c>
      <c r="L486" s="4" t="s">
        <v>78</v>
      </c>
      <c r="M486" s="4">
        <v>13</v>
      </c>
      <c r="N486" s="4">
        <v>1200</v>
      </c>
      <c r="O486" s="4">
        <v>20</v>
      </c>
      <c r="P486" s="4">
        <v>12480</v>
      </c>
      <c r="Q486" s="4">
        <v>5</v>
      </c>
      <c r="R486" s="4" t="s">
        <v>79</v>
      </c>
      <c r="S486" s="4" t="s">
        <v>115</v>
      </c>
      <c r="T486" s="4" t="s">
        <v>332</v>
      </c>
      <c r="U486" s="6" t="s">
        <v>2038</v>
      </c>
      <c r="V486" s="4" t="s">
        <v>38</v>
      </c>
    </row>
    <row r="487" spans="1:22">
      <c r="A487" s="7" t="s">
        <v>2039</v>
      </c>
      <c r="B487" s="8" t="s">
        <v>100</v>
      </c>
      <c r="C487" s="8" t="s">
        <v>54</v>
      </c>
      <c r="D487" s="8" t="s">
        <v>2040</v>
      </c>
      <c r="E487" s="8" t="s">
        <v>1932</v>
      </c>
      <c r="F487" s="8" t="s">
        <v>103</v>
      </c>
      <c r="G487" s="8" t="s">
        <v>28</v>
      </c>
      <c r="H487" s="8" t="s">
        <v>1082</v>
      </c>
      <c r="I487" s="8" t="s">
        <v>212</v>
      </c>
      <c r="J487" s="8" t="s">
        <v>45</v>
      </c>
      <c r="K487" s="8" t="s">
        <v>46</v>
      </c>
      <c r="L487" s="8" t="s">
        <v>60</v>
      </c>
      <c r="M487" s="8">
        <v>20</v>
      </c>
      <c r="N487" s="8">
        <v>55000</v>
      </c>
      <c r="O487" s="8">
        <v>10</v>
      </c>
      <c r="P487" s="8">
        <v>990000</v>
      </c>
      <c r="Q487" s="8">
        <v>1</v>
      </c>
      <c r="R487" s="8" t="s">
        <v>88</v>
      </c>
      <c r="S487" s="8" t="s">
        <v>35</v>
      </c>
      <c r="T487" s="8" t="s">
        <v>144</v>
      </c>
      <c r="U487" s="9" t="s">
        <v>2041</v>
      </c>
      <c r="V487" s="8" t="s">
        <v>64</v>
      </c>
    </row>
    <row r="488" spans="1:22">
      <c r="A488" s="3" t="s">
        <v>2042</v>
      </c>
      <c r="B488" s="4" t="s">
        <v>251</v>
      </c>
      <c r="C488" s="4" t="s">
        <v>72</v>
      </c>
      <c r="D488" s="4" t="s">
        <v>531</v>
      </c>
      <c r="E488" s="4" t="s">
        <v>291</v>
      </c>
      <c r="F488" s="4" t="s">
        <v>254</v>
      </c>
      <c r="G488" s="4" t="s">
        <v>28</v>
      </c>
      <c r="H488" s="4" t="s">
        <v>2043</v>
      </c>
      <c r="I488" s="4" t="s">
        <v>294</v>
      </c>
      <c r="J488" s="4" t="s">
        <v>295</v>
      </c>
      <c r="K488" s="4" t="s">
        <v>46</v>
      </c>
      <c r="L488" s="4" t="s">
        <v>78</v>
      </c>
      <c r="M488" s="4">
        <v>8</v>
      </c>
      <c r="N488" s="4">
        <v>1200</v>
      </c>
      <c r="O488" s="4">
        <v>0</v>
      </c>
      <c r="P488" s="4">
        <v>9600</v>
      </c>
      <c r="Q488" s="4">
        <v>2</v>
      </c>
      <c r="R488" s="4" t="s">
        <v>48</v>
      </c>
      <c r="S488" s="4" t="s">
        <v>151</v>
      </c>
      <c r="T488" s="4" t="s">
        <v>256</v>
      </c>
      <c r="U488" s="6" t="s">
        <v>2044</v>
      </c>
      <c r="V488" s="4" t="s">
        <v>38</v>
      </c>
    </row>
    <row r="489" spans="1:22">
      <c r="A489" s="7" t="s">
        <v>2045</v>
      </c>
      <c r="B489" s="8" t="s">
        <v>53</v>
      </c>
      <c r="C489" s="8" t="s">
        <v>222</v>
      </c>
      <c r="D489" s="8" t="s">
        <v>2046</v>
      </c>
      <c r="E489" s="8" t="s">
        <v>1238</v>
      </c>
      <c r="F489" s="8" t="s">
        <v>163</v>
      </c>
      <c r="G489" s="8" t="s">
        <v>28</v>
      </c>
      <c r="H489" s="8" t="s">
        <v>2047</v>
      </c>
      <c r="I489" s="8" t="s">
        <v>294</v>
      </c>
      <c r="J489" s="8" t="s">
        <v>295</v>
      </c>
      <c r="K489" s="8" t="s">
        <v>122</v>
      </c>
      <c r="L489" s="8" t="s">
        <v>227</v>
      </c>
      <c r="M489" s="8">
        <v>18</v>
      </c>
      <c r="N489" s="8">
        <v>20</v>
      </c>
      <c r="O489" s="8">
        <v>10</v>
      </c>
      <c r="P489" s="8">
        <v>324</v>
      </c>
      <c r="Q489" s="8">
        <v>5</v>
      </c>
      <c r="R489" s="8" t="s">
        <v>79</v>
      </c>
      <c r="S489" s="8"/>
      <c r="T489" s="10" t="s">
        <v>2048</v>
      </c>
      <c r="U489" s="9" t="s">
        <v>2049</v>
      </c>
      <c r="V489" s="8" t="s">
        <v>64</v>
      </c>
    </row>
    <row r="490" spans="1:22">
      <c r="A490" s="3" t="s">
        <v>2050</v>
      </c>
      <c r="B490" s="4" t="s">
        <v>168</v>
      </c>
      <c r="C490" s="4" t="s">
        <v>40</v>
      </c>
      <c r="D490" s="4" t="s">
        <v>2051</v>
      </c>
      <c r="E490" s="4" t="s">
        <v>272</v>
      </c>
      <c r="F490" s="4" t="s">
        <v>361</v>
      </c>
      <c r="G490" s="4" t="s">
        <v>28</v>
      </c>
      <c r="H490" s="4" t="s">
        <v>2052</v>
      </c>
      <c r="I490" s="4" t="s">
        <v>114</v>
      </c>
      <c r="J490" s="4" t="s">
        <v>106</v>
      </c>
      <c r="K490" s="4" t="s">
        <v>46</v>
      </c>
      <c r="L490" s="4" t="s">
        <v>47</v>
      </c>
      <c r="M490" s="4">
        <v>11</v>
      </c>
      <c r="N490" s="4">
        <v>12000</v>
      </c>
      <c r="O490" s="4">
        <v>10</v>
      </c>
      <c r="P490" s="4">
        <v>118800</v>
      </c>
      <c r="Q490" s="4">
        <v>1</v>
      </c>
      <c r="R490" s="4" t="s">
        <v>79</v>
      </c>
      <c r="S490" s="4" t="s">
        <v>49</v>
      </c>
      <c r="T490" s="4" t="s">
        <v>175</v>
      </c>
      <c r="U490" s="6" t="s">
        <v>2053</v>
      </c>
      <c r="V490" s="4" t="s">
        <v>69</v>
      </c>
    </row>
    <row r="491" spans="1:22">
      <c r="A491" s="7" t="s">
        <v>2054</v>
      </c>
      <c r="B491" s="8" t="s">
        <v>327</v>
      </c>
      <c r="C491" s="8" t="s">
        <v>169</v>
      </c>
      <c r="D491" s="8" t="s">
        <v>142</v>
      </c>
      <c r="E491" s="8" t="s">
        <v>1378</v>
      </c>
      <c r="F491" s="8" t="s">
        <v>394</v>
      </c>
      <c r="G491" s="8" t="s">
        <v>76</v>
      </c>
      <c r="H491" s="8" t="s">
        <v>2055</v>
      </c>
      <c r="I491" s="8" t="s">
        <v>30</v>
      </c>
      <c r="J491" s="8" t="s">
        <v>31</v>
      </c>
      <c r="K491" s="8" t="s">
        <v>32</v>
      </c>
      <c r="L491" s="8" t="s">
        <v>174</v>
      </c>
      <c r="M491" s="8">
        <v>2</v>
      </c>
      <c r="N491" s="8">
        <v>8500</v>
      </c>
      <c r="O491" s="8">
        <v>5</v>
      </c>
      <c r="P491" s="8">
        <v>16150</v>
      </c>
      <c r="Q491" s="8">
        <v>1</v>
      </c>
      <c r="R491" s="8" t="s">
        <v>79</v>
      </c>
      <c r="S491" s="8" t="s">
        <v>61</v>
      </c>
      <c r="T491" s="8" t="s">
        <v>332</v>
      </c>
      <c r="U491" s="9" t="s">
        <v>2056</v>
      </c>
      <c r="V491" s="8" t="s">
        <v>38</v>
      </c>
    </row>
    <row r="492" spans="1:22">
      <c r="A492" s="3" t="s">
        <v>2057</v>
      </c>
      <c r="B492" s="4" t="s">
        <v>100</v>
      </c>
      <c r="C492" s="4" t="s">
        <v>24</v>
      </c>
      <c r="D492" s="4" t="s">
        <v>328</v>
      </c>
      <c r="E492" s="4" t="s">
        <v>1507</v>
      </c>
      <c r="F492" s="4" t="s">
        <v>2058</v>
      </c>
      <c r="G492" s="4" t="s">
        <v>28</v>
      </c>
      <c r="H492" s="4" t="s">
        <v>2059</v>
      </c>
      <c r="I492" s="4" t="s">
        <v>114</v>
      </c>
      <c r="J492" s="4" t="s">
        <v>106</v>
      </c>
      <c r="K492" s="4" t="s">
        <v>32</v>
      </c>
      <c r="L492" s="4" t="s">
        <v>33</v>
      </c>
      <c r="M492" s="4">
        <v>7</v>
      </c>
      <c r="N492" s="4">
        <v>2200</v>
      </c>
      <c r="O492" s="4">
        <v>0</v>
      </c>
      <c r="P492" s="4">
        <v>15400</v>
      </c>
      <c r="Q492" s="4">
        <v>5</v>
      </c>
      <c r="R492" s="4" t="s">
        <v>48</v>
      </c>
      <c r="S492" s="4" t="s">
        <v>35</v>
      </c>
      <c r="T492" s="4" t="s">
        <v>144</v>
      </c>
      <c r="U492" s="6" t="s">
        <v>2060</v>
      </c>
      <c r="V492" s="4" t="s">
        <v>64</v>
      </c>
    </row>
    <row r="493" spans="1:22">
      <c r="A493" s="7" t="s">
        <v>2061</v>
      </c>
      <c r="B493" s="8" t="s">
        <v>83</v>
      </c>
      <c r="C493" s="8" t="s">
        <v>169</v>
      </c>
      <c r="D493" s="8" t="s">
        <v>1916</v>
      </c>
      <c r="E493" s="8" t="s">
        <v>1098</v>
      </c>
      <c r="F493" s="8" t="s">
        <v>180</v>
      </c>
      <c r="G493" s="8" t="s">
        <v>76</v>
      </c>
      <c r="H493" s="8" t="s">
        <v>2062</v>
      </c>
      <c r="I493" s="8" t="s">
        <v>44</v>
      </c>
      <c r="J493" s="8" t="s">
        <v>45</v>
      </c>
      <c r="K493" s="8" t="s">
        <v>32</v>
      </c>
      <c r="L493" s="8" t="s">
        <v>174</v>
      </c>
      <c r="M493" s="8">
        <v>20</v>
      </c>
      <c r="N493" s="8">
        <v>8500</v>
      </c>
      <c r="O493" s="8">
        <v>0</v>
      </c>
      <c r="P493" s="8">
        <v>170000</v>
      </c>
      <c r="Q493" s="8">
        <v>3</v>
      </c>
      <c r="R493" s="8" t="s">
        <v>48</v>
      </c>
      <c r="S493" s="8" t="s">
        <v>49</v>
      </c>
      <c r="T493" s="8" t="s">
        <v>89</v>
      </c>
      <c r="U493" s="9" t="s">
        <v>2063</v>
      </c>
      <c r="V493" s="8" t="s">
        <v>38</v>
      </c>
    </row>
    <row r="494" spans="1:22">
      <c r="A494" s="3" t="s">
        <v>2064</v>
      </c>
      <c r="B494" s="4" t="s">
        <v>127</v>
      </c>
      <c r="C494" s="4" t="s">
        <v>72</v>
      </c>
      <c r="D494" s="4" t="s">
        <v>1106</v>
      </c>
      <c r="E494" s="4" t="s">
        <v>839</v>
      </c>
      <c r="F494" s="4" t="s">
        <v>2065</v>
      </c>
      <c r="G494" s="4" t="s">
        <v>76</v>
      </c>
      <c r="H494" s="4" t="s">
        <v>2066</v>
      </c>
      <c r="I494" s="4" t="s">
        <v>30</v>
      </c>
      <c r="J494" s="4" t="s">
        <v>31</v>
      </c>
      <c r="K494" s="4" t="s">
        <v>46</v>
      </c>
      <c r="L494" s="4" t="s">
        <v>78</v>
      </c>
      <c r="M494" s="4">
        <v>11</v>
      </c>
      <c r="N494" s="4">
        <v>1200</v>
      </c>
      <c r="O494" s="4">
        <v>5</v>
      </c>
      <c r="P494" s="4">
        <v>12540</v>
      </c>
      <c r="Q494" s="4">
        <v>2</v>
      </c>
      <c r="R494" s="4" t="s">
        <v>34</v>
      </c>
      <c r="S494" s="4" t="s">
        <v>35</v>
      </c>
      <c r="T494" s="4" t="s">
        <v>132</v>
      </c>
      <c r="U494" s="6" t="s">
        <v>2067</v>
      </c>
      <c r="V494" s="4" t="s">
        <v>64</v>
      </c>
    </row>
    <row r="495" spans="1:22">
      <c r="A495" s="7" t="s">
        <v>2068</v>
      </c>
      <c r="B495" s="8" t="s">
        <v>83</v>
      </c>
      <c r="C495" s="8" t="s">
        <v>184</v>
      </c>
      <c r="D495" s="8" t="s">
        <v>839</v>
      </c>
      <c r="E495" s="8" t="s">
        <v>756</v>
      </c>
      <c r="F495" s="8" t="s">
        <v>180</v>
      </c>
      <c r="G495" s="8" t="s">
        <v>76</v>
      </c>
      <c r="H495" s="8" t="s">
        <v>2069</v>
      </c>
      <c r="I495" s="8" t="s">
        <v>138</v>
      </c>
      <c r="J495" s="8" t="s">
        <v>106</v>
      </c>
      <c r="K495" s="8" t="s">
        <v>46</v>
      </c>
      <c r="L495" s="8" t="s">
        <v>189</v>
      </c>
      <c r="M495" s="8">
        <v>14</v>
      </c>
      <c r="N495" s="8">
        <v>700</v>
      </c>
      <c r="O495" s="8">
        <v>0</v>
      </c>
      <c r="P495" s="8">
        <v>9800</v>
      </c>
      <c r="Q495" s="8">
        <v>2</v>
      </c>
      <c r="R495" s="8" t="s">
        <v>79</v>
      </c>
      <c r="S495" s="8" t="s">
        <v>151</v>
      </c>
      <c r="T495" s="8" t="s">
        <v>89</v>
      </c>
      <c r="U495" s="9" t="s">
        <v>2070</v>
      </c>
      <c r="V495" s="8" t="s">
        <v>69</v>
      </c>
    </row>
    <row r="496" spans="1:22">
      <c r="A496" s="3" t="s">
        <v>2071</v>
      </c>
      <c r="B496" s="4" t="s">
        <v>71</v>
      </c>
      <c r="C496" s="4" t="s">
        <v>72</v>
      </c>
      <c r="D496" s="4" t="s">
        <v>793</v>
      </c>
      <c r="E496" s="4" t="s">
        <v>1650</v>
      </c>
      <c r="F496" s="4" t="s">
        <v>217</v>
      </c>
      <c r="G496" s="4" t="s">
        <v>76</v>
      </c>
      <c r="H496" s="4" t="s">
        <v>2072</v>
      </c>
      <c r="I496" s="4" t="s">
        <v>114</v>
      </c>
      <c r="J496" s="4" t="s">
        <v>106</v>
      </c>
      <c r="K496" s="4" t="s">
        <v>46</v>
      </c>
      <c r="L496" s="4" t="s">
        <v>78</v>
      </c>
      <c r="M496" s="4">
        <v>16</v>
      </c>
      <c r="N496" s="4">
        <v>1200</v>
      </c>
      <c r="O496" s="4">
        <v>15</v>
      </c>
      <c r="P496" s="4">
        <v>16320</v>
      </c>
      <c r="Q496" s="4">
        <v>4</v>
      </c>
      <c r="R496" s="4" t="s">
        <v>34</v>
      </c>
      <c r="S496" s="4" t="s">
        <v>151</v>
      </c>
      <c r="T496" s="4" t="s">
        <v>80</v>
      </c>
      <c r="U496" s="6" t="s">
        <v>2073</v>
      </c>
      <c r="V496" s="4" t="s">
        <v>64</v>
      </c>
    </row>
    <row r="497" spans="1:22">
      <c r="A497" s="7" t="s">
        <v>2074</v>
      </c>
      <c r="B497" s="8" t="s">
        <v>168</v>
      </c>
      <c r="C497" s="8" t="s">
        <v>24</v>
      </c>
      <c r="D497" s="8" t="s">
        <v>493</v>
      </c>
      <c r="E497" s="8" t="s">
        <v>1932</v>
      </c>
      <c r="F497" s="8" t="s">
        <v>2075</v>
      </c>
      <c r="G497" s="8" t="s">
        <v>28</v>
      </c>
      <c r="H497" s="8" t="s">
        <v>2076</v>
      </c>
      <c r="I497" s="8" t="s">
        <v>212</v>
      </c>
      <c r="J497" s="8" t="s">
        <v>45</v>
      </c>
      <c r="K497" s="8" t="s">
        <v>32</v>
      </c>
      <c r="L497" s="8" t="s">
        <v>33</v>
      </c>
      <c r="M497" s="8">
        <v>20</v>
      </c>
      <c r="N497" s="8">
        <v>2200</v>
      </c>
      <c r="O497" s="8">
        <v>0</v>
      </c>
      <c r="P497" s="8">
        <v>44000</v>
      </c>
      <c r="Q497" s="8">
        <v>5</v>
      </c>
      <c r="R497" s="8" t="s">
        <v>34</v>
      </c>
      <c r="S497" s="8" t="s">
        <v>35</v>
      </c>
      <c r="T497" s="8" t="s">
        <v>175</v>
      </c>
      <c r="U497" s="9" t="s">
        <v>2077</v>
      </c>
      <c r="V497" s="8" t="s">
        <v>69</v>
      </c>
    </row>
    <row r="498" spans="1:22">
      <c r="A498" s="3" t="s">
        <v>2078</v>
      </c>
      <c r="B498" s="4" t="s">
        <v>83</v>
      </c>
      <c r="C498" s="4" t="s">
        <v>40</v>
      </c>
      <c r="D498" s="4" t="s">
        <v>2051</v>
      </c>
      <c r="E498" s="4" t="s">
        <v>272</v>
      </c>
      <c r="F498" s="4" t="s">
        <v>180</v>
      </c>
      <c r="G498" s="4" t="s">
        <v>76</v>
      </c>
      <c r="H498" s="4" t="s">
        <v>2079</v>
      </c>
      <c r="I498" s="4" t="s">
        <v>212</v>
      </c>
      <c r="J498" s="4" t="s">
        <v>45</v>
      </c>
      <c r="K498" s="4" t="s">
        <v>46</v>
      </c>
      <c r="L498" s="4" t="s">
        <v>47</v>
      </c>
      <c r="M498" s="4">
        <v>12</v>
      </c>
      <c r="N498" s="4">
        <v>12000</v>
      </c>
      <c r="O498" s="4">
        <v>15</v>
      </c>
      <c r="P498" s="4">
        <v>122400</v>
      </c>
      <c r="Q498" s="4">
        <v>5</v>
      </c>
      <c r="R498" s="4" t="s">
        <v>34</v>
      </c>
      <c r="S498" s="4" t="s">
        <v>151</v>
      </c>
      <c r="T498" s="4" t="s">
        <v>89</v>
      </c>
      <c r="U498" s="6" t="s">
        <v>2080</v>
      </c>
      <c r="V498" s="4" t="s">
        <v>38</v>
      </c>
    </row>
    <row r="499" spans="1:22">
      <c r="A499" s="7" t="s">
        <v>2081</v>
      </c>
      <c r="B499" s="8" t="s">
        <v>221</v>
      </c>
      <c r="C499" s="8" t="s">
        <v>72</v>
      </c>
      <c r="D499" s="8" t="s">
        <v>610</v>
      </c>
      <c r="E499" s="8" t="s">
        <v>611</v>
      </c>
      <c r="F499" s="8" t="s">
        <v>225</v>
      </c>
      <c r="G499" s="8" t="s">
        <v>76</v>
      </c>
      <c r="H499" s="8" t="s">
        <v>2082</v>
      </c>
      <c r="I499" s="8" t="s">
        <v>44</v>
      </c>
      <c r="J499" s="8" t="s">
        <v>45</v>
      </c>
      <c r="K499" s="8" t="s">
        <v>46</v>
      </c>
      <c r="L499" s="8" t="s">
        <v>78</v>
      </c>
      <c r="M499" s="8">
        <v>3</v>
      </c>
      <c r="N499" s="8">
        <v>1200</v>
      </c>
      <c r="O499" s="8">
        <v>20</v>
      </c>
      <c r="P499" s="8">
        <v>2880</v>
      </c>
      <c r="Q499" s="8">
        <v>2</v>
      </c>
      <c r="R499" s="8" t="s">
        <v>48</v>
      </c>
      <c r="S499" s="8" t="s">
        <v>115</v>
      </c>
      <c r="T499" s="8" t="s">
        <v>907</v>
      </c>
      <c r="U499" s="9" t="s">
        <v>2083</v>
      </c>
      <c r="V499" s="8" t="s">
        <v>64</v>
      </c>
    </row>
    <row r="500" spans="1:22">
      <c r="A500" s="3" t="s">
        <v>2084</v>
      </c>
      <c r="B500" s="4" t="s">
        <v>100</v>
      </c>
      <c r="C500" s="4" t="s">
        <v>54</v>
      </c>
      <c r="D500" s="4" t="s">
        <v>276</v>
      </c>
      <c r="E500" s="4" t="s">
        <v>2085</v>
      </c>
      <c r="F500" s="4" t="s">
        <v>103</v>
      </c>
      <c r="G500" s="4" t="s">
        <v>28</v>
      </c>
      <c r="H500" s="4" t="s">
        <v>2086</v>
      </c>
      <c r="I500" s="4" t="s">
        <v>105</v>
      </c>
      <c r="J500" s="4" t="s">
        <v>106</v>
      </c>
      <c r="K500" s="4" t="s">
        <v>46</v>
      </c>
      <c r="L500" s="4" t="s">
        <v>2087</v>
      </c>
      <c r="M500" s="4">
        <v>6</v>
      </c>
      <c r="N500" s="4">
        <v>55000</v>
      </c>
      <c r="O500" s="4">
        <v>20</v>
      </c>
      <c r="P500" s="4">
        <v>264000</v>
      </c>
      <c r="Q500" s="4">
        <v>3</v>
      </c>
      <c r="R500" s="4" t="s">
        <v>34</v>
      </c>
      <c r="S500" s="4" t="s">
        <v>151</v>
      </c>
      <c r="T500" s="4" t="s">
        <v>144</v>
      </c>
      <c r="U500" s="6" t="s">
        <v>2088</v>
      </c>
      <c r="V500" s="4" t="s">
        <v>38</v>
      </c>
    </row>
    <row r="501" spans="1:22">
      <c r="A501" s="11" t="s">
        <v>2089</v>
      </c>
      <c r="B501" s="12" t="s">
        <v>100</v>
      </c>
      <c r="C501" s="12" t="s">
        <v>92</v>
      </c>
      <c r="D501" s="12" t="s">
        <v>2090</v>
      </c>
      <c r="E501" s="12" t="s">
        <v>129</v>
      </c>
      <c r="F501" s="12" t="s">
        <v>103</v>
      </c>
      <c r="G501" s="12" t="s">
        <v>28</v>
      </c>
      <c r="H501" s="12" t="s">
        <v>2091</v>
      </c>
      <c r="I501" s="12" t="s">
        <v>59</v>
      </c>
      <c r="J501" s="12" t="s">
        <v>31</v>
      </c>
      <c r="K501" s="12" t="s">
        <v>32</v>
      </c>
      <c r="L501" s="12" t="s">
        <v>97</v>
      </c>
      <c r="M501" s="12">
        <v>20</v>
      </c>
      <c r="N501" s="12">
        <v>3500</v>
      </c>
      <c r="O501" s="12">
        <v>0</v>
      </c>
      <c r="P501" s="12">
        <v>70000</v>
      </c>
      <c r="Q501" s="12">
        <v>1</v>
      </c>
      <c r="R501" s="12" t="s">
        <v>48</v>
      </c>
      <c r="S501" s="12" t="s">
        <v>151</v>
      </c>
      <c r="T501" s="12" t="s">
        <v>144</v>
      </c>
      <c r="U501" s="13" t="s">
        <v>2092</v>
      </c>
      <c r="V501" s="12" t="s">
        <v>64</v>
      </c>
    </row>
  </sheetData>
  <mergeCells count="6">
    <mergeCell ref="AK8:AL8"/>
    <mergeCell ref="AC10:AD10"/>
    <mergeCell ref="AG8:AI8"/>
    <mergeCell ref="Y12:AA12"/>
    <mergeCell ref="AC4:AD4"/>
    <mergeCell ref="Y8:AE8"/>
  </mergeCells>
  <hyperlinks>
    <hyperlink ref="T2" r:id="rId1" xr:uid="{074CACD6-5293-4C71-AB53-D128C663B7EC}"/>
    <hyperlink ref="T5" r:id="rId2" xr:uid="{ADD59AA5-F7A6-43E9-9B64-49B8EAFC70DE}"/>
    <hyperlink ref="T9" r:id="rId3" xr:uid="{B9CA044D-81A0-4950-ADCF-863758C23EF6}"/>
    <hyperlink ref="T11" r:id="rId4" xr:uid="{132A3A84-3B50-470C-B5D7-521C8E86BDF4}"/>
    <hyperlink ref="T16" r:id="rId5" xr:uid="{E941D1A4-6720-4176-962E-0CB9B161FEA4}"/>
    <hyperlink ref="T15" r:id="rId6" xr:uid="{FE3B112E-EA5B-41E9-92C7-59F1429E0C00}"/>
    <hyperlink ref="T20" r:id="rId7" xr:uid="{4A2F45F4-989B-4177-9244-4A53BD916F1E}"/>
    <hyperlink ref="T61" r:id="rId8" xr:uid="{BD0ECFCD-7ACA-4922-8AF7-8EF9A4C75E29}"/>
    <hyperlink ref="T72" r:id="rId9" xr:uid="{E6EF1FE1-C1E3-462D-8BF3-F53BFD36F6D6}"/>
    <hyperlink ref="T294" r:id="rId10" xr:uid="{76B26BBF-6A7D-4B77-9816-11219BA440FB}"/>
    <hyperlink ref="T489" r:id="rId11" xr:uid="{65CC4744-96F0-40CC-AE32-DFC4C8B737FF}"/>
    <hyperlink ref="T479" r:id="rId12" xr:uid="{787A0384-1067-443A-BCC8-5F41EF60BC18}"/>
    <hyperlink ref="T463" r:id="rId13" xr:uid="{D74D43A5-A030-4311-B93A-3399B5F318DC}"/>
    <hyperlink ref="T450" r:id="rId14" xr:uid="{804755F0-C28D-4406-89BD-1CD58B671752}"/>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E83C4-A16B-4A90-9EBE-665E7AF38839}">
  <dimension ref="A1:J14"/>
  <sheetViews>
    <sheetView workbookViewId="0">
      <selection activeCell="B20" sqref="B20"/>
    </sheetView>
  </sheetViews>
  <sheetFormatPr defaultRowHeight="14.4"/>
  <cols>
    <col min="1" max="1" width="25.44140625" bestFit="1" customWidth="1"/>
    <col min="2" max="2" width="45.5546875" bestFit="1" customWidth="1"/>
  </cols>
  <sheetData>
    <row r="1" spans="1:10">
      <c r="A1" s="44" t="s">
        <v>2141</v>
      </c>
      <c r="B1" s="45"/>
      <c r="C1" s="45"/>
    </row>
    <row r="3" spans="1:10">
      <c r="A3" s="35" t="s">
        <v>2142</v>
      </c>
      <c r="B3" s="35">
        <v>50000</v>
      </c>
    </row>
    <row r="4" spans="1:10">
      <c r="A4" s="35" t="s">
        <v>2143</v>
      </c>
      <c r="B4" s="35">
        <v>5</v>
      </c>
    </row>
    <row r="5" spans="1:10">
      <c r="A5" s="35" t="s">
        <v>2144</v>
      </c>
      <c r="B5" s="35">
        <v>10</v>
      </c>
      <c r="D5" s="60" t="s">
        <v>2153</v>
      </c>
      <c r="E5" s="60"/>
      <c r="F5" s="60"/>
      <c r="G5" s="60"/>
      <c r="H5" s="60"/>
      <c r="I5" s="60"/>
      <c r="J5" s="60"/>
    </row>
    <row r="6" spans="1:10">
      <c r="A6" s="35" t="s">
        <v>2145</v>
      </c>
      <c r="B6" s="46">
        <f>FV(B5/12/100,B4*12,-B3,0,0)</f>
        <v>3871853.6086715083</v>
      </c>
    </row>
    <row r="7" spans="1:10">
      <c r="A7" s="35"/>
      <c r="B7" s="35"/>
    </row>
    <row r="8" spans="1:10">
      <c r="A8" s="35" t="s">
        <v>2146</v>
      </c>
      <c r="B8" s="35">
        <v>5000000</v>
      </c>
    </row>
    <row r="9" spans="1:10">
      <c r="A9" s="35" t="s">
        <v>2147</v>
      </c>
      <c r="B9" s="46">
        <f>PMT(B5/12/100,B4*12,0,-B8)</f>
        <v>64568.556889674721</v>
      </c>
    </row>
    <row r="10" spans="1:10">
      <c r="A10" s="35"/>
      <c r="B10" s="35"/>
    </row>
    <row r="11" spans="1:10">
      <c r="A11" s="35" t="s">
        <v>2148</v>
      </c>
      <c r="B11" s="35">
        <v>1000000</v>
      </c>
    </row>
    <row r="12" spans="1:10">
      <c r="A12" s="35" t="s">
        <v>2149</v>
      </c>
      <c r="B12" s="47">
        <v>0.09</v>
      </c>
      <c r="D12" s="60" t="s">
        <v>2152</v>
      </c>
      <c r="E12" s="60"/>
      <c r="F12" s="60"/>
      <c r="G12" s="60"/>
    </row>
    <row r="13" spans="1:10">
      <c r="A13" s="35" t="s">
        <v>2150</v>
      </c>
      <c r="B13" s="35">
        <v>5</v>
      </c>
    </row>
    <row r="14" spans="1:10">
      <c r="A14" s="35" t="s">
        <v>2151</v>
      </c>
      <c r="B14" s="46">
        <f>ROUND(PMT(B12/12,B13*12,-B11),0)</f>
        <v>20758</v>
      </c>
    </row>
  </sheetData>
  <mergeCells count="2">
    <mergeCell ref="D5:J5"/>
    <mergeCell ref="D12:G1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20A61-E661-4D0C-B9D9-7CF66B2C9746}">
  <dimension ref="A1:AN499"/>
  <sheetViews>
    <sheetView workbookViewId="0">
      <selection activeCell="Y13" sqref="Y13"/>
    </sheetView>
  </sheetViews>
  <sheetFormatPr defaultRowHeight="14.4"/>
  <cols>
    <col min="1" max="1" width="10.77734375" bestFit="1" customWidth="1"/>
    <col min="2" max="2" width="14.109375" bestFit="1" customWidth="1"/>
    <col min="3" max="3" width="12.6640625" bestFit="1" customWidth="1"/>
    <col min="4" max="4" width="12.88671875" bestFit="1" customWidth="1"/>
    <col min="5" max="5" width="14.88671875" bestFit="1" customWidth="1"/>
    <col min="6" max="6" width="17.44140625" bestFit="1" customWidth="1"/>
    <col min="7" max="7" width="9.33203125" bestFit="1" customWidth="1"/>
    <col min="8" max="8" width="10.5546875" bestFit="1" customWidth="1"/>
    <col min="9" max="9" width="10.6640625" bestFit="1" customWidth="1"/>
    <col min="10" max="10" width="9" bestFit="1" customWidth="1"/>
    <col min="11" max="11" width="15.109375" bestFit="1" customWidth="1"/>
    <col min="12" max="12" width="16" bestFit="1" customWidth="1"/>
    <col min="13" max="13" width="10.5546875" bestFit="1" customWidth="1"/>
    <col min="14" max="14" width="11.88671875" bestFit="1" customWidth="1"/>
    <col min="15" max="15" width="13" bestFit="1" customWidth="1"/>
    <col min="16" max="16" width="8" bestFit="1" customWidth="1"/>
    <col min="17" max="17" width="8.5546875" bestFit="1" customWidth="1"/>
    <col min="18" max="18" width="16.88671875" bestFit="1" customWidth="1"/>
    <col min="19" max="19" width="13.21875" bestFit="1" customWidth="1"/>
    <col min="20" max="20" width="25.21875" bestFit="1" customWidth="1"/>
    <col min="21" max="21" width="11" bestFit="1" customWidth="1"/>
    <col min="22" max="22" width="14.21875" bestFit="1" customWidth="1"/>
  </cols>
  <sheetData>
    <row r="1" spans="1:40">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4" t="s">
        <v>17</v>
      </c>
      <c r="S1" s="14" t="s">
        <v>18</v>
      </c>
      <c r="T1" s="14" t="s">
        <v>19</v>
      </c>
      <c r="U1" s="14" t="s">
        <v>20</v>
      </c>
      <c r="V1" s="14" t="s">
        <v>21</v>
      </c>
    </row>
    <row r="2" spans="1:40">
      <c r="A2" s="15" t="s">
        <v>22</v>
      </c>
      <c r="B2" s="15" t="s">
        <v>23</v>
      </c>
      <c r="C2" s="15" t="s">
        <v>24</v>
      </c>
      <c r="D2" s="15" t="s">
        <v>25</v>
      </c>
      <c r="E2" s="15" t="s">
        <v>26</v>
      </c>
      <c r="F2" s="15" t="s">
        <v>27</v>
      </c>
      <c r="G2" s="15" t="s">
        <v>28</v>
      </c>
      <c r="H2" s="15" t="s">
        <v>29</v>
      </c>
      <c r="I2" s="15" t="s">
        <v>30</v>
      </c>
      <c r="J2" s="15" t="s">
        <v>31</v>
      </c>
      <c r="K2" s="15" t="s">
        <v>32</v>
      </c>
      <c r="L2" s="15" t="s">
        <v>33</v>
      </c>
      <c r="M2" s="15">
        <v>4</v>
      </c>
      <c r="N2" s="15">
        <v>2200</v>
      </c>
      <c r="O2" s="15">
        <v>10</v>
      </c>
      <c r="P2" s="15">
        <v>7920</v>
      </c>
      <c r="Q2" s="15">
        <v>4</v>
      </c>
      <c r="R2" s="15" t="s">
        <v>34</v>
      </c>
      <c r="S2" s="15" t="s">
        <v>35</v>
      </c>
      <c r="T2" s="16" t="s">
        <v>36</v>
      </c>
      <c r="U2" s="17" t="s">
        <v>37</v>
      </c>
      <c r="V2" s="15" t="s">
        <v>38</v>
      </c>
    </row>
    <row r="3" spans="1:40">
      <c r="A3" s="18" t="s">
        <v>39</v>
      </c>
      <c r="B3" s="18" t="s">
        <v>23</v>
      </c>
      <c r="C3" s="18" t="s">
        <v>40</v>
      </c>
      <c r="D3" s="18" t="s">
        <v>41</v>
      </c>
      <c r="E3" s="18" t="s">
        <v>42</v>
      </c>
      <c r="F3" s="18" t="s">
        <v>27</v>
      </c>
      <c r="G3" s="18" t="s">
        <v>28</v>
      </c>
      <c r="H3" s="18" t="s">
        <v>43</v>
      </c>
      <c r="I3" s="18" t="s">
        <v>44</v>
      </c>
      <c r="J3" s="18" t="s">
        <v>45</v>
      </c>
      <c r="K3" s="18" t="s">
        <v>46</v>
      </c>
      <c r="L3" s="18" t="s">
        <v>47</v>
      </c>
      <c r="M3" s="18">
        <v>17</v>
      </c>
      <c r="N3" s="18">
        <v>12000</v>
      </c>
      <c r="O3" s="18">
        <v>10</v>
      </c>
      <c r="P3" s="18">
        <v>183600</v>
      </c>
      <c r="Q3" s="18">
        <v>1</v>
      </c>
      <c r="R3" s="18" t="s">
        <v>48</v>
      </c>
      <c r="S3" s="18" t="s">
        <v>49</v>
      </c>
      <c r="T3" s="18" t="s">
        <v>50</v>
      </c>
      <c r="U3" s="19" t="s">
        <v>51</v>
      </c>
      <c r="V3" s="18" t="s">
        <v>38</v>
      </c>
    </row>
    <row r="4" spans="1:40">
      <c r="A4" s="15" t="s">
        <v>52</v>
      </c>
      <c r="B4" s="15" t="s">
        <v>53</v>
      </c>
      <c r="C4" s="15" t="s">
        <v>54</v>
      </c>
      <c r="D4" s="15" t="s">
        <v>55</v>
      </c>
      <c r="E4" s="15" t="s">
        <v>56</v>
      </c>
      <c r="F4" s="15" t="s">
        <v>163</v>
      </c>
      <c r="G4" s="15" t="s">
        <v>28</v>
      </c>
      <c r="H4" s="15" t="s">
        <v>58</v>
      </c>
      <c r="I4" s="15" t="s">
        <v>59</v>
      </c>
      <c r="J4" s="15" t="s">
        <v>31</v>
      </c>
      <c r="K4" s="15" t="s">
        <v>46</v>
      </c>
      <c r="L4" s="15" t="s">
        <v>60</v>
      </c>
      <c r="M4" s="15">
        <v>5</v>
      </c>
      <c r="N4" s="15">
        <v>55000</v>
      </c>
      <c r="O4" s="15">
        <v>5</v>
      </c>
      <c r="P4" s="15">
        <v>261250</v>
      </c>
      <c r="Q4" s="15">
        <v>3</v>
      </c>
      <c r="R4" s="15" t="s">
        <v>48</v>
      </c>
      <c r="S4" s="15" t="s">
        <v>61</v>
      </c>
      <c r="T4" s="15" t="s">
        <v>62</v>
      </c>
      <c r="U4" s="17" t="s">
        <v>63</v>
      </c>
      <c r="V4" s="15" t="s">
        <v>64</v>
      </c>
    </row>
    <row r="5" spans="1:40">
      <c r="A5" s="15" t="s">
        <v>70</v>
      </c>
      <c r="B5" s="15" t="s">
        <v>71</v>
      </c>
      <c r="C5" s="15" t="s">
        <v>72</v>
      </c>
      <c r="D5" s="15" t="s">
        <v>73</v>
      </c>
      <c r="E5" s="15" t="s">
        <v>74</v>
      </c>
      <c r="F5" s="15" t="s">
        <v>217</v>
      </c>
      <c r="G5" s="15" t="s">
        <v>76</v>
      </c>
      <c r="H5" s="15" t="s">
        <v>77</v>
      </c>
      <c r="I5" s="15" t="s">
        <v>44</v>
      </c>
      <c r="J5" s="15" t="s">
        <v>45</v>
      </c>
      <c r="K5" s="15" t="s">
        <v>46</v>
      </c>
      <c r="L5" s="15" t="s">
        <v>78</v>
      </c>
      <c r="M5" s="15">
        <v>8</v>
      </c>
      <c r="N5" s="15">
        <v>1200</v>
      </c>
      <c r="O5" s="15">
        <v>5</v>
      </c>
      <c r="P5" s="15">
        <v>9120</v>
      </c>
      <c r="Q5" s="15">
        <v>2</v>
      </c>
      <c r="R5" s="15" t="s">
        <v>79</v>
      </c>
      <c r="S5" s="15" t="s">
        <v>61</v>
      </c>
      <c r="T5" s="15" t="s">
        <v>80</v>
      </c>
      <c r="U5" s="17" t="s">
        <v>81</v>
      </c>
      <c r="V5" s="15" t="s">
        <v>64</v>
      </c>
    </row>
    <row r="6" spans="1:40">
      <c r="A6" s="18" t="s">
        <v>82</v>
      </c>
      <c r="B6" s="18" t="s">
        <v>83</v>
      </c>
      <c r="C6" s="18" t="s">
        <v>24</v>
      </c>
      <c r="D6" s="18" t="s">
        <v>84</v>
      </c>
      <c r="E6" s="18" t="s">
        <v>85</v>
      </c>
      <c r="F6" s="18" t="s">
        <v>180</v>
      </c>
      <c r="G6" s="18" t="s">
        <v>76</v>
      </c>
      <c r="H6" s="18" t="s">
        <v>87</v>
      </c>
      <c r="I6" s="18" t="s">
        <v>30</v>
      </c>
      <c r="J6" s="18" t="s">
        <v>31</v>
      </c>
      <c r="K6" s="18" t="s">
        <v>32</v>
      </c>
      <c r="L6" s="18" t="s">
        <v>33</v>
      </c>
      <c r="M6" s="18">
        <v>4</v>
      </c>
      <c r="N6" s="18">
        <v>2200</v>
      </c>
      <c r="O6" s="18">
        <v>0</v>
      </c>
      <c r="P6" s="18">
        <v>8800</v>
      </c>
      <c r="Q6" s="18">
        <v>1</v>
      </c>
      <c r="R6" s="18" t="s">
        <v>88</v>
      </c>
      <c r="S6" s="18" t="s">
        <v>35</v>
      </c>
      <c r="T6" s="18" t="s">
        <v>89</v>
      </c>
      <c r="U6" s="19" t="s">
        <v>90</v>
      </c>
      <c r="V6" s="18" t="s">
        <v>38</v>
      </c>
    </row>
    <row r="7" spans="1:40">
      <c r="A7" s="15" t="s">
        <v>91</v>
      </c>
      <c r="B7" s="15" t="s">
        <v>23</v>
      </c>
      <c r="C7" s="15" t="s">
        <v>92</v>
      </c>
      <c r="D7" s="15" t="s">
        <v>93</v>
      </c>
      <c r="E7" s="15" t="s">
        <v>94</v>
      </c>
      <c r="F7" s="15" t="s">
        <v>27</v>
      </c>
      <c r="G7" s="15" t="s">
        <v>28</v>
      </c>
      <c r="H7" s="15" t="s">
        <v>96</v>
      </c>
      <c r="I7" s="15" t="s">
        <v>30</v>
      </c>
      <c r="J7" s="15" t="s">
        <v>31</v>
      </c>
      <c r="K7" s="15" t="s">
        <v>32</v>
      </c>
      <c r="L7" s="15" t="s">
        <v>97</v>
      </c>
      <c r="M7" s="15">
        <v>2</v>
      </c>
      <c r="N7" s="15">
        <v>3500</v>
      </c>
      <c r="O7" s="15">
        <v>5</v>
      </c>
      <c r="P7" s="15">
        <v>6650</v>
      </c>
      <c r="Q7" s="15">
        <v>1</v>
      </c>
      <c r="R7" s="15" t="s">
        <v>88</v>
      </c>
      <c r="S7" s="15" t="s">
        <v>35</v>
      </c>
      <c r="T7" s="15" t="s">
        <v>50</v>
      </c>
      <c r="U7" s="17" t="s">
        <v>98</v>
      </c>
      <c r="V7" s="15" t="s">
        <v>38</v>
      </c>
    </row>
    <row r="8" spans="1:40">
      <c r="A8" s="18" t="s">
        <v>99</v>
      </c>
      <c r="B8" s="18" t="s">
        <v>100</v>
      </c>
      <c r="C8" s="18" t="s">
        <v>40</v>
      </c>
      <c r="D8" s="18" t="s">
        <v>101</v>
      </c>
      <c r="E8" s="18" t="s">
        <v>102</v>
      </c>
      <c r="F8" s="18" t="s">
        <v>103</v>
      </c>
      <c r="G8" s="18" t="s">
        <v>28</v>
      </c>
      <c r="H8" s="18" t="s">
        <v>104</v>
      </c>
      <c r="I8" s="18" t="s">
        <v>105</v>
      </c>
      <c r="J8" s="18" t="s">
        <v>106</v>
      </c>
      <c r="K8" s="18" t="s">
        <v>46</v>
      </c>
      <c r="L8" s="18" t="s">
        <v>47</v>
      </c>
      <c r="M8" s="18">
        <v>14</v>
      </c>
      <c r="N8" s="18">
        <v>12000</v>
      </c>
      <c r="O8" s="18">
        <v>15</v>
      </c>
      <c r="P8" s="18">
        <v>142800</v>
      </c>
      <c r="Q8" s="18">
        <v>4</v>
      </c>
      <c r="R8" s="18" t="s">
        <v>48</v>
      </c>
      <c r="S8" s="18" t="s">
        <v>35</v>
      </c>
      <c r="T8" s="20" t="s">
        <v>107</v>
      </c>
      <c r="U8" s="19" t="s">
        <v>108</v>
      </c>
      <c r="V8" s="18" t="s">
        <v>38</v>
      </c>
    </row>
    <row r="9" spans="1:40">
      <c r="A9" s="15" t="s">
        <v>109</v>
      </c>
      <c r="B9" s="15" t="s">
        <v>23</v>
      </c>
      <c r="C9" s="15" t="s">
        <v>40</v>
      </c>
      <c r="D9" s="15" t="s">
        <v>110</v>
      </c>
      <c r="E9" s="15" t="s">
        <v>111</v>
      </c>
      <c r="F9" s="15" t="s">
        <v>27</v>
      </c>
      <c r="G9" s="15" t="s">
        <v>28</v>
      </c>
      <c r="H9" s="15" t="s">
        <v>113</v>
      </c>
      <c r="I9" s="15" t="s">
        <v>114</v>
      </c>
      <c r="J9" s="15" t="s">
        <v>106</v>
      </c>
      <c r="K9" s="15" t="s">
        <v>46</v>
      </c>
      <c r="L9" s="15" t="s">
        <v>47</v>
      </c>
      <c r="M9" s="15">
        <v>4</v>
      </c>
      <c r="N9" s="15">
        <v>12000</v>
      </c>
      <c r="O9" s="15">
        <v>15</v>
      </c>
      <c r="P9" s="15">
        <v>40800</v>
      </c>
      <c r="Q9" s="15">
        <v>4</v>
      </c>
      <c r="R9" s="15" t="s">
        <v>88</v>
      </c>
      <c r="S9" s="15" t="s">
        <v>115</v>
      </c>
      <c r="T9" s="15" t="s">
        <v>50</v>
      </c>
      <c r="U9" s="17" t="s">
        <v>116</v>
      </c>
      <c r="V9" s="15" t="s">
        <v>38</v>
      </c>
    </row>
    <row r="10" spans="1:40">
      <c r="A10" s="18" t="s">
        <v>117</v>
      </c>
      <c r="B10" s="18" t="s">
        <v>100</v>
      </c>
      <c r="C10" s="18" t="s">
        <v>118</v>
      </c>
      <c r="D10" s="18" t="s">
        <v>119</v>
      </c>
      <c r="E10" s="18" t="s">
        <v>120</v>
      </c>
      <c r="F10" s="18" t="s">
        <v>103</v>
      </c>
      <c r="G10" s="18" t="s">
        <v>28</v>
      </c>
      <c r="H10" s="18" t="s">
        <v>121</v>
      </c>
      <c r="I10" s="18" t="s">
        <v>105</v>
      </c>
      <c r="J10" s="18" t="s">
        <v>106</v>
      </c>
      <c r="K10" s="18" t="s">
        <v>122</v>
      </c>
      <c r="L10" s="18" t="s">
        <v>123</v>
      </c>
      <c r="M10" s="18">
        <v>6</v>
      </c>
      <c r="N10" s="18">
        <v>60</v>
      </c>
      <c r="O10" s="18">
        <v>0</v>
      </c>
      <c r="P10" s="18">
        <v>360</v>
      </c>
      <c r="Q10" s="18">
        <v>4</v>
      </c>
      <c r="R10" s="18" t="s">
        <v>79</v>
      </c>
      <c r="S10" s="18" t="s">
        <v>115</v>
      </c>
      <c r="T10" s="20" t="s">
        <v>124</v>
      </c>
      <c r="U10" s="19" t="s">
        <v>125</v>
      </c>
      <c r="V10" s="18" t="s">
        <v>38</v>
      </c>
      <c r="Y10" t="s">
        <v>2155</v>
      </c>
      <c r="Z10" s="49" t="s">
        <v>2156</v>
      </c>
      <c r="AA10" s="49"/>
      <c r="AB10" s="49"/>
      <c r="AC10" s="49"/>
      <c r="AD10" s="49"/>
      <c r="AE10" s="49"/>
      <c r="AF10" s="49"/>
      <c r="AG10" s="49"/>
      <c r="AH10" s="49"/>
      <c r="AI10" s="49"/>
      <c r="AJ10" s="49"/>
      <c r="AK10" s="49"/>
      <c r="AL10" s="49"/>
      <c r="AM10" s="49"/>
      <c r="AN10" s="49"/>
    </row>
    <row r="11" spans="1:40">
      <c r="A11" s="15" t="s">
        <v>126</v>
      </c>
      <c r="B11" s="15" t="s">
        <v>127</v>
      </c>
      <c r="C11" s="15" t="s">
        <v>24</v>
      </c>
      <c r="D11" s="15" t="s">
        <v>128</v>
      </c>
      <c r="E11" s="15" t="s">
        <v>129</v>
      </c>
      <c r="F11" s="15" t="s">
        <v>200</v>
      </c>
      <c r="G11" s="15" t="s">
        <v>76</v>
      </c>
      <c r="H11" s="15" t="s">
        <v>131</v>
      </c>
      <c r="I11" s="15" t="s">
        <v>44</v>
      </c>
      <c r="J11" s="15" t="s">
        <v>45</v>
      </c>
      <c r="K11" s="15" t="s">
        <v>32</v>
      </c>
      <c r="L11" s="15" t="s">
        <v>33</v>
      </c>
      <c r="M11" s="15">
        <v>-3</v>
      </c>
      <c r="N11" s="15">
        <v>2200</v>
      </c>
      <c r="O11" s="15">
        <v>0</v>
      </c>
      <c r="P11" s="15">
        <v>35200</v>
      </c>
      <c r="Q11" s="15">
        <v>2</v>
      </c>
      <c r="R11" s="15" t="s">
        <v>79</v>
      </c>
      <c r="S11" s="15" t="s">
        <v>49</v>
      </c>
      <c r="T11" s="15" t="s">
        <v>132</v>
      </c>
      <c r="U11" s="17" t="s">
        <v>133</v>
      </c>
      <c r="V11" s="15" t="s">
        <v>64</v>
      </c>
      <c r="Z11" s="48"/>
      <c r="AA11" s="48"/>
      <c r="AB11" s="48"/>
      <c r="AC11" s="48"/>
      <c r="AD11" s="48"/>
      <c r="AE11" s="48"/>
      <c r="AF11" s="48"/>
      <c r="AG11" s="48"/>
      <c r="AH11" s="48"/>
      <c r="AI11" s="48"/>
      <c r="AJ11" s="48"/>
      <c r="AK11" s="48"/>
      <c r="AL11" s="48"/>
      <c r="AM11" s="48"/>
      <c r="AN11" s="48"/>
    </row>
    <row r="12" spans="1:40">
      <c r="A12" s="18" t="s">
        <v>134</v>
      </c>
      <c r="B12" s="18" t="s">
        <v>23</v>
      </c>
      <c r="C12" s="18" t="s">
        <v>92</v>
      </c>
      <c r="D12" s="18" t="s">
        <v>135</v>
      </c>
      <c r="E12" s="18" t="s">
        <v>136</v>
      </c>
      <c r="F12" s="18" t="s">
        <v>27</v>
      </c>
      <c r="G12" s="18" t="s">
        <v>28</v>
      </c>
      <c r="H12" s="18" t="s">
        <v>137</v>
      </c>
      <c r="I12" s="18" t="s">
        <v>138</v>
      </c>
      <c r="J12" s="18" t="s">
        <v>106</v>
      </c>
      <c r="K12" s="18" t="s">
        <v>32</v>
      </c>
      <c r="L12" s="18" t="s">
        <v>97</v>
      </c>
      <c r="M12" s="18">
        <v>10</v>
      </c>
      <c r="N12" s="18">
        <v>3500</v>
      </c>
      <c r="O12" s="18">
        <v>5</v>
      </c>
      <c r="P12" s="18">
        <v>33250</v>
      </c>
      <c r="Q12" s="18">
        <v>5</v>
      </c>
      <c r="R12" s="18" t="s">
        <v>79</v>
      </c>
      <c r="S12" s="18" t="s">
        <v>61</v>
      </c>
      <c r="T12" s="18" t="s">
        <v>50</v>
      </c>
      <c r="U12" s="19" t="s">
        <v>139</v>
      </c>
      <c r="V12" s="18" t="s">
        <v>69</v>
      </c>
      <c r="Z12" s="48"/>
      <c r="AA12" s="48"/>
      <c r="AB12" s="48"/>
      <c r="AC12" s="48"/>
      <c r="AD12" s="48"/>
      <c r="AE12" s="48"/>
      <c r="AF12" s="48"/>
      <c r="AG12" s="48"/>
      <c r="AH12" s="48"/>
      <c r="AI12" s="48"/>
      <c r="AJ12" s="48"/>
      <c r="AK12" s="48"/>
      <c r="AL12" s="48"/>
      <c r="AM12" s="48"/>
      <c r="AN12" s="48"/>
    </row>
    <row r="13" spans="1:40">
      <c r="A13" s="15" t="s">
        <v>140</v>
      </c>
      <c r="B13" s="15" t="s">
        <v>100</v>
      </c>
      <c r="C13" s="15" t="s">
        <v>24</v>
      </c>
      <c r="D13" s="15" t="s">
        <v>141</v>
      </c>
      <c r="E13" s="15" t="s">
        <v>142</v>
      </c>
      <c r="F13" s="15" t="s">
        <v>103</v>
      </c>
      <c r="G13" s="15" t="s">
        <v>28</v>
      </c>
      <c r="H13" s="15" t="s">
        <v>143</v>
      </c>
      <c r="I13" s="15" t="s">
        <v>114</v>
      </c>
      <c r="J13" s="15" t="s">
        <v>106</v>
      </c>
      <c r="K13" s="15" t="s">
        <v>32</v>
      </c>
      <c r="L13" s="15" t="s">
        <v>33</v>
      </c>
      <c r="M13" s="15">
        <v>15</v>
      </c>
      <c r="N13" s="15">
        <v>2200</v>
      </c>
      <c r="O13" s="15">
        <v>10</v>
      </c>
      <c r="P13" s="15">
        <v>29700</v>
      </c>
      <c r="Q13" s="15">
        <v>1</v>
      </c>
      <c r="R13" s="15" t="s">
        <v>88</v>
      </c>
      <c r="S13" s="15" t="s">
        <v>115</v>
      </c>
      <c r="T13" s="15" t="s">
        <v>144</v>
      </c>
      <c r="U13" s="17" t="s">
        <v>145</v>
      </c>
      <c r="V13" s="15" t="s">
        <v>64</v>
      </c>
      <c r="Z13" s="48"/>
      <c r="AA13" s="48"/>
      <c r="AB13" s="48"/>
      <c r="AC13" s="48"/>
      <c r="AD13" s="48"/>
      <c r="AE13" s="48"/>
      <c r="AF13" s="48"/>
      <c r="AG13" s="48"/>
      <c r="AH13" s="48"/>
      <c r="AI13" s="48"/>
      <c r="AJ13" s="48"/>
      <c r="AK13" s="48"/>
      <c r="AL13" s="48"/>
      <c r="AM13" s="48"/>
      <c r="AN13" s="48"/>
    </row>
    <row r="14" spans="1:40">
      <c r="A14" s="18" t="s">
        <v>146</v>
      </c>
      <c r="B14" s="18" t="s">
        <v>127</v>
      </c>
      <c r="C14" s="18" t="s">
        <v>24</v>
      </c>
      <c r="D14" s="18" t="s">
        <v>147</v>
      </c>
      <c r="E14" s="18" t="s">
        <v>148</v>
      </c>
      <c r="F14" s="18" t="s">
        <v>200</v>
      </c>
      <c r="G14" s="18" t="s">
        <v>76</v>
      </c>
      <c r="H14" s="18" t="s">
        <v>150</v>
      </c>
      <c r="I14" s="18" t="s">
        <v>105</v>
      </c>
      <c r="J14" s="18" t="s">
        <v>106</v>
      </c>
      <c r="K14" s="18" t="s">
        <v>32</v>
      </c>
      <c r="L14" s="18" t="s">
        <v>33</v>
      </c>
      <c r="M14" s="18">
        <v>17</v>
      </c>
      <c r="N14" s="18">
        <v>2200</v>
      </c>
      <c r="O14" s="18">
        <v>5</v>
      </c>
      <c r="P14" s="18">
        <v>35530</v>
      </c>
      <c r="Q14" s="18">
        <v>1</v>
      </c>
      <c r="R14" s="18" t="s">
        <v>34</v>
      </c>
      <c r="S14" s="18" t="s">
        <v>151</v>
      </c>
      <c r="T14" s="20" t="s">
        <v>152</v>
      </c>
      <c r="U14" s="19" t="s">
        <v>153</v>
      </c>
      <c r="V14" s="18" t="s">
        <v>38</v>
      </c>
    </row>
    <row r="15" spans="1:40">
      <c r="A15" s="15" t="s">
        <v>154</v>
      </c>
      <c r="B15" s="15" t="s">
        <v>23</v>
      </c>
      <c r="C15" s="15" t="s">
        <v>92</v>
      </c>
      <c r="D15" s="15" t="s">
        <v>155</v>
      </c>
      <c r="E15" s="15" t="s">
        <v>156</v>
      </c>
      <c r="F15" s="15" t="s">
        <v>27</v>
      </c>
      <c r="G15" s="15" t="s">
        <v>28</v>
      </c>
      <c r="H15" s="15" t="s">
        <v>158</v>
      </c>
      <c r="I15" s="15" t="s">
        <v>105</v>
      </c>
      <c r="J15" s="15" t="s">
        <v>106</v>
      </c>
      <c r="K15" s="15" t="s">
        <v>32</v>
      </c>
      <c r="L15" s="15" t="s">
        <v>97</v>
      </c>
      <c r="M15" s="15">
        <v>15</v>
      </c>
      <c r="N15" s="15">
        <v>3500</v>
      </c>
      <c r="O15" s="15">
        <v>15</v>
      </c>
      <c r="P15" s="15">
        <v>44625</v>
      </c>
      <c r="Q15" s="15">
        <v>2</v>
      </c>
      <c r="R15" s="15" t="s">
        <v>34</v>
      </c>
      <c r="S15" s="15" t="s">
        <v>115</v>
      </c>
      <c r="T15" s="16" t="s">
        <v>50</v>
      </c>
      <c r="U15" s="17" t="s">
        <v>159</v>
      </c>
      <c r="V15" s="15" t="s">
        <v>69</v>
      </c>
    </row>
    <row r="16" spans="1:40">
      <c r="A16" s="18" t="s">
        <v>160</v>
      </c>
      <c r="B16" s="18" t="s">
        <v>53</v>
      </c>
      <c r="C16" s="18" t="s">
        <v>72</v>
      </c>
      <c r="D16" s="18" t="s">
        <v>161</v>
      </c>
      <c r="E16" s="18" t="s">
        <v>162</v>
      </c>
      <c r="F16" s="18" t="s">
        <v>163</v>
      </c>
      <c r="G16" s="18" t="s">
        <v>28</v>
      </c>
      <c r="H16" s="18" t="s">
        <v>164</v>
      </c>
      <c r="I16" s="18" t="s">
        <v>30</v>
      </c>
      <c r="J16" s="18" t="s">
        <v>31</v>
      </c>
      <c r="K16" s="18" t="s">
        <v>46</v>
      </c>
      <c r="L16" s="18" t="s">
        <v>78</v>
      </c>
      <c r="M16" s="18">
        <v>3</v>
      </c>
      <c r="N16" s="18">
        <v>1200</v>
      </c>
      <c r="O16" s="18">
        <v>5</v>
      </c>
      <c r="P16" s="18">
        <v>3420</v>
      </c>
      <c r="Q16" s="18">
        <v>5</v>
      </c>
      <c r="R16" s="18" t="s">
        <v>88</v>
      </c>
      <c r="S16" s="18" t="s">
        <v>35</v>
      </c>
      <c r="T16" s="18" t="s">
        <v>165</v>
      </c>
      <c r="U16" s="19" t="s">
        <v>166</v>
      </c>
      <c r="V16" s="18" t="s">
        <v>38</v>
      </c>
    </row>
    <row r="17" spans="1:22">
      <c r="A17" s="15" t="s">
        <v>167</v>
      </c>
      <c r="B17" s="15" t="s">
        <v>168</v>
      </c>
      <c r="C17" s="15" t="s">
        <v>169</v>
      </c>
      <c r="D17" s="15" t="s">
        <v>170</v>
      </c>
      <c r="E17" s="15" t="s">
        <v>171</v>
      </c>
      <c r="F17" s="15" t="s">
        <v>394</v>
      </c>
      <c r="G17" s="15" t="s">
        <v>28</v>
      </c>
      <c r="H17" s="15" t="s">
        <v>173</v>
      </c>
      <c r="I17" s="15" t="s">
        <v>114</v>
      </c>
      <c r="J17" s="15" t="s">
        <v>106</v>
      </c>
      <c r="K17" s="15" t="s">
        <v>32</v>
      </c>
      <c r="L17" s="15" t="s">
        <v>174</v>
      </c>
      <c r="M17" s="15">
        <v>13</v>
      </c>
      <c r="N17" s="15">
        <v>8500</v>
      </c>
      <c r="O17" s="15">
        <v>20</v>
      </c>
      <c r="P17" s="15">
        <v>88400</v>
      </c>
      <c r="Q17" s="15">
        <v>4</v>
      </c>
      <c r="R17" s="15" t="s">
        <v>79</v>
      </c>
      <c r="S17" s="15" t="s">
        <v>49</v>
      </c>
      <c r="T17" s="15" t="s">
        <v>175</v>
      </c>
      <c r="U17" s="17" t="s">
        <v>176</v>
      </c>
      <c r="V17" s="15" t="s">
        <v>64</v>
      </c>
    </row>
    <row r="18" spans="1:22">
      <c r="A18" s="18" t="s">
        <v>177</v>
      </c>
      <c r="B18" s="18" t="s">
        <v>83</v>
      </c>
      <c r="C18" s="18" t="s">
        <v>169</v>
      </c>
      <c r="D18" s="18" t="s">
        <v>178</v>
      </c>
      <c r="E18" s="18" t="s">
        <v>179</v>
      </c>
      <c r="F18" s="18" t="s">
        <v>180</v>
      </c>
      <c r="G18" s="18" t="s">
        <v>76</v>
      </c>
      <c r="H18" s="18" t="s">
        <v>181</v>
      </c>
      <c r="I18" s="18" t="s">
        <v>138</v>
      </c>
      <c r="J18" s="18" t="s">
        <v>106</v>
      </c>
      <c r="K18" s="18" t="s">
        <v>32</v>
      </c>
      <c r="L18" s="18" t="s">
        <v>174</v>
      </c>
      <c r="M18" s="18">
        <v>4</v>
      </c>
      <c r="N18" s="18">
        <v>8500</v>
      </c>
      <c r="O18" s="18">
        <v>20</v>
      </c>
      <c r="P18" s="18">
        <v>27200</v>
      </c>
      <c r="Q18" s="18">
        <v>5</v>
      </c>
      <c r="R18" s="18" t="s">
        <v>79</v>
      </c>
      <c r="S18" s="18" t="s">
        <v>61</v>
      </c>
      <c r="T18" s="18" t="s">
        <v>89</v>
      </c>
      <c r="U18" s="19" t="s">
        <v>182</v>
      </c>
      <c r="V18" s="18" t="s">
        <v>64</v>
      </c>
    </row>
    <row r="19" spans="1:22">
      <c r="A19" s="15" t="s">
        <v>183</v>
      </c>
      <c r="B19" s="15" t="s">
        <v>83</v>
      </c>
      <c r="C19" s="15" t="s">
        <v>184</v>
      </c>
      <c r="D19" s="15" t="s">
        <v>185</v>
      </c>
      <c r="E19" s="15" t="s">
        <v>186</v>
      </c>
      <c r="F19" s="15" t="s">
        <v>180</v>
      </c>
      <c r="G19" s="15" t="s">
        <v>76</v>
      </c>
      <c r="H19" s="15" t="s">
        <v>188</v>
      </c>
      <c r="I19" s="15" t="s">
        <v>105</v>
      </c>
      <c r="J19" s="15" t="s">
        <v>106</v>
      </c>
      <c r="K19" s="15" t="s">
        <v>46</v>
      </c>
      <c r="L19" s="15" t="s">
        <v>189</v>
      </c>
      <c r="M19" s="15">
        <v>9</v>
      </c>
      <c r="N19" s="15">
        <v>700</v>
      </c>
      <c r="O19" s="15">
        <v>5</v>
      </c>
      <c r="P19" s="15">
        <v>5985</v>
      </c>
      <c r="Q19" s="15">
        <v>3</v>
      </c>
      <c r="R19" s="15" t="s">
        <v>88</v>
      </c>
      <c r="S19" s="15" t="s">
        <v>35</v>
      </c>
      <c r="T19" s="16" t="s">
        <v>190</v>
      </c>
      <c r="U19" s="17" t="s">
        <v>191</v>
      </c>
      <c r="V19" s="15" t="s">
        <v>64</v>
      </c>
    </row>
    <row r="20" spans="1:22">
      <c r="A20" s="18" t="s">
        <v>192</v>
      </c>
      <c r="B20" s="18" t="s">
        <v>23</v>
      </c>
      <c r="C20" s="18" t="s">
        <v>54</v>
      </c>
      <c r="D20" s="18" t="s">
        <v>193</v>
      </c>
      <c r="E20" s="18" t="s">
        <v>194</v>
      </c>
      <c r="F20" s="18" t="s">
        <v>27</v>
      </c>
      <c r="G20" s="18" t="s">
        <v>28</v>
      </c>
      <c r="H20" s="18" t="s">
        <v>195</v>
      </c>
      <c r="I20" s="18" t="s">
        <v>138</v>
      </c>
      <c r="J20" s="18" t="s">
        <v>106</v>
      </c>
      <c r="K20" s="18" t="s">
        <v>46</v>
      </c>
      <c r="L20" s="18" t="s">
        <v>60</v>
      </c>
      <c r="M20" s="18">
        <v>8</v>
      </c>
      <c r="N20" s="18">
        <v>55000</v>
      </c>
      <c r="O20" s="18">
        <v>20</v>
      </c>
      <c r="P20" s="18">
        <v>352000</v>
      </c>
      <c r="Q20" s="18">
        <v>1</v>
      </c>
      <c r="R20" s="18" t="s">
        <v>34</v>
      </c>
      <c r="S20" s="18" t="s">
        <v>151</v>
      </c>
      <c r="T20" s="18" t="s">
        <v>50</v>
      </c>
      <c r="U20" s="19" t="s">
        <v>196</v>
      </c>
      <c r="V20" s="18" t="s">
        <v>38</v>
      </c>
    </row>
    <row r="21" spans="1:22">
      <c r="A21" s="15" t="s">
        <v>197</v>
      </c>
      <c r="B21" s="15" t="s">
        <v>127</v>
      </c>
      <c r="C21" s="15" t="s">
        <v>184</v>
      </c>
      <c r="D21" s="15" t="s">
        <v>198</v>
      </c>
      <c r="E21" s="15" t="s">
        <v>199</v>
      </c>
      <c r="F21" s="15" t="s">
        <v>200</v>
      </c>
      <c r="G21" s="15" t="s">
        <v>76</v>
      </c>
      <c r="H21" s="15" t="s">
        <v>201</v>
      </c>
      <c r="I21" s="15" t="s">
        <v>44</v>
      </c>
      <c r="J21" s="15" t="s">
        <v>45</v>
      </c>
      <c r="K21" s="15" t="s">
        <v>46</v>
      </c>
      <c r="L21" s="15" t="s">
        <v>189</v>
      </c>
      <c r="M21" s="15">
        <v>10</v>
      </c>
      <c r="N21" s="15">
        <v>700</v>
      </c>
      <c r="O21" s="15">
        <v>20</v>
      </c>
      <c r="P21" s="15">
        <v>5600</v>
      </c>
      <c r="Q21" s="15">
        <v>4</v>
      </c>
      <c r="R21" s="15" t="s">
        <v>79</v>
      </c>
      <c r="S21" s="15" t="s">
        <v>61</v>
      </c>
      <c r="T21" s="15" t="s">
        <v>132</v>
      </c>
      <c r="U21" s="17" t="s">
        <v>203</v>
      </c>
      <c r="V21" s="15" t="s">
        <v>69</v>
      </c>
    </row>
    <row r="22" spans="1:22">
      <c r="A22" s="18" t="s">
        <v>204</v>
      </c>
      <c r="B22" s="18" t="s">
        <v>23</v>
      </c>
      <c r="C22" s="18" t="s">
        <v>92</v>
      </c>
      <c r="D22" s="18" t="s">
        <v>205</v>
      </c>
      <c r="E22" s="18" t="s">
        <v>206</v>
      </c>
      <c r="F22" s="18" t="s">
        <v>27</v>
      </c>
      <c r="G22" s="18" t="s">
        <v>28</v>
      </c>
      <c r="H22" s="18" t="s">
        <v>207</v>
      </c>
      <c r="I22" s="18" t="s">
        <v>59</v>
      </c>
      <c r="J22" s="18" t="s">
        <v>31</v>
      </c>
      <c r="K22" s="18" t="s">
        <v>32</v>
      </c>
      <c r="L22" s="18" t="s">
        <v>97</v>
      </c>
      <c r="M22" s="18">
        <v>1</v>
      </c>
      <c r="N22" s="18">
        <v>3500</v>
      </c>
      <c r="O22" s="18">
        <v>5</v>
      </c>
      <c r="P22" s="18">
        <v>3325</v>
      </c>
      <c r="Q22" s="18">
        <v>3</v>
      </c>
      <c r="R22" s="18" t="s">
        <v>88</v>
      </c>
      <c r="S22" s="18" t="s">
        <v>115</v>
      </c>
      <c r="T22" s="18" t="s">
        <v>50</v>
      </c>
      <c r="U22" s="19" t="s">
        <v>208</v>
      </c>
      <c r="V22" s="18" t="s">
        <v>69</v>
      </c>
    </row>
    <row r="23" spans="1:22">
      <c r="A23" s="15" t="s">
        <v>209</v>
      </c>
      <c r="B23" s="15" t="s">
        <v>100</v>
      </c>
      <c r="C23" s="15" t="s">
        <v>184</v>
      </c>
      <c r="D23" s="15" t="s">
        <v>102</v>
      </c>
      <c r="E23" s="15" t="s">
        <v>210</v>
      </c>
      <c r="F23" s="15" t="s">
        <v>103</v>
      </c>
      <c r="G23" s="15" t="s">
        <v>28</v>
      </c>
      <c r="H23" s="15" t="s">
        <v>211</v>
      </c>
      <c r="I23" s="15" t="s">
        <v>212</v>
      </c>
      <c r="J23" s="15" t="s">
        <v>45</v>
      </c>
      <c r="K23" s="15" t="s">
        <v>46</v>
      </c>
      <c r="L23" s="15" t="s">
        <v>189</v>
      </c>
      <c r="M23" s="15">
        <v>19</v>
      </c>
      <c r="N23" s="15">
        <v>700</v>
      </c>
      <c r="O23" s="15">
        <v>15</v>
      </c>
      <c r="P23" s="15">
        <v>11305</v>
      </c>
      <c r="Q23" s="15">
        <v>3</v>
      </c>
      <c r="R23" s="15" t="s">
        <v>48</v>
      </c>
      <c r="S23" s="15" t="s">
        <v>151</v>
      </c>
      <c r="T23" s="15" t="s">
        <v>144</v>
      </c>
      <c r="U23" s="17" t="s">
        <v>213</v>
      </c>
      <c r="V23" s="15" t="s">
        <v>64</v>
      </c>
    </row>
    <row r="24" spans="1:22">
      <c r="A24" s="18" t="s">
        <v>214</v>
      </c>
      <c r="B24" s="18" t="s">
        <v>71</v>
      </c>
      <c r="C24" s="18" t="s">
        <v>54</v>
      </c>
      <c r="D24" s="18" t="s">
        <v>215</v>
      </c>
      <c r="E24" s="18" t="s">
        <v>216</v>
      </c>
      <c r="F24" s="18" t="s">
        <v>217</v>
      </c>
      <c r="G24" s="18" t="s">
        <v>76</v>
      </c>
      <c r="H24" s="18" t="s">
        <v>218</v>
      </c>
      <c r="I24" s="18" t="s">
        <v>59</v>
      </c>
      <c r="J24" s="18" t="s">
        <v>31</v>
      </c>
      <c r="K24" s="18" t="s">
        <v>46</v>
      </c>
      <c r="L24" s="18" t="s">
        <v>60</v>
      </c>
      <c r="M24" s="18">
        <v>12</v>
      </c>
      <c r="N24" s="18">
        <v>55000</v>
      </c>
      <c r="O24" s="18">
        <v>0</v>
      </c>
      <c r="P24" s="18">
        <v>660000</v>
      </c>
      <c r="Q24" s="18">
        <v>1</v>
      </c>
      <c r="R24" s="18" t="s">
        <v>79</v>
      </c>
      <c r="S24" s="18" t="s">
        <v>49</v>
      </c>
      <c r="T24" s="18" t="s">
        <v>80</v>
      </c>
      <c r="U24" s="19" t="s">
        <v>219</v>
      </c>
      <c r="V24" s="18" t="s">
        <v>64</v>
      </c>
    </row>
    <row r="25" spans="1:22">
      <c r="A25" s="15" t="s">
        <v>220</v>
      </c>
      <c r="B25" s="15" t="s">
        <v>221</v>
      </c>
      <c r="C25" s="15" t="s">
        <v>222</v>
      </c>
      <c r="D25" s="15" t="s">
        <v>223</v>
      </c>
      <c r="E25" s="15" t="s">
        <v>224</v>
      </c>
      <c r="F25" s="15" t="s">
        <v>225</v>
      </c>
      <c r="G25" s="15" t="s">
        <v>76</v>
      </c>
      <c r="H25" s="15" t="s">
        <v>226</v>
      </c>
      <c r="I25" s="15" t="s">
        <v>105</v>
      </c>
      <c r="J25" s="15" t="s">
        <v>106</v>
      </c>
      <c r="K25" s="15" t="s">
        <v>122</v>
      </c>
      <c r="L25" s="15" t="s">
        <v>227</v>
      </c>
      <c r="M25" s="15">
        <v>1</v>
      </c>
      <c r="N25" s="15">
        <v>20</v>
      </c>
      <c r="O25" s="15">
        <v>5</v>
      </c>
      <c r="P25" s="15">
        <v>19</v>
      </c>
      <c r="Q25" s="15">
        <v>5</v>
      </c>
      <c r="R25" s="15" t="s">
        <v>79</v>
      </c>
      <c r="S25" s="15" t="s">
        <v>35</v>
      </c>
      <c r="T25" s="15" t="s">
        <v>228</v>
      </c>
      <c r="U25" s="17" t="s">
        <v>229</v>
      </c>
      <c r="V25" s="15" t="s">
        <v>69</v>
      </c>
    </row>
    <row r="26" spans="1:22">
      <c r="A26" s="18" t="s">
        <v>230</v>
      </c>
      <c r="B26" s="18" t="s">
        <v>83</v>
      </c>
      <c r="C26" s="18" t="s">
        <v>222</v>
      </c>
      <c r="D26" s="18" t="s">
        <v>231</v>
      </c>
      <c r="E26" s="18" t="s">
        <v>232</v>
      </c>
      <c r="F26" s="18" t="s">
        <v>180</v>
      </c>
      <c r="G26" s="18" t="s">
        <v>76</v>
      </c>
      <c r="H26" s="18" t="s">
        <v>233</v>
      </c>
      <c r="I26" s="18" t="s">
        <v>105</v>
      </c>
      <c r="J26" s="18" t="s">
        <v>106</v>
      </c>
      <c r="K26" s="18" t="s">
        <v>122</v>
      </c>
      <c r="L26" s="18" t="s">
        <v>227</v>
      </c>
      <c r="M26" s="18">
        <v>2</v>
      </c>
      <c r="N26" s="18">
        <v>20</v>
      </c>
      <c r="O26" s="18">
        <v>15</v>
      </c>
      <c r="P26" s="18">
        <v>34</v>
      </c>
      <c r="Q26" s="18">
        <v>1</v>
      </c>
      <c r="R26" s="18" t="s">
        <v>88</v>
      </c>
      <c r="S26" s="18" t="s">
        <v>35</v>
      </c>
      <c r="T26" s="18" t="s">
        <v>89</v>
      </c>
      <c r="U26" s="19" t="s">
        <v>234</v>
      </c>
      <c r="V26" s="18" t="s">
        <v>64</v>
      </c>
    </row>
    <row r="27" spans="1:22">
      <c r="A27" s="15" t="s">
        <v>235</v>
      </c>
      <c r="B27" s="15" t="s">
        <v>71</v>
      </c>
      <c r="C27" s="15" t="s">
        <v>92</v>
      </c>
      <c r="D27" s="15" t="s">
        <v>236</v>
      </c>
      <c r="E27" s="15" t="s">
        <v>237</v>
      </c>
      <c r="F27" s="15" t="s">
        <v>217</v>
      </c>
      <c r="G27" s="15" t="s">
        <v>76</v>
      </c>
      <c r="H27" s="15" t="s">
        <v>238</v>
      </c>
      <c r="I27" s="15" t="s">
        <v>138</v>
      </c>
      <c r="J27" s="15" t="s">
        <v>106</v>
      </c>
      <c r="K27" s="15" t="s">
        <v>32</v>
      </c>
      <c r="L27" s="15" t="s">
        <v>97</v>
      </c>
      <c r="M27" s="15">
        <v>12</v>
      </c>
      <c r="N27" s="15">
        <v>3500</v>
      </c>
      <c r="O27" s="15">
        <v>15</v>
      </c>
      <c r="P27" s="15">
        <v>35700</v>
      </c>
      <c r="Q27" s="15">
        <v>4</v>
      </c>
      <c r="R27" s="15" t="s">
        <v>34</v>
      </c>
      <c r="S27" s="15" t="s">
        <v>49</v>
      </c>
      <c r="T27" s="15" t="s">
        <v>80</v>
      </c>
      <c r="U27" s="17" t="s">
        <v>239</v>
      </c>
      <c r="V27" s="15" t="s">
        <v>69</v>
      </c>
    </row>
    <row r="28" spans="1:22">
      <c r="A28" s="18" t="s">
        <v>240</v>
      </c>
      <c r="B28" s="18" t="s">
        <v>23</v>
      </c>
      <c r="C28" s="18" t="s">
        <v>72</v>
      </c>
      <c r="D28" s="18" t="s">
        <v>241</v>
      </c>
      <c r="E28" s="18" t="s">
        <v>242</v>
      </c>
      <c r="F28" s="18" t="s">
        <v>27</v>
      </c>
      <c r="G28" s="18" t="s">
        <v>28</v>
      </c>
      <c r="H28" s="18" t="s">
        <v>243</v>
      </c>
      <c r="I28" s="18" t="s">
        <v>138</v>
      </c>
      <c r="J28" s="18" t="s">
        <v>106</v>
      </c>
      <c r="K28" s="18" t="s">
        <v>46</v>
      </c>
      <c r="L28" s="18" t="s">
        <v>78</v>
      </c>
      <c r="M28" s="18">
        <v>11</v>
      </c>
      <c r="N28" s="18">
        <v>1200</v>
      </c>
      <c r="O28" s="18">
        <v>0</v>
      </c>
      <c r="P28" s="18">
        <v>13200</v>
      </c>
      <c r="Q28" s="18">
        <v>2</v>
      </c>
      <c r="R28" s="18" t="s">
        <v>88</v>
      </c>
      <c r="S28" s="18" t="s">
        <v>151</v>
      </c>
      <c r="T28" s="18" t="s">
        <v>50</v>
      </c>
      <c r="U28" s="19" t="s">
        <v>244</v>
      </c>
      <c r="V28" s="18" t="s">
        <v>38</v>
      </c>
    </row>
    <row r="29" spans="1:22">
      <c r="A29" s="15" t="s">
        <v>245</v>
      </c>
      <c r="B29" s="15" t="s">
        <v>127</v>
      </c>
      <c r="C29" s="15" t="s">
        <v>169</v>
      </c>
      <c r="D29" s="15" t="s">
        <v>246</v>
      </c>
      <c r="E29" s="15" t="s">
        <v>247</v>
      </c>
      <c r="F29" s="15" t="s">
        <v>200</v>
      </c>
      <c r="G29" s="15" t="s">
        <v>76</v>
      </c>
      <c r="H29" s="15" t="s">
        <v>248</v>
      </c>
      <c r="I29" s="15" t="s">
        <v>114</v>
      </c>
      <c r="J29" s="15" t="s">
        <v>106</v>
      </c>
      <c r="K29" s="15" t="s">
        <v>32</v>
      </c>
      <c r="L29" s="15" t="s">
        <v>174</v>
      </c>
      <c r="M29" s="15">
        <v>6</v>
      </c>
      <c r="N29" s="15">
        <v>8500</v>
      </c>
      <c r="O29" s="15">
        <v>65</v>
      </c>
      <c r="P29" s="15">
        <v>51000</v>
      </c>
      <c r="Q29" s="15">
        <v>1</v>
      </c>
      <c r="R29" s="15" t="s">
        <v>79</v>
      </c>
      <c r="S29" s="15" t="s">
        <v>61</v>
      </c>
      <c r="T29" s="15" t="s">
        <v>132</v>
      </c>
      <c r="U29" s="17" t="s">
        <v>249</v>
      </c>
      <c r="V29" s="15" t="s">
        <v>38</v>
      </c>
    </row>
    <row r="30" spans="1:22">
      <c r="A30" s="18" t="s">
        <v>250</v>
      </c>
      <c r="B30" s="18" t="s">
        <v>251</v>
      </c>
      <c r="C30" s="18" t="s">
        <v>118</v>
      </c>
      <c r="D30" s="18" t="s">
        <v>252</v>
      </c>
      <c r="E30" s="18" t="s">
        <v>253</v>
      </c>
      <c r="F30" s="18" t="s">
        <v>254</v>
      </c>
      <c r="G30" s="18" t="s">
        <v>28</v>
      </c>
      <c r="H30" s="18" t="s">
        <v>255</v>
      </c>
      <c r="I30" s="18" t="s">
        <v>114</v>
      </c>
      <c r="J30" s="18" t="s">
        <v>106</v>
      </c>
      <c r="K30" s="18" t="s">
        <v>122</v>
      </c>
      <c r="L30" s="18" t="s">
        <v>123</v>
      </c>
      <c r="M30" s="18">
        <v>2</v>
      </c>
      <c r="N30" s="18">
        <v>60</v>
      </c>
      <c r="O30" s="18">
        <v>5</v>
      </c>
      <c r="P30" s="18">
        <v>114</v>
      </c>
      <c r="Q30" s="18">
        <v>3</v>
      </c>
      <c r="R30" s="18" t="s">
        <v>34</v>
      </c>
      <c r="S30" s="18" t="s">
        <v>151</v>
      </c>
      <c r="T30" s="18" t="s">
        <v>256</v>
      </c>
      <c r="U30" s="19" t="s">
        <v>257</v>
      </c>
      <c r="V30" s="18" t="s">
        <v>69</v>
      </c>
    </row>
    <row r="31" spans="1:22">
      <c r="A31" s="15" t="s">
        <v>258</v>
      </c>
      <c r="B31" s="15" t="s">
        <v>23</v>
      </c>
      <c r="C31" s="15" t="s">
        <v>259</v>
      </c>
      <c r="D31" s="15" t="s">
        <v>260</v>
      </c>
      <c r="E31" s="15" t="s">
        <v>261</v>
      </c>
      <c r="F31" s="15" t="s">
        <v>27</v>
      </c>
      <c r="G31" s="15" t="s">
        <v>28</v>
      </c>
      <c r="H31" s="15" t="s">
        <v>262</v>
      </c>
      <c r="I31" s="15" t="s">
        <v>59</v>
      </c>
      <c r="J31" s="15" t="s">
        <v>31</v>
      </c>
      <c r="K31" s="15" t="s">
        <v>122</v>
      </c>
      <c r="L31" s="15" t="s">
        <v>263</v>
      </c>
      <c r="M31" s="15">
        <v>19</v>
      </c>
      <c r="N31" s="15">
        <v>45</v>
      </c>
      <c r="O31" s="15">
        <v>20</v>
      </c>
      <c r="P31" s="15">
        <v>684</v>
      </c>
      <c r="Q31" s="15">
        <v>4</v>
      </c>
      <c r="R31" s="15" t="s">
        <v>48</v>
      </c>
      <c r="S31" s="15" t="s">
        <v>61</v>
      </c>
      <c r="T31" s="15" t="s">
        <v>50</v>
      </c>
      <c r="U31" s="17" t="s">
        <v>264</v>
      </c>
      <c r="V31" s="15" t="s">
        <v>69</v>
      </c>
    </row>
    <row r="32" spans="1:22">
      <c r="A32" s="18" t="s">
        <v>265</v>
      </c>
      <c r="B32" s="18" t="s">
        <v>100</v>
      </c>
      <c r="C32" s="18" t="s">
        <v>40</v>
      </c>
      <c r="D32" s="18" t="s">
        <v>266</v>
      </c>
      <c r="E32" s="18" t="s">
        <v>267</v>
      </c>
      <c r="F32" s="18" t="s">
        <v>103</v>
      </c>
      <c r="G32" s="18" t="s">
        <v>28</v>
      </c>
      <c r="H32" s="18" t="s">
        <v>269</v>
      </c>
      <c r="I32" s="18" t="s">
        <v>138</v>
      </c>
      <c r="J32" s="18" t="s">
        <v>106</v>
      </c>
      <c r="K32" s="18" t="s">
        <v>46</v>
      </c>
      <c r="L32" s="18" t="s">
        <v>47</v>
      </c>
      <c r="M32" s="18">
        <v>11</v>
      </c>
      <c r="N32" s="18">
        <v>12000</v>
      </c>
      <c r="O32" s="18">
        <v>0</v>
      </c>
      <c r="P32" s="18">
        <v>132000</v>
      </c>
      <c r="Q32" s="18">
        <v>3</v>
      </c>
      <c r="R32" s="18" t="s">
        <v>88</v>
      </c>
      <c r="S32" s="18" t="s">
        <v>35</v>
      </c>
      <c r="T32" s="18" t="s">
        <v>144</v>
      </c>
      <c r="U32" s="19" t="s">
        <v>270</v>
      </c>
      <c r="V32" s="18" t="s">
        <v>64</v>
      </c>
    </row>
    <row r="33" spans="1:22">
      <c r="A33" s="15" t="s">
        <v>271</v>
      </c>
      <c r="B33" s="15" t="s">
        <v>251</v>
      </c>
      <c r="C33" s="15" t="s">
        <v>24</v>
      </c>
      <c r="D33" s="15" t="s">
        <v>272</v>
      </c>
      <c r="E33" s="15" t="s">
        <v>136</v>
      </c>
      <c r="F33" s="15" t="s">
        <v>254</v>
      </c>
      <c r="G33" s="15" t="s">
        <v>28</v>
      </c>
      <c r="H33" s="15" t="s">
        <v>273</v>
      </c>
      <c r="I33" s="15" t="s">
        <v>59</v>
      </c>
      <c r="J33" s="15" t="s">
        <v>31</v>
      </c>
      <c r="K33" s="15" t="s">
        <v>32</v>
      </c>
      <c r="L33" s="15" t="s">
        <v>33</v>
      </c>
      <c r="M33" s="15">
        <v>20</v>
      </c>
      <c r="N33" s="15">
        <v>2200</v>
      </c>
      <c r="O33" s="15">
        <v>5</v>
      </c>
      <c r="P33" s="15">
        <v>41800</v>
      </c>
      <c r="Q33" s="15">
        <v>1</v>
      </c>
      <c r="R33" s="15" t="s">
        <v>34</v>
      </c>
      <c r="S33" s="15" t="s">
        <v>49</v>
      </c>
      <c r="T33" s="15" t="s">
        <v>256</v>
      </c>
      <c r="U33" s="17" t="s">
        <v>274</v>
      </c>
      <c r="V33" s="15" t="s">
        <v>64</v>
      </c>
    </row>
    <row r="34" spans="1:22">
      <c r="A34" s="18" t="s">
        <v>275</v>
      </c>
      <c r="B34" s="18" t="s">
        <v>83</v>
      </c>
      <c r="C34" s="18" t="s">
        <v>222</v>
      </c>
      <c r="D34" s="18" t="s">
        <v>231</v>
      </c>
      <c r="E34" s="18" t="s">
        <v>276</v>
      </c>
      <c r="F34" s="18" t="s">
        <v>180</v>
      </c>
      <c r="G34" s="18" t="s">
        <v>76</v>
      </c>
      <c r="H34" s="18" t="s">
        <v>277</v>
      </c>
      <c r="I34" s="18" t="s">
        <v>138</v>
      </c>
      <c r="J34" s="18" t="s">
        <v>106</v>
      </c>
      <c r="K34" s="18" t="s">
        <v>122</v>
      </c>
      <c r="L34" s="18" t="s">
        <v>227</v>
      </c>
      <c r="M34" s="18">
        <v>3</v>
      </c>
      <c r="N34" s="18">
        <v>20</v>
      </c>
      <c r="O34" s="18">
        <v>0</v>
      </c>
      <c r="P34" s="18">
        <v>60</v>
      </c>
      <c r="Q34" s="18">
        <v>2</v>
      </c>
      <c r="R34" s="18" t="s">
        <v>79</v>
      </c>
      <c r="S34" s="18" t="s">
        <v>35</v>
      </c>
      <c r="T34" s="18" t="s">
        <v>278</v>
      </c>
      <c r="U34" s="19" t="s">
        <v>279</v>
      </c>
      <c r="V34" s="18" t="s">
        <v>69</v>
      </c>
    </row>
    <row r="35" spans="1:22">
      <c r="A35" s="15" t="s">
        <v>280</v>
      </c>
      <c r="B35" s="15" t="s">
        <v>127</v>
      </c>
      <c r="C35" s="15" t="s">
        <v>259</v>
      </c>
      <c r="D35" s="15" t="s">
        <v>281</v>
      </c>
      <c r="E35" s="15" t="s">
        <v>282</v>
      </c>
      <c r="F35" s="15" t="s">
        <v>200</v>
      </c>
      <c r="G35" s="15" t="s">
        <v>76</v>
      </c>
      <c r="H35" s="15" t="s">
        <v>283</v>
      </c>
      <c r="I35" s="15" t="s">
        <v>114</v>
      </c>
      <c r="J35" s="15" t="s">
        <v>106</v>
      </c>
      <c r="K35" s="15" t="s">
        <v>122</v>
      </c>
      <c r="L35" s="15" t="s">
        <v>263</v>
      </c>
      <c r="M35" s="15">
        <v>18</v>
      </c>
      <c r="N35" s="15">
        <v>45</v>
      </c>
      <c r="O35" s="15">
        <v>20</v>
      </c>
      <c r="P35" s="15">
        <v>648</v>
      </c>
      <c r="Q35" s="15">
        <v>4</v>
      </c>
      <c r="R35" s="15" t="s">
        <v>48</v>
      </c>
      <c r="S35" s="15" t="s">
        <v>35</v>
      </c>
      <c r="T35" s="15" t="s">
        <v>132</v>
      </c>
      <c r="U35" s="17" t="s">
        <v>284</v>
      </c>
      <c r="V35" s="15" t="s">
        <v>69</v>
      </c>
    </row>
    <row r="36" spans="1:22">
      <c r="A36" s="18" t="s">
        <v>285</v>
      </c>
      <c r="B36" s="18" t="s">
        <v>127</v>
      </c>
      <c r="C36" s="18" t="s">
        <v>72</v>
      </c>
      <c r="D36" s="18" t="s">
        <v>286</v>
      </c>
      <c r="E36" s="18" t="s">
        <v>287</v>
      </c>
      <c r="F36" s="18" t="s">
        <v>200</v>
      </c>
      <c r="G36" s="18" t="s">
        <v>76</v>
      </c>
      <c r="H36" s="18" t="s">
        <v>288</v>
      </c>
      <c r="I36" s="18" t="s">
        <v>59</v>
      </c>
      <c r="J36" s="18" t="s">
        <v>31</v>
      </c>
      <c r="K36" s="18" t="s">
        <v>46</v>
      </c>
      <c r="L36" s="18" t="s">
        <v>78</v>
      </c>
      <c r="M36" s="18">
        <v>4</v>
      </c>
      <c r="N36" s="18">
        <v>1200</v>
      </c>
      <c r="O36" s="18">
        <v>20</v>
      </c>
      <c r="P36" s="18">
        <v>3840</v>
      </c>
      <c r="Q36" s="18">
        <v>3</v>
      </c>
      <c r="R36" s="18" t="s">
        <v>48</v>
      </c>
      <c r="S36" s="18" t="s">
        <v>61</v>
      </c>
      <c r="T36" s="18" t="s">
        <v>132</v>
      </c>
      <c r="U36" s="19" t="s">
        <v>289</v>
      </c>
      <c r="V36" s="18" t="s">
        <v>38</v>
      </c>
    </row>
    <row r="37" spans="1:22">
      <c r="A37" s="15" t="s">
        <v>290</v>
      </c>
      <c r="B37" s="15" t="s">
        <v>71</v>
      </c>
      <c r="C37" s="15" t="s">
        <v>54</v>
      </c>
      <c r="D37" s="15" t="s">
        <v>291</v>
      </c>
      <c r="E37" s="15" t="s">
        <v>292</v>
      </c>
      <c r="F37" s="15" t="s">
        <v>217</v>
      </c>
      <c r="G37" s="15" t="s">
        <v>76</v>
      </c>
      <c r="H37" s="15" t="s">
        <v>293</v>
      </c>
      <c r="I37" s="15" t="s">
        <v>294</v>
      </c>
      <c r="J37" s="15" t="s">
        <v>295</v>
      </c>
      <c r="K37" s="15" t="s">
        <v>46</v>
      </c>
      <c r="L37" s="15" t="s">
        <v>60</v>
      </c>
      <c r="M37" s="15">
        <v>10</v>
      </c>
      <c r="N37" s="15">
        <v>55000</v>
      </c>
      <c r="O37" s="15">
        <v>0</v>
      </c>
      <c r="P37" s="15">
        <v>550000</v>
      </c>
      <c r="Q37" s="15">
        <v>1</v>
      </c>
      <c r="R37" s="15" t="s">
        <v>88</v>
      </c>
      <c r="S37" s="15" t="s">
        <v>49</v>
      </c>
      <c r="T37" s="15" t="s">
        <v>80</v>
      </c>
      <c r="U37" s="17" t="s">
        <v>296</v>
      </c>
      <c r="V37" s="15" t="s">
        <v>69</v>
      </c>
    </row>
    <row r="38" spans="1:22">
      <c r="A38" s="18" t="s">
        <v>297</v>
      </c>
      <c r="B38" s="18" t="s">
        <v>251</v>
      </c>
      <c r="C38" s="18" t="s">
        <v>92</v>
      </c>
      <c r="D38" s="18" t="s">
        <v>298</v>
      </c>
      <c r="E38" s="18" t="s">
        <v>242</v>
      </c>
      <c r="F38" s="18" t="s">
        <v>254</v>
      </c>
      <c r="G38" s="18" t="s">
        <v>28</v>
      </c>
      <c r="H38" s="18" t="s">
        <v>299</v>
      </c>
      <c r="I38" s="18" t="s">
        <v>44</v>
      </c>
      <c r="J38" s="18" t="s">
        <v>45</v>
      </c>
      <c r="K38" s="18" t="s">
        <v>32</v>
      </c>
      <c r="L38" s="18" t="s">
        <v>97</v>
      </c>
      <c r="M38" s="18">
        <v>20</v>
      </c>
      <c r="N38" s="18">
        <v>3500</v>
      </c>
      <c r="O38" s="18">
        <v>10</v>
      </c>
      <c r="P38" s="18">
        <v>63000</v>
      </c>
      <c r="Q38" s="18">
        <v>3</v>
      </c>
      <c r="R38" s="18" t="s">
        <v>79</v>
      </c>
      <c r="S38" s="18" t="s">
        <v>49</v>
      </c>
      <c r="T38" s="18" t="s">
        <v>256</v>
      </c>
      <c r="U38" s="19" t="s">
        <v>300</v>
      </c>
      <c r="V38" s="18" t="s">
        <v>69</v>
      </c>
    </row>
    <row r="39" spans="1:22">
      <c r="A39" s="15" t="s">
        <v>301</v>
      </c>
      <c r="B39" s="15" t="s">
        <v>23</v>
      </c>
      <c r="C39" s="15" t="s">
        <v>222</v>
      </c>
      <c r="D39" s="15" t="s">
        <v>302</v>
      </c>
      <c r="E39" s="15" t="s">
        <v>303</v>
      </c>
      <c r="F39" s="15" t="s">
        <v>27</v>
      </c>
      <c r="G39" s="15" t="s">
        <v>28</v>
      </c>
      <c r="H39" s="15" t="s">
        <v>304</v>
      </c>
      <c r="I39" s="15" t="s">
        <v>114</v>
      </c>
      <c r="J39" s="15" t="s">
        <v>106</v>
      </c>
      <c r="K39" s="15" t="s">
        <v>122</v>
      </c>
      <c r="L39" s="15" t="s">
        <v>227</v>
      </c>
      <c r="M39" s="15">
        <v>5</v>
      </c>
      <c r="N39" s="15" t="s">
        <v>305</v>
      </c>
      <c r="O39" s="15">
        <v>0</v>
      </c>
      <c r="P39" s="15">
        <v>100</v>
      </c>
      <c r="Q39" s="15">
        <v>1</v>
      </c>
      <c r="R39" s="15" t="s">
        <v>34</v>
      </c>
      <c r="S39" s="15" t="s">
        <v>49</v>
      </c>
      <c r="T39" s="15" t="s">
        <v>50</v>
      </c>
      <c r="U39" s="17" t="s">
        <v>306</v>
      </c>
      <c r="V39" s="15" t="s">
        <v>69</v>
      </c>
    </row>
    <row r="40" spans="1:22">
      <c r="A40" s="18" t="s">
        <v>307</v>
      </c>
      <c r="B40" s="18" t="s">
        <v>53</v>
      </c>
      <c r="C40" s="18" t="s">
        <v>169</v>
      </c>
      <c r="D40" s="18" t="s">
        <v>308</v>
      </c>
      <c r="E40" s="18" t="s">
        <v>309</v>
      </c>
      <c r="F40" s="18" t="s">
        <v>163</v>
      </c>
      <c r="G40" s="18" t="s">
        <v>28</v>
      </c>
      <c r="H40" s="18" t="s">
        <v>310</v>
      </c>
      <c r="I40" s="18" t="s">
        <v>105</v>
      </c>
      <c r="J40" s="18" t="s">
        <v>106</v>
      </c>
      <c r="K40" s="18" t="s">
        <v>32</v>
      </c>
      <c r="L40" s="18" t="s">
        <v>174</v>
      </c>
      <c r="M40" s="18">
        <v>20</v>
      </c>
      <c r="N40" s="18">
        <v>8500</v>
      </c>
      <c r="O40" s="18">
        <v>0</v>
      </c>
      <c r="P40" s="18">
        <v>170000</v>
      </c>
      <c r="Q40" s="18">
        <v>1</v>
      </c>
      <c r="R40" s="18" t="s">
        <v>88</v>
      </c>
      <c r="S40" s="18" t="s">
        <v>115</v>
      </c>
      <c r="T40" s="18" t="s">
        <v>62</v>
      </c>
      <c r="U40" s="19" t="s">
        <v>311</v>
      </c>
      <c r="V40" s="18" t="s">
        <v>69</v>
      </c>
    </row>
    <row r="41" spans="1:22">
      <c r="A41" s="15" t="s">
        <v>312</v>
      </c>
      <c r="B41" s="15" t="s">
        <v>83</v>
      </c>
      <c r="C41" s="15" t="s">
        <v>118</v>
      </c>
      <c r="D41" s="15" t="s">
        <v>313</v>
      </c>
      <c r="E41" s="15" t="s">
        <v>314</v>
      </c>
      <c r="F41" s="15" t="s">
        <v>180</v>
      </c>
      <c r="G41" s="15" t="s">
        <v>76</v>
      </c>
      <c r="H41" s="15" t="s">
        <v>315</v>
      </c>
      <c r="I41" s="15" t="s">
        <v>59</v>
      </c>
      <c r="J41" s="15" t="s">
        <v>31</v>
      </c>
      <c r="K41" s="15" t="s">
        <v>122</v>
      </c>
      <c r="L41" s="15" t="s">
        <v>123</v>
      </c>
      <c r="M41" s="15">
        <v>8</v>
      </c>
      <c r="N41" s="15">
        <v>60</v>
      </c>
      <c r="O41" s="15">
        <v>15</v>
      </c>
      <c r="P41" s="15">
        <v>408</v>
      </c>
      <c r="Q41" s="15">
        <v>5</v>
      </c>
      <c r="R41" s="15" t="s">
        <v>88</v>
      </c>
      <c r="S41" s="15" t="s">
        <v>49</v>
      </c>
      <c r="T41" s="15" t="s">
        <v>89</v>
      </c>
      <c r="U41" s="17" t="s">
        <v>316</v>
      </c>
      <c r="V41" s="15" t="s">
        <v>64</v>
      </c>
    </row>
    <row r="42" spans="1:22">
      <c r="A42" s="18" t="s">
        <v>317</v>
      </c>
      <c r="B42" s="18" t="s">
        <v>53</v>
      </c>
      <c r="C42" s="18" t="s">
        <v>92</v>
      </c>
      <c r="D42" s="18" t="s">
        <v>318</v>
      </c>
      <c r="E42" s="18" t="s">
        <v>260</v>
      </c>
      <c r="F42" s="18" t="s">
        <v>163</v>
      </c>
      <c r="G42" s="18" t="s">
        <v>28</v>
      </c>
      <c r="H42" s="18" t="s">
        <v>319</v>
      </c>
      <c r="I42" s="18" t="s">
        <v>114</v>
      </c>
      <c r="J42" s="18" t="s">
        <v>106</v>
      </c>
      <c r="K42" s="18" t="s">
        <v>32</v>
      </c>
      <c r="L42" s="18" t="s">
        <v>97</v>
      </c>
      <c r="M42" s="18">
        <v>8</v>
      </c>
      <c r="N42" s="18">
        <v>3500</v>
      </c>
      <c r="O42" s="18">
        <v>5</v>
      </c>
      <c r="P42" s="18">
        <v>26600</v>
      </c>
      <c r="Q42" s="18">
        <v>1</v>
      </c>
      <c r="R42" s="18" t="s">
        <v>79</v>
      </c>
      <c r="S42" s="18" t="s">
        <v>115</v>
      </c>
      <c r="T42" s="18" t="s">
        <v>62</v>
      </c>
      <c r="U42" s="19" t="s">
        <v>320</v>
      </c>
      <c r="V42" s="18" t="s">
        <v>64</v>
      </c>
    </row>
    <row r="43" spans="1:22">
      <c r="A43" s="15" t="s">
        <v>321</v>
      </c>
      <c r="B43" s="15" t="s">
        <v>71</v>
      </c>
      <c r="C43" s="15" t="s">
        <v>169</v>
      </c>
      <c r="D43" s="15" t="s">
        <v>322</v>
      </c>
      <c r="E43" s="15" t="s">
        <v>323</v>
      </c>
      <c r="F43" s="15" t="s">
        <v>217</v>
      </c>
      <c r="G43" s="15" t="s">
        <v>76</v>
      </c>
      <c r="H43" s="15" t="s">
        <v>324</v>
      </c>
      <c r="I43" s="15" t="s">
        <v>212</v>
      </c>
      <c r="J43" s="15" t="s">
        <v>45</v>
      </c>
      <c r="K43" s="15" t="s">
        <v>32</v>
      </c>
      <c r="L43" s="15" t="s">
        <v>174</v>
      </c>
      <c r="M43" s="15">
        <v>1</v>
      </c>
      <c r="N43" s="15">
        <v>8500</v>
      </c>
      <c r="O43" s="15">
        <v>0</v>
      </c>
      <c r="P43" s="15">
        <v>8500</v>
      </c>
      <c r="Q43" s="15">
        <v>2</v>
      </c>
      <c r="R43" s="15" t="s">
        <v>79</v>
      </c>
      <c r="S43" s="15" t="s">
        <v>115</v>
      </c>
      <c r="T43" s="15" t="s">
        <v>80</v>
      </c>
      <c r="U43" s="17" t="s">
        <v>325</v>
      </c>
      <c r="V43" s="15" t="s">
        <v>64</v>
      </c>
    </row>
    <row r="44" spans="1:22">
      <c r="A44" s="18" t="s">
        <v>326</v>
      </c>
      <c r="B44" s="18" t="s">
        <v>327</v>
      </c>
      <c r="C44" s="18" t="s">
        <v>259</v>
      </c>
      <c r="D44" s="18" t="s">
        <v>328</v>
      </c>
      <c r="E44" s="18" t="s">
        <v>329</v>
      </c>
      <c r="F44" s="18" t="s">
        <v>394</v>
      </c>
      <c r="G44" s="18" t="s">
        <v>76</v>
      </c>
      <c r="H44" s="18" t="s">
        <v>331</v>
      </c>
      <c r="I44" s="18" t="s">
        <v>114</v>
      </c>
      <c r="J44" s="18" t="s">
        <v>106</v>
      </c>
      <c r="K44" s="18" t="s">
        <v>122</v>
      </c>
      <c r="L44" s="18" t="s">
        <v>263</v>
      </c>
      <c r="M44" s="18">
        <v>8</v>
      </c>
      <c r="N44" s="18">
        <v>45</v>
      </c>
      <c r="O44" s="18">
        <v>15</v>
      </c>
      <c r="P44" s="18">
        <v>306</v>
      </c>
      <c r="Q44" s="18">
        <v>2</v>
      </c>
      <c r="R44" s="18" t="s">
        <v>79</v>
      </c>
      <c r="S44" s="18" t="s">
        <v>61</v>
      </c>
      <c r="T44" s="18" t="s">
        <v>332</v>
      </c>
      <c r="U44" s="19" t="s">
        <v>333</v>
      </c>
      <c r="V44" s="18" t="s">
        <v>38</v>
      </c>
    </row>
    <row r="45" spans="1:22">
      <c r="A45" s="15" t="s">
        <v>334</v>
      </c>
      <c r="B45" s="15" t="s">
        <v>251</v>
      </c>
      <c r="C45" s="15" t="s">
        <v>24</v>
      </c>
      <c r="D45" s="15" t="s">
        <v>335</v>
      </c>
      <c r="E45" s="15" t="s">
        <v>336</v>
      </c>
      <c r="F45" s="15" t="s">
        <v>254</v>
      </c>
      <c r="G45" s="15" t="s">
        <v>28</v>
      </c>
      <c r="H45" s="15" t="s">
        <v>337</v>
      </c>
      <c r="I45" s="15" t="s">
        <v>114</v>
      </c>
      <c r="J45" s="15" t="s">
        <v>106</v>
      </c>
      <c r="K45" s="15" t="s">
        <v>32</v>
      </c>
      <c r="L45" s="15" t="s">
        <v>33</v>
      </c>
      <c r="M45" s="15">
        <v>16</v>
      </c>
      <c r="N45" s="15">
        <v>2200</v>
      </c>
      <c r="O45" s="15">
        <v>5</v>
      </c>
      <c r="P45" s="15">
        <v>33440</v>
      </c>
      <c r="Q45" s="15">
        <v>5</v>
      </c>
      <c r="R45" s="15" t="s">
        <v>79</v>
      </c>
      <c r="S45" s="15" t="s">
        <v>61</v>
      </c>
      <c r="T45" s="15" t="s">
        <v>256</v>
      </c>
      <c r="U45" s="17" t="s">
        <v>338</v>
      </c>
      <c r="V45" s="15" t="s">
        <v>69</v>
      </c>
    </row>
    <row r="46" spans="1:22">
      <c r="A46" s="18" t="s">
        <v>339</v>
      </c>
      <c r="B46" s="18" t="s">
        <v>71</v>
      </c>
      <c r="C46" s="18" t="s">
        <v>92</v>
      </c>
      <c r="D46" s="18" t="s">
        <v>340</v>
      </c>
      <c r="E46" s="18" t="s">
        <v>341</v>
      </c>
      <c r="F46" s="18" t="s">
        <v>217</v>
      </c>
      <c r="G46" s="18" t="s">
        <v>76</v>
      </c>
      <c r="H46" s="18" t="s">
        <v>342</v>
      </c>
      <c r="I46" s="18" t="s">
        <v>59</v>
      </c>
      <c r="J46" s="18" t="s">
        <v>31</v>
      </c>
      <c r="K46" s="18" t="s">
        <v>32</v>
      </c>
      <c r="L46" s="18" t="s">
        <v>97</v>
      </c>
      <c r="M46" s="18">
        <v>19</v>
      </c>
      <c r="N46" s="18">
        <v>3500</v>
      </c>
      <c r="O46" s="18">
        <v>20</v>
      </c>
      <c r="P46" s="18">
        <v>53200</v>
      </c>
      <c r="Q46" s="18">
        <v>3</v>
      </c>
      <c r="R46" s="18" t="s">
        <v>34</v>
      </c>
      <c r="S46" s="18" t="s">
        <v>151</v>
      </c>
      <c r="T46" s="18" t="s">
        <v>80</v>
      </c>
      <c r="U46" s="19" t="s">
        <v>343</v>
      </c>
      <c r="V46" s="18" t="s">
        <v>69</v>
      </c>
    </row>
    <row r="47" spans="1:22">
      <c r="A47" s="15" t="s">
        <v>344</v>
      </c>
      <c r="B47" s="15" t="s">
        <v>251</v>
      </c>
      <c r="C47" s="15" t="s">
        <v>184</v>
      </c>
      <c r="D47" s="15" t="s">
        <v>345</v>
      </c>
      <c r="E47" s="15" t="s">
        <v>346</v>
      </c>
      <c r="F47" s="15" t="s">
        <v>254</v>
      </c>
      <c r="G47" s="15" t="s">
        <v>28</v>
      </c>
      <c r="H47" s="15" t="s">
        <v>347</v>
      </c>
      <c r="I47" s="15" t="s">
        <v>114</v>
      </c>
      <c r="J47" s="15" t="s">
        <v>106</v>
      </c>
      <c r="K47" s="15" t="s">
        <v>46</v>
      </c>
      <c r="L47" s="15" t="s">
        <v>189</v>
      </c>
      <c r="M47" s="15">
        <v>15</v>
      </c>
      <c r="N47" s="15">
        <v>700</v>
      </c>
      <c r="O47" s="15">
        <v>15</v>
      </c>
      <c r="P47" s="15">
        <v>8925</v>
      </c>
      <c r="Q47" s="15">
        <v>4</v>
      </c>
      <c r="R47" s="15" t="s">
        <v>88</v>
      </c>
      <c r="S47" s="15" t="s">
        <v>115</v>
      </c>
      <c r="T47" s="15" t="s">
        <v>348</v>
      </c>
      <c r="U47" s="17" t="s">
        <v>349</v>
      </c>
      <c r="V47" s="15" t="s">
        <v>38</v>
      </c>
    </row>
    <row r="48" spans="1:22">
      <c r="A48" s="18" t="s">
        <v>350</v>
      </c>
      <c r="B48" s="18" t="s">
        <v>251</v>
      </c>
      <c r="C48" s="18" t="s">
        <v>184</v>
      </c>
      <c r="D48" s="18" t="s">
        <v>351</v>
      </c>
      <c r="E48" s="18" t="s">
        <v>352</v>
      </c>
      <c r="F48" s="18" t="s">
        <v>254</v>
      </c>
      <c r="G48" s="18" t="s">
        <v>28</v>
      </c>
      <c r="H48" s="18" t="s">
        <v>353</v>
      </c>
      <c r="I48" s="18" t="s">
        <v>212</v>
      </c>
      <c r="J48" s="18" t="s">
        <v>45</v>
      </c>
      <c r="K48" s="18" t="s">
        <v>46</v>
      </c>
      <c r="L48" s="18" t="s">
        <v>189</v>
      </c>
      <c r="M48" s="18">
        <v>19</v>
      </c>
      <c r="N48" s="18">
        <v>700</v>
      </c>
      <c r="O48" s="18">
        <v>20</v>
      </c>
      <c r="P48" s="18">
        <v>10640</v>
      </c>
      <c r="Q48" s="18">
        <v>1</v>
      </c>
      <c r="R48" s="18" t="s">
        <v>34</v>
      </c>
      <c r="S48" s="18" t="s">
        <v>115</v>
      </c>
      <c r="T48" s="18" t="s">
        <v>256</v>
      </c>
      <c r="U48" s="19" t="s">
        <v>354</v>
      </c>
      <c r="V48" s="18" t="s">
        <v>38</v>
      </c>
    </row>
    <row r="49" spans="1:22">
      <c r="A49" s="15" t="s">
        <v>355</v>
      </c>
      <c r="B49" s="15" t="s">
        <v>71</v>
      </c>
      <c r="C49" s="15" t="s">
        <v>40</v>
      </c>
      <c r="D49" s="15" t="s">
        <v>356</v>
      </c>
      <c r="E49" s="15" t="s">
        <v>64</v>
      </c>
      <c r="F49" s="15" t="s">
        <v>217</v>
      </c>
      <c r="G49" s="15" t="s">
        <v>76</v>
      </c>
      <c r="H49" s="15" t="s">
        <v>357</v>
      </c>
      <c r="I49" s="15" t="s">
        <v>44</v>
      </c>
      <c r="J49" s="15" t="s">
        <v>45</v>
      </c>
      <c r="K49" s="15" t="s">
        <v>46</v>
      </c>
      <c r="L49" s="15" t="s">
        <v>47</v>
      </c>
      <c r="M49" s="15">
        <v>19</v>
      </c>
      <c r="N49" s="15">
        <v>12000</v>
      </c>
      <c r="O49" s="15">
        <v>0</v>
      </c>
      <c r="P49" s="15">
        <v>228000</v>
      </c>
      <c r="Q49" s="15">
        <v>1</v>
      </c>
      <c r="R49" s="15" t="s">
        <v>48</v>
      </c>
      <c r="S49" s="15" t="s">
        <v>61</v>
      </c>
      <c r="T49" s="15" t="s">
        <v>80</v>
      </c>
      <c r="U49" s="17" t="s">
        <v>358</v>
      </c>
      <c r="V49" s="15" t="s">
        <v>38</v>
      </c>
    </row>
    <row r="50" spans="1:22">
      <c r="A50" s="18" t="s">
        <v>359</v>
      </c>
      <c r="B50" s="18" t="s">
        <v>168</v>
      </c>
      <c r="C50" s="18" t="s">
        <v>72</v>
      </c>
      <c r="D50" s="18" t="s">
        <v>356</v>
      </c>
      <c r="E50" s="18" t="s">
        <v>360</v>
      </c>
      <c r="F50" s="18" t="s">
        <v>361</v>
      </c>
      <c r="G50" s="18" t="s">
        <v>28</v>
      </c>
      <c r="H50" s="18" t="s">
        <v>362</v>
      </c>
      <c r="I50" s="18" t="s">
        <v>114</v>
      </c>
      <c r="J50" s="18" t="s">
        <v>106</v>
      </c>
      <c r="K50" s="18" t="s">
        <v>46</v>
      </c>
      <c r="L50" s="18" t="s">
        <v>78</v>
      </c>
      <c r="M50" s="18">
        <v>6</v>
      </c>
      <c r="N50" s="18">
        <v>1200</v>
      </c>
      <c r="O50" s="18">
        <v>5</v>
      </c>
      <c r="P50" s="18">
        <v>6840</v>
      </c>
      <c r="Q50" s="18">
        <v>2</v>
      </c>
      <c r="R50" s="18" t="s">
        <v>34</v>
      </c>
      <c r="S50" s="18" t="s">
        <v>35</v>
      </c>
      <c r="T50" s="18" t="s">
        <v>175</v>
      </c>
      <c r="U50" s="19" t="s">
        <v>363</v>
      </c>
      <c r="V50" s="18" t="s">
        <v>64</v>
      </c>
    </row>
    <row r="51" spans="1:22">
      <c r="A51" s="15" t="s">
        <v>364</v>
      </c>
      <c r="B51" s="15" t="s">
        <v>53</v>
      </c>
      <c r="C51" s="15" t="s">
        <v>24</v>
      </c>
      <c r="D51" s="15" t="s">
        <v>365</v>
      </c>
      <c r="E51" s="15" t="s">
        <v>366</v>
      </c>
      <c r="F51" s="15" t="s">
        <v>163</v>
      </c>
      <c r="G51" s="15" t="s">
        <v>28</v>
      </c>
      <c r="H51" s="15" t="s">
        <v>368</v>
      </c>
      <c r="I51" s="15" t="s">
        <v>59</v>
      </c>
      <c r="J51" s="15" t="s">
        <v>31</v>
      </c>
      <c r="K51" s="15" t="s">
        <v>32</v>
      </c>
      <c r="L51" s="15" t="s">
        <v>33</v>
      </c>
      <c r="M51" s="15">
        <v>7</v>
      </c>
      <c r="N51" s="15">
        <v>2200</v>
      </c>
      <c r="O51" s="15">
        <v>15</v>
      </c>
      <c r="P51" s="15">
        <v>13090</v>
      </c>
      <c r="Q51" s="15">
        <v>1</v>
      </c>
      <c r="R51" s="15" t="s">
        <v>88</v>
      </c>
      <c r="S51" s="15" t="s">
        <v>61</v>
      </c>
      <c r="T51" s="15" t="s">
        <v>62</v>
      </c>
      <c r="U51" s="17" t="s">
        <v>369</v>
      </c>
      <c r="V51" s="15" t="s">
        <v>38</v>
      </c>
    </row>
    <row r="52" spans="1:22">
      <c r="A52" s="18" t="s">
        <v>370</v>
      </c>
      <c r="B52" s="18" t="s">
        <v>100</v>
      </c>
      <c r="C52" s="18" t="s">
        <v>118</v>
      </c>
      <c r="D52" s="18" t="s">
        <v>371</v>
      </c>
      <c r="E52" s="18" t="s">
        <v>372</v>
      </c>
      <c r="F52" s="18" t="s">
        <v>103</v>
      </c>
      <c r="G52" s="18" t="s">
        <v>28</v>
      </c>
      <c r="H52" s="18" t="s">
        <v>373</v>
      </c>
      <c r="I52" s="18" t="s">
        <v>212</v>
      </c>
      <c r="J52" s="18" t="s">
        <v>45</v>
      </c>
      <c r="K52" s="18" t="s">
        <v>122</v>
      </c>
      <c r="L52" s="18" t="s">
        <v>123</v>
      </c>
      <c r="M52" s="18">
        <v>8</v>
      </c>
      <c r="N52" s="18">
        <v>60</v>
      </c>
      <c r="O52" s="18">
        <v>10</v>
      </c>
      <c r="P52" s="18">
        <v>432</v>
      </c>
      <c r="Q52" s="18">
        <v>5</v>
      </c>
      <c r="R52" s="18" t="s">
        <v>79</v>
      </c>
      <c r="S52" s="18" t="s">
        <v>61</v>
      </c>
      <c r="T52" s="18" t="s">
        <v>144</v>
      </c>
      <c r="U52" s="19" t="s">
        <v>374</v>
      </c>
      <c r="V52" s="18" t="s">
        <v>69</v>
      </c>
    </row>
    <row r="53" spans="1:22">
      <c r="A53" s="15" t="s">
        <v>375</v>
      </c>
      <c r="B53" s="15" t="s">
        <v>221</v>
      </c>
      <c r="C53" s="15" t="s">
        <v>54</v>
      </c>
      <c r="D53" s="15" t="s">
        <v>376</v>
      </c>
      <c r="E53" s="15" t="s">
        <v>377</v>
      </c>
      <c r="F53" s="15" t="s">
        <v>225</v>
      </c>
      <c r="G53" s="15" t="s">
        <v>76</v>
      </c>
      <c r="H53" s="15" t="s">
        <v>378</v>
      </c>
      <c r="I53" s="15" t="s">
        <v>294</v>
      </c>
      <c r="J53" s="15" t="s">
        <v>295</v>
      </c>
      <c r="K53" s="15" t="s">
        <v>46</v>
      </c>
      <c r="L53" s="15" t="s">
        <v>60</v>
      </c>
      <c r="M53" s="15">
        <v>12</v>
      </c>
      <c r="N53" s="15">
        <v>55000</v>
      </c>
      <c r="O53" s="15">
        <v>5</v>
      </c>
      <c r="P53" s="15">
        <v>627000</v>
      </c>
      <c r="Q53" s="15">
        <v>2</v>
      </c>
      <c r="R53" s="15" t="s">
        <v>88</v>
      </c>
      <c r="S53" s="15" t="s">
        <v>49</v>
      </c>
      <c r="T53" s="15" t="s">
        <v>228</v>
      </c>
      <c r="U53" s="17" t="s">
        <v>379</v>
      </c>
      <c r="V53" s="15" t="s">
        <v>64</v>
      </c>
    </row>
    <row r="54" spans="1:22">
      <c r="A54" s="18" t="s">
        <v>380</v>
      </c>
      <c r="B54" s="18" t="s">
        <v>23</v>
      </c>
      <c r="C54" s="18" t="s">
        <v>184</v>
      </c>
      <c r="D54" s="18" t="s">
        <v>381</v>
      </c>
      <c r="E54" s="18" t="s">
        <v>382</v>
      </c>
      <c r="F54" s="18" t="s">
        <v>27</v>
      </c>
      <c r="G54" s="18" t="s">
        <v>28</v>
      </c>
      <c r="H54" s="18" t="s">
        <v>383</v>
      </c>
      <c r="I54" s="18" t="s">
        <v>212</v>
      </c>
      <c r="J54" s="18" t="s">
        <v>45</v>
      </c>
      <c r="K54" s="18" t="s">
        <v>46</v>
      </c>
      <c r="L54" s="18" t="s">
        <v>189</v>
      </c>
      <c r="M54" s="18">
        <v>3</v>
      </c>
      <c r="N54" s="18">
        <v>700</v>
      </c>
      <c r="O54" s="18">
        <v>0</v>
      </c>
      <c r="P54" s="18">
        <v>2100</v>
      </c>
      <c r="Q54" s="18">
        <v>3</v>
      </c>
      <c r="R54" s="18" t="s">
        <v>79</v>
      </c>
      <c r="S54" s="18" t="s">
        <v>151</v>
      </c>
      <c r="T54" s="18" t="s">
        <v>50</v>
      </c>
      <c r="U54" s="19" t="s">
        <v>384</v>
      </c>
      <c r="V54" s="18" t="s">
        <v>69</v>
      </c>
    </row>
    <row r="55" spans="1:22">
      <c r="A55" s="15" t="s">
        <v>385</v>
      </c>
      <c r="B55" s="15" t="s">
        <v>127</v>
      </c>
      <c r="C55" s="15" t="s">
        <v>118</v>
      </c>
      <c r="D55" s="15" t="s">
        <v>386</v>
      </c>
      <c r="E55" s="15" t="s">
        <v>387</v>
      </c>
      <c r="F55" s="15" t="s">
        <v>200</v>
      </c>
      <c r="G55" s="15" t="s">
        <v>76</v>
      </c>
      <c r="H55" s="15" t="s">
        <v>389</v>
      </c>
      <c r="I55" s="15" t="s">
        <v>138</v>
      </c>
      <c r="J55" s="15" t="s">
        <v>106</v>
      </c>
      <c r="K55" s="15" t="s">
        <v>122</v>
      </c>
      <c r="L55" s="15" t="s">
        <v>123</v>
      </c>
      <c r="M55" s="15">
        <v>19</v>
      </c>
      <c r="N55" s="15">
        <v>60</v>
      </c>
      <c r="O55" s="15">
        <v>15</v>
      </c>
      <c r="P55" s="15">
        <v>969</v>
      </c>
      <c r="Q55" s="15">
        <v>4</v>
      </c>
      <c r="R55" s="15" t="s">
        <v>79</v>
      </c>
      <c r="S55" s="15" t="s">
        <v>49</v>
      </c>
      <c r="T55" s="15" t="s">
        <v>132</v>
      </c>
      <c r="U55" s="17" t="s">
        <v>390</v>
      </c>
      <c r="V55" s="15" t="s">
        <v>69</v>
      </c>
    </row>
    <row r="56" spans="1:22">
      <c r="A56" s="18" t="s">
        <v>391</v>
      </c>
      <c r="B56" s="18" t="s">
        <v>327</v>
      </c>
      <c r="C56" s="18" t="s">
        <v>118</v>
      </c>
      <c r="D56" s="18" t="s">
        <v>392</v>
      </c>
      <c r="E56" s="18" t="s">
        <v>393</v>
      </c>
      <c r="F56" s="18" t="s">
        <v>394</v>
      </c>
      <c r="G56" s="18" t="s">
        <v>76</v>
      </c>
      <c r="H56" s="18" t="s">
        <v>395</v>
      </c>
      <c r="I56" s="18" t="s">
        <v>212</v>
      </c>
      <c r="J56" s="18" t="s">
        <v>45</v>
      </c>
      <c r="K56" s="18" t="s">
        <v>122</v>
      </c>
      <c r="L56" s="18" t="s">
        <v>123</v>
      </c>
      <c r="M56" s="18">
        <v>9</v>
      </c>
      <c r="N56" s="18">
        <v>60</v>
      </c>
      <c r="O56" s="18">
        <v>20</v>
      </c>
      <c r="P56" s="18">
        <v>432</v>
      </c>
      <c r="Q56" s="18">
        <v>1</v>
      </c>
      <c r="R56" s="18" t="s">
        <v>48</v>
      </c>
      <c r="S56" s="18" t="s">
        <v>115</v>
      </c>
      <c r="T56" s="18" t="s">
        <v>332</v>
      </c>
      <c r="U56" s="19" t="s">
        <v>396</v>
      </c>
      <c r="V56" s="18" t="s">
        <v>64</v>
      </c>
    </row>
    <row r="57" spans="1:22">
      <c r="A57" s="15" t="s">
        <v>397</v>
      </c>
      <c r="B57" s="15" t="s">
        <v>327</v>
      </c>
      <c r="C57" s="15" t="s">
        <v>184</v>
      </c>
      <c r="D57" s="15" t="s">
        <v>398</v>
      </c>
      <c r="E57" s="15" t="s">
        <v>399</v>
      </c>
      <c r="F57" s="15" t="s">
        <v>394</v>
      </c>
      <c r="G57" s="15" t="s">
        <v>76</v>
      </c>
      <c r="H57" s="15" t="s">
        <v>400</v>
      </c>
      <c r="I57" s="15" t="s">
        <v>59</v>
      </c>
      <c r="J57" s="15" t="s">
        <v>31</v>
      </c>
      <c r="K57" s="15" t="s">
        <v>46</v>
      </c>
      <c r="L57" s="15" t="s">
        <v>189</v>
      </c>
      <c r="M57" s="15">
        <v>6</v>
      </c>
      <c r="N57" s="15">
        <v>700</v>
      </c>
      <c r="O57" s="15">
        <v>0</v>
      </c>
      <c r="P57" s="15">
        <v>4200</v>
      </c>
      <c r="Q57" s="15">
        <v>4</v>
      </c>
      <c r="R57" s="15" t="s">
        <v>88</v>
      </c>
      <c r="S57" s="15" t="s">
        <v>49</v>
      </c>
      <c r="T57" s="15" t="s">
        <v>401</v>
      </c>
      <c r="U57" s="17" t="s">
        <v>402</v>
      </c>
      <c r="V57" s="15" t="s">
        <v>69</v>
      </c>
    </row>
    <row r="58" spans="1:22">
      <c r="A58" s="18" t="s">
        <v>403</v>
      </c>
      <c r="B58" s="18" t="s">
        <v>127</v>
      </c>
      <c r="C58" s="18" t="s">
        <v>259</v>
      </c>
      <c r="D58" s="18" t="s">
        <v>241</v>
      </c>
      <c r="E58" s="18" t="s">
        <v>404</v>
      </c>
      <c r="F58" s="18" t="s">
        <v>200</v>
      </c>
      <c r="G58" s="18" t="s">
        <v>76</v>
      </c>
      <c r="H58" s="18" t="s">
        <v>405</v>
      </c>
      <c r="I58" s="18" t="s">
        <v>44</v>
      </c>
      <c r="J58" s="18" t="s">
        <v>45</v>
      </c>
      <c r="K58" s="18" t="s">
        <v>122</v>
      </c>
      <c r="L58" s="18" t="s">
        <v>263</v>
      </c>
      <c r="M58" s="18">
        <v>18</v>
      </c>
      <c r="N58" s="18">
        <v>45</v>
      </c>
      <c r="O58" s="18">
        <v>5</v>
      </c>
      <c r="P58" s="18">
        <v>769.5</v>
      </c>
      <c r="Q58" s="18">
        <v>1</v>
      </c>
      <c r="R58" s="18" t="s">
        <v>79</v>
      </c>
      <c r="S58" s="18" t="s">
        <v>61</v>
      </c>
      <c r="T58" s="18" t="s">
        <v>132</v>
      </c>
      <c r="U58" s="19" t="s">
        <v>406</v>
      </c>
      <c r="V58" s="18" t="s">
        <v>64</v>
      </c>
    </row>
    <row r="59" spans="1:22">
      <c r="A59" s="15" t="s">
        <v>407</v>
      </c>
      <c r="B59" s="15" t="s">
        <v>83</v>
      </c>
      <c r="C59" s="15" t="s">
        <v>222</v>
      </c>
      <c r="D59" s="15" t="s">
        <v>408</v>
      </c>
      <c r="E59" s="15" t="s">
        <v>261</v>
      </c>
      <c r="F59" s="15" t="s">
        <v>180</v>
      </c>
      <c r="G59" s="15" t="s">
        <v>76</v>
      </c>
      <c r="H59" s="15" t="s">
        <v>409</v>
      </c>
      <c r="I59" s="15" t="s">
        <v>212</v>
      </c>
      <c r="J59" s="15" t="s">
        <v>45</v>
      </c>
      <c r="K59" s="15" t="s">
        <v>122</v>
      </c>
      <c r="L59" s="15" t="s">
        <v>227</v>
      </c>
      <c r="M59" s="15">
        <v>8</v>
      </c>
      <c r="N59" s="15">
        <v>20</v>
      </c>
      <c r="O59" s="15">
        <v>5</v>
      </c>
      <c r="P59" s="15">
        <v>152</v>
      </c>
      <c r="Q59" s="15">
        <v>1</v>
      </c>
      <c r="R59" s="15" t="s">
        <v>79</v>
      </c>
      <c r="S59" s="15" t="s">
        <v>35</v>
      </c>
      <c r="T59" s="15" t="s">
        <v>89</v>
      </c>
      <c r="U59" s="17" t="s">
        <v>410</v>
      </c>
      <c r="V59" s="15" t="s">
        <v>411</v>
      </c>
    </row>
    <row r="60" spans="1:22">
      <c r="A60" s="18" t="s">
        <v>412</v>
      </c>
      <c r="B60" s="18" t="s">
        <v>221</v>
      </c>
      <c r="C60" s="18" t="s">
        <v>184</v>
      </c>
      <c r="D60" s="18" t="s">
        <v>413</v>
      </c>
      <c r="E60" s="18" t="s">
        <v>414</v>
      </c>
      <c r="F60" s="18" t="s">
        <v>225</v>
      </c>
      <c r="G60" s="18" t="s">
        <v>76</v>
      </c>
      <c r="H60" s="18" t="s">
        <v>415</v>
      </c>
      <c r="I60" s="18" t="s">
        <v>212</v>
      </c>
      <c r="J60" s="18" t="s">
        <v>45</v>
      </c>
      <c r="K60" s="18" t="s">
        <v>46</v>
      </c>
      <c r="L60" s="18" t="s">
        <v>189</v>
      </c>
      <c r="M60" s="18">
        <v>8</v>
      </c>
      <c r="N60" s="18">
        <v>700</v>
      </c>
      <c r="O60" s="18">
        <v>10</v>
      </c>
      <c r="P60" s="18">
        <v>5040</v>
      </c>
      <c r="Q60" s="18">
        <v>1</v>
      </c>
      <c r="R60" s="18" t="s">
        <v>48</v>
      </c>
      <c r="S60" s="18" t="s">
        <v>61</v>
      </c>
      <c r="T60" s="20" t="s">
        <v>416</v>
      </c>
      <c r="U60" s="19" t="s">
        <v>417</v>
      </c>
      <c r="V60" s="18" t="s">
        <v>69</v>
      </c>
    </row>
    <row r="61" spans="1:22">
      <c r="A61" s="15" t="s">
        <v>418</v>
      </c>
      <c r="B61" s="15" t="s">
        <v>23</v>
      </c>
      <c r="C61" s="15" t="s">
        <v>222</v>
      </c>
      <c r="D61" s="15" t="s">
        <v>223</v>
      </c>
      <c r="E61" s="15" t="s">
        <v>356</v>
      </c>
      <c r="F61" s="15" t="s">
        <v>27</v>
      </c>
      <c r="G61" s="15" t="s">
        <v>28</v>
      </c>
      <c r="H61" s="15" t="s">
        <v>419</v>
      </c>
      <c r="I61" s="15" t="s">
        <v>44</v>
      </c>
      <c r="J61" s="15" t="s">
        <v>45</v>
      </c>
      <c r="K61" s="15" t="s">
        <v>122</v>
      </c>
      <c r="L61" s="15" t="s">
        <v>227</v>
      </c>
      <c r="M61" s="15">
        <v>7</v>
      </c>
      <c r="N61" s="15">
        <v>20</v>
      </c>
      <c r="O61" s="15">
        <v>15</v>
      </c>
      <c r="P61" s="15">
        <v>119</v>
      </c>
      <c r="Q61" s="15">
        <v>5</v>
      </c>
      <c r="R61" s="15" t="s">
        <v>79</v>
      </c>
      <c r="S61" s="15" t="s">
        <v>49</v>
      </c>
      <c r="T61" s="15" t="s">
        <v>50</v>
      </c>
      <c r="U61" s="17" t="s">
        <v>420</v>
      </c>
      <c r="V61" s="15" t="s">
        <v>38</v>
      </c>
    </row>
    <row r="62" spans="1:22">
      <c r="A62" s="18" t="s">
        <v>421</v>
      </c>
      <c r="B62" s="18" t="s">
        <v>100</v>
      </c>
      <c r="C62" s="18" t="s">
        <v>222</v>
      </c>
      <c r="D62" s="18" t="s">
        <v>422</v>
      </c>
      <c r="E62" s="18" t="s">
        <v>371</v>
      </c>
      <c r="F62" s="18" t="s">
        <v>103</v>
      </c>
      <c r="G62" s="18" t="s">
        <v>28</v>
      </c>
      <c r="H62" s="18" t="s">
        <v>423</v>
      </c>
      <c r="I62" s="18" t="s">
        <v>114</v>
      </c>
      <c r="J62" s="18" t="s">
        <v>106</v>
      </c>
      <c r="K62" s="18" t="s">
        <v>122</v>
      </c>
      <c r="L62" s="18" t="s">
        <v>227</v>
      </c>
      <c r="M62" s="18">
        <v>16</v>
      </c>
      <c r="N62" s="18">
        <v>20</v>
      </c>
      <c r="O62" s="18">
        <v>0</v>
      </c>
      <c r="P62" s="18">
        <v>320</v>
      </c>
      <c r="Q62" s="18">
        <v>5</v>
      </c>
      <c r="R62" s="18" t="s">
        <v>48</v>
      </c>
      <c r="S62" s="18" t="s">
        <v>61</v>
      </c>
      <c r="T62" s="18" t="s">
        <v>144</v>
      </c>
      <c r="U62" s="19" t="s">
        <v>424</v>
      </c>
      <c r="V62" s="18" t="s">
        <v>64</v>
      </c>
    </row>
    <row r="63" spans="1:22">
      <c r="A63" s="15" t="s">
        <v>425</v>
      </c>
      <c r="B63" s="15" t="s">
        <v>53</v>
      </c>
      <c r="C63" s="15" t="s">
        <v>259</v>
      </c>
      <c r="D63" s="15" t="s">
        <v>426</v>
      </c>
      <c r="E63" s="15" t="s">
        <v>427</v>
      </c>
      <c r="F63" s="15" t="s">
        <v>163</v>
      </c>
      <c r="G63" s="15" t="s">
        <v>28</v>
      </c>
      <c r="H63" s="15" t="s">
        <v>428</v>
      </c>
      <c r="I63" s="15" t="s">
        <v>105</v>
      </c>
      <c r="J63" s="15" t="s">
        <v>106</v>
      </c>
      <c r="K63" s="15" t="s">
        <v>122</v>
      </c>
      <c r="L63" s="15" t="s">
        <v>263</v>
      </c>
      <c r="M63" s="15">
        <v>15</v>
      </c>
      <c r="N63" s="15">
        <v>45</v>
      </c>
      <c r="O63" s="15">
        <v>0</v>
      </c>
      <c r="P63" s="15">
        <v>675</v>
      </c>
      <c r="Q63" s="15">
        <v>4</v>
      </c>
      <c r="R63" s="15" t="s">
        <v>34</v>
      </c>
      <c r="S63" s="15" t="s">
        <v>61</v>
      </c>
      <c r="T63" s="15" t="s">
        <v>62</v>
      </c>
      <c r="U63" s="17" t="s">
        <v>429</v>
      </c>
      <c r="V63" s="15" t="s">
        <v>69</v>
      </c>
    </row>
    <row r="64" spans="1:22">
      <c r="A64" s="18" t="s">
        <v>430</v>
      </c>
      <c r="B64" s="18" t="s">
        <v>251</v>
      </c>
      <c r="C64" s="18" t="s">
        <v>184</v>
      </c>
      <c r="D64" s="18" t="s">
        <v>431</v>
      </c>
      <c r="E64" s="18" t="s">
        <v>413</v>
      </c>
      <c r="F64" s="18" t="s">
        <v>254</v>
      </c>
      <c r="G64" s="18" t="s">
        <v>28</v>
      </c>
      <c r="H64" s="18" t="s">
        <v>432</v>
      </c>
      <c r="I64" s="18" t="s">
        <v>138</v>
      </c>
      <c r="J64" s="18" t="s">
        <v>106</v>
      </c>
      <c r="K64" s="18" t="s">
        <v>46</v>
      </c>
      <c r="L64" s="18" t="s">
        <v>189</v>
      </c>
      <c r="M64" s="18">
        <v>15</v>
      </c>
      <c r="N64" s="18">
        <v>700</v>
      </c>
      <c r="O64" s="18">
        <v>10</v>
      </c>
      <c r="P64" s="18">
        <v>9450</v>
      </c>
      <c r="Q64" s="18">
        <v>3</v>
      </c>
      <c r="R64" s="18" t="s">
        <v>48</v>
      </c>
      <c r="S64" s="18" t="s">
        <v>151</v>
      </c>
      <c r="T64" s="18" t="s">
        <v>256</v>
      </c>
      <c r="U64" s="19" t="s">
        <v>433</v>
      </c>
      <c r="V64" s="18" t="s">
        <v>38</v>
      </c>
    </row>
    <row r="65" spans="1:22">
      <c r="A65" s="15" t="s">
        <v>434</v>
      </c>
      <c r="B65" s="15" t="s">
        <v>53</v>
      </c>
      <c r="C65" s="15" t="s">
        <v>259</v>
      </c>
      <c r="D65" s="15" t="s">
        <v>435</v>
      </c>
      <c r="E65" s="15" t="s">
        <v>436</v>
      </c>
      <c r="F65" s="15" t="s">
        <v>163</v>
      </c>
      <c r="G65" s="15" t="s">
        <v>28</v>
      </c>
      <c r="H65" s="15" t="s">
        <v>437</v>
      </c>
      <c r="I65" s="15" t="s">
        <v>294</v>
      </c>
      <c r="J65" s="15" t="s">
        <v>295</v>
      </c>
      <c r="K65" s="15" t="s">
        <v>122</v>
      </c>
      <c r="L65" s="15" t="s">
        <v>263</v>
      </c>
      <c r="M65" s="15">
        <v>3</v>
      </c>
      <c r="N65" s="15">
        <v>45</v>
      </c>
      <c r="O65" s="15">
        <v>15</v>
      </c>
      <c r="P65" s="15">
        <v>114.75</v>
      </c>
      <c r="Q65" s="15">
        <v>2</v>
      </c>
      <c r="R65" s="15" t="s">
        <v>88</v>
      </c>
      <c r="S65" s="15" t="s">
        <v>115</v>
      </c>
      <c r="T65" s="15" t="s">
        <v>62</v>
      </c>
      <c r="U65" s="17" t="s">
        <v>438</v>
      </c>
      <c r="V65" s="15" t="s">
        <v>64</v>
      </c>
    </row>
    <row r="66" spans="1:22">
      <c r="A66" s="18" t="s">
        <v>439</v>
      </c>
      <c r="B66" s="18" t="s">
        <v>100</v>
      </c>
      <c r="C66" s="18" t="s">
        <v>24</v>
      </c>
      <c r="D66" s="18" t="s">
        <v>440</v>
      </c>
      <c r="E66" s="18" t="s">
        <v>441</v>
      </c>
      <c r="F66" s="18" t="s">
        <v>103</v>
      </c>
      <c r="G66" s="18" t="s">
        <v>28</v>
      </c>
      <c r="H66" s="18" t="s">
        <v>442</v>
      </c>
      <c r="I66" s="18" t="s">
        <v>294</v>
      </c>
      <c r="J66" s="18" t="s">
        <v>295</v>
      </c>
      <c r="K66" s="18" t="s">
        <v>32</v>
      </c>
      <c r="L66" s="18" t="s">
        <v>33</v>
      </c>
      <c r="M66" s="18">
        <v>7</v>
      </c>
      <c r="N66" s="18">
        <v>2200</v>
      </c>
      <c r="O66" s="18">
        <v>15</v>
      </c>
      <c r="P66" s="18">
        <v>13090</v>
      </c>
      <c r="Q66" s="18">
        <v>5</v>
      </c>
      <c r="R66" s="18" t="s">
        <v>88</v>
      </c>
      <c r="S66" s="18" t="s">
        <v>115</v>
      </c>
      <c r="T66" s="18" t="s">
        <v>144</v>
      </c>
      <c r="U66" s="19" t="s">
        <v>443</v>
      </c>
      <c r="V66" s="18" t="s">
        <v>38</v>
      </c>
    </row>
    <row r="67" spans="1:22">
      <c r="A67" s="15" t="s">
        <v>444</v>
      </c>
      <c r="B67" s="15" t="s">
        <v>23</v>
      </c>
      <c r="C67" s="15" t="s">
        <v>259</v>
      </c>
      <c r="D67" s="15" t="s">
        <v>445</v>
      </c>
      <c r="E67" s="15" t="s">
        <v>446</v>
      </c>
      <c r="F67" s="15" t="s">
        <v>27</v>
      </c>
      <c r="G67" s="15" t="s">
        <v>28</v>
      </c>
      <c r="H67" s="15" t="s">
        <v>447</v>
      </c>
      <c r="I67" s="15" t="s">
        <v>44</v>
      </c>
      <c r="J67" s="15" t="s">
        <v>45</v>
      </c>
      <c r="K67" s="15" t="s">
        <v>122</v>
      </c>
      <c r="L67" s="15" t="s">
        <v>263</v>
      </c>
      <c r="M67" s="15">
        <v>19</v>
      </c>
      <c r="N67" s="15">
        <v>45</v>
      </c>
      <c r="O67" s="15">
        <v>10</v>
      </c>
      <c r="P67" s="15">
        <v>769.5</v>
      </c>
      <c r="Q67" s="15">
        <v>5</v>
      </c>
      <c r="R67" s="15" t="s">
        <v>79</v>
      </c>
      <c r="S67" s="15" t="s">
        <v>115</v>
      </c>
      <c r="T67" s="15" t="s">
        <v>50</v>
      </c>
      <c r="U67" s="17" t="s">
        <v>448</v>
      </c>
      <c r="V67" s="15" t="s">
        <v>69</v>
      </c>
    </row>
    <row r="68" spans="1:22">
      <c r="A68" s="18" t="s">
        <v>449</v>
      </c>
      <c r="B68" s="18" t="s">
        <v>251</v>
      </c>
      <c r="C68" s="18" t="s">
        <v>92</v>
      </c>
      <c r="D68" s="18" t="s">
        <v>450</v>
      </c>
      <c r="E68" s="18" t="s">
        <v>323</v>
      </c>
      <c r="F68" s="18" t="s">
        <v>254</v>
      </c>
      <c r="G68" s="18" t="s">
        <v>28</v>
      </c>
      <c r="H68" s="18" t="s">
        <v>451</v>
      </c>
      <c r="I68" s="18" t="s">
        <v>30</v>
      </c>
      <c r="J68" s="18" t="s">
        <v>31</v>
      </c>
      <c r="K68" s="18" t="s">
        <v>32</v>
      </c>
      <c r="L68" s="18" t="s">
        <v>97</v>
      </c>
      <c r="M68" s="18">
        <v>7</v>
      </c>
      <c r="N68" s="18">
        <v>3500</v>
      </c>
      <c r="O68" s="18">
        <v>15</v>
      </c>
      <c r="P68" s="18">
        <v>20825</v>
      </c>
      <c r="Q68" s="18">
        <v>1</v>
      </c>
      <c r="R68" s="18" t="s">
        <v>34</v>
      </c>
      <c r="S68" s="18" t="s">
        <v>151</v>
      </c>
      <c r="T68" s="18" t="s">
        <v>256</v>
      </c>
      <c r="U68" s="19" t="s">
        <v>452</v>
      </c>
      <c r="V68" s="18" t="s">
        <v>64</v>
      </c>
    </row>
    <row r="69" spans="1:22">
      <c r="A69" s="15" t="s">
        <v>453</v>
      </c>
      <c r="B69" s="15" t="s">
        <v>53</v>
      </c>
      <c r="C69" s="15" t="s">
        <v>169</v>
      </c>
      <c r="D69" s="15" t="s">
        <v>454</v>
      </c>
      <c r="E69" s="15" t="s">
        <v>455</v>
      </c>
      <c r="F69" s="15" t="s">
        <v>163</v>
      </c>
      <c r="G69" s="15" t="s">
        <v>28</v>
      </c>
      <c r="H69" s="15" t="s">
        <v>456</v>
      </c>
      <c r="I69" s="15" t="s">
        <v>212</v>
      </c>
      <c r="J69" s="15" t="s">
        <v>45</v>
      </c>
      <c r="K69" s="15" t="s">
        <v>32</v>
      </c>
      <c r="L69" s="15" t="s">
        <v>174</v>
      </c>
      <c r="M69" s="15">
        <v>7</v>
      </c>
      <c r="N69" s="15">
        <v>8500</v>
      </c>
      <c r="O69" s="15">
        <v>20</v>
      </c>
      <c r="P69" s="15">
        <v>47600</v>
      </c>
      <c r="Q69" s="15">
        <v>4</v>
      </c>
      <c r="R69" s="15" t="s">
        <v>48</v>
      </c>
      <c r="S69" s="15" t="s">
        <v>115</v>
      </c>
      <c r="T69" s="15" t="s">
        <v>62</v>
      </c>
      <c r="U69" s="17" t="s">
        <v>457</v>
      </c>
      <c r="V69" s="15" t="s">
        <v>38</v>
      </c>
    </row>
    <row r="70" spans="1:22">
      <c r="A70" s="18" t="s">
        <v>458</v>
      </c>
      <c r="B70" s="18" t="s">
        <v>23</v>
      </c>
      <c r="C70" s="18" t="s">
        <v>54</v>
      </c>
      <c r="D70" s="18" t="s">
        <v>366</v>
      </c>
      <c r="E70" s="18" t="s">
        <v>459</v>
      </c>
      <c r="F70" s="18" t="s">
        <v>27</v>
      </c>
      <c r="G70" s="18" t="s">
        <v>28</v>
      </c>
      <c r="H70" s="18" t="s">
        <v>460</v>
      </c>
      <c r="I70" s="18" t="s">
        <v>59</v>
      </c>
      <c r="J70" s="18" t="s">
        <v>31</v>
      </c>
      <c r="K70" s="18" t="s">
        <v>46</v>
      </c>
      <c r="L70" s="18" t="s">
        <v>60</v>
      </c>
      <c r="M70" s="18">
        <v>16</v>
      </c>
      <c r="N70" s="18">
        <v>55000</v>
      </c>
      <c r="O70" s="18">
        <v>10</v>
      </c>
      <c r="P70" s="18">
        <v>792000</v>
      </c>
      <c r="Q70" s="18">
        <v>1</v>
      </c>
      <c r="R70" s="18" t="s">
        <v>79</v>
      </c>
      <c r="S70" s="18" t="s">
        <v>61</v>
      </c>
      <c r="T70" s="18" t="s">
        <v>50</v>
      </c>
      <c r="U70" s="19" t="s">
        <v>461</v>
      </c>
      <c r="V70" s="18" t="s">
        <v>38</v>
      </c>
    </row>
    <row r="71" spans="1:22">
      <c r="A71" s="15" t="s">
        <v>462</v>
      </c>
      <c r="B71" s="15" t="s">
        <v>168</v>
      </c>
      <c r="C71" s="15" t="s">
        <v>40</v>
      </c>
      <c r="D71" s="15" t="s">
        <v>463</v>
      </c>
      <c r="E71" s="15" t="s">
        <v>464</v>
      </c>
      <c r="F71" s="15" t="s">
        <v>361</v>
      </c>
      <c r="G71" s="15" t="s">
        <v>28</v>
      </c>
      <c r="H71" s="15" t="s">
        <v>465</v>
      </c>
      <c r="I71" s="15" t="s">
        <v>105</v>
      </c>
      <c r="J71" s="15" t="s">
        <v>106</v>
      </c>
      <c r="K71" s="15" t="s">
        <v>46</v>
      </c>
      <c r="L71" s="15" t="s">
        <v>47</v>
      </c>
      <c r="M71" s="15">
        <v>2</v>
      </c>
      <c r="N71" s="15">
        <v>12000</v>
      </c>
      <c r="O71" s="15">
        <v>20</v>
      </c>
      <c r="P71" s="15">
        <v>19200</v>
      </c>
      <c r="Q71" s="15">
        <v>1</v>
      </c>
      <c r="R71" s="15" t="s">
        <v>34</v>
      </c>
      <c r="S71" s="15" t="s">
        <v>151</v>
      </c>
      <c r="T71" s="16" t="s">
        <v>466</v>
      </c>
      <c r="U71" s="17" t="s">
        <v>467</v>
      </c>
      <c r="V71" s="15" t="s">
        <v>64</v>
      </c>
    </row>
    <row r="72" spans="1:22">
      <c r="A72" s="18" t="s">
        <v>468</v>
      </c>
      <c r="B72" s="18" t="s">
        <v>127</v>
      </c>
      <c r="C72" s="18" t="s">
        <v>259</v>
      </c>
      <c r="D72" s="18" t="s">
        <v>469</v>
      </c>
      <c r="E72" s="18" t="s">
        <v>446</v>
      </c>
      <c r="F72" s="18" t="s">
        <v>200</v>
      </c>
      <c r="G72" s="18" t="s">
        <v>76</v>
      </c>
      <c r="H72" s="18" t="s">
        <v>470</v>
      </c>
      <c r="I72" s="18" t="s">
        <v>59</v>
      </c>
      <c r="J72" s="18" t="s">
        <v>31</v>
      </c>
      <c r="K72" s="18" t="s">
        <v>122</v>
      </c>
      <c r="L72" s="18" t="s">
        <v>263</v>
      </c>
      <c r="M72" s="18">
        <v>4</v>
      </c>
      <c r="N72" s="18">
        <v>45</v>
      </c>
      <c r="O72" s="18">
        <v>5</v>
      </c>
      <c r="P72" s="18">
        <v>171</v>
      </c>
      <c r="Q72" s="18">
        <v>1</v>
      </c>
      <c r="R72" s="18" t="s">
        <v>79</v>
      </c>
      <c r="S72" s="18" t="s">
        <v>49</v>
      </c>
      <c r="T72" s="18" t="s">
        <v>132</v>
      </c>
      <c r="U72" s="19" t="s">
        <v>471</v>
      </c>
      <c r="V72" s="18" t="s">
        <v>64</v>
      </c>
    </row>
    <row r="73" spans="1:22">
      <c r="A73" s="15" t="s">
        <v>472</v>
      </c>
      <c r="B73" s="15" t="s">
        <v>23</v>
      </c>
      <c r="C73" s="15" t="s">
        <v>72</v>
      </c>
      <c r="D73" s="15" t="s">
        <v>473</v>
      </c>
      <c r="E73" s="15" t="s">
        <v>474</v>
      </c>
      <c r="F73" s="15" t="s">
        <v>27</v>
      </c>
      <c r="G73" s="15" t="s">
        <v>28</v>
      </c>
      <c r="H73" s="15" t="s">
        <v>475</v>
      </c>
      <c r="I73" s="15" t="s">
        <v>212</v>
      </c>
      <c r="J73" s="15" t="s">
        <v>45</v>
      </c>
      <c r="K73" s="15" t="s">
        <v>46</v>
      </c>
      <c r="L73" s="15" t="s">
        <v>78</v>
      </c>
      <c r="M73" s="15">
        <v>1</v>
      </c>
      <c r="N73" s="15">
        <v>1200</v>
      </c>
      <c r="O73" s="15">
        <v>5</v>
      </c>
      <c r="P73" s="15">
        <v>1140</v>
      </c>
      <c r="Q73" s="15">
        <v>3</v>
      </c>
      <c r="R73" s="15" t="s">
        <v>88</v>
      </c>
      <c r="S73" s="15" t="s">
        <v>61</v>
      </c>
      <c r="T73" s="15" t="s">
        <v>50</v>
      </c>
      <c r="U73" s="17" t="s">
        <v>476</v>
      </c>
      <c r="V73" s="15" t="s">
        <v>69</v>
      </c>
    </row>
    <row r="74" spans="1:22">
      <c r="A74" s="18" t="s">
        <v>477</v>
      </c>
      <c r="B74" s="18" t="s">
        <v>53</v>
      </c>
      <c r="C74" s="18" t="s">
        <v>24</v>
      </c>
      <c r="D74" s="18" t="s">
        <v>478</v>
      </c>
      <c r="E74" s="18" t="s">
        <v>479</v>
      </c>
      <c r="F74" s="18" t="s">
        <v>163</v>
      </c>
      <c r="G74" s="18" t="s">
        <v>28</v>
      </c>
      <c r="H74" s="18" t="s">
        <v>480</v>
      </c>
      <c r="I74" s="18"/>
      <c r="J74" s="18" t="s">
        <v>31</v>
      </c>
      <c r="K74" s="18" t="s">
        <v>32</v>
      </c>
      <c r="L74" s="18" t="s">
        <v>33</v>
      </c>
      <c r="M74" s="18">
        <v>1</v>
      </c>
      <c r="N74" s="18">
        <v>2200</v>
      </c>
      <c r="O74" s="18">
        <v>15</v>
      </c>
      <c r="P74" s="18">
        <v>1870</v>
      </c>
      <c r="Q74" s="18">
        <v>4</v>
      </c>
      <c r="R74" s="18" t="s">
        <v>79</v>
      </c>
      <c r="S74" s="18" t="s">
        <v>61</v>
      </c>
      <c r="T74" s="18" t="s">
        <v>62</v>
      </c>
      <c r="U74" s="19" t="s">
        <v>481</v>
      </c>
      <c r="V74" s="18" t="s">
        <v>38</v>
      </c>
    </row>
    <row r="75" spans="1:22">
      <c r="A75" s="15" t="s">
        <v>482</v>
      </c>
      <c r="B75" s="15" t="s">
        <v>127</v>
      </c>
      <c r="C75" s="15" t="s">
        <v>72</v>
      </c>
      <c r="D75" s="15" t="s">
        <v>483</v>
      </c>
      <c r="E75" s="15" t="s">
        <v>484</v>
      </c>
      <c r="F75" s="15" t="s">
        <v>200</v>
      </c>
      <c r="G75" s="15" t="s">
        <v>76</v>
      </c>
      <c r="H75" s="15" t="s">
        <v>485</v>
      </c>
      <c r="I75" s="15" t="s">
        <v>114</v>
      </c>
      <c r="J75" s="15" t="s">
        <v>106</v>
      </c>
      <c r="K75" s="15" t="s">
        <v>46</v>
      </c>
      <c r="L75" s="15" t="s">
        <v>78</v>
      </c>
      <c r="M75" s="15">
        <v>3</v>
      </c>
      <c r="N75" s="15">
        <v>1200</v>
      </c>
      <c r="O75" s="15">
        <v>10</v>
      </c>
      <c r="P75" s="15">
        <v>3240</v>
      </c>
      <c r="Q75" s="15">
        <v>5</v>
      </c>
      <c r="R75" s="15" t="s">
        <v>34</v>
      </c>
      <c r="S75" s="15" t="s">
        <v>49</v>
      </c>
      <c r="T75" s="15" t="s">
        <v>132</v>
      </c>
      <c r="U75" s="17" t="s">
        <v>486</v>
      </c>
      <c r="V75" s="15" t="s">
        <v>38</v>
      </c>
    </row>
    <row r="76" spans="1:22">
      <c r="A76" s="18" t="s">
        <v>487</v>
      </c>
      <c r="B76" s="18" t="s">
        <v>23</v>
      </c>
      <c r="C76" s="18" t="s">
        <v>92</v>
      </c>
      <c r="D76" s="18" t="s">
        <v>488</v>
      </c>
      <c r="E76" s="18" t="s">
        <v>489</v>
      </c>
      <c r="F76" s="18" t="s">
        <v>27</v>
      </c>
      <c r="G76" s="18" t="s">
        <v>28</v>
      </c>
      <c r="H76" s="18" t="s">
        <v>490</v>
      </c>
      <c r="I76" s="18" t="s">
        <v>59</v>
      </c>
      <c r="J76" s="18" t="s">
        <v>31</v>
      </c>
      <c r="K76" s="18" t="s">
        <v>32</v>
      </c>
      <c r="L76" s="18" t="s">
        <v>97</v>
      </c>
      <c r="M76" s="18">
        <v>10</v>
      </c>
      <c r="N76" s="18">
        <v>3500</v>
      </c>
      <c r="O76" s="18">
        <v>20</v>
      </c>
      <c r="P76" s="18">
        <v>28000</v>
      </c>
      <c r="Q76" s="18">
        <v>5</v>
      </c>
      <c r="R76" s="18" t="s">
        <v>79</v>
      </c>
      <c r="S76" s="18" t="s">
        <v>35</v>
      </c>
      <c r="T76" s="18" t="s">
        <v>50</v>
      </c>
      <c r="U76" s="19" t="s">
        <v>491</v>
      </c>
      <c r="V76" s="18" t="s">
        <v>38</v>
      </c>
    </row>
    <row r="77" spans="1:22">
      <c r="A77" s="15" t="s">
        <v>492</v>
      </c>
      <c r="B77" s="15" t="s">
        <v>83</v>
      </c>
      <c r="C77" s="15" t="s">
        <v>184</v>
      </c>
      <c r="D77" s="15" t="s">
        <v>493</v>
      </c>
      <c r="E77" s="15" t="s">
        <v>404</v>
      </c>
      <c r="F77" s="15" t="s">
        <v>180</v>
      </c>
      <c r="G77" s="15" t="s">
        <v>76</v>
      </c>
      <c r="H77" s="15" t="s">
        <v>494</v>
      </c>
      <c r="I77" s="15" t="s">
        <v>44</v>
      </c>
      <c r="J77" s="15" t="s">
        <v>45</v>
      </c>
      <c r="K77" s="15" t="s">
        <v>46</v>
      </c>
      <c r="L77" s="15" t="s">
        <v>189</v>
      </c>
      <c r="M77" s="15">
        <v>18</v>
      </c>
      <c r="N77" s="15">
        <v>700</v>
      </c>
      <c r="O77" s="15">
        <v>5</v>
      </c>
      <c r="P77" s="15">
        <v>11970</v>
      </c>
      <c r="Q77" s="15">
        <v>3</v>
      </c>
      <c r="R77" s="15" t="s">
        <v>79</v>
      </c>
      <c r="S77" s="15" t="s">
        <v>115</v>
      </c>
      <c r="T77" s="15" t="s">
        <v>89</v>
      </c>
      <c r="U77" s="17" t="s">
        <v>495</v>
      </c>
      <c r="V77" s="15" t="s">
        <v>69</v>
      </c>
    </row>
    <row r="78" spans="1:22">
      <c r="A78" s="18" t="s">
        <v>496</v>
      </c>
      <c r="B78" s="18" t="s">
        <v>221</v>
      </c>
      <c r="C78" s="18" t="s">
        <v>184</v>
      </c>
      <c r="D78" s="18" t="s">
        <v>497</v>
      </c>
      <c r="E78" s="18" t="s">
        <v>498</v>
      </c>
      <c r="F78" s="18" t="s">
        <v>225</v>
      </c>
      <c r="G78" s="18" t="s">
        <v>76</v>
      </c>
      <c r="H78" s="18" t="s">
        <v>499</v>
      </c>
      <c r="I78" s="18" t="s">
        <v>59</v>
      </c>
      <c r="J78" s="18" t="s">
        <v>31</v>
      </c>
      <c r="K78" s="18" t="s">
        <v>46</v>
      </c>
      <c r="L78" s="18" t="s">
        <v>189</v>
      </c>
      <c r="M78" s="18">
        <v>12</v>
      </c>
      <c r="N78" s="18">
        <v>700</v>
      </c>
      <c r="O78" s="18">
        <v>15</v>
      </c>
      <c r="P78" s="18">
        <v>7140</v>
      </c>
      <c r="Q78" s="18">
        <v>2</v>
      </c>
      <c r="R78" s="18" t="s">
        <v>88</v>
      </c>
      <c r="S78" s="18" t="s">
        <v>49</v>
      </c>
      <c r="T78" s="18" t="s">
        <v>228</v>
      </c>
      <c r="U78" s="19" t="s">
        <v>500</v>
      </c>
      <c r="V78" s="18" t="s">
        <v>38</v>
      </c>
    </row>
    <row r="79" spans="1:22">
      <c r="A79" s="15" t="s">
        <v>501</v>
      </c>
      <c r="B79" s="15" t="s">
        <v>71</v>
      </c>
      <c r="C79" s="15" t="s">
        <v>72</v>
      </c>
      <c r="D79" s="15" t="s">
        <v>502</v>
      </c>
      <c r="E79" s="15" t="s">
        <v>503</v>
      </c>
      <c r="F79" s="15" t="s">
        <v>217</v>
      </c>
      <c r="G79" s="15" t="s">
        <v>76</v>
      </c>
      <c r="H79" s="15" t="s">
        <v>504</v>
      </c>
      <c r="I79" s="15" t="s">
        <v>105</v>
      </c>
      <c r="J79" s="15" t="s">
        <v>106</v>
      </c>
      <c r="K79" s="15" t="s">
        <v>46</v>
      </c>
      <c r="L79" s="15" t="s">
        <v>78</v>
      </c>
      <c r="M79" s="15">
        <v>8</v>
      </c>
      <c r="N79" s="15">
        <v>1200</v>
      </c>
      <c r="O79" s="15">
        <v>0</v>
      </c>
      <c r="P79" s="15">
        <v>9600</v>
      </c>
      <c r="Q79" s="15">
        <v>4</v>
      </c>
      <c r="R79" s="15" t="s">
        <v>79</v>
      </c>
      <c r="S79" s="15" t="s">
        <v>49</v>
      </c>
      <c r="T79" s="15" t="s">
        <v>80</v>
      </c>
      <c r="U79" s="17" t="s">
        <v>505</v>
      </c>
      <c r="V79" s="15" t="s">
        <v>64</v>
      </c>
    </row>
    <row r="80" spans="1:22">
      <c r="A80" s="18" t="s">
        <v>506</v>
      </c>
      <c r="B80" s="18" t="s">
        <v>127</v>
      </c>
      <c r="C80" s="18" t="s">
        <v>118</v>
      </c>
      <c r="D80" s="18" t="s">
        <v>507</v>
      </c>
      <c r="E80" s="18" t="s">
        <v>508</v>
      </c>
      <c r="F80" s="18" t="s">
        <v>200</v>
      </c>
      <c r="G80" s="18" t="s">
        <v>76</v>
      </c>
      <c r="H80" s="18" t="s">
        <v>509</v>
      </c>
      <c r="I80" s="18" t="s">
        <v>114</v>
      </c>
      <c r="J80" s="18" t="s">
        <v>106</v>
      </c>
      <c r="K80" s="18" t="s">
        <v>122</v>
      </c>
      <c r="L80" s="18" t="s">
        <v>123</v>
      </c>
      <c r="M80" s="18">
        <v>2</v>
      </c>
      <c r="N80" s="18">
        <v>60</v>
      </c>
      <c r="O80" s="18">
        <v>0</v>
      </c>
      <c r="P80" s="18">
        <v>120</v>
      </c>
      <c r="Q80" s="18">
        <v>2</v>
      </c>
      <c r="R80" s="18" t="s">
        <v>88</v>
      </c>
      <c r="S80" s="18" t="s">
        <v>49</v>
      </c>
      <c r="T80" s="18" t="s">
        <v>132</v>
      </c>
      <c r="U80" s="19" t="s">
        <v>510</v>
      </c>
      <c r="V80" s="18" t="s">
        <v>38</v>
      </c>
    </row>
    <row r="81" spans="1:22">
      <c r="A81" s="15" t="s">
        <v>511</v>
      </c>
      <c r="B81" s="15" t="s">
        <v>327</v>
      </c>
      <c r="C81" s="15" t="s">
        <v>259</v>
      </c>
      <c r="D81" s="15" t="s">
        <v>512</v>
      </c>
      <c r="E81" s="15" t="s">
        <v>513</v>
      </c>
      <c r="F81" s="15" t="s">
        <v>394</v>
      </c>
      <c r="G81" s="15" t="s">
        <v>76</v>
      </c>
      <c r="H81" s="15" t="s">
        <v>514</v>
      </c>
      <c r="I81" s="15" t="s">
        <v>114</v>
      </c>
      <c r="J81" s="15" t="s">
        <v>106</v>
      </c>
      <c r="K81" s="15" t="s">
        <v>122</v>
      </c>
      <c r="L81" s="15" t="s">
        <v>263</v>
      </c>
      <c r="M81" s="15">
        <v>10</v>
      </c>
      <c r="N81" s="15">
        <v>45</v>
      </c>
      <c r="O81" s="15">
        <v>15</v>
      </c>
      <c r="P81" s="15">
        <v>382.5</v>
      </c>
      <c r="Q81" s="15">
        <v>3</v>
      </c>
      <c r="R81" s="15" t="s">
        <v>48</v>
      </c>
      <c r="S81" s="15" t="s">
        <v>35</v>
      </c>
      <c r="T81" s="15" t="s">
        <v>332</v>
      </c>
      <c r="U81" s="17" t="s">
        <v>515</v>
      </c>
      <c r="V81" s="15" t="s">
        <v>69</v>
      </c>
    </row>
    <row r="82" spans="1:22">
      <c r="A82" s="18" t="s">
        <v>516</v>
      </c>
      <c r="B82" s="18" t="s">
        <v>221</v>
      </c>
      <c r="C82" s="18" t="s">
        <v>92</v>
      </c>
      <c r="D82" s="18" t="s">
        <v>517</v>
      </c>
      <c r="E82" s="18" t="s">
        <v>518</v>
      </c>
      <c r="F82" s="18" t="s">
        <v>225</v>
      </c>
      <c r="G82" s="18" t="s">
        <v>76</v>
      </c>
      <c r="H82" s="18" t="s">
        <v>519</v>
      </c>
      <c r="I82" s="18" t="s">
        <v>294</v>
      </c>
      <c r="J82" s="18" t="s">
        <v>295</v>
      </c>
      <c r="K82" s="18" t="s">
        <v>32</v>
      </c>
      <c r="L82" s="18" t="s">
        <v>97</v>
      </c>
      <c r="M82" s="18">
        <v>12</v>
      </c>
      <c r="N82" s="18">
        <v>3500</v>
      </c>
      <c r="O82" s="18">
        <v>5</v>
      </c>
      <c r="P82" s="18">
        <v>39900</v>
      </c>
      <c r="Q82" s="18">
        <v>3</v>
      </c>
      <c r="R82" s="18" t="s">
        <v>48</v>
      </c>
      <c r="S82" s="18" t="s">
        <v>61</v>
      </c>
      <c r="T82" s="18" t="s">
        <v>228</v>
      </c>
      <c r="U82" s="19" t="s">
        <v>520</v>
      </c>
      <c r="V82" s="18" t="s">
        <v>64</v>
      </c>
    </row>
    <row r="83" spans="1:22">
      <c r="A83" s="15" t="s">
        <v>521</v>
      </c>
      <c r="B83" s="15" t="s">
        <v>127</v>
      </c>
      <c r="C83" s="15" t="s">
        <v>118</v>
      </c>
      <c r="D83" s="15" t="s">
        <v>128</v>
      </c>
      <c r="E83" s="15" t="s">
        <v>73</v>
      </c>
      <c r="F83" s="15" t="s">
        <v>200</v>
      </c>
      <c r="G83" s="15" t="s">
        <v>76</v>
      </c>
      <c r="H83" s="15" t="s">
        <v>522</v>
      </c>
      <c r="I83" s="15" t="s">
        <v>105</v>
      </c>
      <c r="J83" s="15" t="s">
        <v>106</v>
      </c>
      <c r="K83" s="15" t="s">
        <v>122</v>
      </c>
      <c r="L83" s="15" t="s">
        <v>123</v>
      </c>
      <c r="M83" s="15">
        <v>2</v>
      </c>
      <c r="N83" s="15">
        <v>60</v>
      </c>
      <c r="O83" s="15">
        <v>15</v>
      </c>
      <c r="P83" s="15">
        <v>102</v>
      </c>
      <c r="Q83" s="15">
        <v>1</v>
      </c>
      <c r="R83" s="15" t="s">
        <v>88</v>
      </c>
      <c r="S83" s="15" t="s">
        <v>115</v>
      </c>
      <c r="T83" s="15" t="s">
        <v>132</v>
      </c>
      <c r="U83" s="17" t="s">
        <v>523</v>
      </c>
      <c r="V83" s="15" t="s">
        <v>38</v>
      </c>
    </row>
    <row r="84" spans="1:22">
      <c r="A84" s="18" t="s">
        <v>524</v>
      </c>
      <c r="B84" s="18" t="s">
        <v>127</v>
      </c>
      <c r="C84" s="18" t="s">
        <v>72</v>
      </c>
      <c r="D84" s="18" t="s">
        <v>525</v>
      </c>
      <c r="E84" s="18" t="s">
        <v>526</v>
      </c>
      <c r="F84" s="18" t="s">
        <v>200</v>
      </c>
      <c r="G84" s="18" t="s">
        <v>76</v>
      </c>
      <c r="H84" s="18" t="s">
        <v>527</v>
      </c>
      <c r="I84" s="18" t="s">
        <v>30</v>
      </c>
      <c r="J84" s="18" t="s">
        <v>31</v>
      </c>
      <c r="K84" s="18" t="s">
        <v>46</v>
      </c>
      <c r="L84" s="18" t="s">
        <v>78</v>
      </c>
      <c r="M84" s="18">
        <v>18</v>
      </c>
      <c r="N84" s="18">
        <v>1200</v>
      </c>
      <c r="O84" s="18">
        <v>15</v>
      </c>
      <c r="P84" s="18">
        <v>18360</v>
      </c>
      <c r="Q84" s="18">
        <v>3</v>
      </c>
      <c r="R84" s="18" t="s">
        <v>79</v>
      </c>
      <c r="S84" s="18" t="s">
        <v>115</v>
      </c>
      <c r="T84" s="18" t="s">
        <v>132</v>
      </c>
      <c r="U84" s="19" t="s">
        <v>528</v>
      </c>
      <c r="V84" s="18" t="s">
        <v>64</v>
      </c>
    </row>
    <row r="85" spans="1:22">
      <c r="A85" s="15" t="s">
        <v>529</v>
      </c>
      <c r="B85" s="15" t="s">
        <v>23</v>
      </c>
      <c r="C85" s="15" t="s">
        <v>40</v>
      </c>
      <c r="D85" s="15" t="s">
        <v>530</v>
      </c>
      <c r="E85" s="15" t="s">
        <v>531</v>
      </c>
      <c r="F85" s="15" t="s">
        <v>27</v>
      </c>
      <c r="G85" s="15" t="s">
        <v>28</v>
      </c>
      <c r="H85" s="15" t="s">
        <v>532</v>
      </c>
      <c r="I85" s="15" t="s">
        <v>105</v>
      </c>
      <c r="J85" s="15" t="s">
        <v>106</v>
      </c>
      <c r="K85" s="15" t="s">
        <v>46</v>
      </c>
      <c r="L85" s="15" t="s">
        <v>47</v>
      </c>
      <c r="M85" s="15">
        <v>18</v>
      </c>
      <c r="N85" s="15">
        <v>12000</v>
      </c>
      <c r="O85" s="15">
        <v>15</v>
      </c>
      <c r="P85" s="15">
        <v>183600</v>
      </c>
      <c r="Q85" s="15">
        <v>2</v>
      </c>
      <c r="R85" s="15" t="s">
        <v>34</v>
      </c>
      <c r="S85" s="15" t="s">
        <v>49</v>
      </c>
      <c r="T85" s="15" t="s">
        <v>50</v>
      </c>
      <c r="U85" s="17" t="s">
        <v>533</v>
      </c>
      <c r="V85" s="15" t="s">
        <v>38</v>
      </c>
    </row>
    <row r="86" spans="1:22">
      <c r="A86" s="18" t="s">
        <v>534</v>
      </c>
      <c r="B86" s="18" t="s">
        <v>83</v>
      </c>
      <c r="C86" s="18" t="s">
        <v>222</v>
      </c>
      <c r="D86" s="18" t="s">
        <v>531</v>
      </c>
      <c r="E86" s="18" t="s">
        <v>535</v>
      </c>
      <c r="F86" s="18" t="s">
        <v>180</v>
      </c>
      <c r="G86" s="18" t="s">
        <v>76</v>
      </c>
      <c r="H86" s="18" t="s">
        <v>536</v>
      </c>
      <c r="I86" s="18" t="s">
        <v>138</v>
      </c>
      <c r="J86" s="18" t="s">
        <v>106</v>
      </c>
      <c r="K86" s="18" t="s">
        <v>122</v>
      </c>
      <c r="L86" s="18" t="s">
        <v>227</v>
      </c>
      <c r="M86" s="18">
        <v>7</v>
      </c>
      <c r="N86" s="18">
        <v>20</v>
      </c>
      <c r="O86" s="18">
        <v>0</v>
      </c>
      <c r="P86" s="18">
        <v>140</v>
      </c>
      <c r="Q86" s="18">
        <v>2</v>
      </c>
      <c r="R86" s="18" t="s">
        <v>79</v>
      </c>
      <c r="S86" s="18" t="s">
        <v>35</v>
      </c>
      <c r="T86" s="18" t="s">
        <v>89</v>
      </c>
      <c r="U86" s="19" t="s">
        <v>537</v>
      </c>
      <c r="V86" s="18" t="s">
        <v>69</v>
      </c>
    </row>
    <row r="87" spans="1:22">
      <c r="A87" s="15" t="s">
        <v>538</v>
      </c>
      <c r="B87" s="15" t="s">
        <v>251</v>
      </c>
      <c r="C87" s="15" t="s">
        <v>92</v>
      </c>
      <c r="D87" s="15" t="s">
        <v>459</v>
      </c>
      <c r="E87" s="15" t="s">
        <v>539</v>
      </c>
      <c r="F87" s="15" t="s">
        <v>254</v>
      </c>
      <c r="G87" s="15" t="s">
        <v>28</v>
      </c>
      <c r="H87" s="15" t="s">
        <v>540</v>
      </c>
      <c r="I87" s="15" t="s">
        <v>114</v>
      </c>
      <c r="J87" s="15" t="s">
        <v>106</v>
      </c>
      <c r="K87" s="15" t="s">
        <v>32</v>
      </c>
      <c r="L87" s="15" t="s">
        <v>97</v>
      </c>
      <c r="M87" s="15">
        <v>20</v>
      </c>
      <c r="N87" s="15">
        <v>3500</v>
      </c>
      <c r="O87" s="15">
        <v>20</v>
      </c>
      <c r="P87" s="15">
        <v>56000</v>
      </c>
      <c r="Q87" s="15">
        <v>4</v>
      </c>
      <c r="R87" s="15" t="s">
        <v>79</v>
      </c>
      <c r="S87" s="15" t="s">
        <v>115</v>
      </c>
      <c r="T87" s="15" t="s">
        <v>256</v>
      </c>
      <c r="U87" s="17" t="s">
        <v>541</v>
      </c>
      <c r="V87" s="15" t="s">
        <v>64</v>
      </c>
    </row>
    <row r="88" spans="1:22">
      <c r="A88" s="18" t="s">
        <v>542</v>
      </c>
      <c r="B88" s="18" t="s">
        <v>100</v>
      </c>
      <c r="C88" s="18" t="s">
        <v>169</v>
      </c>
      <c r="D88" s="18" t="s">
        <v>543</v>
      </c>
      <c r="E88" s="18" t="s">
        <v>544</v>
      </c>
      <c r="F88" s="18" t="s">
        <v>103</v>
      </c>
      <c r="G88" s="18" t="s">
        <v>28</v>
      </c>
      <c r="H88" s="18" t="s">
        <v>545</v>
      </c>
      <c r="I88" s="18" t="s">
        <v>138</v>
      </c>
      <c r="J88" s="18" t="s">
        <v>106</v>
      </c>
      <c r="K88" s="18" t="s">
        <v>32</v>
      </c>
      <c r="L88" s="18" t="s">
        <v>174</v>
      </c>
      <c r="M88" s="18">
        <v>8</v>
      </c>
      <c r="N88" s="18">
        <v>8500</v>
      </c>
      <c r="O88" s="18">
        <v>20</v>
      </c>
      <c r="P88" s="18">
        <v>54400</v>
      </c>
      <c r="Q88" s="18">
        <v>3</v>
      </c>
      <c r="R88" s="18" t="s">
        <v>79</v>
      </c>
      <c r="S88" s="18" t="s">
        <v>115</v>
      </c>
      <c r="T88" s="18" t="s">
        <v>144</v>
      </c>
      <c r="U88" s="19" t="s">
        <v>546</v>
      </c>
      <c r="V88" s="18" t="s">
        <v>64</v>
      </c>
    </row>
    <row r="89" spans="1:22">
      <c r="A89" s="15" t="s">
        <v>547</v>
      </c>
      <c r="B89" s="15" t="s">
        <v>327</v>
      </c>
      <c r="C89" s="15" t="s">
        <v>40</v>
      </c>
      <c r="D89" s="15" t="s">
        <v>548</v>
      </c>
      <c r="E89" s="15" t="s">
        <v>549</v>
      </c>
      <c r="F89" s="15" t="s">
        <v>394</v>
      </c>
      <c r="G89" s="15" t="s">
        <v>76</v>
      </c>
      <c r="H89" s="15" t="s">
        <v>550</v>
      </c>
      <c r="I89" s="15" t="s">
        <v>138</v>
      </c>
      <c r="J89" s="15" t="s">
        <v>45</v>
      </c>
      <c r="K89" s="15" t="s">
        <v>46</v>
      </c>
      <c r="L89" s="15" t="s">
        <v>47</v>
      </c>
      <c r="M89" s="15">
        <v>6</v>
      </c>
      <c r="N89" s="15">
        <v>12000</v>
      </c>
      <c r="O89" s="15">
        <v>5</v>
      </c>
      <c r="P89" s="15">
        <v>68400</v>
      </c>
      <c r="Q89" s="15">
        <v>4</v>
      </c>
      <c r="R89" s="15" t="s">
        <v>48</v>
      </c>
      <c r="S89" s="15" t="s">
        <v>35</v>
      </c>
      <c r="T89" s="15" t="s">
        <v>332</v>
      </c>
      <c r="U89" s="17" t="s">
        <v>552</v>
      </c>
      <c r="V89" s="15" t="s">
        <v>38</v>
      </c>
    </row>
    <row r="90" spans="1:22">
      <c r="A90" s="18" t="s">
        <v>553</v>
      </c>
      <c r="B90" s="18" t="s">
        <v>23</v>
      </c>
      <c r="C90" s="18" t="s">
        <v>169</v>
      </c>
      <c r="D90" s="18" t="s">
        <v>554</v>
      </c>
      <c r="E90" s="18" t="s">
        <v>404</v>
      </c>
      <c r="F90" s="18" t="s">
        <v>27</v>
      </c>
      <c r="G90" s="18" t="s">
        <v>28</v>
      </c>
      <c r="H90" s="18" t="s">
        <v>555</v>
      </c>
      <c r="I90" s="18" t="s">
        <v>114</v>
      </c>
      <c r="J90" s="18" t="s">
        <v>106</v>
      </c>
      <c r="K90" s="18" t="s">
        <v>32</v>
      </c>
      <c r="L90" s="18" t="s">
        <v>174</v>
      </c>
      <c r="M90" s="18">
        <v>15</v>
      </c>
      <c r="N90" s="18">
        <v>8500</v>
      </c>
      <c r="O90" s="18">
        <v>0</v>
      </c>
      <c r="P90" s="18">
        <v>127500</v>
      </c>
      <c r="Q90" s="18">
        <v>4</v>
      </c>
      <c r="R90" s="18" t="s">
        <v>48</v>
      </c>
      <c r="S90" s="18" t="s">
        <v>35</v>
      </c>
      <c r="T90" s="18" t="s">
        <v>50</v>
      </c>
      <c r="U90" s="19" t="s">
        <v>556</v>
      </c>
      <c r="V90" s="18" t="s">
        <v>69</v>
      </c>
    </row>
    <row r="91" spans="1:22">
      <c r="A91" s="15" t="s">
        <v>557</v>
      </c>
      <c r="B91" s="15" t="s">
        <v>53</v>
      </c>
      <c r="C91" s="15" t="s">
        <v>72</v>
      </c>
      <c r="D91" s="15" t="s">
        <v>558</v>
      </c>
      <c r="E91" s="15" t="s">
        <v>377</v>
      </c>
      <c r="F91" s="15" t="s">
        <v>163</v>
      </c>
      <c r="G91" s="15" t="s">
        <v>28</v>
      </c>
      <c r="H91" s="15" t="s">
        <v>559</v>
      </c>
      <c r="I91" s="15" t="s">
        <v>212</v>
      </c>
      <c r="J91" s="15" t="s">
        <v>45</v>
      </c>
      <c r="K91" s="15" t="s">
        <v>46</v>
      </c>
      <c r="L91" s="15" t="s">
        <v>78</v>
      </c>
      <c r="M91" s="15">
        <v>5</v>
      </c>
      <c r="N91" s="15">
        <v>1200</v>
      </c>
      <c r="O91" s="15">
        <v>15</v>
      </c>
      <c r="P91" s="15">
        <v>5100</v>
      </c>
      <c r="Q91" s="15">
        <v>1</v>
      </c>
      <c r="R91" s="15" t="s">
        <v>48</v>
      </c>
      <c r="S91" s="15" t="s">
        <v>35</v>
      </c>
      <c r="T91" s="15" t="s">
        <v>62</v>
      </c>
      <c r="U91" s="17" t="s">
        <v>560</v>
      </c>
      <c r="V91" s="15" t="s">
        <v>69</v>
      </c>
    </row>
    <row r="92" spans="1:22">
      <c r="A92" s="18" t="s">
        <v>561</v>
      </c>
      <c r="B92" s="18" t="s">
        <v>53</v>
      </c>
      <c r="C92" s="18" t="s">
        <v>222</v>
      </c>
      <c r="D92" s="18" t="s">
        <v>562</v>
      </c>
      <c r="E92" s="18" t="s">
        <v>563</v>
      </c>
      <c r="F92" s="18" t="s">
        <v>163</v>
      </c>
      <c r="G92" s="18" t="s">
        <v>28</v>
      </c>
      <c r="H92" s="18" t="s">
        <v>564</v>
      </c>
      <c r="I92" s="18" t="s">
        <v>30</v>
      </c>
      <c r="J92" s="18" t="s">
        <v>31</v>
      </c>
      <c r="K92" s="18" t="s">
        <v>122</v>
      </c>
      <c r="L92" s="18" t="s">
        <v>227</v>
      </c>
      <c r="M92" s="18">
        <v>4</v>
      </c>
      <c r="N92" s="18">
        <v>20</v>
      </c>
      <c r="O92" s="18">
        <v>0</v>
      </c>
      <c r="P92" s="18">
        <v>80</v>
      </c>
      <c r="Q92" s="18">
        <v>4</v>
      </c>
      <c r="R92" s="18" t="s">
        <v>48</v>
      </c>
      <c r="S92" s="18" t="s">
        <v>49</v>
      </c>
      <c r="T92" s="18" t="s">
        <v>62</v>
      </c>
      <c r="U92" s="19" t="s">
        <v>565</v>
      </c>
      <c r="V92" s="18" t="s">
        <v>38</v>
      </c>
    </row>
    <row r="93" spans="1:22">
      <c r="A93" s="15" t="s">
        <v>566</v>
      </c>
      <c r="B93" s="15" t="s">
        <v>23</v>
      </c>
      <c r="C93" s="15" t="s">
        <v>222</v>
      </c>
      <c r="D93" s="15" t="s">
        <v>567</v>
      </c>
      <c r="E93" s="15" t="s">
        <v>568</v>
      </c>
      <c r="F93" s="15" t="s">
        <v>27</v>
      </c>
      <c r="G93" s="15" t="s">
        <v>28</v>
      </c>
      <c r="H93" s="15" t="s">
        <v>569</v>
      </c>
      <c r="I93" s="15" t="s">
        <v>59</v>
      </c>
      <c r="J93" s="15" t="s">
        <v>31</v>
      </c>
      <c r="K93" s="15" t="s">
        <v>122</v>
      </c>
      <c r="L93" s="15" t="s">
        <v>227</v>
      </c>
      <c r="M93" s="15">
        <v>10</v>
      </c>
      <c r="N93" s="15">
        <v>20</v>
      </c>
      <c r="O93" s="15">
        <v>0</v>
      </c>
      <c r="P93" s="15">
        <v>200</v>
      </c>
      <c r="Q93" s="15">
        <v>3</v>
      </c>
      <c r="R93" s="15" t="s">
        <v>34</v>
      </c>
      <c r="S93" s="15" t="s">
        <v>151</v>
      </c>
      <c r="T93" s="15" t="s">
        <v>50</v>
      </c>
      <c r="U93" s="17" t="s">
        <v>570</v>
      </c>
      <c r="V93" s="15" t="s">
        <v>64</v>
      </c>
    </row>
    <row r="94" spans="1:22">
      <c r="A94" s="18" t="s">
        <v>571</v>
      </c>
      <c r="B94" s="18" t="s">
        <v>168</v>
      </c>
      <c r="C94" s="18" t="s">
        <v>24</v>
      </c>
      <c r="D94" s="18" t="s">
        <v>572</v>
      </c>
      <c r="E94" s="18" t="s">
        <v>573</v>
      </c>
      <c r="F94" s="18" t="s">
        <v>361</v>
      </c>
      <c r="G94" s="18" t="s">
        <v>28</v>
      </c>
      <c r="H94" s="18" t="s">
        <v>574</v>
      </c>
      <c r="I94" s="18" t="s">
        <v>44</v>
      </c>
      <c r="J94" s="18" t="s">
        <v>45</v>
      </c>
      <c r="K94" s="18" t="s">
        <v>32</v>
      </c>
      <c r="L94" s="18" t="s">
        <v>33</v>
      </c>
      <c r="M94" s="18">
        <v>18</v>
      </c>
      <c r="N94" s="18">
        <v>2200</v>
      </c>
      <c r="O94" s="18">
        <v>10</v>
      </c>
      <c r="P94" s="18">
        <v>35640</v>
      </c>
      <c r="Q94" s="18">
        <v>3</v>
      </c>
      <c r="R94" s="18" t="s">
        <v>34</v>
      </c>
      <c r="S94" s="18" t="s">
        <v>35</v>
      </c>
      <c r="T94" s="18" t="s">
        <v>175</v>
      </c>
      <c r="U94" s="19" t="s">
        <v>575</v>
      </c>
      <c r="V94" s="18" t="s">
        <v>69</v>
      </c>
    </row>
    <row r="95" spans="1:22">
      <c r="A95" s="15" t="s">
        <v>576</v>
      </c>
      <c r="B95" s="15" t="s">
        <v>327</v>
      </c>
      <c r="C95" s="15" t="s">
        <v>92</v>
      </c>
      <c r="D95" s="15" t="s">
        <v>577</v>
      </c>
      <c r="E95" s="15" t="s">
        <v>578</v>
      </c>
      <c r="F95" s="15" t="s">
        <v>394</v>
      </c>
      <c r="G95" s="15" t="s">
        <v>76</v>
      </c>
      <c r="H95" s="15" t="s">
        <v>579</v>
      </c>
      <c r="I95" s="15" t="s">
        <v>44</v>
      </c>
      <c r="J95" s="15" t="s">
        <v>45</v>
      </c>
      <c r="K95" s="15" t="s">
        <v>32</v>
      </c>
      <c r="L95" s="15" t="s">
        <v>97</v>
      </c>
      <c r="M95" s="15">
        <v>7</v>
      </c>
      <c r="N95" s="15">
        <v>3500</v>
      </c>
      <c r="O95" s="15">
        <v>15</v>
      </c>
      <c r="P95" s="15">
        <v>20825</v>
      </c>
      <c r="Q95" s="15">
        <v>3</v>
      </c>
      <c r="R95" s="15" t="s">
        <v>48</v>
      </c>
      <c r="S95" s="15" t="s">
        <v>49</v>
      </c>
      <c r="T95" s="15" t="s">
        <v>332</v>
      </c>
      <c r="U95" s="17" t="s">
        <v>580</v>
      </c>
      <c r="V95" s="15" t="s">
        <v>38</v>
      </c>
    </row>
    <row r="96" spans="1:22">
      <c r="A96" s="18" t="s">
        <v>581</v>
      </c>
      <c r="B96" s="18" t="s">
        <v>100</v>
      </c>
      <c r="C96" s="18" t="s">
        <v>169</v>
      </c>
      <c r="D96" s="18" t="s">
        <v>582</v>
      </c>
      <c r="E96" s="18" t="s">
        <v>583</v>
      </c>
      <c r="F96" s="18" t="s">
        <v>103</v>
      </c>
      <c r="G96" s="18" t="s">
        <v>28</v>
      </c>
      <c r="H96" s="18" t="s">
        <v>584</v>
      </c>
      <c r="I96" s="18" t="s">
        <v>294</v>
      </c>
      <c r="J96" s="18" t="s">
        <v>295</v>
      </c>
      <c r="K96" s="18" t="s">
        <v>32</v>
      </c>
      <c r="L96" s="18" t="s">
        <v>174</v>
      </c>
      <c r="M96" s="18">
        <v>19</v>
      </c>
      <c r="N96" s="18">
        <v>8500</v>
      </c>
      <c r="O96" s="18">
        <v>15</v>
      </c>
      <c r="P96" s="18">
        <v>137275</v>
      </c>
      <c r="Q96" s="18">
        <v>4</v>
      </c>
      <c r="R96" s="18" t="s">
        <v>79</v>
      </c>
      <c r="S96" s="18" t="s">
        <v>151</v>
      </c>
      <c r="T96" s="18" t="s">
        <v>144</v>
      </c>
      <c r="U96" s="19" t="s">
        <v>585</v>
      </c>
      <c r="V96" s="18" t="s">
        <v>64</v>
      </c>
    </row>
    <row r="97" spans="1:22">
      <c r="A97" s="15" t="s">
        <v>586</v>
      </c>
      <c r="B97" s="15" t="s">
        <v>251</v>
      </c>
      <c r="C97" s="15" t="s">
        <v>40</v>
      </c>
      <c r="D97" s="15" t="s">
        <v>587</v>
      </c>
      <c r="E97" s="15" t="s">
        <v>588</v>
      </c>
      <c r="F97" s="15" t="s">
        <v>254</v>
      </c>
      <c r="G97" s="15" t="s">
        <v>28</v>
      </c>
      <c r="H97" s="15" t="s">
        <v>589</v>
      </c>
      <c r="I97" s="15" t="s">
        <v>138</v>
      </c>
      <c r="J97" s="15" t="s">
        <v>106</v>
      </c>
      <c r="K97" s="15" t="s">
        <v>46</v>
      </c>
      <c r="L97" s="15" t="s">
        <v>47</v>
      </c>
      <c r="M97" s="15">
        <v>13</v>
      </c>
      <c r="N97" s="15">
        <v>12000</v>
      </c>
      <c r="O97" s="15">
        <v>15</v>
      </c>
      <c r="P97" s="15">
        <v>132600</v>
      </c>
      <c r="Q97" s="15">
        <v>4</v>
      </c>
      <c r="R97" s="15" t="s">
        <v>34</v>
      </c>
      <c r="S97" s="15" t="s">
        <v>49</v>
      </c>
      <c r="T97" s="15" t="s">
        <v>256</v>
      </c>
      <c r="U97" s="17" t="s">
        <v>590</v>
      </c>
      <c r="V97" s="15" t="s">
        <v>38</v>
      </c>
    </row>
    <row r="98" spans="1:22">
      <c r="A98" s="18" t="s">
        <v>591</v>
      </c>
      <c r="B98" s="18" t="s">
        <v>327</v>
      </c>
      <c r="C98" s="18" t="s">
        <v>222</v>
      </c>
      <c r="D98" s="18" t="s">
        <v>592</v>
      </c>
      <c r="E98" s="18" t="s">
        <v>398</v>
      </c>
      <c r="F98" s="18" t="s">
        <v>394</v>
      </c>
      <c r="G98" s="18" t="s">
        <v>76</v>
      </c>
      <c r="H98" s="18" t="s">
        <v>593</v>
      </c>
      <c r="I98" s="18" t="s">
        <v>114</v>
      </c>
      <c r="J98" s="18" t="s">
        <v>106</v>
      </c>
      <c r="K98" s="18" t="s">
        <v>122</v>
      </c>
      <c r="L98" s="18" t="s">
        <v>227</v>
      </c>
      <c r="M98" s="18">
        <v>7</v>
      </c>
      <c r="N98" s="18">
        <v>20</v>
      </c>
      <c r="O98" s="18">
        <v>0</v>
      </c>
      <c r="P98" s="18">
        <v>140</v>
      </c>
      <c r="Q98" s="18">
        <v>1</v>
      </c>
      <c r="R98" s="18" t="s">
        <v>79</v>
      </c>
      <c r="S98" s="18" t="s">
        <v>151</v>
      </c>
      <c r="T98" s="18" t="s">
        <v>332</v>
      </c>
      <c r="U98" s="19" t="s">
        <v>594</v>
      </c>
      <c r="V98" s="18" t="s">
        <v>69</v>
      </c>
    </row>
    <row r="99" spans="1:22">
      <c r="A99" s="15" t="s">
        <v>595</v>
      </c>
      <c r="B99" s="15" t="s">
        <v>168</v>
      </c>
      <c r="C99" s="15" t="s">
        <v>184</v>
      </c>
      <c r="D99" s="15" t="s">
        <v>596</v>
      </c>
      <c r="E99" s="15" t="s">
        <v>597</v>
      </c>
      <c r="F99" s="15" t="s">
        <v>361</v>
      </c>
      <c r="G99" s="15" t="s">
        <v>28</v>
      </c>
      <c r="H99" s="15" t="s">
        <v>598</v>
      </c>
      <c r="I99" s="15" t="s">
        <v>44</v>
      </c>
      <c r="J99" s="15" t="s">
        <v>45</v>
      </c>
      <c r="K99" s="15" t="s">
        <v>46</v>
      </c>
      <c r="L99" s="15" t="s">
        <v>189</v>
      </c>
      <c r="M99" s="15">
        <v>5</v>
      </c>
      <c r="N99" s="15">
        <v>700</v>
      </c>
      <c r="O99" s="15">
        <v>15</v>
      </c>
      <c r="P99" s="15">
        <v>999999</v>
      </c>
      <c r="Q99" s="15">
        <v>4</v>
      </c>
      <c r="R99" s="15" t="s">
        <v>79</v>
      </c>
      <c r="S99" s="15" t="s">
        <v>35</v>
      </c>
      <c r="T99" s="15" t="s">
        <v>175</v>
      </c>
      <c r="U99" s="17" t="s">
        <v>599</v>
      </c>
      <c r="V99" s="15" t="s">
        <v>64</v>
      </c>
    </row>
    <row r="100" spans="1:22">
      <c r="A100" s="18" t="s">
        <v>600</v>
      </c>
      <c r="B100" s="18" t="s">
        <v>83</v>
      </c>
      <c r="C100" s="18" t="s">
        <v>259</v>
      </c>
      <c r="D100" s="18" t="s">
        <v>583</v>
      </c>
      <c r="E100" s="18" t="s">
        <v>601</v>
      </c>
      <c r="F100" s="18" t="s">
        <v>180</v>
      </c>
      <c r="G100" s="18" t="s">
        <v>76</v>
      </c>
      <c r="H100" s="18" t="s">
        <v>602</v>
      </c>
      <c r="I100" s="18" t="s">
        <v>59</v>
      </c>
      <c r="J100" s="18" t="s">
        <v>31</v>
      </c>
      <c r="K100" s="18" t="s">
        <v>122</v>
      </c>
      <c r="L100" s="18" t="s">
        <v>263</v>
      </c>
      <c r="M100" s="18">
        <v>9</v>
      </c>
      <c r="N100" s="18">
        <v>45</v>
      </c>
      <c r="O100" s="18">
        <v>5</v>
      </c>
      <c r="P100" s="18">
        <v>384.75</v>
      </c>
      <c r="Q100" s="18">
        <v>3</v>
      </c>
      <c r="R100" s="18" t="s">
        <v>34</v>
      </c>
      <c r="S100" s="18" t="s">
        <v>35</v>
      </c>
      <c r="T100" s="18" t="s">
        <v>89</v>
      </c>
      <c r="U100" s="19" t="s">
        <v>603</v>
      </c>
      <c r="V100" s="18" t="s">
        <v>38</v>
      </c>
    </row>
    <row r="101" spans="1:22">
      <c r="A101" s="15" t="s">
        <v>604</v>
      </c>
      <c r="B101" s="15" t="s">
        <v>127</v>
      </c>
      <c r="C101" s="15" t="s">
        <v>118</v>
      </c>
      <c r="D101" s="15" t="s">
        <v>605</v>
      </c>
      <c r="E101" s="15" t="s">
        <v>606</v>
      </c>
      <c r="F101" s="15" t="s">
        <v>200</v>
      </c>
      <c r="G101" s="15" t="s">
        <v>76</v>
      </c>
      <c r="H101" s="15" t="s">
        <v>607</v>
      </c>
      <c r="I101" s="15" t="s">
        <v>294</v>
      </c>
      <c r="J101" s="15" t="s">
        <v>295</v>
      </c>
      <c r="K101" s="15" t="s">
        <v>122</v>
      </c>
      <c r="L101" s="15" t="s">
        <v>123</v>
      </c>
      <c r="M101" s="15">
        <v>19</v>
      </c>
      <c r="N101" s="15">
        <v>60</v>
      </c>
      <c r="O101" s="15">
        <v>10</v>
      </c>
      <c r="P101" s="15">
        <v>1026</v>
      </c>
      <c r="Q101" s="15">
        <v>5</v>
      </c>
      <c r="R101" s="15" t="s">
        <v>48</v>
      </c>
      <c r="S101" s="15" t="s">
        <v>115</v>
      </c>
      <c r="T101" s="15" t="s">
        <v>132</v>
      </c>
      <c r="U101" s="17" t="s">
        <v>608</v>
      </c>
      <c r="V101" s="15" t="s">
        <v>38</v>
      </c>
    </row>
    <row r="102" spans="1:22">
      <c r="A102" s="18" t="s">
        <v>609</v>
      </c>
      <c r="B102" s="18" t="s">
        <v>327</v>
      </c>
      <c r="C102" s="18" t="s">
        <v>184</v>
      </c>
      <c r="D102" s="18" t="s">
        <v>610</v>
      </c>
      <c r="E102" s="18" t="s">
        <v>611</v>
      </c>
      <c r="F102" s="18" t="s">
        <v>394</v>
      </c>
      <c r="G102" s="18" t="s">
        <v>76</v>
      </c>
      <c r="H102" s="18" t="s">
        <v>612</v>
      </c>
      <c r="I102" s="18" t="s">
        <v>138</v>
      </c>
      <c r="J102" s="18" t="s">
        <v>106</v>
      </c>
      <c r="K102" s="18" t="s">
        <v>46</v>
      </c>
      <c r="L102" s="18" t="s">
        <v>189</v>
      </c>
      <c r="M102" s="18">
        <v>4</v>
      </c>
      <c r="N102" s="18">
        <v>700</v>
      </c>
      <c r="O102" s="18">
        <v>5</v>
      </c>
      <c r="P102" s="18">
        <v>2660</v>
      </c>
      <c r="Q102" s="18">
        <v>3</v>
      </c>
      <c r="R102" s="18" t="s">
        <v>48</v>
      </c>
      <c r="S102" s="18" t="s">
        <v>61</v>
      </c>
      <c r="T102" s="18" t="s">
        <v>332</v>
      </c>
      <c r="U102" s="19" t="s">
        <v>613</v>
      </c>
      <c r="V102" s="18" t="s">
        <v>38</v>
      </c>
    </row>
    <row r="103" spans="1:22">
      <c r="A103" s="15" t="s">
        <v>614</v>
      </c>
      <c r="B103" s="15" t="s">
        <v>327</v>
      </c>
      <c r="C103" s="15" t="s">
        <v>92</v>
      </c>
      <c r="D103" s="15" t="s">
        <v>583</v>
      </c>
      <c r="E103" s="15" t="s">
        <v>615</v>
      </c>
      <c r="F103" s="15" t="s">
        <v>394</v>
      </c>
      <c r="G103" s="15" t="s">
        <v>76</v>
      </c>
      <c r="H103" s="15" t="s">
        <v>616</v>
      </c>
      <c r="I103" s="15" t="s">
        <v>114</v>
      </c>
      <c r="J103" s="15" t="s">
        <v>106</v>
      </c>
      <c r="K103" s="15" t="s">
        <v>32</v>
      </c>
      <c r="L103" s="15" t="s">
        <v>97</v>
      </c>
      <c r="M103" s="15">
        <v>16</v>
      </c>
      <c r="N103" s="15">
        <v>3500</v>
      </c>
      <c r="O103" s="15">
        <v>0</v>
      </c>
      <c r="P103" s="15">
        <v>56000</v>
      </c>
      <c r="Q103" s="15">
        <v>2</v>
      </c>
      <c r="R103" s="15" t="s">
        <v>79</v>
      </c>
      <c r="S103" s="15" t="s">
        <v>49</v>
      </c>
      <c r="T103" s="15" t="s">
        <v>332</v>
      </c>
      <c r="U103" s="17" t="s">
        <v>617</v>
      </c>
      <c r="V103" s="15" t="s">
        <v>38</v>
      </c>
    </row>
    <row r="104" spans="1:22">
      <c r="A104" s="18" t="s">
        <v>618</v>
      </c>
      <c r="B104" s="18" t="s">
        <v>251</v>
      </c>
      <c r="C104" s="18" t="s">
        <v>259</v>
      </c>
      <c r="D104" s="18" t="s">
        <v>619</v>
      </c>
      <c r="E104" s="18" t="s">
        <v>620</v>
      </c>
      <c r="F104" s="18" t="s">
        <v>254</v>
      </c>
      <c r="G104" s="18" t="s">
        <v>28</v>
      </c>
      <c r="H104" s="18" t="s">
        <v>621</v>
      </c>
      <c r="I104" s="18" t="s">
        <v>59</v>
      </c>
      <c r="J104" s="18" t="s">
        <v>31</v>
      </c>
      <c r="K104" s="18" t="s">
        <v>122</v>
      </c>
      <c r="L104" s="18" t="s">
        <v>263</v>
      </c>
      <c r="M104" s="18">
        <v>5</v>
      </c>
      <c r="N104" s="18">
        <v>45</v>
      </c>
      <c r="O104" s="18">
        <v>20</v>
      </c>
      <c r="P104" s="18">
        <v>180</v>
      </c>
      <c r="Q104" s="18">
        <v>3</v>
      </c>
      <c r="R104" s="18" t="s">
        <v>79</v>
      </c>
      <c r="S104" s="18" t="s">
        <v>35</v>
      </c>
      <c r="T104" s="18" t="s">
        <v>256</v>
      </c>
      <c r="U104" s="19" t="s">
        <v>622</v>
      </c>
      <c r="V104" s="18" t="s">
        <v>38</v>
      </c>
    </row>
    <row r="105" spans="1:22">
      <c r="A105" s="15" t="s">
        <v>623</v>
      </c>
      <c r="B105" s="15" t="s">
        <v>83</v>
      </c>
      <c r="C105" s="15" t="s">
        <v>222</v>
      </c>
      <c r="D105" s="15" t="s">
        <v>624</v>
      </c>
      <c r="E105" s="15" t="s">
        <v>525</v>
      </c>
      <c r="F105" s="15" t="s">
        <v>180</v>
      </c>
      <c r="G105" s="15" t="s">
        <v>76</v>
      </c>
      <c r="H105" s="15" t="s">
        <v>625</v>
      </c>
      <c r="I105" s="15" t="s">
        <v>105</v>
      </c>
      <c r="J105" s="15" t="s">
        <v>106</v>
      </c>
      <c r="K105" s="15" t="s">
        <v>122</v>
      </c>
      <c r="L105" s="15" t="s">
        <v>227</v>
      </c>
      <c r="M105" s="15">
        <v>9</v>
      </c>
      <c r="N105" s="15">
        <v>20</v>
      </c>
      <c r="O105" s="15">
        <v>10</v>
      </c>
      <c r="P105" s="15">
        <v>162</v>
      </c>
      <c r="Q105" s="15">
        <v>4</v>
      </c>
      <c r="R105" s="15" t="s">
        <v>79</v>
      </c>
      <c r="S105" s="15" t="s">
        <v>35</v>
      </c>
      <c r="T105" s="15" t="s">
        <v>89</v>
      </c>
      <c r="U105" s="17" t="s">
        <v>626</v>
      </c>
      <c r="V105" s="15" t="s">
        <v>64</v>
      </c>
    </row>
    <row r="106" spans="1:22">
      <c r="A106" s="18" t="s">
        <v>627</v>
      </c>
      <c r="B106" s="18" t="s">
        <v>53</v>
      </c>
      <c r="C106" s="18" t="s">
        <v>72</v>
      </c>
      <c r="D106" s="18" t="s">
        <v>628</v>
      </c>
      <c r="E106" s="18" t="s">
        <v>431</v>
      </c>
      <c r="F106" s="18" t="s">
        <v>163</v>
      </c>
      <c r="G106" s="18" t="s">
        <v>28</v>
      </c>
      <c r="H106" s="18" t="s">
        <v>629</v>
      </c>
      <c r="I106" s="18" t="s">
        <v>44</v>
      </c>
      <c r="J106" s="18" t="s">
        <v>45</v>
      </c>
      <c r="K106" s="18" t="s">
        <v>46</v>
      </c>
      <c r="L106" s="18" t="s">
        <v>78</v>
      </c>
      <c r="M106" s="18">
        <v>9</v>
      </c>
      <c r="N106" s="18">
        <v>1200</v>
      </c>
      <c r="O106" s="18">
        <v>5</v>
      </c>
      <c r="P106" s="18">
        <v>10260</v>
      </c>
      <c r="Q106" s="18">
        <v>3</v>
      </c>
      <c r="R106" s="18" t="s">
        <v>88</v>
      </c>
      <c r="S106" s="18" t="s">
        <v>35</v>
      </c>
      <c r="T106" s="18" t="s">
        <v>62</v>
      </c>
      <c r="U106" s="19" t="s">
        <v>630</v>
      </c>
      <c r="V106" s="18" t="s">
        <v>64</v>
      </c>
    </row>
    <row r="107" spans="1:22">
      <c r="A107" s="15" t="s">
        <v>631</v>
      </c>
      <c r="B107" s="15" t="s">
        <v>100</v>
      </c>
      <c r="C107" s="15" t="s">
        <v>92</v>
      </c>
      <c r="D107" s="15" t="s">
        <v>387</v>
      </c>
      <c r="E107" s="15" t="s">
        <v>632</v>
      </c>
      <c r="F107" s="15" t="s">
        <v>103</v>
      </c>
      <c r="G107" s="15" t="s">
        <v>28</v>
      </c>
      <c r="H107" s="15" t="s">
        <v>633</v>
      </c>
      <c r="I107" s="15" t="s">
        <v>44</v>
      </c>
      <c r="J107" s="15" t="s">
        <v>45</v>
      </c>
      <c r="K107" s="15" t="s">
        <v>32</v>
      </c>
      <c r="L107" s="15" t="s">
        <v>97</v>
      </c>
      <c r="M107" s="15">
        <v>3</v>
      </c>
      <c r="N107" s="15">
        <v>3500</v>
      </c>
      <c r="O107" s="15">
        <v>10</v>
      </c>
      <c r="P107" s="15">
        <v>9450</v>
      </c>
      <c r="Q107" s="15">
        <v>2</v>
      </c>
      <c r="R107" s="15" t="s">
        <v>79</v>
      </c>
      <c r="S107" s="15" t="s">
        <v>151</v>
      </c>
      <c r="T107" s="15" t="s">
        <v>144</v>
      </c>
      <c r="U107" s="17" t="s">
        <v>634</v>
      </c>
      <c r="V107" s="15" t="s">
        <v>69</v>
      </c>
    </row>
    <row r="108" spans="1:22">
      <c r="A108" s="18" t="s">
        <v>635</v>
      </c>
      <c r="B108" s="18" t="s">
        <v>221</v>
      </c>
      <c r="C108" s="18" t="s">
        <v>72</v>
      </c>
      <c r="D108" s="18" t="s">
        <v>241</v>
      </c>
      <c r="E108" s="18" t="s">
        <v>636</v>
      </c>
      <c r="F108" s="18" t="s">
        <v>225</v>
      </c>
      <c r="G108" s="18" t="s">
        <v>76</v>
      </c>
      <c r="H108" s="18" t="s">
        <v>637</v>
      </c>
      <c r="I108" s="18" t="s">
        <v>105</v>
      </c>
      <c r="J108" s="18" t="s">
        <v>106</v>
      </c>
      <c r="K108" s="18" t="s">
        <v>46</v>
      </c>
      <c r="L108" s="18" t="s">
        <v>78</v>
      </c>
      <c r="M108" s="18">
        <v>6</v>
      </c>
      <c r="N108" s="18">
        <v>1200</v>
      </c>
      <c r="O108" s="18">
        <v>15</v>
      </c>
      <c r="P108" s="18">
        <v>6120</v>
      </c>
      <c r="Q108" s="18">
        <v>4</v>
      </c>
      <c r="R108" s="18" t="s">
        <v>88</v>
      </c>
      <c r="S108" s="18" t="s">
        <v>35</v>
      </c>
      <c r="T108" s="18" t="s">
        <v>228</v>
      </c>
      <c r="U108" s="19" t="s">
        <v>638</v>
      </c>
      <c r="V108" s="18" t="s">
        <v>69</v>
      </c>
    </row>
    <row r="109" spans="1:22">
      <c r="A109" s="15" t="s">
        <v>639</v>
      </c>
      <c r="B109" s="15" t="s">
        <v>83</v>
      </c>
      <c r="C109" s="15" t="s">
        <v>72</v>
      </c>
      <c r="D109" s="15" t="s">
        <v>640</v>
      </c>
      <c r="E109" s="15" t="s">
        <v>641</v>
      </c>
      <c r="F109" s="15" t="s">
        <v>180</v>
      </c>
      <c r="G109" s="15" t="s">
        <v>76</v>
      </c>
      <c r="H109" s="15" t="s">
        <v>642</v>
      </c>
      <c r="I109" s="15" t="s">
        <v>212</v>
      </c>
      <c r="J109" s="15" t="s">
        <v>45</v>
      </c>
      <c r="K109" s="15" t="s">
        <v>46</v>
      </c>
      <c r="L109" s="15" t="s">
        <v>78</v>
      </c>
      <c r="M109" s="15">
        <v>17</v>
      </c>
      <c r="N109" s="15">
        <v>1200</v>
      </c>
      <c r="O109" s="15">
        <v>15</v>
      </c>
      <c r="P109" s="15">
        <v>17340</v>
      </c>
      <c r="Q109" s="15">
        <v>1</v>
      </c>
      <c r="R109" s="15" t="s">
        <v>34</v>
      </c>
      <c r="S109" s="15" t="s">
        <v>61</v>
      </c>
      <c r="T109" s="15" t="s">
        <v>89</v>
      </c>
      <c r="U109" s="17" t="s">
        <v>643</v>
      </c>
      <c r="V109" s="15" t="s">
        <v>38</v>
      </c>
    </row>
    <row r="110" spans="1:22">
      <c r="A110" s="18" t="s">
        <v>644</v>
      </c>
      <c r="B110" s="18" t="s">
        <v>221</v>
      </c>
      <c r="C110" s="18" t="s">
        <v>169</v>
      </c>
      <c r="D110" s="18" t="s">
        <v>645</v>
      </c>
      <c r="E110" s="18" t="s">
        <v>287</v>
      </c>
      <c r="F110" s="18" t="s">
        <v>225</v>
      </c>
      <c r="G110" s="18" t="s">
        <v>76</v>
      </c>
      <c r="H110" s="18" t="s">
        <v>646</v>
      </c>
      <c r="I110" s="18" t="s">
        <v>59</v>
      </c>
      <c r="J110" s="18" t="s">
        <v>31</v>
      </c>
      <c r="K110" s="18" t="s">
        <v>32</v>
      </c>
      <c r="L110" s="18" t="s">
        <v>174</v>
      </c>
      <c r="M110" s="18">
        <v>15</v>
      </c>
      <c r="N110" s="18">
        <v>8500</v>
      </c>
      <c r="O110" s="18">
        <v>0</v>
      </c>
      <c r="P110" s="18">
        <v>127500</v>
      </c>
      <c r="Q110" s="18">
        <v>3</v>
      </c>
      <c r="R110" s="18" t="s">
        <v>34</v>
      </c>
      <c r="S110" s="18" t="s">
        <v>115</v>
      </c>
      <c r="T110" s="18" t="s">
        <v>228</v>
      </c>
      <c r="U110" s="19" t="s">
        <v>647</v>
      </c>
      <c r="V110" s="18" t="s">
        <v>64</v>
      </c>
    </row>
    <row r="111" spans="1:22">
      <c r="A111" s="15" t="s">
        <v>648</v>
      </c>
      <c r="B111" s="15" t="s">
        <v>127</v>
      </c>
      <c r="C111" s="15" t="s">
        <v>72</v>
      </c>
      <c r="D111" s="15" t="s">
        <v>101</v>
      </c>
      <c r="E111" s="15" t="s">
        <v>102</v>
      </c>
      <c r="F111" s="15" t="s">
        <v>200</v>
      </c>
      <c r="G111" s="15" t="s">
        <v>76</v>
      </c>
      <c r="H111" s="15" t="s">
        <v>649</v>
      </c>
      <c r="I111" s="15" t="s">
        <v>30</v>
      </c>
      <c r="J111" s="15" t="s">
        <v>31</v>
      </c>
      <c r="K111" s="15" t="s">
        <v>46</v>
      </c>
      <c r="L111" s="15" t="s">
        <v>78</v>
      </c>
      <c r="M111" s="15">
        <v>1</v>
      </c>
      <c r="N111" s="15">
        <v>1200</v>
      </c>
      <c r="O111" s="15">
        <v>20</v>
      </c>
      <c r="P111" s="15">
        <v>960</v>
      </c>
      <c r="Q111" s="15">
        <v>1</v>
      </c>
      <c r="R111" s="15" t="s">
        <v>88</v>
      </c>
      <c r="S111" s="15" t="s">
        <v>115</v>
      </c>
      <c r="T111" s="15" t="s">
        <v>132</v>
      </c>
      <c r="U111" s="17" t="s">
        <v>650</v>
      </c>
      <c r="V111" s="15" t="s">
        <v>64</v>
      </c>
    </row>
    <row r="112" spans="1:22">
      <c r="A112" s="18" t="s">
        <v>651</v>
      </c>
      <c r="B112" s="18" t="s">
        <v>127</v>
      </c>
      <c r="C112" s="18" t="s">
        <v>169</v>
      </c>
      <c r="D112" s="18" t="s">
        <v>652</v>
      </c>
      <c r="E112" s="18" t="s">
        <v>539</v>
      </c>
      <c r="F112" s="18" t="s">
        <v>200</v>
      </c>
      <c r="G112" s="18" t="s">
        <v>76</v>
      </c>
      <c r="H112" s="18" t="s">
        <v>653</v>
      </c>
      <c r="I112" s="18" t="s">
        <v>294</v>
      </c>
      <c r="J112" s="18" t="s">
        <v>295</v>
      </c>
      <c r="K112" s="18" t="s">
        <v>32</v>
      </c>
      <c r="L112" s="18" t="s">
        <v>174</v>
      </c>
      <c r="M112" s="18">
        <v>5</v>
      </c>
      <c r="N112" s="18">
        <v>8500</v>
      </c>
      <c r="O112" s="18">
        <v>10</v>
      </c>
      <c r="P112" s="18">
        <v>38250</v>
      </c>
      <c r="Q112" s="18">
        <v>1</v>
      </c>
      <c r="R112" s="18" t="s">
        <v>79</v>
      </c>
      <c r="S112" s="18" t="s">
        <v>61</v>
      </c>
      <c r="T112" s="18" t="s">
        <v>132</v>
      </c>
      <c r="U112" s="19" t="s">
        <v>654</v>
      </c>
      <c r="V112" s="18" t="s">
        <v>38</v>
      </c>
    </row>
    <row r="113" spans="1:22">
      <c r="A113" s="15" t="s">
        <v>655</v>
      </c>
      <c r="B113" s="15" t="s">
        <v>53</v>
      </c>
      <c r="C113" s="15" t="s">
        <v>259</v>
      </c>
      <c r="D113" s="15" t="s">
        <v>656</v>
      </c>
      <c r="E113" s="15" t="s">
        <v>657</v>
      </c>
      <c r="F113" s="15" t="s">
        <v>163</v>
      </c>
      <c r="G113" s="15" t="s">
        <v>28</v>
      </c>
      <c r="H113" s="15" t="s">
        <v>658</v>
      </c>
      <c r="I113" s="15" t="s">
        <v>30</v>
      </c>
      <c r="J113" s="15" t="s">
        <v>31</v>
      </c>
      <c r="K113" s="15" t="s">
        <v>122</v>
      </c>
      <c r="L113" s="15" t="s">
        <v>263</v>
      </c>
      <c r="M113" s="15">
        <v>12</v>
      </c>
      <c r="N113" s="15">
        <v>45</v>
      </c>
      <c r="O113" s="15">
        <v>5</v>
      </c>
      <c r="P113" s="15">
        <v>513</v>
      </c>
      <c r="Q113" s="15">
        <v>2</v>
      </c>
      <c r="R113" s="15" t="s">
        <v>48</v>
      </c>
      <c r="S113" s="15" t="s">
        <v>35</v>
      </c>
      <c r="T113" s="15" t="s">
        <v>62</v>
      </c>
      <c r="U113" s="17" t="s">
        <v>659</v>
      </c>
      <c r="V113" s="15" t="s">
        <v>69</v>
      </c>
    </row>
    <row r="114" spans="1:22">
      <c r="A114" s="18" t="s">
        <v>660</v>
      </c>
      <c r="B114" s="18" t="s">
        <v>221</v>
      </c>
      <c r="C114" s="18" t="s">
        <v>118</v>
      </c>
      <c r="D114" s="18" t="s">
        <v>341</v>
      </c>
      <c r="E114" s="18" t="s">
        <v>661</v>
      </c>
      <c r="F114" s="18" t="s">
        <v>225</v>
      </c>
      <c r="G114" s="18" t="s">
        <v>76</v>
      </c>
      <c r="H114" s="18" t="s">
        <v>662</v>
      </c>
      <c r="I114" s="18" t="s">
        <v>114</v>
      </c>
      <c r="J114" s="18" t="s">
        <v>106</v>
      </c>
      <c r="K114" s="18" t="s">
        <v>122</v>
      </c>
      <c r="L114" s="18" t="s">
        <v>123</v>
      </c>
      <c r="M114" s="18">
        <v>5</v>
      </c>
      <c r="N114" s="18">
        <v>60</v>
      </c>
      <c r="O114" s="18">
        <v>5</v>
      </c>
      <c r="P114" s="18">
        <v>285</v>
      </c>
      <c r="Q114" s="18">
        <v>2</v>
      </c>
      <c r="R114" s="18" t="s">
        <v>34</v>
      </c>
      <c r="S114" s="18" t="s">
        <v>61</v>
      </c>
      <c r="T114" s="18" t="s">
        <v>228</v>
      </c>
      <c r="U114" s="19" t="s">
        <v>663</v>
      </c>
      <c r="V114" s="18" t="s">
        <v>38</v>
      </c>
    </row>
    <row r="115" spans="1:22">
      <c r="A115" s="15" t="s">
        <v>664</v>
      </c>
      <c r="B115" s="15" t="s">
        <v>53</v>
      </c>
      <c r="C115" s="15" t="s">
        <v>184</v>
      </c>
      <c r="D115" s="15" t="s">
        <v>665</v>
      </c>
      <c r="E115" s="15" t="s">
        <v>666</v>
      </c>
      <c r="F115" s="15" t="s">
        <v>163</v>
      </c>
      <c r="G115" s="15" t="s">
        <v>28</v>
      </c>
      <c r="H115" s="15" t="s">
        <v>667</v>
      </c>
      <c r="I115" s="15" t="s">
        <v>294</v>
      </c>
      <c r="J115" s="15" t="s">
        <v>295</v>
      </c>
      <c r="K115" s="15" t="s">
        <v>46</v>
      </c>
      <c r="L115" s="15" t="s">
        <v>189</v>
      </c>
      <c r="M115" s="15">
        <v>3</v>
      </c>
      <c r="N115" s="15">
        <v>700</v>
      </c>
      <c r="O115" s="15">
        <v>0</v>
      </c>
      <c r="P115" s="15">
        <v>2100</v>
      </c>
      <c r="Q115" s="15">
        <v>4</v>
      </c>
      <c r="R115" s="15" t="s">
        <v>79</v>
      </c>
      <c r="S115" s="15" t="s">
        <v>61</v>
      </c>
      <c r="T115" s="15" t="s">
        <v>62</v>
      </c>
      <c r="U115" s="17" t="s">
        <v>668</v>
      </c>
      <c r="V115" s="15" t="s">
        <v>38</v>
      </c>
    </row>
    <row r="116" spans="1:22">
      <c r="A116" s="18" t="s">
        <v>669</v>
      </c>
      <c r="B116" s="18" t="s">
        <v>168</v>
      </c>
      <c r="C116" s="18" t="s">
        <v>222</v>
      </c>
      <c r="D116" s="18" t="s">
        <v>335</v>
      </c>
      <c r="E116" s="18" t="s">
        <v>606</v>
      </c>
      <c r="F116" s="18" t="s">
        <v>361</v>
      </c>
      <c r="G116" s="18" t="s">
        <v>28</v>
      </c>
      <c r="H116" s="18" t="s">
        <v>670</v>
      </c>
      <c r="I116" s="18" t="s">
        <v>44</v>
      </c>
      <c r="J116" s="18" t="s">
        <v>45</v>
      </c>
      <c r="K116" s="18" t="s">
        <v>122</v>
      </c>
      <c r="L116" s="18" t="s">
        <v>227</v>
      </c>
      <c r="M116" s="18">
        <v>6</v>
      </c>
      <c r="N116" s="18">
        <v>20</v>
      </c>
      <c r="O116" s="18">
        <v>15</v>
      </c>
      <c r="P116" s="18">
        <v>102</v>
      </c>
      <c r="Q116" s="18">
        <v>5</v>
      </c>
      <c r="R116" s="18" t="s">
        <v>79</v>
      </c>
      <c r="S116" s="18" t="s">
        <v>151</v>
      </c>
      <c r="T116" s="18" t="s">
        <v>175</v>
      </c>
      <c r="U116" s="19" t="s">
        <v>671</v>
      </c>
      <c r="V116" s="18" t="s">
        <v>38</v>
      </c>
    </row>
    <row r="117" spans="1:22">
      <c r="A117" s="15" t="s">
        <v>672</v>
      </c>
      <c r="B117" s="15" t="s">
        <v>100</v>
      </c>
      <c r="C117" s="15" t="s">
        <v>184</v>
      </c>
      <c r="D117" s="15" t="s">
        <v>673</v>
      </c>
      <c r="E117" s="15" t="s">
        <v>674</v>
      </c>
      <c r="F117" s="15" t="s">
        <v>103</v>
      </c>
      <c r="G117" s="15" t="s">
        <v>28</v>
      </c>
      <c r="H117" s="15" t="s">
        <v>675</v>
      </c>
      <c r="I117" s="15" t="s">
        <v>59</v>
      </c>
      <c r="J117" s="15" t="s">
        <v>31</v>
      </c>
      <c r="K117" s="15" t="s">
        <v>46</v>
      </c>
      <c r="L117" s="15" t="s">
        <v>189</v>
      </c>
      <c r="M117" s="15">
        <v>2</v>
      </c>
      <c r="N117" s="15">
        <v>700</v>
      </c>
      <c r="O117" s="15">
        <v>15</v>
      </c>
      <c r="P117" s="15">
        <v>1190</v>
      </c>
      <c r="Q117" s="15">
        <v>4</v>
      </c>
      <c r="R117" s="15" t="s">
        <v>34</v>
      </c>
      <c r="S117" s="15" t="s">
        <v>151</v>
      </c>
      <c r="T117" s="15" t="s">
        <v>144</v>
      </c>
      <c r="U117" s="17" t="s">
        <v>676</v>
      </c>
      <c r="V117" s="15" t="s">
        <v>64</v>
      </c>
    </row>
    <row r="118" spans="1:22">
      <c r="A118" s="18" t="s">
        <v>677</v>
      </c>
      <c r="B118" s="18" t="s">
        <v>327</v>
      </c>
      <c r="C118" s="18" t="s">
        <v>259</v>
      </c>
      <c r="D118" s="18" t="s">
        <v>678</v>
      </c>
      <c r="E118" s="18" t="s">
        <v>679</v>
      </c>
      <c r="F118" s="18" t="s">
        <v>394</v>
      </c>
      <c r="G118" s="18" t="s">
        <v>76</v>
      </c>
      <c r="H118" s="18" t="s">
        <v>680</v>
      </c>
      <c r="I118" s="18" t="s">
        <v>114</v>
      </c>
      <c r="J118" s="18" t="s">
        <v>106</v>
      </c>
      <c r="K118" s="18" t="s">
        <v>122</v>
      </c>
      <c r="L118" s="18" t="s">
        <v>263</v>
      </c>
      <c r="M118" s="18">
        <v>16</v>
      </c>
      <c r="N118" s="18">
        <v>45</v>
      </c>
      <c r="O118" s="18">
        <v>0</v>
      </c>
      <c r="P118" s="18">
        <v>720</v>
      </c>
      <c r="Q118" s="18">
        <v>1</v>
      </c>
      <c r="R118" s="18" t="s">
        <v>48</v>
      </c>
      <c r="S118" s="18" t="s">
        <v>61</v>
      </c>
      <c r="T118" s="18" t="s">
        <v>332</v>
      </c>
      <c r="U118" s="19" t="s">
        <v>681</v>
      </c>
      <c r="V118" s="18" t="s">
        <v>38</v>
      </c>
    </row>
    <row r="119" spans="1:22">
      <c r="A119" s="15" t="s">
        <v>682</v>
      </c>
      <c r="B119" s="15" t="s">
        <v>71</v>
      </c>
      <c r="C119" s="15" t="s">
        <v>72</v>
      </c>
      <c r="D119" s="15" t="s">
        <v>683</v>
      </c>
      <c r="E119" s="15" t="s">
        <v>684</v>
      </c>
      <c r="F119" s="15" t="s">
        <v>217</v>
      </c>
      <c r="G119" s="15" t="s">
        <v>76</v>
      </c>
      <c r="H119" s="15" t="s">
        <v>685</v>
      </c>
      <c r="I119" s="15" t="s">
        <v>138</v>
      </c>
      <c r="J119" s="15" t="s">
        <v>106</v>
      </c>
      <c r="K119" s="15" t="s">
        <v>46</v>
      </c>
      <c r="L119" s="15" t="s">
        <v>78</v>
      </c>
      <c r="M119" s="15" t="s">
        <v>686</v>
      </c>
      <c r="N119" s="15">
        <v>1200</v>
      </c>
      <c r="O119" s="15">
        <v>15</v>
      </c>
      <c r="P119" s="15">
        <v>7140</v>
      </c>
      <c r="Q119" s="15">
        <v>4</v>
      </c>
      <c r="R119" s="15" t="s">
        <v>88</v>
      </c>
      <c r="S119" s="15" t="s">
        <v>151</v>
      </c>
      <c r="T119" s="15" t="s">
        <v>80</v>
      </c>
      <c r="U119" s="17" t="s">
        <v>687</v>
      </c>
      <c r="V119" s="15" t="s">
        <v>64</v>
      </c>
    </row>
    <row r="120" spans="1:22">
      <c r="A120" s="18" t="s">
        <v>688</v>
      </c>
      <c r="B120" s="18" t="s">
        <v>100</v>
      </c>
      <c r="C120" s="18" t="s">
        <v>40</v>
      </c>
      <c r="D120" s="18" t="s">
        <v>376</v>
      </c>
      <c r="E120" s="18" t="s">
        <v>469</v>
      </c>
      <c r="F120" s="18" t="s">
        <v>103</v>
      </c>
      <c r="G120" s="18" t="s">
        <v>28</v>
      </c>
      <c r="H120" s="18" t="s">
        <v>689</v>
      </c>
      <c r="I120" s="18" t="s">
        <v>212</v>
      </c>
      <c r="J120" s="18" t="s">
        <v>45</v>
      </c>
      <c r="K120" s="18" t="s">
        <v>46</v>
      </c>
      <c r="L120" s="18" t="s">
        <v>47</v>
      </c>
      <c r="M120" s="18">
        <v>14</v>
      </c>
      <c r="N120" s="18">
        <v>12000</v>
      </c>
      <c r="O120" s="18">
        <v>15</v>
      </c>
      <c r="P120" s="18">
        <v>142800</v>
      </c>
      <c r="Q120" s="18">
        <v>2</v>
      </c>
      <c r="R120" s="18" t="s">
        <v>48</v>
      </c>
      <c r="S120" s="18" t="s">
        <v>61</v>
      </c>
      <c r="T120" s="18" t="s">
        <v>144</v>
      </c>
      <c r="U120" s="19" t="s">
        <v>690</v>
      </c>
      <c r="V120" s="18" t="s">
        <v>64</v>
      </c>
    </row>
    <row r="121" spans="1:22">
      <c r="A121" s="15" t="s">
        <v>691</v>
      </c>
      <c r="B121" s="15" t="s">
        <v>127</v>
      </c>
      <c r="C121" s="15" t="s">
        <v>169</v>
      </c>
      <c r="D121" s="15" t="s">
        <v>454</v>
      </c>
      <c r="E121" s="15" t="s">
        <v>692</v>
      </c>
      <c r="F121" s="15" t="s">
        <v>200</v>
      </c>
      <c r="G121" s="15" t="s">
        <v>76</v>
      </c>
      <c r="H121" s="15" t="s">
        <v>693</v>
      </c>
      <c r="I121" s="15" t="s">
        <v>114</v>
      </c>
      <c r="J121" s="15" t="s">
        <v>106</v>
      </c>
      <c r="K121" s="15" t="s">
        <v>32</v>
      </c>
      <c r="L121" s="15" t="s">
        <v>174</v>
      </c>
      <c r="M121" s="15">
        <v>8</v>
      </c>
      <c r="N121" s="15">
        <v>8500</v>
      </c>
      <c r="O121" s="15">
        <v>20</v>
      </c>
      <c r="P121" s="15">
        <v>54400</v>
      </c>
      <c r="Q121" s="15">
        <v>3</v>
      </c>
      <c r="R121" s="15" t="s">
        <v>79</v>
      </c>
      <c r="S121" s="15" t="s">
        <v>49</v>
      </c>
      <c r="T121" s="15" t="s">
        <v>132</v>
      </c>
      <c r="U121" s="17" t="s">
        <v>694</v>
      </c>
      <c r="V121" s="15" t="s">
        <v>38</v>
      </c>
    </row>
    <row r="122" spans="1:22">
      <c r="A122" s="18" t="s">
        <v>695</v>
      </c>
      <c r="B122" s="18" t="s">
        <v>83</v>
      </c>
      <c r="C122" s="18" t="s">
        <v>259</v>
      </c>
      <c r="D122" s="18" t="s">
        <v>110</v>
      </c>
      <c r="E122" s="18" t="s">
        <v>313</v>
      </c>
      <c r="F122" s="18" t="s">
        <v>180</v>
      </c>
      <c r="G122" s="18" t="s">
        <v>76</v>
      </c>
      <c r="H122" s="18" t="s">
        <v>696</v>
      </c>
      <c r="I122" s="18" t="s">
        <v>59</v>
      </c>
      <c r="J122" s="18" t="s">
        <v>31</v>
      </c>
      <c r="K122" s="18" t="s">
        <v>122</v>
      </c>
      <c r="L122" s="18" t="s">
        <v>263</v>
      </c>
      <c r="M122" s="18">
        <v>3</v>
      </c>
      <c r="N122" s="18">
        <v>45</v>
      </c>
      <c r="O122" s="18">
        <v>0</v>
      </c>
      <c r="P122" s="18">
        <v>135</v>
      </c>
      <c r="Q122" s="18">
        <v>4</v>
      </c>
      <c r="R122" s="18" t="s">
        <v>88</v>
      </c>
      <c r="S122" s="18" t="s">
        <v>61</v>
      </c>
      <c r="T122" s="18" t="s">
        <v>89</v>
      </c>
      <c r="U122" s="19" t="s">
        <v>697</v>
      </c>
      <c r="V122" s="18" t="s">
        <v>69</v>
      </c>
    </row>
    <row r="123" spans="1:22">
      <c r="A123" s="15" t="s">
        <v>698</v>
      </c>
      <c r="B123" s="15" t="s">
        <v>327</v>
      </c>
      <c r="C123" s="15" t="s">
        <v>184</v>
      </c>
      <c r="D123" s="15" t="s">
        <v>464</v>
      </c>
      <c r="E123" s="15" t="s">
        <v>84</v>
      </c>
      <c r="F123" s="15" t="s">
        <v>394</v>
      </c>
      <c r="G123" s="15" t="s">
        <v>76</v>
      </c>
      <c r="H123" s="15" t="s">
        <v>699</v>
      </c>
      <c r="I123" s="15" t="s">
        <v>212</v>
      </c>
      <c r="J123" s="15" t="s">
        <v>45</v>
      </c>
      <c r="K123" s="15" t="s">
        <v>46</v>
      </c>
      <c r="L123" s="15" t="s">
        <v>189</v>
      </c>
      <c r="M123" s="15">
        <v>13</v>
      </c>
      <c r="N123" s="15">
        <v>700</v>
      </c>
      <c r="O123" s="15">
        <v>5</v>
      </c>
      <c r="P123" s="15">
        <v>8645</v>
      </c>
      <c r="Q123" s="15">
        <v>3</v>
      </c>
      <c r="R123" s="15" t="s">
        <v>79</v>
      </c>
      <c r="S123" s="15" t="s">
        <v>115</v>
      </c>
      <c r="T123" s="15" t="s">
        <v>332</v>
      </c>
      <c r="U123" s="17" t="s">
        <v>700</v>
      </c>
      <c r="V123" s="15" t="s">
        <v>64</v>
      </c>
    </row>
    <row r="124" spans="1:22">
      <c r="A124" s="18" t="s">
        <v>701</v>
      </c>
      <c r="B124" s="18" t="s">
        <v>168</v>
      </c>
      <c r="C124" s="18" t="s">
        <v>72</v>
      </c>
      <c r="D124" s="18" t="s">
        <v>702</v>
      </c>
      <c r="E124" s="18" t="s">
        <v>703</v>
      </c>
      <c r="F124" s="18" t="s">
        <v>361</v>
      </c>
      <c r="G124" s="18" t="s">
        <v>28</v>
      </c>
      <c r="H124" s="18" t="s">
        <v>704</v>
      </c>
      <c r="I124" s="18" t="s">
        <v>105</v>
      </c>
      <c r="J124" s="18" t="s">
        <v>106</v>
      </c>
      <c r="K124" s="18" t="s">
        <v>46</v>
      </c>
      <c r="L124" s="18" t="s">
        <v>78</v>
      </c>
      <c r="M124" s="18">
        <v>14</v>
      </c>
      <c r="N124" s="18">
        <v>1200</v>
      </c>
      <c r="O124" s="18">
        <v>20</v>
      </c>
      <c r="P124" s="18">
        <v>13440</v>
      </c>
      <c r="Q124" s="18">
        <v>5</v>
      </c>
      <c r="R124" s="18" t="s">
        <v>48</v>
      </c>
      <c r="S124" s="18" t="s">
        <v>61</v>
      </c>
      <c r="T124" s="18" t="s">
        <v>175</v>
      </c>
      <c r="U124" s="19" t="s">
        <v>705</v>
      </c>
      <c r="V124" s="18" t="s">
        <v>38</v>
      </c>
    </row>
    <row r="125" spans="1:22">
      <c r="A125" s="15" t="s">
        <v>706</v>
      </c>
      <c r="B125" s="15" t="s">
        <v>100</v>
      </c>
      <c r="C125" s="15" t="s">
        <v>259</v>
      </c>
      <c r="D125" s="15" t="s">
        <v>597</v>
      </c>
      <c r="E125" s="15" t="s">
        <v>707</v>
      </c>
      <c r="F125" s="15" t="s">
        <v>103</v>
      </c>
      <c r="G125" s="15" t="s">
        <v>28</v>
      </c>
      <c r="H125" s="15" t="s">
        <v>708</v>
      </c>
      <c r="I125" s="15" t="s">
        <v>44</v>
      </c>
      <c r="J125" s="15" t="s">
        <v>45</v>
      </c>
      <c r="K125" s="15" t="s">
        <v>122</v>
      </c>
      <c r="L125" s="15" t="s">
        <v>263</v>
      </c>
      <c r="M125" s="15">
        <v>2</v>
      </c>
      <c r="N125" s="15">
        <v>45</v>
      </c>
      <c r="O125" s="15">
        <v>5</v>
      </c>
      <c r="P125" s="15">
        <v>85.5</v>
      </c>
      <c r="Q125" s="15">
        <v>3</v>
      </c>
      <c r="R125" s="15" t="s">
        <v>88</v>
      </c>
      <c r="S125" s="15" t="s">
        <v>35</v>
      </c>
      <c r="T125" s="15" t="s">
        <v>144</v>
      </c>
      <c r="U125" s="17" t="s">
        <v>709</v>
      </c>
      <c r="V125" s="15" t="s">
        <v>69</v>
      </c>
    </row>
    <row r="126" spans="1:22">
      <c r="A126" s="18" t="s">
        <v>710</v>
      </c>
      <c r="B126" s="18" t="s">
        <v>168</v>
      </c>
      <c r="C126" s="18" t="s">
        <v>72</v>
      </c>
      <c r="D126" s="18" t="s">
        <v>711</v>
      </c>
      <c r="E126" s="18" t="s">
        <v>712</v>
      </c>
      <c r="F126" s="18" t="s">
        <v>361</v>
      </c>
      <c r="G126" s="18" t="s">
        <v>28</v>
      </c>
      <c r="H126" s="18" t="s">
        <v>713</v>
      </c>
      <c r="I126" s="18" t="s">
        <v>59</v>
      </c>
      <c r="J126" s="18" t="s">
        <v>31</v>
      </c>
      <c r="K126" s="18" t="s">
        <v>46</v>
      </c>
      <c r="L126" s="18" t="s">
        <v>78</v>
      </c>
      <c r="M126" s="18">
        <v>2</v>
      </c>
      <c r="N126" s="18">
        <v>1200</v>
      </c>
      <c r="O126" s="18">
        <v>20</v>
      </c>
      <c r="P126" s="18">
        <v>1920</v>
      </c>
      <c r="Q126" s="18">
        <v>3</v>
      </c>
      <c r="R126" s="18" t="s">
        <v>79</v>
      </c>
      <c r="S126" s="18" t="s">
        <v>115</v>
      </c>
      <c r="T126" s="18" t="s">
        <v>175</v>
      </c>
      <c r="U126" s="19" t="s">
        <v>714</v>
      </c>
      <c r="V126" s="18" t="s">
        <v>38</v>
      </c>
    </row>
    <row r="127" spans="1:22">
      <c r="A127" s="15" t="s">
        <v>715</v>
      </c>
      <c r="B127" s="15" t="s">
        <v>127</v>
      </c>
      <c r="C127" s="15" t="s">
        <v>54</v>
      </c>
      <c r="D127" s="15" t="s">
        <v>224</v>
      </c>
      <c r="E127" s="15" t="s">
        <v>716</v>
      </c>
      <c r="F127" s="15" t="s">
        <v>200</v>
      </c>
      <c r="G127" s="15" t="s">
        <v>76</v>
      </c>
      <c r="H127" s="15" t="s">
        <v>717</v>
      </c>
      <c r="I127" s="15" t="s">
        <v>59</v>
      </c>
      <c r="J127" s="15" t="s">
        <v>31</v>
      </c>
      <c r="K127" s="15" t="s">
        <v>46</v>
      </c>
      <c r="L127" s="15" t="s">
        <v>60</v>
      </c>
      <c r="M127" s="15">
        <v>10</v>
      </c>
      <c r="N127" s="15">
        <v>55000</v>
      </c>
      <c r="O127" s="15">
        <v>5</v>
      </c>
      <c r="P127" s="15">
        <v>522500</v>
      </c>
      <c r="Q127" s="15">
        <v>5</v>
      </c>
      <c r="R127" s="15" t="s">
        <v>88</v>
      </c>
      <c r="S127" s="15" t="s">
        <v>61</v>
      </c>
      <c r="T127" s="15" t="s">
        <v>132</v>
      </c>
      <c r="U127" s="17" t="s">
        <v>718</v>
      </c>
      <c r="V127" s="15" t="s">
        <v>64</v>
      </c>
    </row>
    <row r="128" spans="1:22">
      <c r="A128" s="18" t="s">
        <v>719</v>
      </c>
      <c r="B128" s="18" t="s">
        <v>251</v>
      </c>
      <c r="C128" s="18" t="s">
        <v>92</v>
      </c>
      <c r="D128" s="18" t="s">
        <v>720</v>
      </c>
      <c r="E128" s="18" t="s">
        <v>382</v>
      </c>
      <c r="F128" s="18" t="s">
        <v>254</v>
      </c>
      <c r="G128" s="18" t="s">
        <v>28</v>
      </c>
      <c r="H128" s="18" t="s">
        <v>721</v>
      </c>
      <c r="I128" s="18" t="s">
        <v>212</v>
      </c>
      <c r="J128" s="18" t="s">
        <v>45</v>
      </c>
      <c r="K128" s="18" t="s">
        <v>32</v>
      </c>
      <c r="L128" s="18" t="s">
        <v>97</v>
      </c>
      <c r="M128" s="18">
        <v>15</v>
      </c>
      <c r="N128" s="18">
        <v>3500</v>
      </c>
      <c r="O128" s="18">
        <v>10</v>
      </c>
      <c r="P128" s="18">
        <v>47250</v>
      </c>
      <c r="Q128" s="18">
        <v>3</v>
      </c>
      <c r="R128" s="18" t="s">
        <v>48</v>
      </c>
      <c r="S128" s="18" t="s">
        <v>115</v>
      </c>
      <c r="T128" s="18" t="s">
        <v>256</v>
      </c>
      <c r="U128" s="19" t="s">
        <v>722</v>
      </c>
      <c r="V128" s="18" t="s">
        <v>38</v>
      </c>
    </row>
    <row r="129" spans="1:22">
      <c r="A129" s="15" t="s">
        <v>723</v>
      </c>
      <c r="B129" s="15" t="s">
        <v>100</v>
      </c>
      <c r="C129" s="15" t="s">
        <v>24</v>
      </c>
      <c r="D129" s="15" t="s">
        <v>562</v>
      </c>
      <c r="E129" s="15" t="s">
        <v>724</v>
      </c>
      <c r="F129" s="15" t="s">
        <v>103</v>
      </c>
      <c r="G129" s="15" t="s">
        <v>28</v>
      </c>
      <c r="H129" s="15" t="s">
        <v>725</v>
      </c>
      <c r="I129" s="15" t="s">
        <v>59</v>
      </c>
      <c r="J129" s="15" t="s">
        <v>31</v>
      </c>
      <c r="K129" s="15" t="s">
        <v>32</v>
      </c>
      <c r="L129" s="15" t="s">
        <v>33</v>
      </c>
      <c r="M129" s="15">
        <v>10</v>
      </c>
      <c r="N129" s="15">
        <v>2200</v>
      </c>
      <c r="O129" s="15">
        <v>15</v>
      </c>
      <c r="P129" s="15">
        <v>18700</v>
      </c>
      <c r="Q129" s="15">
        <v>4</v>
      </c>
      <c r="R129" s="15" t="s">
        <v>79</v>
      </c>
      <c r="S129" s="15" t="s">
        <v>49</v>
      </c>
      <c r="T129" s="15" t="s">
        <v>144</v>
      </c>
      <c r="U129" s="17" t="s">
        <v>726</v>
      </c>
      <c r="V129" s="15" t="s">
        <v>64</v>
      </c>
    </row>
    <row r="130" spans="1:22">
      <c r="A130" s="18" t="s">
        <v>727</v>
      </c>
      <c r="B130" s="18" t="s">
        <v>251</v>
      </c>
      <c r="C130" s="18" t="s">
        <v>92</v>
      </c>
      <c r="D130" s="18" t="s">
        <v>260</v>
      </c>
      <c r="E130" s="18" t="s">
        <v>231</v>
      </c>
      <c r="F130" s="18" t="s">
        <v>254</v>
      </c>
      <c r="G130" s="18" t="s">
        <v>28</v>
      </c>
      <c r="H130" s="18" t="s">
        <v>728</v>
      </c>
      <c r="I130" s="18" t="s">
        <v>114</v>
      </c>
      <c r="J130" s="18" t="s">
        <v>106</v>
      </c>
      <c r="K130" s="18" t="s">
        <v>32</v>
      </c>
      <c r="L130" s="18" t="s">
        <v>97</v>
      </c>
      <c r="M130" s="18">
        <v>11</v>
      </c>
      <c r="N130" s="18">
        <v>3500</v>
      </c>
      <c r="O130" s="18">
        <v>5</v>
      </c>
      <c r="P130" s="18">
        <v>36575</v>
      </c>
      <c r="Q130" s="18">
        <v>5</v>
      </c>
      <c r="R130" s="18" t="s">
        <v>34</v>
      </c>
      <c r="S130" s="18" t="s">
        <v>35</v>
      </c>
      <c r="T130" s="18" t="s">
        <v>256</v>
      </c>
      <c r="U130" s="19" t="s">
        <v>729</v>
      </c>
      <c r="V130" s="18" t="s">
        <v>69</v>
      </c>
    </row>
    <row r="131" spans="1:22">
      <c r="A131" s="15" t="s">
        <v>730</v>
      </c>
      <c r="B131" s="15" t="s">
        <v>168</v>
      </c>
      <c r="C131" s="15" t="s">
        <v>72</v>
      </c>
      <c r="D131" s="15" t="s">
        <v>731</v>
      </c>
      <c r="E131" s="15" t="s">
        <v>732</v>
      </c>
      <c r="F131" s="15" t="s">
        <v>361</v>
      </c>
      <c r="G131" s="15" t="s">
        <v>28</v>
      </c>
      <c r="H131" s="15" t="s">
        <v>733</v>
      </c>
      <c r="I131" s="15" t="s">
        <v>59</v>
      </c>
      <c r="J131" s="15" t="s">
        <v>31</v>
      </c>
      <c r="K131" s="15" t="s">
        <v>46</v>
      </c>
      <c r="L131" s="15" t="s">
        <v>78</v>
      </c>
      <c r="M131" s="15">
        <v>14</v>
      </c>
      <c r="N131" s="15">
        <v>1200</v>
      </c>
      <c r="O131" s="15">
        <v>0</v>
      </c>
      <c r="P131" s="15">
        <v>16800</v>
      </c>
      <c r="Q131" s="15">
        <v>5</v>
      </c>
      <c r="R131" s="15" t="s">
        <v>34</v>
      </c>
      <c r="S131" s="15" t="s">
        <v>49</v>
      </c>
      <c r="T131" s="15" t="s">
        <v>175</v>
      </c>
      <c r="U131" s="17" t="s">
        <v>734</v>
      </c>
      <c r="V131" s="15" t="s">
        <v>69</v>
      </c>
    </row>
    <row r="132" spans="1:22">
      <c r="A132" s="18" t="s">
        <v>735</v>
      </c>
      <c r="B132" s="18" t="s">
        <v>100</v>
      </c>
      <c r="C132" s="18" t="s">
        <v>222</v>
      </c>
      <c r="D132" s="18" t="s">
        <v>736</v>
      </c>
      <c r="E132" s="18" t="s">
        <v>170</v>
      </c>
      <c r="F132" s="18" t="s">
        <v>103</v>
      </c>
      <c r="G132" s="18" t="s">
        <v>28</v>
      </c>
      <c r="H132" s="18" t="s">
        <v>737</v>
      </c>
      <c r="I132" s="18" t="s">
        <v>44</v>
      </c>
      <c r="J132" s="18" t="s">
        <v>45</v>
      </c>
      <c r="K132" s="18" t="s">
        <v>122</v>
      </c>
      <c r="L132" s="18" t="s">
        <v>227</v>
      </c>
      <c r="M132" s="18">
        <v>11</v>
      </c>
      <c r="N132" s="18">
        <v>20</v>
      </c>
      <c r="O132" s="18">
        <v>20</v>
      </c>
      <c r="P132" s="18">
        <v>176</v>
      </c>
      <c r="Q132" s="18">
        <v>4</v>
      </c>
      <c r="R132" s="18" t="s">
        <v>48</v>
      </c>
      <c r="S132" s="18" t="s">
        <v>35</v>
      </c>
      <c r="T132" s="18" t="s">
        <v>144</v>
      </c>
      <c r="U132" s="19" t="s">
        <v>738</v>
      </c>
      <c r="V132" s="18" t="s">
        <v>38</v>
      </c>
    </row>
    <row r="133" spans="1:22">
      <c r="A133" s="15" t="s">
        <v>739</v>
      </c>
      <c r="B133" s="15" t="s">
        <v>71</v>
      </c>
      <c r="C133" s="15" t="s">
        <v>40</v>
      </c>
      <c r="D133" s="15" t="s">
        <v>740</v>
      </c>
      <c r="E133" s="15" t="s">
        <v>657</v>
      </c>
      <c r="F133" s="15" t="s">
        <v>217</v>
      </c>
      <c r="G133" s="15" t="s">
        <v>76</v>
      </c>
      <c r="H133" s="15" t="s">
        <v>741</v>
      </c>
      <c r="I133" s="15" t="s">
        <v>114</v>
      </c>
      <c r="J133" s="15" t="s">
        <v>106</v>
      </c>
      <c r="K133" s="15" t="s">
        <v>46</v>
      </c>
      <c r="L133" s="15" t="s">
        <v>47</v>
      </c>
      <c r="M133" s="15">
        <v>6</v>
      </c>
      <c r="N133" s="15">
        <v>12000</v>
      </c>
      <c r="O133" s="15">
        <v>10</v>
      </c>
      <c r="P133" s="15">
        <v>64800</v>
      </c>
      <c r="Q133" s="15">
        <v>5</v>
      </c>
      <c r="R133" s="15" t="s">
        <v>88</v>
      </c>
      <c r="S133" s="15" t="s">
        <v>151</v>
      </c>
      <c r="T133" s="15" t="s">
        <v>80</v>
      </c>
      <c r="U133" s="17" t="s">
        <v>742</v>
      </c>
      <c r="V133" s="15" t="s">
        <v>38</v>
      </c>
    </row>
    <row r="134" spans="1:22">
      <c r="A134" s="18" t="s">
        <v>743</v>
      </c>
      <c r="B134" s="18" t="s">
        <v>71</v>
      </c>
      <c r="C134" s="18" t="s">
        <v>24</v>
      </c>
      <c r="D134" s="18" t="s">
        <v>652</v>
      </c>
      <c r="E134" s="18" t="s">
        <v>539</v>
      </c>
      <c r="F134" s="18" t="s">
        <v>217</v>
      </c>
      <c r="G134" s="18" t="s">
        <v>76</v>
      </c>
      <c r="H134" s="18" t="s">
        <v>744</v>
      </c>
      <c r="I134" s="18" t="s">
        <v>30</v>
      </c>
      <c r="J134" s="18" t="s">
        <v>31</v>
      </c>
      <c r="K134" s="18" t="s">
        <v>32</v>
      </c>
      <c r="L134" s="18" t="s">
        <v>33</v>
      </c>
      <c r="M134" s="18">
        <v>6</v>
      </c>
      <c r="N134" s="18">
        <v>2200</v>
      </c>
      <c r="O134" s="18">
        <v>5</v>
      </c>
      <c r="P134" s="18">
        <v>12540</v>
      </c>
      <c r="Q134" s="18">
        <v>4</v>
      </c>
      <c r="R134" s="18" t="s">
        <v>34</v>
      </c>
      <c r="S134" s="18" t="s">
        <v>49</v>
      </c>
      <c r="T134" s="18" t="s">
        <v>80</v>
      </c>
      <c r="U134" s="19" t="s">
        <v>745</v>
      </c>
      <c r="V134" s="18" t="s">
        <v>38</v>
      </c>
    </row>
    <row r="135" spans="1:22">
      <c r="A135" s="15" t="s">
        <v>746</v>
      </c>
      <c r="B135" s="15" t="s">
        <v>53</v>
      </c>
      <c r="C135" s="15" t="s">
        <v>92</v>
      </c>
      <c r="D135" s="15" t="s">
        <v>408</v>
      </c>
      <c r="E135" s="15" t="s">
        <v>488</v>
      </c>
      <c r="F135" s="15" t="s">
        <v>163</v>
      </c>
      <c r="G135" s="15" t="s">
        <v>28</v>
      </c>
      <c r="H135" s="15" t="s">
        <v>747</v>
      </c>
      <c r="I135" s="15" t="s">
        <v>44</v>
      </c>
      <c r="J135" s="15" t="s">
        <v>45</v>
      </c>
      <c r="K135" s="15" t="s">
        <v>32</v>
      </c>
      <c r="L135" s="15" t="s">
        <v>97</v>
      </c>
      <c r="M135" s="15">
        <v>3</v>
      </c>
      <c r="N135" s="15">
        <v>3500</v>
      </c>
      <c r="O135" s="15">
        <v>5</v>
      </c>
      <c r="P135" s="15">
        <v>9975</v>
      </c>
      <c r="Q135" s="15">
        <v>4</v>
      </c>
      <c r="R135" s="15" t="s">
        <v>48</v>
      </c>
      <c r="S135" s="15" t="s">
        <v>49</v>
      </c>
      <c r="T135" s="15" t="s">
        <v>62</v>
      </c>
      <c r="U135" s="17" t="s">
        <v>748</v>
      </c>
      <c r="V135" s="15" t="s">
        <v>64</v>
      </c>
    </row>
    <row r="136" spans="1:22">
      <c r="A136" s="18" t="s">
        <v>749</v>
      </c>
      <c r="B136" s="18" t="s">
        <v>71</v>
      </c>
      <c r="C136" s="18" t="s">
        <v>169</v>
      </c>
      <c r="D136" s="18" t="s">
        <v>750</v>
      </c>
      <c r="E136" s="18" t="s">
        <v>751</v>
      </c>
      <c r="F136" s="18" t="s">
        <v>217</v>
      </c>
      <c r="G136" s="18" t="s">
        <v>76</v>
      </c>
      <c r="H136" s="18" t="s">
        <v>752</v>
      </c>
      <c r="I136" s="18" t="s">
        <v>30</v>
      </c>
      <c r="J136" s="18" t="s">
        <v>31</v>
      </c>
      <c r="K136" s="18" t="s">
        <v>32</v>
      </c>
      <c r="L136" s="18" t="s">
        <v>174</v>
      </c>
      <c r="M136" s="18">
        <v>5</v>
      </c>
      <c r="N136" s="18">
        <v>8500</v>
      </c>
      <c r="O136" s="18">
        <v>20</v>
      </c>
      <c r="P136" s="18">
        <v>34000</v>
      </c>
      <c r="Q136" s="18">
        <v>5</v>
      </c>
      <c r="R136" s="18" t="s">
        <v>34</v>
      </c>
      <c r="S136" s="18" t="s">
        <v>61</v>
      </c>
      <c r="T136" s="18" t="s">
        <v>80</v>
      </c>
      <c r="U136" s="19" t="s">
        <v>753</v>
      </c>
      <c r="V136" s="18" t="s">
        <v>64</v>
      </c>
    </row>
    <row r="137" spans="1:22">
      <c r="A137" s="15" t="s">
        <v>754</v>
      </c>
      <c r="B137" s="15" t="s">
        <v>23</v>
      </c>
      <c r="C137" s="15" t="s">
        <v>92</v>
      </c>
      <c r="D137" s="15" t="s">
        <v>755</v>
      </c>
      <c r="E137" s="15" t="s">
        <v>756</v>
      </c>
      <c r="F137" s="15" t="s">
        <v>27</v>
      </c>
      <c r="G137" s="15" t="s">
        <v>28</v>
      </c>
      <c r="H137" s="15" t="s">
        <v>757</v>
      </c>
      <c r="I137" s="15" t="s">
        <v>59</v>
      </c>
      <c r="J137" s="15" t="s">
        <v>31</v>
      </c>
      <c r="K137" s="15" t="s">
        <v>32</v>
      </c>
      <c r="L137" s="15" t="s">
        <v>97</v>
      </c>
      <c r="M137" s="15">
        <v>14</v>
      </c>
      <c r="N137" s="15">
        <v>3500</v>
      </c>
      <c r="O137" s="15">
        <v>10</v>
      </c>
      <c r="P137" s="15">
        <v>44100</v>
      </c>
      <c r="Q137" s="15">
        <v>4</v>
      </c>
      <c r="R137" s="15" t="s">
        <v>88</v>
      </c>
      <c r="S137" s="15" t="s">
        <v>35</v>
      </c>
      <c r="T137" s="15" t="s">
        <v>50</v>
      </c>
      <c r="U137" s="17" t="s">
        <v>758</v>
      </c>
      <c r="V137" s="15" t="s">
        <v>69</v>
      </c>
    </row>
    <row r="138" spans="1:22">
      <c r="A138" s="18" t="s">
        <v>759</v>
      </c>
      <c r="B138" s="18" t="s">
        <v>327</v>
      </c>
      <c r="C138" s="18" t="s">
        <v>259</v>
      </c>
      <c r="D138" s="18" t="s">
        <v>760</v>
      </c>
      <c r="E138" s="18" t="s">
        <v>761</v>
      </c>
      <c r="F138" s="18" t="s">
        <v>394</v>
      </c>
      <c r="G138" s="18" t="s">
        <v>76</v>
      </c>
      <c r="H138" s="18" t="s">
        <v>762</v>
      </c>
      <c r="I138" s="18" t="s">
        <v>138</v>
      </c>
      <c r="J138" s="18" t="s">
        <v>106</v>
      </c>
      <c r="K138" s="18" t="s">
        <v>122</v>
      </c>
      <c r="L138" s="18" t="s">
        <v>263</v>
      </c>
      <c r="M138" s="18">
        <v>8</v>
      </c>
      <c r="N138" s="18">
        <v>45</v>
      </c>
      <c r="O138" s="18">
        <v>0</v>
      </c>
      <c r="P138" s="18">
        <v>360</v>
      </c>
      <c r="Q138" s="18">
        <v>1</v>
      </c>
      <c r="R138" s="18" t="s">
        <v>79</v>
      </c>
      <c r="S138" s="18" t="s">
        <v>151</v>
      </c>
      <c r="T138" s="18" t="s">
        <v>332</v>
      </c>
      <c r="U138" s="19" t="s">
        <v>763</v>
      </c>
      <c r="V138" s="18" t="s">
        <v>69</v>
      </c>
    </row>
    <row r="139" spans="1:22">
      <c r="A139" s="15" t="s">
        <v>764</v>
      </c>
      <c r="B139" s="15" t="s">
        <v>221</v>
      </c>
      <c r="C139" s="15" t="s">
        <v>259</v>
      </c>
      <c r="D139" s="15" t="s">
        <v>765</v>
      </c>
      <c r="E139" s="15" t="s">
        <v>766</v>
      </c>
      <c r="F139" s="15" t="s">
        <v>225</v>
      </c>
      <c r="G139" s="15" t="s">
        <v>76</v>
      </c>
      <c r="H139" s="15" t="s">
        <v>767</v>
      </c>
      <c r="I139" s="15" t="s">
        <v>44</v>
      </c>
      <c r="J139" s="15" t="s">
        <v>45</v>
      </c>
      <c r="K139" s="15" t="s">
        <v>122</v>
      </c>
      <c r="L139" s="15" t="s">
        <v>263</v>
      </c>
      <c r="M139" s="15">
        <v>11</v>
      </c>
      <c r="N139" s="15">
        <v>45</v>
      </c>
      <c r="O139" s="15">
        <v>5</v>
      </c>
      <c r="P139" s="15">
        <v>470.25</v>
      </c>
      <c r="Q139" s="15">
        <v>3</v>
      </c>
      <c r="R139" s="15" t="s">
        <v>79</v>
      </c>
      <c r="S139" s="15" t="s">
        <v>49</v>
      </c>
      <c r="T139" s="15" t="s">
        <v>228</v>
      </c>
      <c r="U139" s="17" t="s">
        <v>768</v>
      </c>
      <c r="V139" s="15" t="s">
        <v>38</v>
      </c>
    </row>
    <row r="140" spans="1:22">
      <c r="A140" s="18" t="s">
        <v>769</v>
      </c>
      <c r="B140" s="18" t="s">
        <v>83</v>
      </c>
      <c r="C140" s="18" t="s">
        <v>54</v>
      </c>
      <c r="D140" s="18" t="s">
        <v>770</v>
      </c>
      <c r="E140" s="18" t="s">
        <v>771</v>
      </c>
      <c r="F140" s="18" t="s">
        <v>180</v>
      </c>
      <c r="G140" s="18" t="s">
        <v>76</v>
      </c>
      <c r="H140" s="18" t="s">
        <v>772</v>
      </c>
      <c r="I140" s="18" t="s">
        <v>138</v>
      </c>
      <c r="J140" s="18" t="s">
        <v>106</v>
      </c>
      <c r="K140" s="18" t="s">
        <v>46</v>
      </c>
      <c r="L140" s="18" t="s">
        <v>60</v>
      </c>
      <c r="M140" s="18">
        <v>19</v>
      </c>
      <c r="N140" s="18">
        <v>55000</v>
      </c>
      <c r="O140" s="18">
        <v>0</v>
      </c>
      <c r="P140" s="18">
        <v>1045000</v>
      </c>
      <c r="Q140" s="18">
        <v>2</v>
      </c>
      <c r="R140" s="18" t="s">
        <v>79</v>
      </c>
      <c r="S140" s="18" t="s">
        <v>35</v>
      </c>
      <c r="T140" s="18" t="s">
        <v>89</v>
      </c>
      <c r="U140" s="19" t="s">
        <v>773</v>
      </c>
      <c r="V140" s="18" t="s">
        <v>69</v>
      </c>
    </row>
    <row r="141" spans="1:22">
      <c r="A141" s="15" t="s">
        <v>774</v>
      </c>
      <c r="B141" s="15" t="s">
        <v>53</v>
      </c>
      <c r="C141" s="15" t="s">
        <v>92</v>
      </c>
      <c r="D141" s="15" t="s">
        <v>775</v>
      </c>
      <c r="E141" s="15" t="s">
        <v>539</v>
      </c>
      <c r="F141" s="15" t="s">
        <v>163</v>
      </c>
      <c r="G141" s="15" t="s">
        <v>28</v>
      </c>
      <c r="H141" s="15" t="s">
        <v>776</v>
      </c>
      <c r="I141" s="15" t="s">
        <v>114</v>
      </c>
      <c r="J141" s="15" t="s">
        <v>106</v>
      </c>
      <c r="K141" s="15" t="s">
        <v>32</v>
      </c>
      <c r="L141" s="15" t="s">
        <v>97</v>
      </c>
      <c r="M141" s="15">
        <v>20</v>
      </c>
      <c r="N141" s="15">
        <v>3500</v>
      </c>
      <c r="O141" s="15">
        <v>20</v>
      </c>
      <c r="P141" s="15">
        <v>56000</v>
      </c>
      <c r="Q141" s="15">
        <v>4</v>
      </c>
      <c r="R141" s="15" t="s">
        <v>48</v>
      </c>
      <c r="S141" s="15" t="s">
        <v>49</v>
      </c>
      <c r="T141" s="15" t="s">
        <v>62</v>
      </c>
      <c r="U141" s="17" t="s">
        <v>777</v>
      </c>
      <c r="V141" s="15" t="s">
        <v>38</v>
      </c>
    </row>
    <row r="142" spans="1:22">
      <c r="A142" s="18" t="s">
        <v>778</v>
      </c>
      <c r="B142" s="18" t="s">
        <v>83</v>
      </c>
      <c r="C142" s="18" t="s">
        <v>24</v>
      </c>
      <c r="D142" s="18" t="s">
        <v>276</v>
      </c>
      <c r="E142" s="18" t="s">
        <v>779</v>
      </c>
      <c r="F142" s="18" t="s">
        <v>180</v>
      </c>
      <c r="G142" s="18" t="s">
        <v>76</v>
      </c>
      <c r="H142" s="18" t="s">
        <v>780</v>
      </c>
      <c r="I142" s="18" t="s">
        <v>114</v>
      </c>
      <c r="J142" s="18" t="s">
        <v>106</v>
      </c>
      <c r="K142" s="18" t="s">
        <v>32</v>
      </c>
      <c r="L142" s="18" t="s">
        <v>33</v>
      </c>
      <c r="M142" s="18">
        <v>17</v>
      </c>
      <c r="N142" s="18">
        <v>2200</v>
      </c>
      <c r="O142" s="18">
        <v>0</v>
      </c>
      <c r="P142" s="18">
        <v>37400</v>
      </c>
      <c r="Q142" s="18">
        <v>5</v>
      </c>
      <c r="R142" s="18" t="s">
        <v>48</v>
      </c>
      <c r="S142" s="18" t="s">
        <v>35</v>
      </c>
      <c r="T142" s="18" t="s">
        <v>89</v>
      </c>
      <c r="U142" s="19" t="s">
        <v>781</v>
      </c>
      <c r="V142" s="18" t="s">
        <v>64</v>
      </c>
    </row>
    <row r="143" spans="1:22">
      <c r="A143" s="15" t="s">
        <v>782</v>
      </c>
      <c r="B143" s="15" t="s">
        <v>83</v>
      </c>
      <c r="C143" s="15" t="s">
        <v>72</v>
      </c>
      <c r="D143" s="15" t="s">
        <v>770</v>
      </c>
      <c r="E143" s="15" t="s">
        <v>783</v>
      </c>
      <c r="F143" s="15" t="s">
        <v>180</v>
      </c>
      <c r="G143" s="15" t="s">
        <v>76</v>
      </c>
      <c r="H143" s="15" t="s">
        <v>784</v>
      </c>
      <c r="I143" s="15" t="s">
        <v>114</v>
      </c>
      <c r="J143" s="15" t="s">
        <v>106</v>
      </c>
      <c r="K143" s="15" t="s">
        <v>46</v>
      </c>
      <c r="L143" s="15" t="s">
        <v>78</v>
      </c>
      <c r="M143" s="15">
        <v>10</v>
      </c>
      <c r="N143" s="15">
        <v>1200</v>
      </c>
      <c r="O143" s="15">
        <v>5</v>
      </c>
      <c r="P143" s="15">
        <v>11400</v>
      </c>
      <c r="Q143" s="15">
        <v>2</v>
      </c>
      <c r="R143" s="15" t="s">
        <v>34</v>
      </c>
      <c r="S143" s="15" t="s">
        <v>49</v>
      </c>
      <c r="T143" s="15" t="s">
        <v>89</v>
      </c>
      <c r="U143" s="17" t="s">
        <v>785</v>
      </c>
      <c r="V143" s="15" t="s">
        <v>69</v>
      </c>
    </row>
    <row r="144" spans="1:22">
      <c r="A144" s="18" t="s">
        <v>786</v>
      </c>
      <c r="B144" s="18" t="s">
        <v>221</v>
      </c>
      <c r="C144" s="18" t="s">
        <v>118</v>
      </c>
      <c r="D144" s="18" t="s">
        <v>787</v>
      </c>
      <c r="E144" s="18" t="s">
        <v>788</v>
      </c>
      <c r="F144" s="18" t="s">
        <v>225</v>
      </c>
      <c r="G144" s="18" t="s">
        <v>76</v>
      </c>
      <c r="H144" s="18" t="s">
        <v>789</v>
      </c>
      <c r="I144" s="18" t="s">
        <v>30</v>
      </c>
      <c r="J144" s="18" t="s">
        <v>31</v>
      </c>
      <c r="K144" s="18" t="s">
        <v>122</v>
      </c>
      <c r="L144" s="18" t="s">
        <v>123</v>
      </c>
      <c r="M144" s="18">
        <v>3</v>
      </c>
      <c r="N144" s="18">
        <v>60</v>
      </c>
      <c r="O144" s="18">
        <v>0</v>
      </c>
      <c r="P144" s="18">
        <v>180</v>
      </c>
      <c r="Q144" s="18">
        <v>4</v>
      </c>
      <c r="R144" s="18" t="s">
        <v>48</v>
      </c>
      <c r="S144" s="18" t="s">
        <v>151</v>
      </c>
      <c r="T144" s="18" t="s">
        <v>228</v>
      </c>
      <c r="U144" s="19" t="s">
        <v>790</v>
      </c>
      <c r="V144" s="18" t="s">
        <v>38</v>
      </c>
    </row>
    <row r="145" spans="1:22">
      <c r="A145" s="15" t="s">
        <v>791</v>
      </c>
      <c r="B145" s="15" t="s">
        <v>53</v>
      </c>
      <c r="C145" s="15" t="s">
        <v>24</v>
      </c>
      <c r="D145" s="15" t="s">
        <v>792</v>
      </c>
      <c r="E145" s="15" t="s">
        <v>793</v>
      </c>
      <c r="F145" s="15" t="s">
        <v>163</v>
      </c>
      <c r="G145" s="15" t="s">
        <v>28</v>
      </c>
      <c r="H145" s="15" t="s">
        <v>794</v>
      </c>
      <c r="I145" s="15" t="s">
        <v>105</v>
      </c>
      <c r="J145" s="15" t="s">
        <v>106</v>
      </c>
      <c r="K145" s="15" t="s">
        <v>32</v>
      </c>
      <c r="L145" s="15" t="s">
        <v>33</v>
      </c>
      <c r="M145" s="15">
        <v>18</v>
      </c>
      <c r="N145" s="15">
        <v>2200</v>
      </c>
      <c r="O145" s="15">
        <v>10</v>
      </c>
      <c r="P145" s="15">
        <v>35640</v>
      </c>
      <c r="Q145" s="15">
        <v>1</v>
      </c>
      <c r="R145" s="15" t="s">
        <v>79</v>
      </c>
      <c r="S145" s="15" t="s">
        <v>151</v>
      </c>
      <c r="T145" s="15" t="s">
        <v>62</v>
      </c>
      <c r="U145" s="17" t="s">
        <v>795</v>
      </c>
      <c r="V145" s="15" t="s">
        <v>69</v>
      </c>
    </row>
    <row r="146" spans="1:22">
      <c r="A146" s="18" t="s">
        <v>796</v>
      </c>
      <c r="B146" s="18" t="s">
        <v>71</v>
      </c>
      <c r="C146" s="18" t="s">
        <v>118</v>
      </c>
      <c r="D146" s="18" t="s">
        <v>797</v>
      </c>
      <c r="E146" s="18" t="s">
        <v>798</v>
      </c>
      <c r="F146" s="18" t="s">
        <v>217</v>
      </c>
      <c r="G146" s="18" t="s">
        <v>76</v>
      </c>
      <c r="H146" s="18" t="s">
        <v>799</v>
      </c>
      <c r="I146" s="18" t="s">
        <v>44</v>
      </c>
      <c r="J146" s="18" t="s">
        <v>45</v>
      </c>
      <c r="K146" s="18" t="s">
        <v>122</v>
      </c>
      <c r="L146" s="18" t="s">
        <v>123</v>
      </c>
      <c r="M146" s="18">
        <v>18</v>
      </c>
      <c r="N146" s="18">
        <v>60</v>
      </c>
      <c r="O146" s="18">
        <v>5</v>
      </c>
      <c r="P146" s="18">
        <v>1026</v>
      </c>
      <c r="Q146" s="18">
        <v>3</v>
      </c>
      <c r="R146" s="18" t="s">
        <v>79</v>
      </c>
      <c r="S146" s="18" t="s">
        <v>49</v>
      </c>
      <c r="T146" s="18" t="s">
        <v>80</v>
      </c>
      <c r="U146" s="19" t="s">
        <v>800</v>
      </c>
      <c r="V146" s="18" t="s">
        <v>64</v>
      </c>
    </row>
    <row r="147" spans="1:22">
      <c r="A147" s="15" t="s">
        <v>801</v>
      </c>
      <c r="B147" s="15" t="s">
        <v>127</v>
      </c>
      <c r="C147" s="15" t="s">
        <v>54</v>
      </c>
      <c r="D147" s="15" t="s">
        <v>422</v>
      </c>
      <c r="E147" s="15" t="s">
        <v>377</v>
      </c>
      <c r="F147" s="15" t="s">
        <v>200</v>
      </c>
      <c r="G147" s="15" t="s">
        <v>76</v>
      </c>
      <c r="H147" s="15" t="s">
        <v>802</v>
      </c>
      <c r="I147" s="15" t="s">
        <v>114</v>
      </c>
      <c r="J147" s="15" t="s">
        <v>106</v>
      </c>
      <c r="K147" s="15" t="s">
        <v>46</v>
      </c>
      <c r="L147" s="15" t="s">
        <v>60</v>
      </c>
      <c r="M147" s="15">
        <v>11</v>
      </c>
      <c r="N147" s="15">
        <v>55000</v>
      </c>
      <c r="O147" s="15">
        <v>15</v>
      </c>
      <c r="P147" s="15">
        <v>514250</v>
      </c>
      <c r="Q147" s="15">
        <v>4</v>
      </c>
      <c r="R147" s="15" t="s">
        <v>88</v>
      </c>
      <c r="S147" s="15" t="s">
        <v>115</v>
      </c>
      <c r="T147" s="15" t="s">
        <v>132</v>
      </c>
      <c r="U147" s="17" t="s">
        <v>803</v>
      </c>
      <c r="V147" s="15" t="s">
        <v>69</v>
      </c>
    </row>
    <row r="148" spans="1:22">
      <c r="A148" s="18" t="s">
        <v>804</v>
      </c>
      <c r="B148" s="18" t="s">
        <v>251</v>
      </c>
      <c r="C148" s="18" t="s">
        <v>169</v>
      </c>
      <c r="D148" s="18" t="s">
        <v>474</v>
      </c>
      <c r="E148" s="18" t="s">
        <v>464</v>
      </c>
      <c r="F148" s="18" t="s">
        <v>254</v>
      </c>
      <c r="G148" s="18" t="s">
        <v>28</v>
      </c>
      <c r="H148" s="18" t="s">
        <v>805</v>
      </c>
      <c r="I148" s="18" t="s">
        <v>294</v>
      </c>
      <c r="J148" s="18" t="s">
        <v>295</v>
      </c>
      <c r="K148" s="18" t="s">
        <v>32</v>
      </c>
      <c r="L148" s="18" t="s">
        <v>174</v>
      </c>
      <c r="M148" s="18">
        <v>5</v>
      </c>
      <c r="N148" s="18">
        <v>8500</v>
      </c>
      <c r="O148" s="18">
        <v>5</v>
      </c>
      <c r="P148" s="18">
        <v>40375</v>
      </c>
      <c r="Q148" s="18">
        <v>4</v>
      </c>
      <c r="R148" s="18" t="s">
        <v>34</v>
      </c>
      <c r="S148" s="18" t="s">
        <v>151</v>
      </c>
      <c r="T148" s="18" t="s">
        <v>256</v>
      </c>
      <c r="U148" s="19" t="s">
        <v>806</v>
      </c>
      <c r="V148" s="18" t="s">
        <v>38</v>
      </c>
    </row>
    <row r="149" spans="1:22">
      <c r="A149" s="18" t="s">
        <v>809</v>
      </c>
      <c r="B149" s="18" t="s">
        <v>127</v>
      </c>
      <c r="C149" s="18" t="s">
        <v>184</v>
      </c>
      <c r="D149" s="18" t="s">
        <v>489</v>
      </c>
      <c r="E149" s="18" t="s">
        <v>267</v>
      </c>
      <c r="F149" s="18" t="s">
        <v>200</v>
      </c>
      <c r="G149" s="18" t="s">
        <v>76</v>
      </c>
      <c r="H149" s="18" t="s">
        <v>810</v>
      </c>
      <c r="I149" s="18" t="s">
        <v>114</v>
      </c>
      <c r="J149" s="18" t="s">
        <v>106</v>
      </c>
      <c r="K149" s="18" t="s">
        <v>46</v>
      </c>
      <c r="L149" s="18" t="s">
        <v>189</v>
      </c>
      <c r="M149" s="18">
        <v>6</v>
      </c>
      <c r="N149" s="18">
        <v>700</v>
      </c>
      <c r="O149" s="18">
        <v>10</v>
      </c>
      <c r="P149" s="18">
        <v>3780</v>
      </c>
      <c r="Q149" s="18">
        <v>4</v>
      </c>
      <c r="R149" s="18" t="s">
        <v>34</v>
      </c>
      <c r="S149" s="18" t="s">
        <v>49</v>
      </c>
      <c r="T149" s="18" t="s">
        <v>132</v>
      </c>
      <c r="U149" s="19" t="s">
        <v>811</v>
      </c>
      <c r="V149" s="18" t="s">
        <v>69</v>
      </c>
    </row>
    <row r="150" spans="1:22">
      <c r="A150" s="15" t="s">
        <v>812</v>
      </c>
      <c r="B150" s="15" t="s">
        <v>53</v>
      </c>
      <c r="C150" s="15" t="s">
        <v>92</v>
      </c>
      <c r="D150" s="15" t="s">
        <v>518</v>
      </c>
      <c r="E150" s="15" t="s">
        <v>615</v>
      </c>
      <c r="F150" s="15" t="s">
        <v>163</v>
      </c>
      <c r="G150" s="15" t="s">
        <v>28</v>
      </c>
      <c r="H150" s="15" t="s">
        <v>813</v>
      </c>
      <c r="I150" s="15" t="s">
        <v>44</v>
      </c>
      <c r="J150" s="15" t="s">
        <v>45</v>
      </c>
      <c r="K150" s="15" t="s">
        <v>32</v>
      </c>
      <c r="L150" s="15" t="s">
        <v>97</v>
      </c>
      <c r="M150" s="15">
        <v>20</v>
      </c>
      <c r="N150" s="15">
        <v>3500</v>
      </c>
      <c r="O150" s="15">
        <v>10</v>
      </c>
      <c r="P150" s="15">
        <v>63000</v>
      </c>
      <c r="Q150" s="15">
        <v>4</v>
      </c>
      <c r="R150" s="15" t="s">
        <v>88</v>
      </c>
      <c r="S150" s="15" t="s">
        <v>49</v>
      </c>
      <c r="T150" s="15" t="s">
        <v>62</v>
      </c>
      <c r="U150" s="17" t="s">
        <v>814</v>
      </c>
      <c r="V150" s="15" t="s">
        <v>64</v>
      </c>
    </row>
    <row r="151" spans="1:22">
      <c r="A151" s="18" t="s">
        <v>815</v>
      </c>
      <c r="B151" s="18" t="s">
        <v>23</v>
      </c>
      <c r="C151" s="18" t="s">
        <v>222</v>
      </c>
      <c r="D151" s="18" t="s">
        <v>816</v>
      </c>
      <c r="E151" s="18" t="s">
        <v>817</v>
      </c>
      <c r="F151" s="18" t="s">
        <v>27</v>
      </c>
      <c r="G151" s="18" t="s">
        <v>28</v>
      </c>
      <c r="H151" s="18" t="s">
        <v>818</v>
      </c>
      <c r="I151" s="18" t="s">
        <v>59</v>
      </c>
      <c r="J151" s="18" t="s">
        <v>31</v>
      </c>
      <c r="K151" s="18" t="s">
        <v>122</v>
      </c>
      <c r="L151" s="18" t="s">
        <v>227</v>
      </c>
      <c r="M151" s="18">
        <v>2</v>
      </c>
      <c r="N151" s="18">
        <v>20</v>
      </c>
      <c r="O151" s="18">
        <v>10</v>
      </c>
      <c r="P151" s="18">
        <v>36</v>
      </c>
      <c r="Q151" s="18">
        <v>1</v>
      </c>
      <c r="R151" s="18" t="s">
        <v>48</v>
      </c>
      <c r="S151" s="18" t="s">
        <v>115</v>
      </c>
      <c r="T151" s="18" t="s">
        <v>50</v>
      </c>
      <c r="U151" s="19" t="s">
        <v>819</v>
      </c>
      <c r="V151" s="18" t="s">
        <v>64</v>
      </c>
    </row>
    <row r="152" spans="1:22">
      <c r="A152" s="15" t="s">
        <v>820</v>
      </c>
      <c r="B152" s="15" t="s">
        <v>100</v>
      </c>
      <c r="C152" s="15" t="s">
        <v>24</v>
      </c>
      <c r="D152" s="15" t="s">
        <v>779</v>
      </c>
      <c r="E152" s="15" t="s">
        <v>821</v>
      </c>
      <c r="F152" s="15" t="s">
        <v>103</v>
      </c>
      <c r="G152" s="15" t="s">
        <v>28</v>
      </c>
      <c r="H152" s="15" t="s">
        <v>822</v>
      </c>
      <c r="I152" s="15" t="s">
        <v>114</v>
      </c>
      <c r="J152" s="15" t="s">
        <v>106</v>
      </c>
      <c r="K152" s="15" t="s">
        <v>32</v>
      </c>
      <c r="L152" s="15" t="s">
        <v>33</v>
      </c>
      <c r="M152" s="15">
        <v>16</v>
      </c>
      <c r="N152" s="15">
        <v>2200</v>
      </c>
      <c r="O152" s="15">
        <v>20</v>
      </c>
      <c r="P152" s="15">
        <v>28160</v>
      </c>
      <c r="Q152" s="15">
        <v>2</v>
      </c>
      <c r="R152" s="15" t="s">
        <v>88</v>
      </c>
      <c r="S152" s="15" t="s">
        <v>151</v>
      </c>
      <c r="T152" s="15" t="s">
        <v>144</v>
      </c>
      <c r="U152" s="17" t="s">
        <v>823</v>
      </c>
      <c r="V152" s="15" t="s">
        <v>64</v>
      </c>
    </row>
    <row r="153" spans="1:22">
      <c r="A153" s="18" t="s">
        <v>824</v>
      </c>
      <c r="B153" s="18" t="s">
        <v>221</v>
      </c>
      <c r="C153" s="18" t="s">
        <v>40</v>
      </c>
      <c r="D153" s="18" t="s">
        <v>148</v>
      </c>
      <c r="E153" s="18" t="s">
        <v>825</v>
      </c>
      <c r="F153" s="18" t="s">
        <v>225</v>
      </c>
      <c r="G153" s="18" t="s">
        <v>76</v>
      </c>
      <c r="H153" s="18" t="s">
        <v>826</v>
      </c>
      <c r="I153" s="18" t="s">
        <v>114</v>
      </c>
      <c r="J153" s="18" t="s">
        <v>106</v>
      </c>
      <c r="K153" s="18" t="s">
        <v>46</v>
      </c>
      <c r="L153" s="18" t="s">
        <v>47</v>
      </c>
      <c r="M153" s="18">
        <v>15</v>
      </c>
      <c r="N153" s="18">
        <v>12000</v>
      </c>
      <c r="O153" s="18">
        <v>0</v>
      </c>
      <c r="P153" s="18">
        <v>180000</v>
      </c>
      <c r="Q153" s="18">
        <v>1</v>
      </c>
      <c r="R153" s="18" t="s">
        <v>79</v>
      </c>
      <c r="S153" s="18" t="s">
        <v>61</v>
      </c>
      <c r="T153" s="18" t="s">
        <v>228</v>
      </c>
      <c r="U153" s="19" t="s">
        <v>827</v>
      </c>
      <c r="V153" s="18" t="s">
        <v>64</v>
      </c>
    </row>
    <row r="154" spans="1:22">
      <c r="A154" s="15" t="s">
        <v>828</v>
      </c>
      <c r="B154" s="15" t="s">
        <v>23</v>
      </c>
      <c r="C154" s="15" t="s">
        <v>118</v>
      </c>
      <c r="D154" s="15" t="s">
        <v>829</v>
      </c>
      <c r="E154" s="15" t="s">
        <v>830</v>
      </c>
      <c r="F154" s="15" t="s">
        <v>27</v>
      </c>
      <c r="G154" s="15" t="s">
        <v>28</v>
      </c>
      <c r="H154" s="15" t="s">
        <v>831</v>
      </c>
      <c r="I154" s="15" t="s">
        <v>44</v>
      </c>
      <c r="J154" s="15" t="s">
        <v>45</v>
      </c>
      <c r="K154" s="15" t="s">
        <v>122</v>
      </c>
      <c r="L154" s="15" t="s">
        <v>123</v>
      </c>
      <c r="M154" s="15">
        <v>14</v>
      </c>
      <c r="N154" s="15">
        <v>60</v>
      </c>
      <c r="O154" s="15">
        <v>15</v>
      </c>
      <c r="P154" s="15">
        <v>714</v>
      </c>
      <c r="Q154" s="15">
        <v>4</v>
      </c>
      <c r="R154" s="15" t="s">
        <v>88</v>
      </c>
      <c r="S154" s="15" t="s">
        <v>49</v>
      </c>
      <c r="T154" s="15" t="s">
        <v>50</v>
      </c>
      <c r="U154" s="17" t="s">
        <v>832</v>
      </c>
      <c r="V154" s="15" t="s">
        <v>38</v>
      </c>
    </row>
    <row r="155" spans="1:22">
      <c r="A155" s="18" t="s">
        <v>833</v>
      </c>
      <c r="B155" s="18" t="s">
        <v>53</v>
      </c>
      <c r="C155" s="18" t="s">
        <v>72</v>
      </c>
      <c r="D155" s="18" t="s">
        <v>834</v>
      </c>
      <c r="E155" s="18" t="s">
        <v>835</v>
      </c>
      <c r="F155" s="18" t="s">
        <v>163</v>
      </c>
      <c r="G155" s="18" t="s">
        <v>28</v>
      </c>
      <c r="H155" s="18" t="s">
        <v>836</v>
      </c>
      <c r="I155" s="18" t="s">
        <v>30</v>
      </c>
      <c r="J155" s="18" t="s">
        <v>31</v>
      </c>
      <c r="K155" s="18" t="s">
        <v>46</v>
      </c>
      <c r="L155" s="18" t="s">
        <v>78</v>
      </c>
      <c r="M155" s="18">
        <v>9</v>
      </c>
      <c r="N155" s="18">
        <v>1200</v>
      </c>
      <c r="O155" s="18">
        <v>5</v>
      </c>
      <c r="P155" s="18">
        <v>10260</v>
      </c>
      <c r="Q155" s="18">
        <v>5</v>
      </c>
      <c r="R155" s="18" t="s">
        <v>48</v>
      </c>
      <c r="S155" s="18" t="s">
        <v>61</v>
      </c>
      <c r="T155" s="18" t="s">
        <v>62</v>
      </c>
      <c r="U155" s="19" t="s">
        <v>837</v>
      </c>
      <c r="V155" s="18" t="s">
        <v>64</v>
      </c>
    </row>
    <row r="156" spans="1:22">
      <c r="A156" s="15" t="s">
        <v>838</v>
      </c>
      <c r="B156" s="15" t="s">
        <v>221</v>
      </c>
      <c r="C156" s="15" t="s">
        <v>72</v>
      </c>
      <c r="D156" s="15" t="s">
        <v>821</v>
      </c>
      <c r="E156" s="15" t="s">
        <v>839</v>
      </c>
      <c r="F156" s="15" t="s">
        <v>225</v>
      </c>
      <c r="G156" s="15" t="s">
        <v>76</v>
      </c>
      <c r="H156" s="15" t="s">
        <v>840</v>
      </c>
      <c r="I156" s="15" t="s">
        <v>294</v>
      </c>
      <c r="J156" s="15" t="s">
        <v>295</v>
      </c>
      <c r="K156" s="15" t="s">
        <v>46</v>
      </c>
      <c r="L156" s="15" t="s">
        <v>78</v>
      </c>
      <c r="M156" s="15">
        <v>3</v>
      </c>
      <c r="N156" s="15">
        <v>1200</v>
      </c>
      <c r="O156" s="15">
        <v>10</v>
      </c>
      <c r="P156" s="15">
        <v>3240</v>
      </c>
      <c r="Q156" s="15">
        <v>2</v>
      </c>
      <c r="R156" s="15" t="s">
        <v>79</v>
      </c>
      <c r="S156" s="15" t="s">
        <v>151</v>
      </c>
      <c r="T156" s="15" t="s">
        <v>228</v>
      </c>
      <c r="U156" s="17" t="s">
        <v>841</v>
      </c>
      <c r="V156" s="15" t="s">
        <v>69</v>
      </c>
    </row>
    <row r="157" spans="1:22">
      <c r="A157" s="18" t="s">
        <v>842</v>
      </c>
      <c r="B157" s="18" t="s">
        <v>327</v>
      </c>
      <c r="C157" s="18" t="s">
        <v>118</v>
      </c>
      <c r="D157" s="18" t="s">
        <v>459</v>
      </c>
      <c r="E157" s="18" t="s">
        <v>577</v>
      </c>
      <c r="F157" s="18" t="s">
        <v>394</v>
      </c>
      <c r="G157" s="18" t="s">
        <v>76</v>
      </c>
      <c r="H157" s="18" t="s">
        <v>843</v>
      </c>
      <c r="I157" s="18" t="s">
        <v>30</v>
      </c>
      <c r="J157" s="18" t="s">
        <v>31</v>
      </c>
      <c r="K157" s="18" t="s">
        <v>122</v>
      </c>
      <c r="L157" s="18" t="s">
        <v>123</v>
      </c>
      <c r="M157" s="18">
        <v>2</v>
      </c>
      <c r="N157" s="18">
        <v>60</v>
      </c>
      <c r="O157" s="18">
        <v>10</v>
      </c>
      <c r="P157" s="18">
        <v>108</v>
      </c>
      <c r="Q157" s="18">
        <v>2</v>
      </c>
      <c r="R157" s="18" t="s">
        <v>88</v>
      </c>
      <c r="S157" s="18" t="s">
        <v>61</v>
      </c>
      <c r="T157" s="18" t="s">
        <v>332</v>
      </c>
      <c r="U157" s="19" t="s">
        <v>844</v>
      </c>
      <c r="V157" s="18" t="s">
        <v>38</v>
      </c>
    </row>
    <row r="158" spans="1:22">
      <c r="A158" s="15" t="s">
        <v>845</v>
      </c>
      <c r="B158" s="15" t="s">
        <v>71</v>
      </c>
      <c r="C158" s="15" t="s">
        <v>92</v>
      </c>
      <c r="D158" s="15" t="s">
        <v>426</v>
      </c>
      <c r="E158" s="15" t="s">
        <v>846</v>
      </c>
      <c r="F158" s="15" t="s">
        <v>217</v>
      </c>
      <c r="G158" s="15" t="s">
        <v>76</v>
      </c>
      <c r="H158" s="15" t="s">
        <v>847</v>
      </c>
      <c r="I158" s="15" t="s">
        <v>44</v>
      </c>
      <c r="J158" s="15" t="s">
        <v>45</v>
      </c>
      <c r="K158" s="15" t="s">
        <v>32</v>
      </c>
      <c r="L158" s="15" t="s">
        <v>97</v>
      </c>
      <c r="M158" s="15">
        <v>9</v>
      </c>
      <c r="N158" s="15">
        <v>3500</v>
      </c>
      <c r="O158" s="15">
        <v>20</v>
      </c>
      <c r="P158" s="15">
        <v>25200</v>
      </c>
      <c r="Q158" s="15">
        <v>1</v>
      </c>
      <c r="R158" s="15" t="s">
        <v>48</v>
      </c>
      <c r="S158" s="15" t="s">
        <v>35</v>
      </c>
      <c r="T158" s="15" t="s">
        <v>80</v>
      </c>
      <c r="U158" s="17" t="s">
        <v>848</v>
      </c>
      <c r="V158" s="15" t="s">
        <v>38</v>
      </c>
    </row>
    <row r="159" spans="1:22">
      <c r="A159" s="18" t="s">
        <v>849</v>
      </c>
      <c r="B159" s="18" t="s">
        <v>221</v>
      </c>
      <c r="C159" s="18" t="s">
        <v>54</v>
      </c>
      <c r="D159" s="18" t="s">
        <v>241</v>
      </c>
      <c r="E159" s="18" t="s">
        <v>543</v>
      </c>
      <c r="F159" s="18" t="s">
        <v>225</v>
      </c>
      <c r="G159" s="18" t="s">
        <v>76</v>
      </c>
      <c r="H159" s="18" t="s">
        <v>850</v>
      </c>
      <c r="I159" s="18" t="s">
        <v>212</v>
      </c>
      <c r="J159" s="18" t="s">
        <v>45</v>
      </c>
      <c r="K159" s="18" t="s">
        <v>46</v>
      </c>
      <c r="L159" s="18" t="s">
        <v>60</v>
      </c>
      <c r="M159" s="18">
        <v>4</v>
      </c>
      <c r="N159" s="18">
        <v>55000</v>
      </c>
      <c r="O159" s="18">
        <v>5</v>
      </c>
      <c r="P159" s="18">
        <v>209000</v>
      </c>
      <c r="Q159" s="18">
        <v>2</v>
      </c>
      <c r="R159" s="18" t="s">
        <v>34</v>
      </c>
      <c r="S159" s="18" t="s">
        <v>151</v>
      </c>
      <c r="T159" s="18" t="s">
        <v>228</v>
      </c>
      <c r="U159" s="19" t="s">
        <v>851</v>
      </c>
      <c r="V159" s="18" t="s">
        <v>64</v>
      </c>
    </row>
    <row r="160" spans="1:22">
      <c r="A160" s="15" t="s">
        <v>852</v>
      </c>
      <c r="B160" s="15" t="s">
        <v>327</v>
      </c>
      <c r="C160" s="15" t="s">
        <v>184</v>
      </c>
      <c r="D160" s="15" t="s">
        <v>488</v>
      </c>
      <c r="E160" s="15" t="s">
        <v>266</v>
      </c>
      <c r="F160" s="15" t="s">
        <v>394</v>
      </c>
      <c r="G160" s="15" t="s">
        <v>76</v>
      </c>
      <c r="H160" s="15" t="s">
        <v>854</v>
      </c>
      <c r="I160" s="15" t="s">
        <v>44</v>
      </c>
      <c r="J160" s="15" t="s">
        <v>45</v>
      </c>
      <c r="K160" s="15" t="s">
        <v>46</v>
      </c>
      <c r="L160" s="15" t="s">
        <v>189</v>
      </c>
      <c r="M160" s="15">
        <v>11</v>
      </c>
      <c r="N160" s="15">
        <v>700</v>
      </c>
      <c r="O160" s="15">
        <v>20</v>
      </c>
      <c r="P160" s="15">
        <v>6160</v>
      </c>
      <c r="Q160" s="15">
        <v>4</v>
      </c>
      <c r="R160" s="15" t="s">
        <v>34</v>
      </c>
      <c r="S160" s="15" t="s">
        <v>151</v>
      </c>
      <c r="T160" s="15" t="s">
        <v>332</v>
      </c>
      <c r="U160" s="17" t="s">
        <v>855</v>
      </c>
      <c r="V160" s="15" t="s">
        <v>69</v>
      </c>
    </row>
    <row r="161" spans="1:22">
      <c r="A161" s="18" t="s">
        <v>856</v>
      </c>
      <c r="B161" s="18" t="s">
        <v>168</v>
      </c>
      <c r="C161" s="18" t="s">
        <v>72</v>
      </c>
      <c r="D161" s="18" t="s">
        <v>286</v>
      </c>
      <c r="E161" s="18" t="s">
        <v>816</v>
      </c>
      <c r="F161" s="18" t="s">
        <v>361</v>
      </c>
      <c r="G161" s="18" t="s">
        <v>28</v>
      </c>
      <c r="H161" s="18" t="s">
        <v>857</v>
      </c>
      <c r="I161" s="18" t="s">
        <v>294</v>
      </c>
      <c r="J161" s="18" t="s">
        <v>295</v>
      </c>
      <c r="K161" s="18" t="s">
        <v>46</v>
      </c>
      <c r="L161" s="18" t="s">
        <v>78</v>
      </c>
      <c r="M161" s="18">
        <v>16</v>
      </c>
      <c r="N161" s="18">
        <v>1200</v>
      </c>
      <c r="O161" s="18">
        <v>5</v>
      </c>
      <c r="P161" s="18">
        <v>18240</v>
      </c>
      <c r="Q161" s="18">
        <v>1</v>
      </c>
      <c r="R161" s="18" t="s">
        <v>79</v>
      </c>
      <c r="S161" s="18" t="s">
        <v>35</v>
      </c>
      <c r="T161" s="18" t="s">
        <v>175</v>
      </c>
      <c r="U161" s="19" t="s">
        <v>858</v>
      </c>
      <c r="V161" s="18" t="s">
        <v>64</v>
      </c>
    </row>
    <row r="162" spans="1:22">
      <c r="A162" s="15" t="s">
        <v>859</v>
      </c>
      <c r="B162" s="15" t="s">
        <v>168</v>
      </c>
      <c r="C162" s="15" t="s">
        <v>72</v>
      </c>
      <c r="D162" s="15" t="s">
        <v>548</v>
      </c>
      <c r="E162" s="15" t="s">
        <v>860</v>
      </c>
      <c r="F162" s="15" t="s">
        <v>361</v>
      </c>
      <c r="G162" s="15" t="s">
        <v>28</v>
      </c>
      <c r="H162" s="15" t="s">
        <v>861</v>
      </c>
      <c r="I162" s="15" t="s">
        <v>114</v>
      </c>
      <c r="J162" s="15" t="s">
        <v>106</v>
      </c>
      <c r="K162" s="15" t="s">
        <v>46</v>
      </c>
      <c r="L162" s="15" t="s">
        <v>78</v>
      </c>
      <c r="M162" s="15">
        <v>1</v>
      </c>
      <c r="N162" s="15">
        <v>1200</v>
      </c>
      <c r="O162" s="15">
        <v>5</v>
      </c>
      <c r="P162" s="15">
        <v>1140</v>
      </c>
      <c r="Q162" s="15">
        <v>4</v>
      </c>
      <c r="R162" s="15" t="s">
        <v>79</v>
      </c>
      <c r="S162" s="15" t="s">
        <v>35</v>
      </c>
      <c r="T162" s="15" t="s">
        <v>175</v>
      </c>
      <c r="U162" s="17" t="s">
        <v>862</v>
      </c>
      <c r="V162" s="15" t="s">
        <v>38</v>
      </c>
    </row>
    <row r="163" spans="1:22">
      <c r="A163" s="18" t="s">
        <v>863</v>
      </c>
      <c r="B163" s="18" t="s">
        <v>327</v>
      </c>
      <c r="C163" s="18" t="s">
        <v>118</v>
      </c>
      <c r="D163" s="18" t="s">
        <v>864</v>
      </c>
      <c r="E163" s="18" t="s">
        <v>865</v>
      </c>
      <c r="F163" s="18" t="s">
        <v>394</v>
      </c>
      <c r="G163" s="18" t="s">
        <v>76</v>
      </c>
      <c r="H163" s="18" t="s">
        <v>866</v>
      </c>
      <c r="I163" s="18" t="s">
        <v>212</v>
      </c>
      <c r="J163" s="18" t="s">
        <v>45</v>
      </c>
      <c r="K163" s="18" t="s">
        <v>122</v>
      </c>
      <c r="L163" s="18" t="s">
        <v>123</v>
      </c>
      <c r="M163" s="18">
        <v>7</v>
      </c>
      <c r="N163" s="18">
        <v>60</v>
      </c>
      <c r="O163" s="18">
        <v>0</v>
      </c>
      <c r="P163" s="18">
        <v>420</v>
      </c>
      <c r="Q163" s="18">
        <v>2</v>
      </c>
      <c r="R163" s="18" t="s">
        <v>88</v>
      </c>
      <c r="S163" s="18" t="s">
        <v>151</v>
      </c>
      <c r="T163" s="18" t="s">
        <v>332</v>
      </c>
      <c r="U163" s="19" t="s">
        <v>867</v>
      </c>
      <c r="V163" s="18" t="s">
        <v>38</v>
      </c>
    </row>
    <row r="164" spans="1:22">
      <c r="A164" s="15" t="s">
        <v>868</v>
      </c>
      <c r="B164" s="15" t="s">
        <v>168</v>
      </c>
      <c r="C164" s="15" t="s">
        <v>24</v>
      </c>
      <c r="D164" s="15" t="s">
        <v>205</v>
      </c>
      <c r="E164" s="15" t="s">
        <v>513</v>
      </c>
      <c r="F164" s="15" t="s">
        <v>361</v>
      </c>
      <c r="G164" s="15" t="s">
        <v>28</v>
      </c>
      <c r="H164" s="15" t="s">
        <v>869</v>
      </c>
      <c r="I164" s="15" t="s">
        <v>114</v>
      </c>
      <c r="J164" s="15" t="s">
        <v>106</v>
      </c>
      <c r="K164" s="15" t="s">
        <v>32</v>
      </c>
      <c r="L164" s="15" t="s">
        <v>33</v>
      </c>
      <c r="M164" s="15">
        <v>14</v>
      </c>
      <c r="N164" s="15">
        <v>2200</v>
      </c>
      <c r="O164" s="15">
        <v>0</v>
      </c>
      <c r="P164" s="15">
        <v>30800</v>
      </c>
      <c r="Q164" s="15">
        <v>2</v>
      </c>
      <c r="R164" s="15" t="s">
        <v>88</v>
      </c>
      <c r="S164" s="15" t="s">
        <v>35</v>
      </c>
      <c r="T164" s="15" t="s">
        <v>175</v>
      </c>
      <c r="U164" s="17" t="s">
        <v>870</v>
      </c>
      <c r="V164" s="15" t="s">
        <v>69</v>
      </c>
    </row>
    <row r="165" spans="1:22">
      <c r="A165" s="18" t="s">
        <v>871</v>
      </c>
      <c r="B165" s="18" t="s">
        <v>168</v>
      </c>
      <c r="C165" s="18" t="s">
        <v>92</v>
      </c>
      <c r="D165" s="18" t="s">
        <v>872</v>
      </c>
      <c r="E165" s="18" t="s">
        <v>488</v>
      </c>
      <c r="F165" s="18" t="s">
        <v>361</v>
      </c>
      <c r="G165" s="18" t="s">
        <v>28</v>
      </c>
      <c r="H165" s="18" t="s">
        <v>873</v>
      </c>
      <c r="I165" s="18" t="s">
        <v>138</v>
      </c>
      <c r="J165" s="18" t="s">
        <v>106</v>
      </c>
      <c r="K165" s="18" t="s">
        <v>32</v>
      </c>
      <c r="L165" s="18" t="s">
        <v>97</v>
      </c>
      <c r="M165" s="18">
        <v>15</v>
      </c>
      <c r="N165" s="18">
        <v>3500</v>
      </c>
      <c r="O165" s="18">
        <v>15</v>
      </c>
      <c r="P165" s="18">
        <v>44625</v>
      </c>
      <c r="Q165" s="18">
        <v>2</v>
      </c>
      <c r="R165" s="18" t="s">
        <v>88</v>
      </c>
      <c r="S165" s="18" t="s">
        <v>61</v>
      </c>
      <c r="T165" s="18" t="s">
        <v>175</v>
      </c>
      <c r="U165" s="19" t="s">
        <v>874</v>
      </c>
      <c r="V165" s="18" t="s">
        <v>64</v>
      </c>
    </row>
    <row r="166" spans="1:22">
      <c r="A166" s="15" t="s">
        <v>875</v>
      </c>
      <c r="B166" s="15" t="s">
        <v>127</v>
      </c>
      <c r="C166" s="15" t="s">
        <v>92</v>
      </c>
      <c r="D166" s="15" t="s">
        <v>876</v>
      </c>
      <c r="E166" s="15" t="s">
        <v>877</v>
      </c>
      <c r="F166" s="15" t="s">
        <v>200</v>
      </c>
      <c r="G166" s="15" t="s">
        <v>76</v>
      </c>
      <c r="H166" s="15" t="s">
        <v>878</v>
      </c>
      <c r="I166" s="15" t="s">
        <v>294</v>
      </c>
      <c r="J166" s="15" t="s">
        <v>295</v>
      </c>
      <c r="K166" s="15" t="s">
        <v>32</v>
      </c>
      <c r="L166" s="15" t="s">
        <v>97</v>
      </c>
      <c r="M166" s="15">
        <v>19</v>
      </c>
      <c r="N166" s="15">
        <v>3500</v>
      </c>
      <c r="O166" s="15">
        <v>5</v>
      </c>
      <c r="P166" s="15">
        <v>63175</v>
      </c>
      <c r="Q166" s="15">
        <v>2</v>
      </c>
      <c r="R166" s="15" t="s">
        <v>34</v>
      </c>
      <c r="S166" s="15" t="s">
        <v>115</v>
      </c>
      <c r="T166" s="15" t="s">
        <v>132</v>
      </c>
      <c r="U166" s="17" t="s">
        <v>879</v>
      </c>
      <c r="V166" s="15" t="s">
        <v>69</v>
      </c>
    </row>
    <row r="167" spans="1:22">
      <c r="A167" s="18" t="s">
        <v>880</v>
      </c>
      <c r="B167" s="18" t="s">
        <v>327</v>
      </c>
      <c r="C167" s="18" t="s">
        <v>54</v>
      </c>
      <c r="D167" s="18" t="s">
        <v>881</v>
      </c>
      <c r="E167" s="18" t="s">
        <v>640</v>
      </c>
      <c r="F167" s="18" t="s">
        <v>394</v>
      </c>
      <c r="G167" s="18" t="s">
        <v>76</v>
      </c>
      <c r="H167" s="18" t="s">
        <v>882</v>
      </c>
      <c r="I167" s="18" t="s">
        <v>59</v>
      </c>
      <c r="J167" s="18" t="s">
        <v>31</v>
      </c>
      <c r="K167" s="18" t="s">
        <v>46</v>
      </c>
      <c r="L167" s="18" t="s">
        <v>60</v>
      </c>
      <c r="M167" s="18">
        <v>12</v>
      </c>
      <c r="N167" s="18">
        <v>55000</v>
      </c>
      <c r="O167" s="18">
        <v>5</v>
      </c>
      <c r="P167" s="18">
        <v>627000</v>
      </c>
      <c r="Q167" s="18">
        <v>4</v>
      </c>
      <c r="R167" s="18" t="s">
        <v>79</v>
      </c>
      <c r="S167" s="18" t="s">
        <v>61</v>
      </c>
      <c r="T167" s="18" t="s">
        <v>332</v>
      </c>
      <c r="U167" s="19" t="s">
        <v>883</v>
      </c>
      <c r="V167" s="18" t="s">
        <v>69</v>
      </c>
    </row>
    <row r="168" spans="1:22">
      <c r="A168" s="15" t="s">
        <v>884</v>
      </c>
      <c r="B168" s="15" t="s">
        <v>53</v>
      </c>
      <c r="C168" s="15" t="s">
        <v>72</v>
      </c>
      <c r="D168" s="15" t="s">
        <v>587</v>
      </c>
      <c r="E168" s="15" t="s">
        <v>483</v>
      </c>
      <c r="F168" s="15" t="s">
        <v>163</v>
      </c>
      <c r="G168" s="15" t="s">
        <v>28</v>
      </c>
      <c r="H168" s="15" t="s">
        <v>885</v>
      </c>
      <c r="I168" s="15" t="s">
        <v>105</v>
      </c>
      <c r="J168" s="15" t="s">
        <v>106</v>
      </c>
      <c r="K168" s="15" t="s">
        <v>46</v>
      </c>
      <c r="L168" s="15" t="s">
        <v>78</v>
      </c>
      <c r="M168" s="15">
        <v>6</v>
      </c>
      <c r="N168" s="15">
        <v>1200</v>
      </c>
      <c r="O168" s="15">
        <v>10</v>
      </c>
      <c r="P168" s="15">
        <v>6480</v>
      </c>
      <c r="Q168" s="15">
        <v>5</v>
      </c>
      <c r="R168" s="15" t="s">
        <v>48</v>
      </c>
      <c r="S168" s="15" t="s">
        <v>115</v>
      </c>
      <c r="T168" s="15" t="s">
        <v>62</v>
      </c>
      <c r="U168" s="17" t="s">
        <v>886</v>
      </c>
      <c r="V168" s="15" t="s">
        <v>69</v>
      </c>
    </row>
    <row r="169" spans="1:22">
      <c r="A169" s="18" t="s">
        <v>887</v>
      </c>
      <c r="B169" s="18" t="s">
        <v>251</v>
      </c>
      <c r="C169" s="18" t="s">
        <v>169</v>
      </c>
      <c r="D169" s="18" t="s">
        <v>128</v>
      </c>
      <c r="E169" s="18" t="s">
        <v>247</v>
      </c>
      <c r="F169" s="18" t="s">
        <v>254</v>
      </c>
      <c r="G169" s="18" t="s">
        <v>28</v>
      </c>
      <c r="H169" s="18" t="s">
        <v>888</v>
      </c>
      <c r="I169" s="18" t="s">
        <v>30</v>
      </c>
      <c r="J169" s="18" t="s">
        <v>31</v>
      </c>
      <c r="K169" s="18" t="s">
        <v>32</v>
      </c>
      <c r="L169" s="18" t="s">
        <v>174</v>
      </c>
      <c r="M169" s="18">
        <v>1</v>
      </c>
      <c r="N169" s="18">
        <v>8500</v>
      </c>
      <c r="O169" s="18">
        <v>0</v>
      </c>
      <c r="P169" s="18">
        <v>8500</v>
      </c>
      <c r="Q169" s="18">
        <v>1</v>
      </c>
      <c r="R169" s="18" t="s">
        <v>88</v>
      </c>
      <c r="S169" s="18" t="s">
        <v>151</v>
      </c>
      <c r="T169" s="18" t="s">
        <v>256</v>
      </c>
      <c r="U169" s="19" t="s">
        <v>889</v>
      </c>
      <c r="V169" s="18" t="s">
        <v>69</v>
      </c>
    </row>
    <row r="170" spans="1:22">
      <c r="A170" s="15" t="s">
        <v>890</v>
      </c>
      <c r="B170" s="15" t="s">
        <v>127</v>
      </c>
      <c r="C170" s="15" t="s">
        <v>54</v>
      </c>
      <c r="D170" s="15" t="s">
        <v>891</v>
      </c>
      <c r="E170" s="15" t="s">
        <v>892</v>
      </c>
      <c r="F170" s="15" t="s">
        <v>200</v>
      </c>
      <c r="G170" s="15" t="s">
        <v>76</v>
      </c>
      <c r="H170" s="15" t="s">
        <v>893</v>
      </c>
      <c r="I170" s="15" t="s">
        <v>138</v>
      </c>
      <c r="J170" s="15" t="s">
        <v>106</v>
      </c>
      <c r="K170" s="15" t="s">
        <v>46</v>
      </c>
      <c r="L170" s="15" t="s">
        <v>60</v>
      </c>
      <c r="M170" s="15">
        <v>20</v>
      </c>
      <c r="N170" s="15">
        <v>55000</v>
      </c>
      <c r="O170" s="15">
        <v>10</v>
      </c>
      <c r="P170" s="15">
        <v>990000</v>
      </c>
      <c r="Q170" s="15">
        <v>5</v>
      </c>
      <c r="R170" s="15" t="s">
        <v>48</v>
      </c>
      <c r="S170" s="15" t="s">
        <v>151</v>
      </c>
      <c r="T170" s="15" t="s">
        <v>132</v>
      </c>
      <c r="U170" s="17" t="s">
        <v>894</v>
      </c>
      <c r="V170" s="15" t="s">
        <v>38</v>
      </c>
    </row>
    <row r="171" spans="1:22">
      <c r="A171" s="18" t="s">
        <v>895</v>
      </c>
      <c r="B171" s="18" t="s">
        <v>221</v>
      </c>
      <c r="C171" s="18" t="s">
        <v>72</v>
      </c>
      <c r="D171" s="18" t="s">
        <v>661</v>
      </c>
      <c r="E171" s="18" t="s">
        <v>896</v>
      </c>
      <c r="F171" s="18" t="s">
        <v>225</v>
      </c>
      <c r="G171" s="18" t="s">
        <v>76</v>
      </c>
      <c r="H171" s="18" t="s">
        <v>897</v>
      </c>
      <c r="I171" s="18" t="s">
        <v>138</v>
      </c>
      <c r="J171" s="18" t="s">
        <v>106</v>
      </c>
      <c r="K171" s="18" t="s">
        <v>46</v>
      </c>
      <c r="L171" s="18" t="s">
        <v>78</v>
      </c>
      <c r="M171" s="18">
        <v>8</v>
      </c>
      <c r="N171" s="18">
        <v>1200</v>
      </c>
      <c r="O171" s="18">
        <v>15</v>
      </c>
      <c r="P171" s="18">
        <v>8160</v>
      </c>
      <c r="Q171" s="18">
        <v>2</v>
      </c>
      <c r="R171" s="18" t="s">
        <v>88</v>
      </c>
      <c r="S171" s="18" t="s">
        <v>115</v>
      </c>
      <c r="T171" s="18" t="s">
        <v>228</v>
      </c>
      <c r="U171" s="19" t="s">
        <v>898</v>
      </c>
      <c r="V171" s="18" t="s">
        <v>69</v>
      </c>
    </row>
    <row r="172" spans="1:22">
      <c r="A172" s="15" t="s">
        <v>899</v>
      </c>
      <c r="B172" s="15" t="s">
        <v>23</v>
      </c>
      <c r="C172" s="15" t="s">
        <v>92</v>
      </c>
      <c r="D172" s="15" t="s">
        <v>900</v>
      </c>
      <c r="E172" s="15" t="s">
        <v>901</v>
      </c>
      <c r="F172" s="15" t="s">
        <v>27</v>
      </c>
      <c r="G172" s="15" t="s">
        <v>28</v>
      </c>
      <c r="H172" s="15" t="s">
        <v>902</v>
      </c>
      <c r="I172" s="15" t="s">
        <v>212</v>
      </c>
      <c r="J172" s="15" t="s">
        <v>45</v>
      </c>
      <c r="K172" s="15" t="s">
        <v>32</v>
      </c>
      <c r="L172" s="15" t="s">
        <v>97</v>
      </c>
      <c r="M172" s="15">
        <v>19</v>
      </c>
      <c r="N172" s="15">
        <v>3500</v>
      </c>
      <c r="O172" s="15">
        <v>5</v>
      </c>
      <c r="P172" s="15">
        <v>63175</v>
      </c>
      <c r="Q172" s="15">
        <v>4</v>
      </c>
      <c r="R172" s="15" t="s">
        <v>88</v>
      </c>
      <c r="S172" s="15" t="s">
        <v>49</v>
      </c>
      <c r="T172" s="15" t="s">
        <v>50</v>
      </c>
      <c r="U172" s="17" t="s">
        <v>903</v>
      </c>
      <c r="V172" s="15" t="s">
        <v>64</v>
      </c>
    </row>
    <row r="173" spans="1:22">
      <c r="A173" s="18" t="s">
        <v>904</v>
      </c>
      <c r="B173" s="18" t="s">
        <v>221</v>
      </c>
      <c r="C173" s="18" t="s">
        <v>259</v>
      </c>
      <c r="D173" s="18" t="s">
        <v>41</v>
      </c>
      <c r="E173" s="18" t="s">
        <v>606</v>
      </c>
      <c r="F173" s="18" t="s">
        <v>225</v>
      </c>
      <c r="G173" s="18" t="s">
        <v>76</v>
      </c>
      <c r="H173" s="18" t="s">
        <v>906</v>
      </c>
      <c r="I173" s="18" t="s">
        <v>212</v>
      </c>
      <c r="J173" s="18" t="s">
        <v>45</v>
      </c>
      <c r="K173" s="18" t="s">
        <v>122</v>
      </c>
      <c r="L173" s="18" t="s">
        <v>263</v>
      </c>
      <c r="M173" s="18">
        <v>6</v>
      </c>
      <c r="N173" s="18">
        <v>45</v>
      </c>
      <c r="O173" s="18">
        <v>20</v>
      </c>
      <c r="P173" s="18">
        <v>216</v>
      </c>
      <c r="Q173" s="18">
        <v>1</v>
      </c>
      <c r="R173" s="18" t="s">
        <v>79</v>
      </c>
      <c r="S173" s="18" t="s">
        <v>49</v>
      </c>
      <c r="T173" s="18" t="s">
        <v>907</v>
      </c>
      <c r="U173" s="19" t="s">
        <v>908</v>
      </c>
      <c r="V173" s="18" t="s">
        <v>64</v>
      </c>
    </row>
    <row r="174" spans="1:22">
      <c r="A174" s="15" t="s">
        <v>909</v>
      </c>
      <c r="B174" s="15" t="s">
        <v>251</v>
      </c>
      <c r="C174" s="15" t="s">
        <v>259</v>
      </c>
      <c r="D174" s="15" t="s">
        <v>910</v>
      </c>
      <c r="E174" s="15" t="s">
        <v>119</v>
      </c>
      <c r="F174" s="15" t="s">
        <v>254</v>
      </c>
      <c r="G174" s="15" t="s">
        <v>28</v>
      </c>
      <c r="H174" s="15" t="s">
        <v>911</v>
      </c>
      <c r="I174" s="15" t="s">
        <v>114</v>
      </c>
      <c r="J174" s="15" t="s">
        <v>106</v>
      </c>
      <c r="K174" s="15" t="s">
        <v>122</v>
      </c>
      <c r="L174" s="15" t="s">
        <v>263</v>
      </c>
      <c r="M174" s="15">
        <v>17</v>
      </c>
      <c r="N174" s="15">
        <v>45</v>
      </c>
      <c r="O174" s="15">
        <v>15</v>
      </c>
      <c r="P174" s="15">
        <v>650.25</v>
      </c>
      <c r="Q174" s="15">
        <v>5</v>
      </c>
      <c r="R174" s="15" t="s">
        <v>34</v>
      </c>
      <c r="S174" s="15" t="s">
        <v>115</v>
      </c>
      <c r="T174" s="15" t="s">
        <v>256</v>
      </c>
      <c r="U174" s="17" t="s">
        <v>912</v>
      </c>
      <c r="V174" s="15" t="s">
        <v>64</v>
      </c>
    </row>
    <row r="175" spans="1:22">
      <c r="A175" s="18" t="s">
        <v>913</v>
      </c>
      <c r="B175" s="18" t="s">
        <v>23</v>
      </c>
      <c r="C175" s="18" t="s">
        <v>222</v>
      </c>
      <c r="D175" s="18" t="s">
        <v>276</v>
      </c>
      <c r="E175" s="18" t="s">
        <v>914</v>
      </c>
      <c r="F175" s="18" t="s">
        <v>27</v>
      </c>
      <c r="G175" s="18" t="s">
        <v>28</v>
      </c>
      <c r="H175" s="18" t="s">
        <v>915</v>
      </c>
      <c r="I175" s="18" t="s">
        <v>114</v>
      </c>
      <c r="J175" s="18" t="s">
        <v>106</v>
      </c>
      <c r="K175" s="18" t="s">
        <v>122</v>
      </c>
      <c r="L175" s="18" t="s">
        <v>227</v>
      </c>
      <c r="M175" s="18">
        <v>19</v>
      </c>
      <c r="N175" s="18">
        <v>20</v>
      </c>
      <c r="O175" s="18">
        <v>5</v>
      </c>
      <c r="P175" s="18">
        <v>361</v>
      </c>
      <c r="Q175" s="18">
        <v>4</v>
      </c>
      <c r="R175" s="18" t="s">
        <v>34</v>
      </c>
      <c r="S175" s="18" t="s">
        <v>35</v>
      </c>
      <c r="T175" s="18" t="s">
        <v>50</v>
      </c>
      <c r="U175" s="19" t="s">
        <v>916</v>
      </c>
      <c r="V175" s="18" t="s">
        <v>64</v>
      </c>
    </row>
    <row r="176" spans="1:22">
      <c r="A176" s="15" t="s">
        <v>917</v>
      </c>
      <c r="B176" s="15" t="s">
        <v>251</v>
      </c>
      <c r="C176" s="15" t="s">
        <v>222</v>
      </c>
      <c r="D176" s="15" t="s">
        <v>918</v>
      </c>
      <c r="E176" s="15" t="s">
        <v>352</v>
      </c>
      <c r="F176" s="15" t="s">
        <v>254</v>
      </c>
      <c r="G176" s="15" t="s">
        <v>28</v>
      </c>
      <c r="H176" s="15" t="s">
        <v>920</v>
      </c>
      <c r="I176" s="15" t="s">
        <v>138</v>
      </c>
      <c r="J176" s="15" t="s">
        <v>106</v>
      </c>
      <c r="K176" s="15" t="s">
        <v>122</v>
      </c>
      <c r="L176" s="15" t="s">
        <v>227</v>
      </c>
      <c r="M176" s="15">
        <v>11</v>
      </c>
      <c r="N176" s="15">
        <v>20</v>
      </c>
      <c r="O176" s="15">
        <v>0</v>
      </c>
      <c r="P176" s="15">
        <v>220</v>
      </c>
      <c r="Q176" s="15">
        <v>3</v>
      </c>
      <c r="R176" s="15" t="s">
        <v>48</v>
      </c>
      <c r="S176" s="15" t="s">
        <v>49</v>
      </c>
      <c r="T176" s="15" t="s">
        <v>256</v>
      </c>
      <c r="U176" s="17" t="s">
        <v>921</v>
      </c>
      <c r="V176" s="15" t="s">
        <v>38</v>
      </c>
    </row>
    <row r="177" spans="1:22">
      <c r="A177" s="18" t="s">
        <v>922</v>
      </c>
      <c r="B177" s="18" t="s">
        <v>168</v>
      </c>
      <c r="C177" s="18" t="s">
        <v>118</v>
      </c>
      <c r="D177" s="18" t="s">
        <v>323</v>
      </c>
      <c r="E177" s="18" t="s">
        <v>923</v>
      </c>
      <c r="F177" s="18" t="s">
        <v>361</v>
      </c>
      <c r="G177" s="18" t="s">
        <v>28</v>
      </c>
      <c r="H177" s="18" t="s">
        <v>924</v>
      </c>
      <c r="I177" s="18" t="s">
        <v>44</v>
      </c>
      <c r="J177" s="18" t="s">
        <v>45</v>
      </c>
      <c r="K177" s="18" t="s">
        <v>122</v>
      </c>
      <c r="L177" s="18" t="s">
        <v>123</v>
      </c>
      <c r="M177" s="18">
        <v>12</v>
      </c>
      <c r="N177" s="18">
        <v>60</v>
      </c>
      <c r="O177" s="18">
        <v>0</v>
      </c>
      <c r="P177" s="18">
        <v>720</v>
      </c>
      <c r="Q177" s="18">
        <v>2</v>
      </c>
      <c r="R177" s="18" t="s">
        <v>48</v>
      </c>
      <c r="S177" s="18" t="s">
        <v>49</v>
      </c>
      <c r="T177" s="18" t="s">
        <v>175</v>
      </c>
      <c r="U177" s="19" t="s">
        <v>925</v>
      </c>
      <c r="V177" s="18" t="s">
        <v>38</v>
      </c>
    </row>
    <row r="178" spans="1:22">
      <c r="A178" s="15" t="s">
        <v>926</v>
      </c>
      <c r="B178" s="15" t="s">
        <v>221</v>
      </c>
      <c r="C178" s="15" t="s">
        <v>259</v>
      </c>
      <c r="D178" s="15" t="s">
        <v>927</v>
      </c>
      <c r="E178" s="15" t="s">
        <v>865</v>
      </c>
      <c r="F178" s="15" t="s">
        <v>103</v>
      </c>
      <c r="G178" s="15" t="s">
        <v>76</v>
      </c>
      <c r="H178" s="15" t="s">
        <v>929</v>
      </c>
      <c r="I178" s="15" t="s">
        <v>294</v>
      </c>
      <c r="J178" s="15" t="s">
        <v>295</v>
      </c>
      <c r="K178" s="15" t="s">
        <v>122</v>
      </c>
      <c r="L178" s="15" t="s">
        <v>263</v>
      </c>
      <c r="M178" s="15">
        <v>14</v>
      </c>
      <c r="N178" s="15">
        <v>45</v>
      </c>
      <c r="O178" s="15">
        <v>15</v>
      </c>
      <c r="P178" s="15">
        <v>535.5</v>
      </c>
      <c r="Q178" s="15">
        <v>5</v>
      </c>
      <c r="R178" s="15" t="s">
        <v>88</v>
      </c>
      <c r="S178" s="15" t="s">
        <v>115</v>
      </c>
      <c r="T178" s="15" t="s">
        <v>228</v>
      </c>
      <c r="U178" s="17" t="s">
        <v>930</v>
      </c>
      <c r="V178" s="15" t="s">
        <v>64</v>
      </c>
    </row>
    <row r="179" spans="1:22">
      <c r="A179" s="18" t="s">
        <v>931</v>
      </c>
      <c r="B179" s="18" t="s">
        <v>23</v>
      </c>
      <c r="C179" s="18" t="s">
        <v>184</v>
      </c>
      <c r="D179" s="18" t="s">
        <v>932</v>
      </c>
      <c r="E179" s="18" t="s">
        <v>303</v>
      </c>
      <c r="F179" s="18" t="s">
        <v>27</v>
      </c>
      <c r="G179" s="18" t="s">
        <v>28</v>
      </c>
      <c r="H179" s="18" t="s">
        <v>933</v>
      </c>
      <c r="I179" s="18" t="s">
        <v>30</v>
      </c>
      <c r="J179" s="18" t="s">
        <v>31</v>
      </c>
      <c r="K179" s="18" t="s">
        <v>46</v>
      </c>
      <c r="L179" s="18" t="s">
        <v>189</v>
      </c>
      <c r="M179" s="18">
        <v>15</v>
      </c>
      <c r="N179" s="18">
        <v>700</v>
      </c>
      <c r="O179" s="18">
        <v>10</v>
      </c>
      <c r="P179" s="18">
        <v>9450</v>
      </c>
      <c r="Q179" s="18">
        <v>3</v>
      </c>
      <c r="R179" s="18" t="s">
        <v>48</v>
      </c>
      <c r="S179" s="18" t="s">
        <v>49</v>
      </c>
      <c r="T179" s="18" t="s">
        <v>50</v>
      </c>
      <c r="U179" s="19" t="s">
        <v>934</v>
      </c>
      <c r="V179" s="18" t="s">
        <v>64</v>
      </c>
    </row>
    <row r="180" spans="1:22">
      <c r="A180" s="15" t="s">
        <v>935</v>
      </c>
      <c r="B180" s="15" t="s">
        <v>100</v>
      </c>
      <c r="C180" s="15" t="s">
        <v>169</v>
      </c>
      <c r="D180" s="15" t="s">
        <v>936</v>
      </c>
      <c r="E180" s="15" t="s">
        <v>683</v>
      </c>
      <c r="F180" s="15" t="s">
        <v>103</v>
      </c>
      <c r="G180" s="15" t="s">
        <v>28</v>
      </c>
      <c r="H180" s="15" t="s">
        <v>937</v>
      </c>
      <c r="I180" s="15" t="s">
        <v>138</v>
      </c>
      <c r="J180" s="15" t="s">
        <v>106</v>
      </c>
      <c r="K180" s="15" t="s">
        <v>32</v>
      </c>
      <c r="L180" s="15" t="s">
        <v>174</v>
      </c>
      <c r="M180" s="15">
        <v>19</v>
      </c>
      <c r="N180" s="15">
        <v>8500</v>
      </c>
      <c r="O180" s="15">
        <v>15</v>
      </c>
      <c r="P180" s="15">
        <v>137275</v>
      </c>
      <c r="Q180" s="15">
        <v>2</v>
      </c>
      <c r="R180" s="15" t="s">
        <v>34</v>
      </c>
      <c r="S180" s="15" t="s">
        <v>35</v>
      </c>
      <c r="T180" s="15" t="s">
        <v>144</v>
      </c>
      <c r="U180" s="17" t="s">
        <v>938</v>
      </c>
      <c r="V180" s="15" t="s">
        <v>69</v>
      </c>
    </row>
    <row r="181" spans="1:22">
      <c r="A181" s="18" t="s">
        <v>939</v>
      </c>
      <c r="B181" s="18" t="s">
        <v>251</v>
      </c>
      <c r="C181" s="18" t="s">
        <v>118</v>
      </c>
      <c r="D181" s="18" t="s">
        <v>940</v>
      </c>
      <c r="E181" s="18" t="s">
        <v>941</v>
      </c>
      <c r="F181" s="18" t="s">
        <v>254</v>
      </c>
      <c r="G181" s="18" t="s">
        <v>28</v>
      </c>
      <c r="H181" s="18" t="s">
        <v>911</v>
      </c>
      <c r="I181" s="18" t="s">
        <v>212</v>
      </c>
      <c r="J181" s="18" t="s">
        <v>45</v>
      </c>
      <c r="K181" s="18" t="s">
        <v>122</v>
      </c>
      <c r="L181" s="18" t="s">
        <v>123</v>
      </c>
      <c r="M181" s="18">
        <v>19</v>
      </c>
      <c r="N181" s="18">
        <v>60</v>
      </c>
      <c r="O181" s="18">
        <v>20</v>
      </c>
      <c r="P181" s="18">
        <v>912</v>
      </c>
      <c r="Q181" s="18">
        <v>4</v>
      </c>
      <c r="R181" s="18" t="s">
        <v>79</v>
      </c>
      <c r="S181" s="18" t="s">
        <v>49</v>
      </c>
      <c r="T181" s="18" t="s">
        <v>256</v>
      </c>
      <c r="U181" s="19" t="s">
        <v>942</v>
      </c>
      <c r="V181" s="18" t="s">
        <v>64</v>
      </c>
    </row>
    <row r="182" spans="1:22">
      <c r="A182" s="15" t="s">
        <v>943</v>
      </c>
      <c r="B182" s="15" t="s">
        <v>100</v>
      </c>
      <c r="C182" s="15" t="s">
        <v>259</v>
      </c>
      <c r="D182" s="15" t="s">
        <v>944</v>
      </c>
      <c r="E182" s="15" t="s">
        <v>936</v>
      </c>
      <c r="F182" s="15" t="s">
        <v>103</v>
      </c>
      <c r="G182" s="15" t="s">
        <v>28</v>
      </c>
      <c r="H182" s="15" t="s">
        <v>945</v>
      </c>
      <c r="I182" s="15" t="s">
        <v>59</v>
      </c>
      <c r="J182" s="15" t="s">
        <v>31</v>
      </c>
      <c r="K182" s="15" t="s">
        <v>122</v>
      </c>
      <c r="L182" s="15" t="s">
        <v>263</v>
      </c>
      <c r="M182" s="15">
        <v>10</v>
      </c>
      <c r="N182" s="15">
        <v>45</v>
      </c>
      <c r="O182" s="15">
        <v>15</v>
      </c>
      <c r="P182" s="15">
        <v>382.5</v>
      </c>
      <c r="Q182" s="15">
        <v>4</v>
      </c>
      <c r="R182" s="15" t="s">
        <v>34</v>
      </c>
      <c r="S182" s="15" t="s">
        <v>151</v>
      </c>
      <c r="T182" s="15" t="s">
        <v>144</v>
      </c>
      <c r="U182" s="17" t="s">
        <v>946</v>
      </c>
      <c r="V182" s="15" t="s">
        <v>38</v>
      </c>
    </row>
    <row r="183" spans="1:22">
      <c r="A183" s="18" t="s">
        <v>947</v>
      </c>
      <c r="B183" s="18" t="s">
        <v>71</v>
      </c>
      <c r="C183" s="18" t="s">
        <v>24</v>
      </c>
      <c r="D183" s="18" t="s">
        <v>948</v>
      </c>
      <c r="E183" s="18" t="s">
        <v>949</v>
      </c>
      <c r="F183" s="18" t="s">
        <v>217</v>
      </c>
      <c r="G183" s="18" t="s">
        <v>76</v>
      </c>
      <c r="H183" s="18" t="s">
        <v>950</v>
      </c>
      <c r="I183" s="18" t="s">
        <v>44</v>
      </c>
      <c r="J183" s="18" t="s">
        <v>45</v>
      </c>
      <c r="K183" s="18" t="s">
        <v>32</v>
      </c>
      <c r="L183" s="18" t="s">
        <v>33</v>
      </c>
      <c r="M183" s="18">
        <v>7</v>
      </c>
      <c r="N183" s="18">
        <v>2200</v>
      </c>
      <c r="O183" s="18">
        <v>20</v>
      </c>
      <c r="P183" s="18">
        <v>12320</v>
      </c>
      <c r="Q183" s="18">
        <v>5</v>
      </c>
      <c r="R183" s="18" t="s">
        <v>88</v>
      </c>
      <c r="S183" s="18" t="s">
        <v>49</v>
      </c>
      <c r="T183" s="18" t="s">
        <v>80</v>
      </c>
      <c r="U183" s="19" t="s">
        <v>951</v>
      </c>
      <c r="V183" s="18" t="s">
        <v>64</v>
      </c>
    </row>
    <row r="184" spans="1:22">
      <c r="A184" s="15" t="s">
        <v>952</v>
      </c>
      <c r="B184" s="15" t="s">
        <v>100</v>
      </c>
      <c r="C184" s="15" t="s">
        <v>169</v>
      </c>
      <c r="D184" s="15" t="s">
        <v>953</v>
      </c>
      <c r="E184" s="15" t="s">
        <v>42</v>
      </c>
      <c r="F184" s="15" t="s">
        <v>103</v>
      </c>
      <c r="G184" s="15" t="s">
        <v>28</v>
      </c>
      <c r="H184" s="15" t="s">
        <v>954</v>
      </c>
      <c r="I184" s="15" t="s">
        <v>294</v>
      </c>
      <c r="J184" s="15" t="s">
        <v>295</v>
      </c>
      <c r="K184" s="15" t="s">
        <v>32</v>
      </c>
      <c r="L184" s="15" t="s">
        <v>174</v>
      </c>
      <c r="M184" s="15">
        <v>20</v>
      </c>
      <c r="N184" s="15">
        <v>8500</v>
      </c>
      <c r="O184" s="15">
        <v>20</v>
      </c>
      <c r="P184" s="15">
        <v>136000</v>
      </c>
      <c r="Q184" s="15">
        <v>4</v>
      </c>
      <c r="R184" s="15" t="s">
        <v>48</v>
      </c>
      <c r="S184" s="15" t="s">
        <v>35</v>
      </c>
      <c r="T184" s="15" t="s">
        <v>144</v>
      </c>
      <c r="U184" s="17" t="s">
        <v>955</v>
      </c>
      <c r="V184" s="15" t="s">
        <v>38</v>
      </c>
    </row>
    <row r="185" spans="1:22">
      <c r="A185" s="18" t="s">
        <v>956</v>
      </c>
      <c r="B185" s="18" t="s">
        <v>251</v>
      </c>
      <c r="C185" s="18" t="s">
        <v>24</v>
      </c>
      <c r="D185" s="18" t="s">
        <v>770</v>
      </c>
      <c r="E185" s="18" t="s">
        <v>957</v>
      </c>
      <c r="F185" s="18" t="s">
        <v>254</v>
      </c>
      <c r="G185" s="18" t="s">
        <v>28</v>
      </c>
      <c r="H185" s="18" t="s">
        <v>958</v>
      </c>
      <c r="I185" s="18" t="s">
        <v>30</v>
      </c>
      <c r="J185" s="18" t="s">
        <v>31</v>
      </c>
      <c r="K185" s="18" t="s">
        <v>32</v>
      </c>
      <c r="L185" s="18" t="s">
        <v>33</v>
      </c>
      <c r="M185" s="18">
        <v>10</v>
      </c>
      <c r="N185" s="18">
        <v>2200</v>
      </c>
      <c r="O185" s="18">
        <v>5</v>
      </c>
      <c r="P185" s="18">
        <v>20900</v>
      </c>
      <c r="Q185" s="18">
        <v>2</v>
      </c>
      <c r="R185" s="18" t="s">
        <v>48</v>
      </c>
      <c r="S185" s="18" t="s">
        <v>49</v>
      </c>
      <c r="T185" s="18" t="s">
        <v>256</v>
      </c>
      <c r="U185" s="19" t="s">
        <v>959</v>
      </c>
      <c r="V185" s="18" t="s">
        <v>38</v>
      </c>
    </row>
    <row r="186" spans="1:22">
      <c r="A186" s="15" t="s">
        <v>960</v>
      </c>
      <c r="B186" s="15" t="s">
        <v>127</v>
      </c>
      <c r="C186" s="15" t="s">
        <v>118</v>
      </c>
      <c r="D186" s="15" t="s">
        <v>692</v>
      </c>
      <c r="E186" s="15" t="s">
        <v>961</v>
      </c>
      <c r="F186" s="15" t="s">
        <v>200</v>
      </c>
      <c r="G186" s="15" t="s">
        <v>76</v>
      </c>
      <c r="H186" s="15" t="s">
        <v>962</v>
      </c>
      <c r="I186" s="15" t="s">
        <v>114</v>
      </c>
      <c r="J186" s="15" t="s">
        <v>106</v>
      </c>
      <c r="K186" s="15" t="s">
        <v>122</v>
      </c>
      <c r="L186" s="15" t="s">
        <v>123</v>
      </c>
      <c r="M186" s="15">
        <v>15</v>
      </c>
      <c r="N186" s="15">
        <v>60</v>
      </c>
      <c r="O186" s="15">
        <v>20</v>
      </c>
      <c r="P186" s="15">
        <v>720</v>
      </c>
      <c r="Q186" s="15">
        <v>1</v>
      </c>
      <c r="R186" s="15" t="s">
        <v>79</v>
      </c>
      <c r="S186" s="15" t="s">
        <v>35</v>
      </c>
      <c r="T186" s="15" t="s">
        <v>132</v>
      </c>
      <c r="U186" s="17" t="s">
        <v>963</v>
      </c>
      <c r="V186" s="15" t="s">
        <v>38</v>
      </c>
    </row>
    <row r="187" spans="1:22">
      <c r="A187" s="18" t="s">
        <v>964</v>
      </c>
      <c r="B187" s="18" t="s">
        <v>221</v>
      </c>
      <c r="C187" s="18" t="s">
        <v>92</v>
      </c>
      <c r="D187" s="18" t="s">
        <v>231</v>
      </c>
      <c r="E187" s="18" t="s">
        <v>965</v>
      </c>
      <c r="F187" s="18" t="s">
        <v>225</v>
      </c>
      <c r="G187" s="18" t="s">
        <v>76</v>
      </c>
      <c r="H187" s="18" t="s">
        <v>966</v>
      </c>
      <c r="I187" s="18" t="s">
        <v>30</v>
      </c>
      <c r="J187" s="18" t="s">
        <v>31</v>
      </c>
      <c r="K187" s="18" t="s">
        <v>32</v>
      </c>
      <c r="L187" s="18" t="s">
        <v>97</v>
      </c>
      <c r="M187" s="18">
        <v>18</v>
      </c>
      <c r="N187" s="18">
        <v>3500</v>
      </c>
      <c r="O187" s="18">
        <v>5</v>
      </c>
      <c r="P187" s="18">
        <v>59850</v>
      </c>
      <c r="Q187" s="18">
        <v>1</v>
      </c>
      <c r="R187" s="18" t="s">
        <v>79</v>
      </c>
      <c r="S187" s="18" t="s">
        <v>49</v>
      </c>
      <c r="T187" s="18" t="s">
        <v>228</v>
      </c>
      <c r="U187" s="19" t="s">
        <v>967</v>
      </c>
      <c r="V187" s="18" t="s">
        <v>69</v>
      </c>
    </row>
    <row r="188" spans="1:22">
      <c r="A188" s="15" t="s">
        <v>968</v>
      </c>
      <c r="B188" s="15" t="s">
        <v>327</v>
      </c>
      <c r="C188" s="15" t="s">
        <v>40</v>
      </c>
      <c r="D188" s="15" t="s">
        <v>969</v>
      </c>
      <c r="E188" s="15" t="s">
        <v>970</v>
      </c>
      <c r="F188" s="15" t="s">
        <v>394</v>
      </c>
      <c r="G188" s="15" t="s">
        <v>76</v>
      </c>
      <c r="H188" s="15" t="s">
        <v>971</v>
      </c>
      <c r="I188" s="15" t="s">
        <v>114</v>
      </c>
      <c r="J188" s="15" t="s">
        <v>106</v>
      </c>
      <c r="K188" s="15" t="s">
        <v>46</v>
      </c>
      <c r="L188" s="15" t="s">
        <v>47</v>
      </c>
      <c r="M188" s="15">
        <v>6</v>
      </c>
      <c r="N188" s="15">
        <v>12000</v>
      </c>
      <c r="O188" s="15">
        <v>5</v>
      </c>
      <c r="P188" s="15">
        <v>68400</v>
      </c>
      <c r="Q188" s="15">
        <v>1</v>
      </c>
      <c r="R188" s="15" t="s">
        <v>48</v>
      </c>
      <c r="S188" s="15" t="s">
        <v>49</v>
      </c>
      <c r="T188" s="15" t="s">
        <v>332</v>
      </c>
      <c r="U188" s="17" t="s">
        <v>972</v>
      </c>
      <c r="V188" s="15" t="s">
        <v>69</v>
      </c>
    </row>
    <row r="189" spans="1:22">
      <c r="A189" s="18" t="s">
        <v>973</v>
      </c>
      <c r="B189" s="18" t="s">
        <v>327</v>
      </c>
      <c r="C189" s="18" t="s">
        <v>222</v>
      </c>
      <c r="D189" s="18" t="s">
        <v>323</v>
      </c>
      <c r="E189" s="18" t="s">
        <v>479</v>
      </c>
      <c r="F189" s="18" t="s">
        <v>394</v>
      </c>
      <c r="G189" s="18" t="s">
        <v>76</v>
      </c>
      <c r="H189" s="18" t="s">
        <v>974</v>
      </c>
      <c r="I189" s="18" t="s">
        <v>59</v>
      </c>
      <c r="J189" s="18" t="s">
        <v>31</v>
      </c>
      <c r="K189" s="18" t="s">
        <v>122</v>
      </c>
      <c r="L189" s="18" t="s">
        <v>227</v>
      </c>
      <c r="M189" s="18">
        <v>19</v>
      </c>
      <c r="N189" s="18">
        <v>20</v>
      </c>
      <c r="O189" s="18">
        <v>10</v>
      </c>
      <c r="P189" s="18">
        <v>342</v>
      </c>
      <c r="Q189" s="18">
        <v>2</v>
      </c>
      <c r="R189" s="18" t="s">
        <v>48</v>
      </c>
      <c r="S189" s="18" t="s">
        <v>35</v>
      </c>
      <c r="T189" s="18" t="s">
        <v>332</v>
      </c>
      <c r="U189" s="19" t="s">
        <v>975</v>
      </c>
      <c r="V189" s="18" t="s">
        <v>64</v>
      </c>
    </row>
    <row r="190" spans="1:22">
      <c r="A190" s="15" t="s">
        <v>976</v>
      </c>
      <c r="B190" s="15" t="s">
        <v>221</v>
      </c>
      <c r="C190" s="15" t="s">
        <v>24</v>
      </c>
      <c r="D190" s="15" t="s">
        <v>426</v>
      </c>
      <c r="E190" s="15" t="s">
        <v>427</v>
      </c>
      <c r="F190" s="15" t="s">
        <v>225</v>
      </c>
      <c r="G190" s="15" t="s">
        <v>76</v>
      </c>
      <c r="H190" s="15" t="s">
        <v>977</v>
      </c>
      <c r="I190" s="15" t="s">
        <v>114</v>
      </c>
      <c r="J190" s="15" t="s">
        <v>106</v>
      </c>
      <c r="K190" s="15" t="s">
        <v>32</v>
      </c>
      <c r="L190" s="15" t="s">
        <v>33</v>
      </c>
      <c r="M190" s="15">
        <v>7</v>
      </c>
      <c r="N190" s="15">
        <v>2200</v>
      </c>
      <c r="O190" s="15">
        <v>0</v>
      </c>
      <c r="P190" s="15">
        <v>15400</v>
      </c>
      <c r="Q190" s="15">
        <v>1</v>
      </c>
      <c r="R190" s="15" t="s">
        <v>79</v>
      </c>
      <c r="S190" s="15" t="s">
        <v>115</v>
      </c>
      <c r="T190" s="15" t="s">
        <v>228</v>
      </c>
      <c r="U190" s="17" t="s">
        <v>978</v>
      </c>
      <c r="V190" s="15" t="s">
        <v>69</v>
      </c>
    </row>
    <row r="191" spans="1:22">
      <c r="A191" s="18" t="s">
        <v>979</v>
      </c>
      <c r="B191" s="18" t="s">
        <v>327</v>
      </c>
      <c r="C191" s="18" t="s">
        <v>40</v>
      </c>
      <c r="D191" s="18" t="s">
        <v>503</v>
      </c>
      <c r="E191" s="18" t="s">
        <v>980</v>
      </c>
      <c r="F191" s="18" t="s">
        <v>394</v>
      </c>
      <c r="G191" s="18" t="s">
        <v>76</v>
      </c>
      <c r="H191" s="18" t="s">
        <v>981</v>
      </c>
      <c r="I191" s="18" t="s">
        <v>212</v>
      </c>
      <c r="J191" s="18" t="s">
        <v>45</v>
      </c>
      <c r="K191" s="18" t="s">
        <v>46</v>
      </c>
      <c r="L191" s="18" t="s">
        <v>47</v>
      </c>
      <c r="M191" s="18">
        <v>3</v>
      </c>
      <c r="N191" s="18">
        <v>12000</v>
      </c>
      <c r="O191" s="18">
        <v>5</v>
      </c>
      <c r="P191" s="18">
        <v>34200</v>
      </c>
      <c r="Q191" s="18">
        <v>3</v>
      </c>
      <c r="R191" s="18" t="s">
        <v>79</v>
      </c>
      <c r="S191" s="18" t="s">
        <v>61</v>
      </c>
      <c r="T191" s="18" t="s">
        <v>332</v>
      </c>
      <c r="U191" s="19" t="s">
        <v>982</v>
      </c>
      <c r="V191" s="18" t="s">
        <v>69</v>
      </c>
    </row>
    <row r="192" spans="1:22">
      <c r="A192" s="15" t="s">
        <v>983</v>
      </c>
      <c r="B192" s="15" t="s">
        <v>168</v>
      </c>
      <c r="C192" s="15" t="s">
        <v>24</v>
      </c>
      <c r="D192" s="15" t="s">
        <v>341</v>
      </c>
      <c r="E192" s="15" t="s">
        <v>864</v>
      </c>
      <c r="F192" s="15" t="s">
        <v>361</v>
      </c>
      <c r="G192" s="15" t="s">
        <v>28</v>
      </c>
      <c r="H192" s="15" t="s">
        <v>984</v>
      </c>
      <c r="I192" s="15" t="s">
        <v>212</v>
      </c>
      <c r="J192" s="15" t="s">
        <v>45</v>
      </c>
      <c r="K192" s="15" t="s">
        <v>32</v>
      </c>
      <c r="L192" s="15" t="s">
        <v>33</v>
      </c>
      <c r="M192" s="15">
        <v>16</v>
      </c>
      <c r="N192" s="15">
        <v>2200</v>
      </c>
      <c r="O192" s="15">
        <v>0</v>
      </c>
      <c r="P192" s="15">
        <v>35200</v>
      </c>
      <c r="Q192" s="15">
        <v>5</v>
      </c>
      <c r="R192" s="15" t="s">
        <v>79</v>
      </c>
      <c r="S192" s="15" t="s">
        <v>35</v>
      </c>
      <c r="T192" s="15" t="s">
        <v>175</v>
      </c>
      <c r="U192" s="17" t="s">
        <v>985</v>
      </c>
      <c r="V192" s="15" t="s">
        <v>64</v>
      </c>
    </row>
    <row r="193" spans="1:22">
      <c r="A193" s="18" t="s">
        <v>986</v>
      </c>
      <c r="B193" s="18" t="s">
        <v>251</v>
      </c>
      <c r="C193" s="18" t="s">
        <v>24</v>
      </c>
      <c r="D193" s="18" t="s">
        <v>987</v>
      </c>
      <c r="E193" s="18" t="s">
        <v>988</v>
      </c>
      <c r="F193" s="18" t="s">
        <v>254</v>
      </c>
      <c r="G193" s="18" t="s">
        <v>28</v>
      </c>
      <c r="H193" s="18" t="s">
        <v>989</v>
      </c>
      <c r="I193" s="18" t="s">
        <v>44</v>
      </c>
      <c r="J193" s="18" t="s">
        <v>45</v>
      </c>
      <c r="K193" s="18" t="s">
        <v>32</v>
      </c>
      <c r="L193" s="18" t="s">
        <v>33</v>
      </c>
      <c r="M193" s="18">
        <v>8</v>
      </c>
      <c r="N193" s="18">
        <v>2200</v>
      </c>
      <c r="O193" s="18">
        <v>5</v>
      </c>
      <c r="P193" s="18">
        <v>16720</v>
      </c>
      <c r="Q193" s="18">
        <v>2</v>
      </c>
      <c r="R193" s="18" t="s">
        <v>88</v>
      </c>
      <c r="S193" s="18" t="s">
        <v>151</v>
      </c>
      <c r="T193" s="18" t="s">
        <v>256</v>
      </c>
      <c r="U193" s="19" t="s">
        <v>990</v>
      </c>
      <c r="V193" s="18" t="s">
        <v>38</v>
      </c>
    </row>
    <row r="194" spans="1:22">
      <c r="A194" s="15" t="s">
        <v>991</v>
      </c>
      <c r="B194" s="15" t="s">
        <v>251</v>
      </c>
      <c r="C194" s="15" t="s">
        <v>24</v>
      </c>
      <c r="D194" s="15" t="s">
        <v>610</v>
      </c>
      <c r="E194" s="15" t="s">
        <v>454</v>
      </c>
      <c r="F194" s="15" t="s">
        <v>254</v>
      </c>
      <c r="G194" s="15" t="s">
        <v>28</v>
      </c>
      <c r="H194" s="15" t="s">
        <v>992</v>
      </c>
      <c r="I194" s="15" t="s">
        <v>138</v>
      </c>
      <c r="J194" s="15" t="s">
        <v>106</v>
      </c>
      <c r="K194" s="15" t="s">
        <v>32</v>
      </c>
      <c r="L194" s="15" t="s">
        <v>33</v>
      </c>
      <c r="M194" s="15">
        <v>10</v>
      </c>
      <c r="N194" s="15">
        <v>2200</v>
      </c>
      <c r="O194" s="15">
        <v>10</v>
      </c>
      <c r="P194" s="15">
        <v>19800</v>
      </c>
      <c r="Q194" s="15">
        <v>5</v>
      </c>
      <c r="R194" s="15" t="s">
        <v>48</v>
      </c>
      <c r="S194" s="15" t="s">
        <v>115</v>
      </c>
      <c r="T194" s="15" t="s">
        <v>256</v>
      </c>
      <c r="U194" s="17" t="s">
        <v>993</v>
      </c>
      <c r="V194" s="15" t="s">
        <v>64</v>
      </c>
    </row>
    <row r="195" spans="1:22">
      <c r="A195" s="18" t="s">
        <v>994</v>
      </c>
      <c r="B195" s="18" t="s">
        <v>83</v>
      </c>
      <c r="C195" s="18" t="s">
        <v>222</v>
      </c>
      <c r="D195" s="18" t="s">
        <v>336</v>
      </c>
      <c r="E195" s="18" t="s">
        <v>596</v>
      </c>
      <c r="F195" s="18" t="s">
        <v>180</v>
      </c>
      <c r="G195" s="18" t="s">
        <v>76</v>
      </c>
      <c r="H195" s="18" t="s">
        <v>995</v>
      </c>
      <c r="I195" s="18" t="s">
        <v>44</v>
      </c>
      <c r="J195" s="18" t="s">
        <v>45</v>
      </c>
      <c r="K195" s="18" t="s">
        <v>122</v>
      </c>
      <c r="L195" s="18" t="s">
        <v>227</v>
      </c>
      <c r="M195" s="18">
        <v>7</v>
      </c>
      <c r="N195" s="18">
        <v>20</v>
      </c>
      <c r="O195" s="18">
        <v>10</v>
      </c>
      <c r="P195" s="18">
        <v>126</v>
      </c>
      <c r="Q195" s="18">
        <v>4</v>
      </c>
      <c r="R195" s="18" t="s">
        <v>79</v>
      </c>
      <c r="S195" s="18" t="s">
        <v>61</v>
      </c>
      <c r="T195" s="18" t="s">
        <v>89</v>
      </c>
      <c r="U195" s="19" t="s">
        <v>996</v>
      </c>
      <c r="V195" s="18" t="s">
        <v>38</v>
      </c>
    </row>
    <row r="196" spans="1:22">
      <c r="A196" s="15" t="s">
        <v>997</v>
      </c>
      <c r="B196" s="15" t="s">
        <v>221</v>
      </c>
      <c r="C196" s="15" t="s">
        <v>169</v>
      </c>
      <c r="D196" s="15" t="s">
        <v>252</v>
      </c>
      <c r="E196" s="15" t="s">
        <v>998</v>
      </c>
      <c r="F196" s="15" t="s">
        <v>225</v>
      </c>
      <c r="G196" s="15" t="s">
        <v>76</v>
      </c>
      <c r="H196" s="15" t="s">
        <v>999</v>
      </c>
      <c r="I196" s="15" t="s">
        <v>30</v>
      </c>
      <c r="J196" s="15" t="s">
        <v>31</v>
      </c>
      <c r="K196" s="15" t="s">
        <v>32</v>
      </c>
      <c r="L196" s="15" t="s">
        <v>174</v>
      </c>
      <c r="M196" s="15">
        <v>19</v>
      </c>
      <c r="N196" s="15">
        <v>8500</v>
      </c>
      <c r="O196" s="15">
        <v>20</v>
      </c>
      <c r="P196" s="15">
        <v>129200</v>
      </c>
      <c r="Q196" s="15">
        <v>3</v>
      </c>
      <c r="R196" s="15" t="s">
        <v>48</v>
      </c>
      <c r="S196" s="15" t="s">
        <v>61</v>
      </c>
      <c r="T196" s="15" t="s">
        <v>228</v>
      </c>
      <c r="U196" s="17" t="s">
        <v>1000</v>
      </c>
      <c r="V196" s="15" t="s">
        <v>64</v>
      </c>
    </row>
    <row r="197" spans="1:22">
      <c r="A197" s="18" t="s">
        <v>1001</v>
      </c>
      <c r="B197" s="18" t="s">
        <v>100</v>
      </c>
      <c r="C197" s="18" t="s">
        <v>118</v>
      </c>
      <c r="D197" s="18" t="s">
        <v>431</v>
      </c>
      <c r="E197" s="18" t="s">
        <v>414</v>
      </c>
      <c r="F197" s="18" t="s">
        <v>103</v>
      </c>
      <c r="G197" s="18" t="s">
        <v>28</v>
      </c>
      <c r="H197" s="18" t="s">
        <v>1002</v>
      </c>
      <c r="I197" s="18" t="s">
        <v>114</v>
      </c>
      <c r="J197" s="18" t="s">
        <v>106</v>
      </c>
      <c r="K197" s="18" t="s">
        <v>122</v>
      </c>
      <c r="L197" s="18" t="s">
        <v>123</v>
      </c>
      <c r="M197" s="18">
        <v>16</v>
      </c>
      <c r="N197" s="18">
        <v>60</v>
      </c>
      <c r="O197" s="18">
        <v>0</v>
      </c>
      <c r="P197" s="18">
        <v>960</v>
      </c>
      <c r="Q197" s="18">
        <v>2</v>
      </c>
      <c r="R197" s="18" t="s">
        <v>48</v>
      </c>
      <c r="S197" s="18" t="s">
        <v>115</v>
      </c>
      <c r="T197" s="18" t="s">
        <v>144</v>
      </c>
      <c r="U197" s="19" t="s">
        <v>1003</v>
      </c>
      <c r="V197" s="18" t="s">
        <v>38</v>
      </c>
    </row>
    <row r="198" spans="1:22">
      <c r="A198" s="15" t="s">
        <v>1004</v>
      </c>
      <c r="B198" s="15" t="s">
        <v>221</v>
      </c>
      <c r="C198" s="15" t="s">
        <v>92</v>
      </c>
      <c r="D198" s="15" t="s">
        <v>1005</v>
      </c>
      <c r="E198" s="15" t="s">
        <v>731</v>
      </c>
      <c r="F198" s="15" t="s">
        <v>225</v>
      </c>
      <c r="G198" s="15" t="s">
        <v>76</v>
      </c>
      <c r="H198" s="15" t="s">
        <v>1006</v>
      </c>
      <c r="I198" s="15" t="s">
        <v>59</v>
      </c>
      <c r="J198" s="15" t="s">
        <v>31</v>
      </c>
      <c r="K198" s="15" t="s">
        <v>1007</v>
      </c>
      <c r="L198" s="15" t="s">
        <v>97</v>
      </c>
      <c r="M198" s="15">
        <v>18</v>
      </c>
      <c r="N198" s="15">
        <v>3500</v>
      </c>
      <c r="O198" s="15">
        <v>5</v>
      </c>
      <c r="P198" s="15">
        <v>59850</v>
      </c>
      <c r="Q198" s="15">
        <v>1</v>
      </c>
      <c r="R198" s="15" t="s">
        <v>88</v>
      </c>
      <c r="S198" s="15" t="s">
        <v>115</v>
      </c>
      <c r="T198" s="15" t="s">
        <v>228</v>
      </c>
      <c r="U198" s="17" t="s">
        <v>1008</v>
      </c>
      <c r="V198" s="15" t="s">
        <v>64</v>
      </c>
    </row>
    <row r="199" spans="1:22">
      <c r="A199" s="18" t="s">
        <v>1009</v>
      </c>
      <c r="B199" s="18" t="s">
        <v>100</v>
      </c>
      <c r="C199" s="18" t="s">
        <v>54</v>
      </c>
      <c r="D199" s="18" t="s">
        <v>1010</v>
      </c>
      <c r="E199" s="18" t="s">
        <v>431</v>
      </c>
      <c r="F199" s="18" t="s">
        <v>103</v>
      </c>
      <c r="G199" s="18" t="s">
        <v>28</v>
      </c>
      <c r="H199" s="18" t="s">
        <v>1011</v>
      </c>
      <c r="I199" s="18" t="s">
        <v>212</v>
      </c>
      <c r="J199" s="18" t="s">
        <v>45</v>
      </c>
      <c r="K199" s="18" t="s">
        <v>46</v>
      </c>
      <c r="L199" s="18" t="s">
        <v>60</v>
      </c>
      <c r="M199" s="18">
        <v>16</v>
      </c>
      <c r="N199" s="18">
        <v>55000</v>
      </c>
      <c r="O199" s="18">
        <v>0</v>
      </c>
      <c r="P199" s="18">
        <v>880000</v>
      </c>
      <c r="Q199" s="18">
        <v>1</v>
      </c>
      <c r="R199" s="18" t="s">
        <v>79</v>
      </c>
      <c r="S199" s="18" t="s">
        <v>61</v>
      </c>
      <c r="T199" s="18" t="s">
        <v>144</v>
      </c>
      <c r="U199" s="19" t="s">
        <v>1012</v>
      </c>
      <c r="V199" s="18" t="s">
        <v>69</v>
      </c>
    </row>
    <row r="200" spans="1:22">
      <c r="A200" s="15" t="s">
        <v>1013</v>
      </c>
      <c r="B200" s="15" t="s">
        <v>221</v>
      </c>
      <c r="C200" s="15" t="s">
        <v>72</v>
      </c>
      <c r="D200" s="15" t="s">
        <v>900</v>
      </c>
      <c r="E200" s="15" t="s">
        <v>435</v>
      </c>
      <c r="F200" s="15" t="s">
        <v>225</v>
      </c>
      <c r="G200" s="15" t="s">
        <v>76</v>
      </c>
      <c r="H200" s="15" t="s">
        <v>1014</v>
      </c>
      <c r="I200" s="15" t="s">
        <v>138</v>
      </c>
      <c r="J200" s="15" t="s">
        <v>106</v>
      </c>
      <c r="K200" s="15" t="s">
        <v>46</v>
      </c>
      <c r="L200" s="15" t="s">
        <v>78</v>
      </c>
      <c r="M200" s="15">
        <v>18</v>
      </c>
      <c r="N200" s="15">
        <v>1200</v>
      </c>
      <c r="O200" s="15">
        <v>15</v>
      </c>
      <c r="P200" s="15">
        <v>18360</v>
      </c>
      <c r="Q200" s="15">
        <v>2</v>
      </c>
      <c r="R200" s="15" t="s">
        <v>48</v>
      </c>
      <c r="S200" s="15" t="s">
        <v>35</v>
      </c>
      <c r="T200" s="15" t="s">
        <v>228</v>
      </c>
      <c r="U200" s="17" t="s">
        <v>1015</v>
      </c>
      <c r="V200" s="15" t="s">
        <v>69</v>
      </c>
    </row>
    <row r="201" spans="1:22">
      <c r="A201" s="18" t="s">
        <v>1016</v>
      </c>
      <c r="B201" s="18" t="s">
        <v>71</v>
      </c>
      <c r="C201" s="18" t="s">
        <v>259</v>
      </c>
      <c r="D201" s="18" t="s">
        <v>1017</v>
      </c>
      <c r="E201" s="18" t="s">
        <v>1018</v>
      </c>
      <c r="F201" s="18" t="s">
        <v>217</v>
      </c>
      <c r="G201" s="18" t="s">
        <v>76</v>
      </c>
      <c r="H201" s="18" t="s">
        <v>1019</v>
      </c>
      <c r="I201" s="18" t="s">
        <v>30</v>
      </c>
      <c r="J201" s="18" t="s">
        <v>31</v>
      </c>
      <c r="K201" s="18" t="s">
        <v>122</v>
      </c>
      <c r="L201" s="18" t="s">
        <v>263</v>
      </c>
      <c r="M201" s="18">
        <v>2</v>
      </c>
      <c r="N201" s="18">
        <v>45</v>
      </c>
      <c r="O201" s="18">
        <v>15</v>
      </c>
      <c r="P201" s="18">
        <v>76.5</v>
      </c>
      <c r="Q201" s="18">
        <v>5</v>
      </c>
      <c r="R201" s="18" t="s">
        <v>34</v>
      </c>
      <c r="S201" s="18" t="s">
        <v>61</v>
      </c>
      <c r="T201" s="18" t="s">
        <v>80</v>
      </c>
      <c r="U201" s="19" t="s">
        <v>1020</v>
      </c>
      <c r="V201" s="18" t="s">
        <v>69</v>
      </c>
    </row>
    <row r="202" spans="1:22">
      <c r="A202" s="15" t="s">
        <v>1021</v>
      </c>
      <c r="B202" s="15" t="s">
        <v>53</v>
      </c>
      <c r="C202" s="15" t="s">
        <v>169</v>
      </c>
      <c r="D202" s="15" t="s">
        <v>712</v>
      </c>
      <c r="E202" s="15" t="s">
        <v>85</v>
      </c>
      <c r="F202" s="15" t="s">
        <v>163</v>
      </c>
      <c r="G202" s="15" t="s">
        <v>28</v>
      </c>
      <c r="H202" s="15" t="s">
        <v>1022</v>
      </c>
      <c r="I202" s="15" t="s">
        <v>59</v>
      </c>
      <c r="J202" s="15" t="s">
        <v>31</v>
      </c>
      <c r="K202" s="15" t="s">
        <v>32</v>
      </c>
      <c r="L202" s="15" t="s">
        <v>174</v>
      </c>
      <c r="M202" s="15">
        <v>20</v>
      </c>
      <c r="N202" s="15">
        <v>8500</v>
      </c>
      <c r="O202" s="15">
        <v>0</v>
      </c>
      <c r="P202" s="15">
        <v>170000</v>
      </c>
      <c r="Q202" s="15">
        <v>4</v>
      </c>
      <c r="R202" s="15" t="s">
        <v>48</v>
      </c>
      <c r="S202" s="15" t="s">
        <v>61</v>
      </c>
      <c r="T202" s="15" t="s">
        <v>62</v>
      </c>
      <c r="U202" s="17" t="s">
        <v>1023</v>
      </c>
      <c r="V202" s="15" t="s">
        <v>69</v>
      </c>
    </row>
    <row r="203" spans="1:22">
      <c r="A203" s="18" t="s">
        <v>1024</v>
      </c>
      <c r="B203" s="18" t="s">
        <v>127</v>
      </c>
      <c r="C203" s="18" t="s">
        <v>92</v>
      </c>
      <c r="D203" s="18" t="s">
        <v>298</v>
      </c>
      <c r="E203" s="18" t="s">
        <v>1025</v>
      </c>
      <c r="F203" s="18" t="s">
        <v>200</v>
      </c>
      <c r="G203" s="18" t="s">
        <v>76</v>
      </c>
      <c r="H203" s="18" t="s">
        <v>494</v>
      </c>
      <c r="I203" s="18" t="s">
        <v>212</v>
      </c>
      <c r="J203" s="18" t="s">
        <v>45</v>
      </c>
      <c r="K203" s="18" t="s">
        <v>32</v>
      </c>
      <c r="L203" s="18" t="s">
        <v>97</v>
      </c>
      <c r="M203" s="18">
        <v>6</v>
      </c>
      <c r="N203" s="18">
        <v>3500</v>
      </c>
      <c r="O203" s="18">
        <v>5</v>
      </c>
      <c r="P203" s="18">
        <v>19950</v>
      </c>
      <c r="Q203" s="18">
        <v>1</v>
      </c>
      <c r="R203" s="18" t="s">
        <v>34</v>
      </c>
      <c r="S203" s="18" t="s">
        <v>151</v>
      </c>
      <c r="T203" s="18" t="s">
        <v>132</v>
      </c>
      <c r="U203" s="19" t="s">
        <v>1026</v>
      </c>
      <c r="V203" s="18" t="s">
        <v>38</v>
      </c>
    </row>
    <row r="204" spans="1:22">
      <c r="A204" s="15" t="s">
        <v>1027</v>
      </c>
      <c r="B204" s="15" t="s">
        <v>168</v>
      </c>
      <c r="C204" s="15" t="s">
        <v>259</v>
      </c>
      <c r="D204" s="15" t="s">
        <v>308</v>
      </c>
      <c r="E204" s="15" t="s">
        <v>281</v>
      </c>
      <c r="F204" s="15" t="s">
        <v>361</v>
      </c>
      <c r="G204" s="15" t="s">
        <v>28</v>
      </c>
      <c r="H204" s="15" t="s">
        <v>1028</v>
      </c>
      <c r="I204" s="15" t="s">
        <v>114</v>
      </c>
      <c r="J204" s="15" t="s">
        <v>106</v>
      </c>
      <c r="K204" s="15" t="s">
        <v>122</v>
      </c>
      <c r="L204" s="15" t="s">
        <v>263</v>
      </c>
      <c r="M204" s="15">
        <v>8</v>
      </c>
      <c r="N204" s="15">
        <v>45</v>
      </c>
      <c r="O204" s="15">
        <v>5</v>
      </c>
      <c r="P204" s="15">
        <v>342</v>
      </c>
      <c r="Q204" s="15">
        <v>2</v>
      </c>
      <c r="R204" s="15" t="s">
        <v>34</v>
      </c>
      <c r="S204" s="15" t="s">
        <v>49</v>
      </c>
      <c r="T204" s="15" t="s">
        <v>175</v>
      </c>
      <c r="U204" s="17" t="s">
        <v>1029</v>
      </c>
      <c r="V204" s="15" t="s">
        <v>64</v>
      </c>
    </row>
    <row r="205" spans="1:22">
      <c r="A205" s="18" t="s">
        <v>1030</v>
      </c>
      <c r="B205" s="18" t="s">
        <v>327</v>
      </c>
      <c r="C205" s="18" t="s">
        <v>24</v>
      </c>
      <c r="D205" s="18" t="s">
        <v>414</v>
      </c>
      <c r="E205" s="18" t="s">
        <v>1031</v>
      </c>
      <c r="F205" s="18" t="s">
        <v>394</v>
      </c>
      <c r="G205" s="18" t="s">
        <v>76</v>
      </c>
      <c r="H205" s="18" t="s">
        <v>1032</v>
      </c>
      <c r="I205" s="18" t="s">
        <v>105</v>
      </c>
      <c r="J205" s="18" t="s">
        <v>106</v>
      </c>
      <c r="K205" s="18" t="s">
        <v>32</v>
      </c>
      <c r="L205" s="18" t="s">
        <v>33</v>
      </c>
      <c r="M205" s="18">
        <v>18</v>
      </c>
      <c r="N205" s="18">
        <v>2200</v>
      </c>
      <c r="O205" s="18">
        <v>15</v>
      </c>
      <c r="P205" s="18">
        <v>33660</v>
      </c>
      <c r="Q205" s="18">
        <v>4</v>
      </c>
      <c r="R205" s="18" t="s">
        <v>79</v>
      </c>
      <c r="S205" s="18" t="s">
        <v>61</v>
      </c>
      <c r="T205" s="18" t="s">
        <v>332</v>
      </c>
      <c r="U205" s="19" t="s">
        <v>1033</v>
      </c>
      <c r="V205" s="18" t="s">
        <v>64</v>
      </c>
    </row>
    <row r="206" spans="1:22">
      <c r="A206" s="15" t="s">
        <v>1034</v>
      </c>
      <c r="B206" s="15" t="s">
        <v>221</v>
      </c>
      <c r="C206" s="15" t="s">
        <v>184</v>
      </c>
      <c r="D206" s="15" t="s">
        <v>1035</v>
      </c>
      <c r="E206" s="15" t="s">
        <v>1005</v>
      </c>
      <c r="F206" s="15" t="s">
        <v>225</v>
      </c>
      <c r="G206" s="15" t="s">
        <v>76</v>
      </c>
      <c r="H206" s="15" t="s">
        <v>1036</v>
      </c>
      <c r="I206" s="15" t="s">
        <v>30</v>
      </c>
      <c r="J206" s="15" t="s">
        <v>31</v>
      </c>
      <c r="K206" s="15" t="s">
        <v>46</v>
      </c>
      <c r="L206" s="15" t="s">
        <v>189</v>
      </c>
      <c r="M206" s="15">
        <v>18</v>
      </c>
      <c r="N206" s="15">
        <v>700</v>
      </c>
      <c r="O206" s="15">
        <v>15</v>
      </c>
      <c r="P206" s="15">
        <v>10710</v>
      </c>
      <c r="Q206" s="15">
        <v>3</v>
      </c>
      <c r="R206" s="15" t="s">
        <v>79</v>
      </c>
      <c r="S206" s="15" t="s">
        <v>151</v>
      </c>
      <c r="T206" s="15" t="s">
        <v>228</v>
      </c>
      <c r="U206" s="17" t="s">
        <v>1037</v>
      </c>
      <c r="V206" s="15" t="s">
        <v>69</v>
      </c>
    </row>
    <row r="207" spans="1:22">
      <c r="A207" s="18" t="s">
        <v>1038</v>
      </c>
      <c r="B207" s="18" t="s">
        <v>327</v>
      </c>
      <c r="C207" s="18" t="s">
        <v>54</v>
      </c>
      <c r="D207" s="18" t="s">
        <v>1039</v>
      </c>
      <c r="E207" s="18" t="s">
        <v>1040</v>
      </c>
      <c r="F207" s="18" t="s">
        <v>394</v>
      </c>
      <c r="G207" s="18" t="s">
        <v>76</v>
      </c>
      <c r="H207" s="18" t="s">
        <v>1041</v>
      </c>
      <c r="I207" s="18" t="s">
        <v>114</v>
      </c>
      <c r="J207" s="18" t="s">
        <v>106</v>
      </c>
      <c r="K207" s="18" t="s">
        <v>46</v>
      </c>
      <c r="L207" s="18" t="s">
        <v>60</v>
      </c>
      <c r="M207" s="18">
        <v>12</v>
      </c>
      <c r="N207" s="18">
        <v>55000</v>
      </c>
      <c r="O207" s="18">
        <v>0</v>
      </c>
      <c r="P207" s="18">
        <v>660000</v>
      </c>
      <c r="Q207" s="18">
        <v>2</v>
      </c>
      <c r="R207" s="18" t="s">
        <v>88</v>
      </c>
      <c r="S207" s="18" t="s">
        <v>49</v>
      </c>
      <c r="T207" s="18" t="s">
        <v>332</v>
      </c>
      <c r="U207" s="19" t="s">
        <v>1042</v>
      </c>
      <c r="V207" s="18" t="s">
        <v>69</v>
      </c>
    </row>
    <row r="208" spans="1:22">
      <c r="A208" s="15" t="s">
        <v>1043</v>
      </c>
      <c r="B208" s="15" t="s">
        <v>23</v>
      </c>
      <c r="C208" s="15" t="s">
        <v>40</v>
      </c>
      <c r="D208" s="15" t="s">
        <v>502</v>
      </c>
      <c r="E208" s="15" t="s">
        <v>1044</v>
      </c>
      <c r="F208" s="15" t="s">
        <v>27</v>
      </c>
      <c r="G208" s="15" t="s">
        <v>28</v>
      </c>
      <c r="H208" s="15" t="s">
        <v>1045</v>
      </c>
      <c r="I208" s="15" t="s">
        <v>105</v>
      </c>
      <c r="J208" s="15" t="s">
        <v>106</v>
      </c>
      <c r="K208" s="15" t="s">
        <v>46</v>
      </c>
      <c r="L208" s="15" t="s">
        <v>47</v>
      </c>
      <c r="M208" s="15">
        <v>7</v>
      </c>
      <c r="N208" s="15">
        <v>12000</v>
      </c>
      <c r="O208" s="15">
        <v>5</v>
      </c>
      <c r="P208" s="15">
        <v>79800</v>
      </c>
      <c r="Q208" s="15">
        <v>3</v>
      </c>
      <c r="R208" s="15" t="s">
        <v>79</v>
      </c>
      <c r="S208" s="15" t="s">
        <v>151</v>
      </c>
      <c r="T208" s="15" t="s">
        <v>50</v>
      </c>
      <c r="U208" s="17" t="s">
        <v>1046</v>
      </c>
      <c r="V208" s="15" t="s">
        <v>64</v>
      </c>
    </row>
    <row r="209" spans="1:22">
      <c r="A209" s="18" t="s">
        <v>1047</v>
      </c>
      <c r="B209" s="18" t="s">
        <v>251</v>
      </c>
      <c r="C209" s="18" t="s">
        <v>40</v>
      </c>
      <c r="D209" s="18" t="s">
        <v>1048</v>
      </c>
      <c r="E209" s="18" t="s">
        <v>129</v>
      </c>
      <c r="F209" s="18" t="s">
        <v>254</v>
      </c>
      <c r="G209" s="18" t="s">
        <v>28</v>
      </c>
      <c r="H209" s="18" t="s">
        <v>1049</v>
      </c>
      <c r="I209" s="18" t="s">
        <v>105</v>
      </c>
      <c r="J209" s="18" t="s">
        <v>106</v>
      </c>
      <c r="K209" s="18" t="s">
        <v>46</v>
      </c>
      <c r="L209" s="18" t="s">
        <v>47</v>
      </c>
      <c r="M209" s="18">
        <v>8</v>
      </c>
      <c r="N209" s="18">
        <v>12000</v>
      </c>
      <c r="O209" s="18">
        <v>15</v>
      </c>
      <c r="P209" s="18">
        <v>81600</v>
      </c>
      <c r="Q209" s="18">
        <v>4</v>
      </c>
      <c r="R209" s="18" t="s">
        <v>79</v>
      </c>
      <c r="S209" s="18" t="s">
        <v>49</v>
      </c>
      <c r="T209" s="18" t="s">
        <v>256</v>
      </c>
      <c r="U209" s="19" t="s">
        <v>1050</v>
      </c>
      <c r="V209" s="18" t="s">
        <v>38</v>
      </c>
    </row>
    <row r="210" spans="1:22">
      <c r="A210" s="15" t="s">
        <v>1051</v>
      </c>
      <c r="B210" s="15" t="s">
        <v>327</v>
      </c>
      <c r="C210" s="15" t="s">
        <v>92</v>
      </c>
      <c r="D210" s="15" t="s">
        <v>788</v>
      </c>
      <c r="E210" s="15" t="s">
        <v>1052</v>
      </c>
      <c r="F210" s="15" t="s">
        <v>394</v>
      </c>
      <c r="G210" s="15" t="s">
        <v>76</v>
      </c>
      <c r="H210" s="15" t="s">
        <v>1053</v>
      </c>
      <c r="I210" s="15" t="s">
        <v>105</v>
      </c>
      <c r="J210" s="15" t="s">
        <v>106</v>
      </c>
      <c r="K210" s="15" t="s">
        <v>32</v>
      </c>
      <c r="L210" s="15" t="s">
        <v>97</v>
      </c>
      <c r="M210" s="15">
        <v>19</v>
      </c>
      <c r="N210" s="15">
        <v>3500</v>
      </c>
      <c r="O210" s="15">
        <v>5</v>
      </c>
      <c r="P210" s="15">
        <v>63175</v>
      </c>
      <c r="Q210" s="15">
        <v>3</v>
      </c>
      <c r="R210" s="15" t="s">
        <v>79</v>
      </c>
      <c r="S210" s="15" t="s">
        <v>61</v>
      </c>
      <c r="T210" s="15" t="s">
        <v>332</v>
      </c>
      <c r="U210" s="17" t="s">
        <v>1054</v>
      </c>
      <c r="V210" s="15" t="s">
        <v>64</v>
      </c>
    </row>
    <row r="211" spans="1:22">
      <c r="A211" s="18" t="s">
        <v>1055</v>
      </c>
      <c r="B211" s="18" t="s">
        <v>251</v>
      </c>
      <c r="C211" s="18" t="s">
        <v>259</v>
      </c>
      <c r="D211" s="18" t="s">
        <v>900</v>
      </c>
      <c r="E211" s="18" t="s">
        <v>987</v>
      </c>
      <c r="F211" s="18" t="s">
        <v>254</v>
      </c>
      <c r="G211" s="18" t="s">
        <v>28</v>
      </c>
      <c r="H211" s="18" t="s">
        <v>1056</v>
      </c>
      <c r="I211" s="18" t="s">
        <v>138</v>
      </c>
      <c r="J211" s="18" t="s">
        <v>106</v>
      </c>
      <c r="K211" s="18" t="s">
        <v>122</v>
      </c>
      <c r="L211" s="18" t="s">
        <v>263</v>
      </c>
      <c r="M211" s="18">
        <v>7</v>
      </c>
      <c r="N211" s="18">
        <v>45</v>
      </c>
      <c r="O211" s="18">
        <v>5</v>
      </c>
      <c r="P211" s="18">
        <v>299.25</v>
      </c>
      <c r="Q211" s="18">
        <v>3</v>
      </c>
      <c r="R211" s="18" t="s">
        <v>79</v>
      </c>
      <c r="S211" s="18" t="s">
        <v>35</v>
      </c>
      <c r="T211" s="18" t="s">
        <v>256</v>
      </c>
      <c r="U211" s="19" t="s">
        <v>1057</v>
      </c>
      <c r="V211" s="18" t="s">
        <v>69</v>
      </c>
    </row>
    <row r="212" spans="1:22">
      <c r="A212" s="15" t="s">
        <v>1058</v>
      </c>
      <c r="B212" s="15" t="s">
        <v>23</v>
      </c>
      <c r="C212" s="15" t="s">
        <v>118</v>
      </c>
      <c r="D212" s="15" t="s">
        <v>684</v>
      </c>
      <c r="E212" s="15" t="s">
        <v>750</v>
      </c>
      <c r="F212" s="15" t="s">
        <v>27</v>
      </c>
      <c r="G212" s="15" t="s">
        <v>28</v>
      </c>
      <c r="H212" s="15" t="s">
        <v>331</v>
      </c>
      <c r="I212" s="15" t="s">
        <v>30</v>
      </c>
      <c r="J212" s="15" t="s">
        <v>31</v>
      </c>
      <c r="K212" s="15" t="s">
        <v>122</v>
      </c>
      <c r="L212" s="15" t="s">
        <v>123</v>
      </c>
      <c r="M212" s="15">
        <v>3</v>
      </c>
      <c r="N212" s="15">
        <v>60</v>
      </c>
      <c r="O212" s="15">
        <v>15</v>
      </c>
      <c r="P212" s="15">
        <v>153</v>
      </c>
      <c r="Q212" s="15">
        <v>3</v>
      </c>
      <c r="R212" s="15" t="s">
        <v>48</v>
      </c>
      <c r="S212" s="15" t="s">
        <v>49</v>
      </c>
      <c r="T212" s="15" t="s">
        <v>50</v>
      </c>
      <c r="U212" s="17" t="s">
        <v>1059</v>
      </c>
      <c r="V212" s="15" t="s">
        <v>69</v>
      </c>
    </row>
    <row r="213" spans="1:22">
      <c r="A213" s="18" t="s">
        <v>1060</v>
      </c>
      <c r="B213" s="18" t="s">
        <v>53</v>
      </c>
      <c r="C213" s="18" t="s">
        <v>259</v>
      </c>
      <c r="D213" s="18" t="s">
        <v>1061</v>
      </c>
      <c r="E213" s="18" t="s">
        <v>582</v>
      </c>
      <c r="F213" s="18" t="s">
        <v>163</v>
      </c>
      <c r="G213" s="18" t="s">
        <v>28</v>
      </c>
      <c r="H213" s="18" t="s">
        <v>1062</v>
      </c>
      <c r="I213" s="18" t="s">
        <v>114</v>
      </c>
      <c r="J213" s="18" t="s">
        <v>106</v>
      </c>
      <c r="K213" s="18" t="s">
        <v>122</v>
      </c>
      <c r="L213" s="18" t="s">
        <v>263</v>
      </c>
      <c r="M213" s="18">
        <v>19</v>
      </c>
      <c r="N213" s="18">
        <v>45</v>
      </c>
      <c r="O213" s="18">
        <v>0</v>
      </c>
      <c r="P213" s="18">
        <v>855</v>
      </c>
      <c r="Q213" s="18">
        <v>2</v>
      </c>
      <c r="R213" s="18" t="s">
        <v>34</v>
      </c>
      <c r="S213" s="18" t="s">
        <v>61</v>
      </c>
      <c r="T213" s="18" t="s">
        <v>62</v>
      </c>
      <c r="U213" s="19" t="s">
        <v>1063</v>
      </c>
      <c r="V213" s="18" t="s">
        <v>38</v>
      </c>
    </row>
    <row r="214" spans="1:22">
      <c r="A214" s="15" t="s">
        <v>1064</v>
      </c>
      <c r="B214" s="15" t="s">
        <v>100</v>
      </c>
      <c r="C214" s="15" t="s">
        <v>40</v>
      </c>
      <c r="D214" s="15" t="s">
        <v>1065</v>
      </c>
      <c r="E214" s="15" t="s">
        <v>543</v>
      </c>
      <c r="F214" s="15" t="s">
        <v>103</v>
      </c>
      <c r="G214" s="15" t="s">
        <v>28</v>
      </c>
      <c r="H214" s="15" t="s">
        <v>1066</v>
      </c>
      <c r="I214" s="15" t="s">
        <v>59</v>
      </c>
      <c r="J214" s="15" t="s">
        <v>31</v>
      </c>
      <c r="K214" s="15" t="s">
        <v>46</v>
      </c>
      <c r="L214" s="15" t="s">
        <v>47</v>
      </c>
      <c r="M214" s="15">
        <v>10</v>
      </c>
      <c r="N214" s="15">
        <v>12000</v>
      </c>
      <c r="O214" s="15">
        <v>5</v>
      </c>
      <c r="P214" s="15">
        <v>114000</v>
      </c>
      <c r="Q214" s="15">
        <v>1</v>
      </c>
      <c r="R214" s="15" t="s">
        <v>79</v>
      </c>
      <c r="S214" s="15" t="s">
        <v>115</v>
      </c>
      <c r="T214" s="15" t="s">
        <v>144</v>
      </c>
      <c r="U214" s="17" t="s">
        <v>1067</v>
      </c>
      <c r="V214" s="15" t="s">
        <v>69</v>
      </c>
    </row>
    <row r="215" spans="1:22">
      <c r="A215" s="18" t="s">
        <v>1068</v>
      </c>
      <c r="B215" s="18" t="s">
        <v>23</v>
      </c>
      <c r="C215" s="18" t="s">
        <v>72</v>
      </c>
      <c r="D215" s="18" t="s">
        <v>1069</v>
      </c>
      <c r="E215" s="18" t="s">
        <v>1031</v>
      </c>
      <c r="F215" s="18" t="s">
        <v>27</v>
      </c>
      <c r="G215" s="18" t="s">
        <v>28</v>
      </c>
      <c r="H215" s="18" t="s">
        <v>1070</v>
      </c>
      <c r="I215" s="18" t="s">
        <v>294</v>
      </c>
      <c r="J215" s="18" t="s">
        <v>295</v>
      </c>
      <c r="K215" s="18" t="s">
        <v>46</v>
      </c>
      <c r="L215" s="18" t="s">
        <v>78</v>
      </c>
      <c r="M215" s="18">
        <v>4</v>
      </c>
      <c r="N215" s="18">
        <v>1200</v>
      </c>
      <c r="O215" s="18">
        <v>0</v>
      </c>
      <c r="P215" s="18">
        <v>4800</v>
      </c>
      <c r="Q215" s="18">
        <v>4</v>
      </c>
      <c r="R215" s="18" t="s">
        <v>34</v>
      </c>
      <c r="S215" s="18" t="s">
        <v>61</v>
      </c>
      <c r="T215" s="18" t="s">
        <v>50</v>
      </c>
      <c r="U215" s="19" t="s">
        <v>1071</v>
      </c>
      <c r="V215" s="18" t="s">
        <v>38</v>
      </c>
    </row>
    <row r="216" spans="1:22">
      <c r="A216" s="15" t="s">
        <v>1072</v>
      </c>
      <c r="B216" s="15" t="s">
        <v>221</v>
      </c>
      <c r="C216" s="15" t="s">
        <v>169</v>
      </c>
      <c r="D216" s="15" t="s">
        <v>531</v>
      </c>
      <c r="E216" s="15" t="s">
        <v>1073</v>
      </c>
      <c r="F216" s="15" t="s">
        <v>225</v>
      </c>
      <c r="G216" s="15" t="s">
        <v>76</v>
      </c>
      <c r="H216" s="15" t="s">
        <v>1074</v>
      </c>
      <c r="I216" s="15" t="s">
        <v>59</v>
      </c>
      <c r="J216" s="15" t="s">
        <v>31</v>
      </c>
      <c r="K216" s="15" t="s">
        <v>32</v>
      </c>
      <c r="L216" s="15" t="s">
        <v>174</v>
      </c>
      <c r="M216" s="15">
        <v>2</v>
      </c>
      <c r="N216" s="15">
        <v>8500</v>
      </c>
      <c r="O216" s="15">
        <v>20</v>
      </c>
      <c r="P216" s="15">
        <v>13600</v>
      </c>
      <c r="Q216" s="15">
        <v>3</v>
      </c>
      <c r="R216" s="15" t="s">
        <v>79</v>
      </c>
      <c r="S216" s="15" t="s">
        <v>151</v>
      </c>
      <c r="T216" s="15" t="s">
        <v>228</v>
      </c>
      <c r="U216" s="17" t="s">
        <v>1075</v>
      </c>
      <c r="V216" s="15" t="s">
        <v>38</v>
      </c>
    </row>
    <row r="217" spans="1:22">
      <c r="A217" s="18" t="s">
        <v>1076</v>
      </c>
      <c r="B217" s="18" t="s">
        <v>83</v>
      </c>
      <c r="C217" s="18" t="s">
        <v>184</v>
      </c>
      <c r="D217" s="18" t="s">
        <v>1077</v>
      </c>
      <c r="E217" s="18" t="s">
        <v>322</v>
      </c>
      <c r="F217" s="18" t="s">
        <v>180</v>
      </c>
      <c r="G217" s="18" t="s">
        <v>76</v>
      </c>
      <c r="H217" s="18" t="s">
        <v>1078</v>
      </c>
      <c r="I217" s="18" t="s">
        <v>294</v>
      </c>
      <c r="J217" s="18" t="s">
        <v>295</v>
      </c>
      <c r="K217" s="18" t="s">
        <v>46</v>
      </c>
      <c r="L217" s="18" t="s">
        <v>189</v>
      </c>
      <c r="M217" s="18">
        <v>7</v>
      </c>
      <c r="N217" s="18">
        <v>700</v>
      </c>
      <c r="O217" s="18">
        <v>20</v>
      </c>
      <c r="P217" s="18">
        <v>3920</v>
      </c>
      <c r="Q217" s="18">
        <v>2</v>
      </c>
      <c r="R217" s="18" t="s">
        <v>79</v>
      </c>
      <c r="S217" s="18" t="s">
        <v>151</v>
      </c>
      <c r="T217" s="18" t="s">
        <v>89</v>
      </c>
      <c r="U217" s="19" t="s">
        <v>1079</v>
      </c>
      <c r="V217" s="18" t="s">
        <v>64</v>
      </c>
    </row>
    <row r="218" spans="1:22">
      <c r="A218" s="15" t="s">
        <v>1080</v>
      </c>
      <c r="B218" s="15" t="s">
        <v>53</v>
      </c>
      <c r="C218" s="15" t="s">
        <v>222</v>
      </c>
      <c r="D218" s="15" t="s">
        <v>1081</v>
      </c>
      <c r="E218" s="15" t="s">
        <v>518</v>
      </c>
      <c r="F218" s="15" t="s">
        <v>163</v>
      </c>
      <c r="G218" s="15" t="s">
        <v>28</v>
      </c>
      <c r="H218" s="15" t="s">
        <v>1082</v>
      </c>
      <c r="I218" s="15" t="s">
        <v>114</v>
      </c>
      <c r="J218" s="15" t="s">
        <v>106</v>
      </c>
      <c r="K218" s="15" t="s">
        <v>122</v>
      </c>
      <c r="L218" s="15" t="s">
        <v>227</v>
      </c>
      <c r="M218" s="15">
        <v>9</v>
      </c>
      <c r="N218" s="15">
        <v>20</v>
      </c>
      <c r="O218" s="15">
        <v>15</v>
      </c>
      <c r="P218" s="15">
        <v>153</v>
      </c>
      <c r="Q218" s="15">
        <v>3</v>
      </c>
      <c r="R218" s="15" t="s">
        <v>48</v>
      </c>
      <c r="S218" s="15" t="s">
        <v>115</v>
      </c>
      <c r="T218" s="15" t="s">
        <v>62</v>
      </c>
      <c r="U218" s="17" t="s">
        <v>1083</v>
      </c>
      <c r="V218" s="15" t="s">
        <v>38</v>
      </c>
    </row>
    <row r="219" spans="1:22">
      <c r="A219" s="18" t="s">
        <v>1084</v>
      </c>
      <c r="B219" s="18" t="s">
        <v>100</v>
      </c>
      <c r="C219" s="18" t="s">
        <v>169</v>
      </c>
      <c r="D219" s="18" t="s">
        <v>1085</v>
      </c>
      <c r="E219" s="18" t="s">
        <v>1086</v>
      </c>
      <c r="F219" s="18" t="s">
        <v>103</v>
      </c>
      <c r="G219" s="18" t="s">
        <v>28</v>
      </c>
      <c r="H219" s="18" t="s">
        <v>1087</v>
      </c>
      <c r="I219" s="18" t="s">
        <v>294</v>
      </c>
      <c r="J219" s="18" t="s">
        <v>295</v>
      </c>
      <c r="K219" s="18" t="s">
        <v>32</v>
      </c>
      <c r="L219" s="18" t="s">
        <v>174</v>
      </c>
      <c r="M219" s="18">
        <v>16</v>
      </c>
      <c r="N219" s="18">
        <v>8500</v>
      </c>
      <c r="O219" s="18">
        <v>0</v>
      </c>
      <c r="P219" s="18">
        <v>136000</v>
      </c>
      <c r="Q219" s="18">
        <v>4</v>
      </c>
      <c r="R219" s="18" t="s">
        <v>48</v>
      </c>
      <c r="S219" s="18" t="s">
        <v>35</v>
      </c>
      <c r="T219" s="18" t="s">
        <v>144</v>
      </c>
      <c r="U219" s="19" t="s">
        <v>1088</v>
      </c>
      <c r="V219" s="18" t="s">
        <v>38</v>
      </c>
    </row>
    <row r="220" spans="1:22">
      <c r="A220" s="15" t="s">
        <v>1089</v>
      </c>
      <c r="B220" s="15" t="s">
        <v>251</v>
      </c>
      <c r="C220" s="15" t="s">
        <v>92</v>
      </c>
      <c r="D220" s="15" t="s">
        <v>544</v>
      </c>
      <c r="E220" s="15" t="s">
        <v>1090</v>
      </c>
      <c r="F220" s="15" t="s">
        <v>254</v>
      </c>
      <c r="G220" s="15" t="s">
        <v>28</v>
      </c>
      <c r="H220" s="15" t="s">
        <v>1091</v>
      </c>
      <c r="I220" s="15" t="s">
        <v>44</v>
      </c>
      <c r="J220" s="15" t="s">
        <v>45</v>
      </c>
      <c r="K220" s="15" t="s">
        <v>32</v>
      </c>
      <c r="L220" s="15" t="s">
        <v>97</v>
      </c>
      <c r="M220" s="15">
        <v>10</v>
      </c>
      <c r="N220" s="15">
        <v>3500</v>
      </c>
      <c r="O220" s="15">
        <v>5</v>
      </c>
      <c r="P220" s="15">
        <v>33250</v>
      </c>
      <c r="Q220" s="15">
        <v>3</v>
      </c>
      <c r="R220" s="15" t="s">
        <v>48</v>
      </c>
      <c r="S220" s="15" t="s">
        <v>115</v>
      </c>
      <c r="T220" s="15" t="s">
        <v>256</v>
      </c>
      <c r="U220" s="17" t="s">
        <v>1092</v>
      </c>
      <c r="V220" s="15" t="s">
        <v>38</v>
      </c>
    </row>
    <row r="221" spans="1:22">
      <c r="A221" s="18" t="s">
        <v>1093</v>
      </c>
      <c r="B221" s="18" t="s">
        <v>53</v>
      </c>
      <c r="C221" s="18" t="s">
        <v>40</v>
      </c>
      <c r="D221" s="18" t="s">
        <v>1094</v>
      </c>
      <c r="E221" s="18" t="s">
        <v>588</v>
      </c>
      <c r="F221" s="18" t="s">
        <v>163</v>
      </c>
      <c r="G221" s="18" t="s">
        <v>28</v>
      </c>
      <c r="H221" s="18" t="s">
        <v>1095</v>
      </c>
      <c r="I221" s="18" t="s">
        <v>294</v>
      </c>
      <c r="J221" s="18" t="s">
        <v>295</v>
      </c>
      <c r="K221" s="18" t="s">
        <v>46</v>
      </c>
      <c r="L221" s="18" t="s">
        <v>47</v>
      </c>
      <c r="M221" s="18">
        <v>1</v>
      </c>
      <c r="N221" s="18">
        <v>12000</v>
      </c>
      <c r="O221" s="18">
        <v>0</v>
      </c>
      <c r="P221" s="18">
        <v>12000</v>
      </c>
      <c r="Q221" s="18">
        <v>5</v>
      </c>
      <c r="R221" s="18" t="s">
        <v>88</v>
      </c>
      <c r="S221" s="18" t="s">
        <v>115</v>
      </c>
      <c r="T221" s="18" t="s">
        <v>62</v>
      </c>
      <c r="U221" s="19" t="s">
        <v>1096</v>
      </c>
      <c r="V221" s="18" t="s">
        <v>64</v>
      </c>
    </row>
    <row r="222" spans="1:22">
      <c r="A222" s="15" t="s">
        <v>1097</v>
      </c>
      <c r="B222" s="15" t="s">
        <v>327</v>
      </c>
      <c r="C222" s="15" t="s">
        <v>259</v>
      </c>
      <c r="D222" s="15" t="s">
        <v>1098</v>
      </c>
      <c r="E222" s="15" t="s">
        <v>601</v>
      </c>
      <c r="F222" s="15" t="s">
        <v>394</v>
      </c>
      <c r="G222" s="15" t="s">
        <v>76</v>
      </c>
      <c r="H222" s="15" t="s">
        <v>1099</v>
      </c>
      <c r="I222" s="15" t="s">
        <v>294</v>
      </c>
      <c r="J222" s="15" t="s">
        <v>295</v>
      </c>
      <c r="K222" s="15" t="s">
        <v>122</v>
      </c>
      <c r="L222" s="15" t="s">
        <v>263</v>
      </c>
      <c r="M222" s="15">
        <v>19</v>
      </c>
      <c r="N222" s="15">
        <v>45</v>
      </c>
      <c r="O222" s="15">
        <v>15</v>
      </c>
      <c r="P222" s="15">
        <v>726.75</v>
      </c>
      <c r="Q222" s="15">
        <v>2</v>
      </c>
      <c r="R222" s="15" t="s">
        <v>88</v>
      </c>
      <c r="S222" s="15" t="s">
        <v>151</v>
      </c>
      <c r="T222" s="15" t="s">
        <v>332</v>
      </c>
      <c r="U222" s="17" t="s">
        <v>1100</v>
      </c>
      <c r="V222" s="15" t="s">
        <v>64</v>
      </c>
    </row>
    <row r="223" spans="1:22">
      <c r="A223" s="18" t="s">
        <v>1101</v>
      </c>
      <c r="B223" s="18" t="s">
        <v>23</v>
      </c>
      <c r="C223" s="18" t="s">
        <v>54</v>
      </c>
      <c r="D223" s="18" t="s">
        <v>531</v>
      </c>
      <c r="E223" s="18" t="s">
        <v>1102</v>
      </c>
      <c r="F223" s="18" t="s">
        <v>27</v>
      </c>
      <c r="G223" s="18" t="s">
        <v>28</v>
      </c>
      <c r="H223" s="18" t="s">
        <v>1103</v>
      </c>
      <c r="I223" s="18" t="s">
        <v>44</v>
      </c>
      <c r="J223" s="18" t="s">
        <v>45</v>
      </c>
      <c r="K223" s="18" t="s">
        <v>46</v>
      </c>
      <c r="L223" s="18" t="s">
        <v>60</v>
      </c>
      <c r="M223" s="18">
        <v>13</v>
      </c>
      <c r="N223" s="18">
        <v>55000</v>
      </c>
      <c r="O223" s="18">
        <v>5</v>
      </c>
      <c r="P223" s="18">
        <v>679250</v>
      </c>
      <c r="Q223" s="18">
        <v>4</v>
      </c>
      <c r="R223" s="18" t="s">
        <v>79</v>
      </c>
      <c r="S223" s="18" t="s">
        <v>49</v>
      </c>
      <c r="T223" s="18" t="s">
        <v>50</v>
      </c>
      <c r="U223" s="19" t="s">
        <v>1104</v>
      </c>
      <c r="V223" s="18" t="s">
        <v>69</v>
      </c>
    </row>
    <row r="224" spans="1:22">
      <c r="A224" s="15" t="s">
        <v>1105</v>
      </c>
      <c r="B224" s="15" t="s">
        <v>83</v>
      </c>
      <c r="C224" s="15" t="s">
        <v>259</v>
      </c>
      <c r="D224" s="15" t="s">
        <v>1106</v>
      </c>
      <c r="E224" s="15" t="s">
        <v>155</v>
      </c>
      <c r="F224" s="15" t="s">
        <v>180</v>
      </c>
      <c r="G224" s="15" t="s">
        <v>76</v>
      </c>
      <c r="H224" s="15" t="s">
        <v>1107</v>
      </c>
      <c r="I224" s="15" t="s">
        <v>105</v>
      </c>
      <c r="J224" s="15" t="s">
        <v>106</v>
      </c>
      <c r="K224" s="15" t="s">
        <v>122</v>
      </c>
      <c r="L224" s="15" t="s">
        <v>263</v>
      </c>
      <c r="M224" s="15">
        <v>2</v>
      </c>
      <c r="N224" s="15">
        <v>45</v>
      </c>
      <c r="O224" s="15">
        <v>15</v>
      </c>
      <c r="P224" s="15">
        <v>76.5</v>
      </c>
      <c r="Q224" s="15">
        <v>1</v>
      </c>
      <c r="R224" s="15" t="s">
        <v>48</v>
      </c>
      <c r="S224" s="15" t="s">
        <v>115</v>
      </c>
      <c r="T224" s="15" t="s">
        <v>89</v>
      </c>
      <c r="U224" s="17" t="s">
        <v>1108</v>
      </c>
      <c r="V224" s="15" t="s">
        <v>38</v>
      </c>
    </row>
    <row r="225" spans="1:22">
      <c r="A225" s="18" t="s">
        <v>1109</v>
      </c>
      <c r="B225" s="18" t="s">
        <v>100</v>
      </c>
      <c r="C225" s="18" t="s">
        <v>222</v>
      </c>
      <c r="D225" s="18" t="s">
        <v>303</v>
      </c>
      <c r="E225" s="18" t="s">
        <v>1110</v>
      </c>
      <c r="F225" s="18" t="s">
        <v>103</v>
      </c>
      <c r="G225" s="18" t="s">
        <v>28</v>
      </c>
      <c r="H225" s="18" t="s">
        <v>1111</v>
      </c>
      <c r="I225" s="18" t="s">
        <v>30</v>
      </c>
      <c r="J225" s="18" t="s">
        <v>31</v>
      </c>
      <c r="K225" s="18" t="s">
        <v>122</v>
      </c>
      <c r="L225" s="18" t="s">
        <v>227</v>
      </c>
      <c r="M225" s="18">
        <v>8</v>
      </c>
      <c r="N225" s="18">
        <v>20</v>
      </c>
      <c r="O225" s="18">
        <v>15</v>
      </c>
      <c r="P225" s="18">
        <v>136</v>
      </c>
      <c r="Q225" s="18">
        <v>1</v>
      </c>
      <c r="R225" s="18" t="s">
        <v>79</v>
      </c>
      <c r="S225" s="18" t="s">
        <v>35</v>
      </c>
      <c r="T225" s="18" t="s">
        <v>144</v>
      </c>
      <c r="U225" s="19" t="s">
        <v>1112</v>
      </c>
      <c r="V225" s="18" t="s">
        <v>64</v>
      </c>
    </row>
    <row r="226" spans="1:22">
      <c r="A226" s="15" t="s">
        <v>1113</v>
      </c>
      <c r="B226" s="15" t="s">
        <v>168</v>
      </c>
      <c r="C226" s="15" t="s">
        <v>40</v>
      </c>
      <c r="D226" s="15" t="s">
        <v>1114</v>
      </c>
      <c r="E226" s="15" t="s">
        <v>1115</v>
      </c>
      <c r="F226" s="15" t="s">
        <v>361</v>
      </c>
      <c r="G226" s="15" t="s">
        <v>28</v>
      </c>
      <c r="H226" s="15" t="s">
        <v>1116</v>
      </c>
      <c r="I226" s="15" t="s">
        <v>30</v>
      </c>
      <c r="J226" s="15" t="s">
        <v>31</v>
      </c>
      <c r="K226" s="15" t="s">
        <v>46</v>
      </c>
      <c r="L226" s="15" t="s">
        <v>47</v>
      </c>
      <c r="M226" s="15">
        <v>9</v>
      </c>
      <c r="N226" s="15">
        <v>12000</v>
      </c>
      <c r="O226" s="15">
        <v>5</v>
      </c>
      <c r="P226" s="15">
        <v>102600</v>
      </c>
      <c r="Q226" s="15">
        <v>2</v>
      </c>
      <c r="R226" s="15" t="s">
        <v>79</v>
      </c>
      <c r="S226" s="15" t="s">
        <v>35</v>
      </c>
      <c r="T226" s="15" t="s">
        <v>175</v>
      </c>
      <c r="U226" s="17" t="s">
        <v>1117</v>
      </c>
      <c r="V226" s="15" t="s">
        <v>69</v>
      </c>
    </row>
    <row r="227" spans="1:22">
      <c r="A227" s="18" t="s">
        <v>1118</v>
      </c>
      <c r="B227" s="18" t="s">
        <v>71</v>
      </c>
      <c r="C227" s="18" t="s">
        <v>92</v>
      </c>
      <c r="D227" s="18" t="s">
        <v>1119</v>
      </c>
      <c r="E227" s="18" t="s">
        <v>1120</v>
      </c>
      <c r="F227" s="18" t="s">
        <v>217</v>
      </c>
      <c r="G227" s="18" t="s">
        <v>76</v>
      </c>
      <c r="H227" s="18" t="s">
        <v>1121</v>
      </c>
      <c r="I227" s="18" t="s">
        <v>294</v>
      </c>
      <c r="J227" s="18" t="s">
        <v>295</v>
      </c>
      <c r="K227" s="18" t="s">
        <v>32</v>
      </c>
      <c r="L227" s="18" t="s">
        <v>97</v>
      </c>
      <c r="M227" s="18">
        <v>3</v>
      </c>
      <c r="N227" s="18">
        <v>3500</v>
      </c>
      <c r="O227" s="18">
        <v>15</v>
      </c>
      <c r="P227" s="18">
        <v>8925</v>
      </c>
      <c r="Q227" s="18">
        <v>1</v>
      </c>
      <c r="R227" s="18" t="s">
        <v>34</v>
      </c>
      <c r="S227" s="18" t="s">
        <v>49</v>
      </c>
      <c r="T227" s="18" t="s">
        <v>80</v>
      </c>
      <c r="U227" s="19" t="s">
        <v>1122</v>
      </c>
      <c r="V227" s="18" t="s">
        <v>69</v>
      </c>
    </row>
    <row r="228" spans="1:22">
      <c r="A228" s="15" t="s">
        <v>1123</v>
      </c>
      <c r="B228" s="15" t="s">
        <v>100</v>
      </c>
      <c r="C228" s="15" t="s">
        <v>184</v>
      </c>
      <c r="D228" s="15" t="s">
        <v>1086</v>
      </c>
      <c r="E228" s="15" t="s">
        <v>1124</v>
      </c>
      <c r="F228" s="15" t="s">
        <v>103</v>
      </c>
      <c r="G228" s="15" t="s">
        <v>28</v>
      </c>
      <c r="H228" s="15" t="s">
        <v>1125</v>
      </c>
      <c r="I228" s="15" t="s">
        <v>30</v>
      </c>
      <c r="J228" s="15" t="s">
        <v>31</v>
      </c>
      <c r="K228" s="15" t="s">
        <v>46</v>
      </c>
      <c r="L228" s="15" t="s">
        <v>189</v>
      </c>
      <c r="M228" s="15">
        <v>18</v>
      </c>
      <c r="N228" s="15">
        <v>700</v>
      </c>
      <c r="O228" s="15">
        <v>20</v>
      </c>
      <c r="P228" s="15">
        <v>10080</v>
      </c>
      <c r="Q228" s="15">
        <v>1</v>
      </c>
      <c r="R228" s="15" t="s">
        <v>79</v>
      </c>
      <c r="S228" s="15" t="s">
        <v>151</v>
      </c>
      <c r="T228" s="15" t="s">
        <v>144</v>
      </c>
      <c r="U228" s="17" t="s">
        <v>1126</v>
      </c>
      <c r="V228" s="15" t="s">
        <v>38</v>
      </c>
    </row>
    <row r="229" spans="1:22">
      <c r="A229" s="18" t="s">
        <v>1127</v>
      </c>
      <c r="B229" s="18" t="s">
        <v>71</v>
      </c>
      <c r="C229" s="18" t="s">
        <v>92</v>
      </c>
      <c r="D229" s="18" t="s">
        <v>1128</v>
      </c>
      <c r="E229" s="18" t="s">
        <v>110</v>
      </c>
      <c r="F229" s="18" t="s">
        <v>217</v>
      </c>
      <c r="G229" s="18" t="s">
        <v>76</v>
      </c>
      <c r="H229" s="18" t="s">
        <v>1129</v>
      </c>
      <c r="I229" s="18" t="s">
        <v>114</v>
      </c>
      <c r="J229" s="18" t="s">
        <v>106</v>
      </c>
      <c r="K229" s="18" t="s">
        <v>32</v>
      </c>
      <c r="L229" s="18" t="s">
        <v>97</v>
      </c>
      <c r="M229" s="18">
        <v>14</v>
      </c>
      <c r="N229" s="18">
        <v>3500</v>
      </c>
      <c r="O229" s="18">
        <v>5</v>
      </c>
      <c r="P229" s="18">
        <v>46550</v>
      </c>
      <c r="Q229" s="18">
        <v>1</v>
      </c>
      <c r="R229" s="18" t="s">
        <v>34</v>
      </c>
      <c r="S229" s="18" t="s">
        <v>61</v>
      </c>
      <c r="T229" s="18" t="s">
        <v>80</v>
      </c>
      <c r="U229" s="19" t="s">
        <v>1130</v>
      </c>
      <c r="V229" s="18" t="s">
        <v>38</v>
      </c>
    </row>
    <row r="230" spans="1:22">
      <c r="A230" s="15" t="s">
        <v>1131</v>
      </c>
      <c r="B230" s="15" t="s">
        <v>100</v>
      </c>
      <c r="C230" s="15" t="s">
        <v>184</v>
      </c>
      <c r="D230" s="15" t="s">
        <v>684</v>
      </c>
      <c r="E230" s="15" t="s">
        <v>318</v>
      </c>
      <c r="F230" s="15" t="s">
        <v>103</v>
      </c>
      <c r="G230" s="15" t="s">
        <v>28</v>
      </c>
      <c r="H230" s="15" t="s">
        <v>1132</v>
      </c>
      <c r="I230" s="15" t="s">
        <v>294</v>
      </c>
      <c r="J230" s="15" t="s">
        <v>295</v>
      </c>
      <c r="K230" s="15" t="s">
        <v>46</v>
      </c>
      <c r="L230" s="15" t="s">
        <v>189</v>
      </c>
      <c r="M230" s="15">
        <v>6</v>
      </c>
      <c r="N230" s="15">
        <v>700</v>
      </c>
      <c r="O230" s="15">
        <v>5</v>
      </c>
      <c r="P230" s="15">
        <v>3990</v>
      </c>
      <c r="Q230" s="15">
        <v>5</v>
      </c>
      <c r="R230" s="15" t="s">
        <v>34</v>
      </c>
      <c r="S230" s="15" t="s">
        <v>35</v>
      </c>
      <c r="T230" s="15" t="s">
        <v>144</v>
      </c>
      <c r="U230" s="17" t="s">
        <v>1133</v>
      </c>
      <c r="V230" s="15" t="s">
        <v>38</v>
      </c>
    </row>
    <row r="231" spans="1:22">
      <c r="A231" s="18" t="s">
        <v>1134</v>
      </c>
      <c r="B231" s="18" t="s">
        <v>100</v>
      </c>
      <c r="C231" s="18" t="s">
        <v>92</v>
      </c>
      <c r="D231" s="18" t="s">
        <v>679</v>
      </c>
      <c r="E231" s="18" t="s">
        <v>872</v>
      </c>
      <c r="F231" s="18" t="s">
        <v>103</v>
      </c>
      <c r="G231" s="18" t="s">
        <v>28</v>
      </c>
      <c r="H231" s="18" t="s">
        <v>1135</v>
      </c>
      <c r="I231" s="18" t="s">
        <v>105</v>
      </c>
      <c r="J231" s="18" t="s">
        <v>106</v>
      </c>
      <c r="K231" s="18" t="s">
        <v>32</v>
      </c>
      <c r="L231" s="18" t="s">
        <v>97</v>
      </c>
      <c r="M231" s="18">
        <v>17</v>
      </c>
      <c r="N231" s="18">
        <v>3500</v>
      </c>
      <c r="O231" s="18">
        <v>15</v>
      </c>
      <c r="P231" s="18">
        <v>50575</v>
      </c>
      <c r="Q231" s="18">
        <v>3</v>
      </c>
      <c r="R231" s="18" t="s">
        <v>48</v>
      </c>
      <c r="S231" s="18" t="s">
        <v>49</v>
      </c>
      <c r="T231" s="18" t="s">
        <v>144</v>
      </c>
      <c r="U231" s="19" t="s">
        <v>1136</v>
      </c>
      <c r="V231" s="18" t="s">
        <v>64</v>
      </c>
    </row>
    <row r="232" spans="1:22">
      <c r="A232" s="15" t="s">
        <v>1137</v>
      </c>
      <c r="B232" s="15" t="s">
        <v>251</v>
      </c>
      <c r="C232" s="15" t="s">
        <v>222</v>
      </c>
      <c r="D232" s="15" t="s">
        <v>253</v>
      </c>
      <c r="E232" s="15" t="s">
        <v>1128</v>
      </c>
      <c r="F232" s="15" t="s">
        <v>254</v>
      </c>
      <c r="G232" s="15" t="s">
        <v>28</v>
      </c>
      <c r="H232" s="15" t="s">
        <v>1138</v>
      </c>
      <c r="I232" s="15" t="s">
        <v>294</v>
      </c>
      <c r="J232" s="15" t="s">
        <v>295</v>
      </c>
      <c r="K232" s="15" t="s">
        <v>122</v>
      </c>
      <c r="L232" s="15" t="s">
        <v>227</v>
      </c>
      <c r="M232" s="15">
        <v>7</v>
      </c>
      <c r="N232" s="15">
        <v>20</v>
      </c>
      <c r="O232" s="15">
        <v>5</v>
      </c>
      <c r="P232" s="15">
        <v>133</v>
      </c>
      <c r="Q232" s="15">
        <v>2</v>
      </c>
      <c r="R232" s="15" t="s">
        <v>88</v>
      </c>
      <c r="S232" s="15" t="s">
        <v>151</v>
      </c>
      <c r="T232" s="15" t="s">
        <v>256</v>
      </c>
      <c r="U232" s="17" t="s">
        <v>1139</v>
      </c>
      <c r="V232" s="15" t="s">
        <v>38</v>
      </c>
    </row>
    <row r="233" spans="1:22">
      <c r="A233" s="18" t="s">
        <v>1140</v>
      </c>
      <c r="B233" s="18" t="s">
        <v>23</v>
      </c>
      <c r="C233" s="18" t="s">
        <v>24</v>
      </c>
      <c r="D233" s="18" t="s">
        <v>1141</v>
      </c>
      <c r="E233" s="18" t="s">
        <v>1142</v>
      </c>
      <c r="F233" s="18" t="s">
        <v>27</v>
      </c>
      <c r="G233" s="18" t="s">
        <v>28</v>
      </c>
      <c r="H233" s="18" t="s">
        <v>1143</v>
      </c>
      <c r="I233" s="18" t="s">
        <v>59</v>
      </c>
      <c r="J233" s="18" t="s">
        <v>31</v>
      </c>
      <c r="K233" s="18" t="s">
        <v>32</v>
      </c>
      <c r="L233" s="18" t="s">
        <v>33</v>
      </c>
      <c r="M233" s="18">
        <v>15</v>
      </c>
      <c r="N233" s="18">
        <v>2200</v>
      </c>
      <c r="O233" s="18">
        <v>20</v>
      </c>
      <c r="P233" s="18">
        <v>26400</v>
      </c>
      <c r="Q233" s="18">
        <v>2</v>
      </c>
      <c r="R233" s="18" t="s">
        <v>34</v>
      </c>
      <c r="S233" s="18" t="s">
        <v>61</v>
      </c>
      <c r="T233" s="18" t="s">
        <v>50</v>
      </c>
      <c r="U233" s="19" t="s">
        <v>1144</v>
      </c>
      <c r="V233" s="18" t="s">
        <v>38</v>
      </c>
    </row>
    <row r="234" spans="1:22">
      <c r="A234" s="15" t="s">
        <v>1145</v>
      </c>
      <c r="B234" s="15" t="s">
        <v>71</v>
      </c>
      <c r="C234" s="15" t="s">
        <v>222</v>
      </c>
      <c r="D234" s="15" t="s">
        <v>736</v>
      </c>
      <c r="E234" s="15" t="s">
        <v>94</v>
      </c>
      <c r="F234" s="15" t="s">
        <v>217</v>
      </c>
      <c r="G234" s="15" t="s">
        <v>76</v>
      </c>
      <c r="H234" s="15" t="s">
        <v>1146</v>
      </c>
      <c r="I234" s="15" t="s">
        <v>105</v>
      </c>
      <c r="J234" s="15" t="s">
        <v>106</v>
      </c>
      <c r="K234" s="15" t="s">
        <v>122</v>
      </c>
      <c r="L234" s="15" t="s">
        <v>227</v>
      </c>
      <c r="M234" s="15">
        <v>5</v>
      </c>
      <c r="N234" s="15">
        <v>20</v>
      </c>
      <c r="O234" s="15">
        <v>0</v>
      </c>
      <c r="P234" s="15">
        <v>100</v>
      </c>
      <c r="Q234" s="15">
        <v>3</v>
      </c>
      <c r="R234" s="15" t="s">
        <v>34</v>
      </c>
      <c r="S234" s="15" t="s">
        <v>151</v>
      </c>
      <c r="T234" s="15" t="s">
        <v>80</v>
      </c>
      <c r="U234" s="17" t="s">
        <v>1147</v>
      </c>
      <c r="V234" s="15" t="s">
        <v>38</v>
      </c>
    </row>
    <row r="235" spans="1:22">
      <c r="A235" s="18" t="s">
        <v>1148</v>
      </c>
      <c r="B235" s="18" t="s">
        <v>127</v>
      </c>
      <c r="C235" s="18" t="s">
        <v>40</v>
      </c>
      <c r="D235" s="18" t="s">
        <v>1149</v>
      </c>
      <c r="E235" s="18" t="s">
        <v>779</v>
      </c>
      <c r="F235" s="18" t="s">
        <v>200</v>
      </c>
      <c r="G235" s="18" t="s">
        <v>76</v>
      </c>
      <c r="H235" s="18" t="s">
        <v>1150</v>
      </c>
      <c r="I235" s="18" t="s">
        <v>44</v>
      </c>
      <c r="J235" s="18" t="s">
        <v>45</v>
      </c>
      <c r="K235" s="18" t="s">
        <v>46</v>
      </c>
      <c r="L235" s="18" t="s">
        <v>47</v>
      </c>
      <c r="M235" s="18">
        <v>8</v>
      </c>
      <c r="N235" s="18">
        <v>12000</v>
      </c>
      <c r="O235" s="18">
        <v>20</v>
      </c>
      <c r="P235" s="18">
        <v>76800</v>
      </c>
      <c r="Q235" s="18">
        <v>3</v>
      </c>
      <c r="R235" s="18" t="s">
        <v>79</v>
      </c>
      <c r="S235" s="18" t="s">
        <v>61</v>
      </c>
      <c r="T235" s="18" t="s">
        <v>132</v>
      </c>
      <c r="U235" s="19" t="s">
        <v>1151</v>
      </c>
      <c r="V235" s="18" t="s">
        <v>64</v>
      </c>
    </row>
    <row r="236" spans="1:22">
      <c r="A236" s="15" t="s">
        <v>1152</v>
      </c>
      <c r="B236" s="15" t="s">
        <v>127</v>
      </c>
      <c r="C236" s="15" t="s">
        <v>92</v>
      </c>
      <c r="D236" s="15" t="s">
        <v>1153</v>
      </c>
      <c r="E236" s="15" t="s">
        <v>987</v>
      </c>
      <c r="F236" s="15" t="s">
        <v>200</v>
      </c>
      <c r="G236" s="15" t="s">
        <v>76</v>
      </c>
      <c r="H236" s="15" t="s">
        <v>1154</v>
      </c>
      <c r="I236" s="15" t="s">
        <v>105</v>
      </c>
      <c r="J236" s="15" t="s">
        <v>106</v>
      </c>
      <c r="K236" s="15" t="s">
        <v>32</v>
      </c>
      <c r="L236" s="15" t="s">
        <v>97</v>
      </c>
      <c r="M236" s="15">
        <v>4</v>
      </c>
      <c r="N236" s="15">
        <v>3500</v>
      </c>
      <c r="O236" s="15">
        <v>20</v>
      </c>
      <c r="P236" s="15">
        <v>11200</v>
      </c>
      <c r="Q236" s="15">
        <v>1</v>
      </c>
      <c r="R236" s="15" t="s">
        <v>79</v>
      </c>
      <c r="S236" s="15" t="s">
        <v>115</v>
      </c>
      <c r="T236" s="15" t="s">
        <v>132</v>
      </c>
      <c r="U236" s="17" t="s">
        <v>1155</v>
      </c>
      <c r="V236" s="15" t="s">
        <v>38</v>
      </c>
    </row>
    <row r="237" spans="1:22">
      <c r="A237" s="18" t="s">
        <v>1156</v>
      </c>
      <c r="B237" s="18" t="s">
        <v>221</v>
      </c>
      <c r="C237" s="18" t="s">
        <v>259</v>
      </c>
      <c r="D237" s="18" t="s">
        <v>628</v>
      </c>
      <c r="E237" s="18" t="s">
        <v>1157</v>
      </c>
      <c r="F237" s="18" t="s">
        <v>225</v>
      </c>
      <c r="G237" s="18" t="s">
        <v>76</v>
      </c>
      <c r="H237" s="18" t="s">
        <v>1158</v>
      </c>
      <c r="I237" s="18" t="s">
        <v>30</v>
      </c>
      <c r="J237" s="18" t="s">
        <v>31</v>
      </c>
      <c r="K237" s="18" t="s">
        <v>122</v>
      </c>
      <c r="L237" s="18" t="s">
        <v>263</v>
      </c>
      <c r="M237" s="18">
        <v>19</v>
      </c>
      <c r="N237" s="18">
        <v>45</v>
      </c>
      <c r="O237" s="18">
        <v>10</v>
      </c>
      <c r="P237" s="18">
        <v>769.5</v>
      </c>
      <c r="Q237" s="18">
        <v>1</v>
      </c>
      <c r="R237" s="18" t="s">
        <v>34</v>
      </c>
      <c r="S237" s="18" t="s">
        <v>115</v>
      </c>
      <c r="T237" s="18" t="s">
        <v>228</v>
      </c>
      <c r="U237" s="19" t="s">
        <v>1159</v>
      </c>
      <c r="V237" s="18" t="s">
        <v>38</v>
      </c>
    </row>
    <row r="238" spans="1:22">
      <c r="A238" s="15" t="s">
        <v>1160</v>
      </c>
      <c r="B238" s="15" t="s">
        <v>53</v>
      </c>
      <c r="C238" s="15" t="s">
        <v>259</v>
      </c>
      <c r="D238" s="15" t="s">
        <v>588</v>
      </c>
      <c r="E238" s="15" t="s">
        <v>1161</v>
      </c>
      <c r="F238" s="15" t="s">
        <v>163</v>
      </c>
      <c r="G238" s="15" t="s">
        <v>28</v>
      </c>
      <c r="H238" s="15" t="s">
        <v>1162</v>
      </c>
      <c r="I238" s="15" t="s">
        <v>114</v>
      </c>
      <c r="J238" s="15" t="s">
        <v>106</v>
      </c>
      <c r="K238" s="15" t="s">
        <v>122</v>
      </c>
      <c r="L238" s="15" t="s">
        <v>263</v>
      </c>
      <c r="M238" s="15">
        <v>10</v>
      </c>
      <c r="N238" s="15">
        <v>45</v>
      </c>
      <c r="O238" s="15">
        <v>0</v>
      </c>
      <c r="P238" s="15">
        <v>450</v>
      </c>
      <c r="Q238" s="15">
        <v>4</v>
      </c>
      <c r="R238" s="15" t="s">
        <v>88</v>
      </c>
      <c r="S238" s="15" t="s">
        <v>61</v>
      </c>
      <c r="T238" s="15" t="s">
        <v>62</v>
      </c>
      <c r="U238" s="17" t="s">
        <v>1163</v>
      </c>
      <c r="V238" s="15" t="s">
        <v>38</v>
      </c>
    </row>
    <row r="239" spans="1:22">
      <c r="A239" s="18" t="s">
        <v>1164</v>
      </c>
      <c r="B239" s="18" t="s">
        <v>53</v>
      </c>
      <c r="C239" s="18" t="s">
        <v>259</v>
      </c>
      <c r="D239" s="18" t="s">
        <v>1165</v>
      </c>
      <c r="E239" s="18" t="s">
        <v>1039</v>
      </c>
      <c r="F239" s="18" t="s">
        <v>163</v>
      </c>
      <c r="G239" s="18" t="s">
        <v>28</v>
      </c>
      <c r="H239" s="18" t="s">
        <v>1166</v>
      </c>
      <c r="I239" s="18" t="s">
        <v>30</v>
      </c>
      <c r="J239" s="18" t="s">
        <v>31</v>
      </c>
      <c r="K239" s="18" t="s">
        <v>122</v>
      </c>
      <c r="L239" s="18" t="s">
        <v>263</v>
      </c>
      <c r="M239" s="18">
        <v>16</v>
      </c>
      <c r="N239" s="18">
        <v>45</v>
      </c>
      <c r="O239" s="18">
        <v>15</v>
      </c>
      <c r="P239" s="18">
        <v>612</v>
      </c>
      <c r="Q239" s="18">
        <v>3</v>
      </c>
      <c r="R239" s="18" t="s">
        <v>34</v>
      </c>
      <c r="S239" s="18" t="s">
        <v>115</v>
      </c>
      <c r="T239" s="18" t="s">
        <v>62</v>
      </c>
      <c r="U239" s="19" t="s">
        <v>1167</v>
      </c>
      <c r="V239" s="18" t="s">
        <v>69</v>
      </c>
    </row>
    <row r="240" spans="1:22">
      <c r="A240" s="15" t="s">
        <v>1168</v>
      </c>
      <c r="B240" s="15" t="s">
        <v>168</v>
      </c>
      <c r="C240" s="15" t="s">
        <v>169</v>
      </c>
      <c r="D240" s="15" t="s">
        <v>119</v>
      </c>
      <c r="E240" s="15" t="s">
        <v>120</v>
      </c>
      <c r="F240" s="15" t="s">
        <v>361</v>
      </c>
      <c r="G240" s="15" t="s">
        <v>28</v>
      </c>
      <c r="H240" s="15" t="s">
        <v>1169</v>
      </c>
      <c r="I240" s="15" t="s">
        <v>114</v>
      </c>
      <c r="J240" s="15" t="s">
        <v>106</v>
      </c>
      <c r="K240" s="15" t="s">
        <v>32</v>
      </c>
      <c r="L240" s="15" t="s">
        <v>174</v>
      </c>
      <c r="M240" s="15">
        <v>16</v>
      </c>
      <c r="N240" s="15">
        <v>8500</v>
      </c>
      <c r="O240" s="15">
        <v>15</v>
      </c>
      <c r="P240" s="15">
        <v>115600</v>
      </c>
      <c r="Q240" s="15">
        <v>4</v>
      </c>
      <c r="R240" s="15" t="s">
        <v>48</v>
      </c>
      <c r="S240" s="15" t="s">
        <v>35</v>
      </c>
      <c r="T240" s="15" t="s">
        <v>175</v>
      </c>
      <c r="U240" s="17" t="s">
        <v>1170</v>
      </c>
      <c r="V240" s="15" t="s">
        <v>69</v>
      </c>
    </row>
    <row r="241" spans="1:22">
      <c r="A241" s="18" t="s">
        <v>1171</v>
      </c>
      <c r="B241" s="18" t="s">
        <v>168</v>
      </c>
      <c r="C241" s="18" t="s">
        <v>222</v>
      </c>
      <c r="D241" s="18" t="s">
        <v>445</v>
      </c>
      <c r="E241" s="18" t="s">
        <v>1172</v>
      </c>
      <c r="F241" s="18" t="s">
        <v>361</v>
      </c>
      <c r="G241" s="18" t="s">
        <v>28</v>
      </c>
      <c r="H241" s="18" t="s">
        <v>1173</v>
      </c>
      <c r="I241" s="18" t="s">
        <v>294</v>
      </c>
      <c r="J241" s="18" t="s">
        <v>295</v>
      </c>
      <c r="K241" s="18" t="s">
        <v>122</v>
      </c>
      <c r="L241" s="18" t="s">
        <v>227</v>
      </c>
      <c r="M241" s="18">
        <v>15</v>
      </c>
      <c r="N241" s="18">
        <v>20</v>
      </c>
      <c r="O241" s="18">
        <v>20</v>
      </c>
      <c r="P241" s="18">
        <v>240</v>
      </c>
      <c r="Q241" s="18">
        <v>3</v>
      </c>
      <c r="R241" s="18" t="s">
        <v>48</v>
      </c>
      <c r="S241" s="18" t="s">
        <v>49</v>
      </c>
      <c r="T241" s="18" t="s">
        <v>175</v>
      </c>
      <c r="U241" s="19" t="s">
        <v>1174</v>
      </c>
      <c r="V241" s="18" t="s">
        <v>69</v>
      </c>
    </row>
    <row r="242" spans="1:22">
      <c r="A242" s="15" t="s">
        <v>1175</v>
      </c>
      <c r="B242" s="15" t="s">
        <v>83</v>
      </c>
      <c r="C242" s="15" t="s">
        <v>118</v>
      </c>
      <c r="D242" s="15" t="s">
        <v>440</v>
      </c>
      <c r="E242" s="15" t="s">
        <v>1176</v>
      </c>
      <c r="F242" s="15" t="s">
        <v>180</v>
      </c>
      <c r="G242" s="15" t="s">
        <v>76</v>
      </c>
      <c r="H242" s="15" t="s">
        <v>1177</v>
      </c>
      <c r="I242" s="15" t="s">
        <v>59</v>
      </c>
      <c r="J242" s="15" t="s">
        <v>31</v>
      </c>
      <c r="K242" s="15" t="s">
        <v>122</v>
      </c>
      <c r="L242" s="15" t="s">
        <v>123</v>
      </c>
      <c r="M242" s="15">
        <v>14</v>
      </c>
      <c r="N242" s="15">
        <v>60</v>
      </c>
      <c r="O242" s="15">
        <v>5</v>
      </c>
      <c r="P242" s="15">
        <v>798</v>
      </c>
      <c r="Q242" s="15">
        <v>4</v>
      </c>
      <c r="R242" s="15" t="s">
        <v>34</v>
      </c>
      <c r="S242" s="15" t="s">
        <v>49</v>
      </c>
      <c r="T242" s="15" t="s">
        <v>89</v>
      </c>
      <c r="U242" s="17" t="s">
        <v>1178</v>
      </c>
      <c r="V242" s="15" t="s">
        <v>38</v>
      </c>
    </row>
    <row r="243" spans="1:22">
      <c r="A243" s="18" t="s">
        <v>1179</v>
      </c>
      <c r="B243" s="18" t="s">
        <v>53</v>
      </c>
      <c r="C243" s="18" t="s">
        <v>72</v>
      </c>
      <c r="D243" s="18" t="s">
        <v>1180</v>
      </c>
      <c r="E243" s="18" t="s">
        <v>1181</v>
      </c>
      <c r="F243" s="18" t="s">
        <v>163</v>
      </c>
      <c r="G243" s="18" t="s">
        <v>28</v>
      </c>
      <c r="H243" s="18" t="s">
        <v>1182</v>
      </c>
      <c r="I243" s="18" t="s">
        <v>105</v>
      </c>
      <c r="J243" s="18" t="s">
        <v>106</v>
      </c>
      <c r="K243" s="18" t="s">
        <v>46</v>
      </c>
      <c r="L243" s="18" t="s">
        <v>78</v>
      </c>
      <c r="M243" s="18">
        <v>19</v>
      </c>
      <c r="N243" s="18">
        <v>1200</v>
      </c>
      <c r="O243" s="18">
        <v>20</v>
      </c>
      <c r="P243" s="18">
        <v>18240</v>
      </c>
      <c r="Q243" s="18">
        <v>2</v>
      </c>
      <c r="R243" s="18" t="s">
        <v>34</v>
      </c>
      <c r="S243" s="18" t="s">
        <v>115</v>
      </c>
      <c r="T243" s="18" t="s">
        <v>62</v>
      </c>
      <c r="U243" s="19" t="s">
        <v>1183</v>
      </c>
      <c r="V243" s="18" t="s">
        <v>69</v>
      </c>
    </row>
    <row r="244" spans="1:22">
      <c r="A244" s="15" t="s">
        <v>1184</v>
      </c>
      <c r="B244" s="15" t="s">
        <v>23</v>
      </c>
      <c r="C244" s="15" t="s">
        <v>259</v>
      </c>
      <c r="D244" s="15" t="s">
        <v>340</v>
      </c>
      <c r="E244" s="15" t="s">
        <v>346</v>
      </c>
      <c r="F244" s="15" t="s">
        <v>27</v>
      </c>
      <c r="G244" s="15" t="s">
        <v>28</v>
      </c>
      <c r="H244" s="15" t="s">
        <v>1185</v>
      </c>
      <c r="I244" s="15" t="s">
        <v>59</v>
      </c>
      <c r="J244" s="15" t="s">
        <v>31</v>
      </c>
      <c r="K244" s="15" t="s">
        <v>122</v>
      </c>
      <c r="L244" s="15" t="s">
        <v>263</v>
      </c>
      <c r="M244" s="15">
        <v>5</v>
      </c>
      <c r="N244" s="15">
        <v>45</v>
      </c>
      <c r="O244" s="15">
        <v>15</v>
      </c>
      <c r="P244" s="15">
        <v>191.25</v>
      </c>
      <c r="Q244" s="15">
        <v>2</v>
      </c>
      <c r="R244" s="15" t="s">
        <v>34</v>
      </c>
      <c r="S244" s="15" t="s">
        <v>61</v>
      </c>
      <c r="T244" s="15" t="s">
        <v>50</v>
      </c>
      <c r="U244" s="17" t="s">
        <v>1186</v>
      </c>
      <c r="V244" s="15" t="s">
        <v>69</v>
      </c>
    </row>
    <row r="245" spans="1:22">
      <c r="A245" s="18" t="s">
        <v>1187</v>
      </c>
      <c r="B245" s="18" t="s">
        <v>327</v>
      </c>
      <c r="C245" s="18" t="s">
        <v>184</v>
      </c>
      <c r="D245" s="18" t="s">
        <v>237</v>
      </c>
      <c r="E245" s="18" t="s">
        <v>1188</v>
      </c>
      <c r="F245" s="18" t="s">
        <v>394</v>
      </c>
      <c r="G245" s="18" t="s">
        <v>76</v>
      </c>
      <c r="H245" s="18" t="s">
        <v>1189</v>
      </c>
      <c r="I245" s="18" t="s">
        <v>30</v>
      </c>
      <c r="J245" s="18" t="s">
        <v>31</v>
      </c>
      <c r="K245" s="18" t="s">
        <v>46</v>
      </c>
      <c r="L245" s="18" t="s">
        <v>189</v>
      </c>
      <c r="M245" s="18">
        <v>19</v>
      </c>
      <c r="N245" s="18">
        <v>700</v>
      </c>
      <c r="O245" s="18">
        <v>5</v>
      </c>
      <c r="P245" s="18">
        <v>12635</v>
      </c>
      <c r="Q245" s="18">
        <v>5</v>
      </c>
      <c r="R245" s="18" t="s">
        <v>88</v>
      </c>
      <c r="S245" s="18" t="s">
        <v>151</v>
      </c>
      <c r="T245" s="18" t="s">
        <v>332</v>
      </c>
      <c r="U245" s="19" t="s">
        <v>1190</v>
      </c>
      <c r="V245" s="18" t="s">
        <v>38</v>
      </c>
    </row>
    <row r="246" spans="1:22">
      <c r="A246" s="15" t="s">
        <v>1191</v>
      </c>
      <c r="B246" s="15" t="s">
        <v>127</v>
      </c>
      <c r="C246" s="15" t="s">
        <v>118</v>
      </c>
      <c r="D246" s="15" t="s">
        <v>464</v>
      </c>
      <c r="E246" s="15" t="s">
        <v>84</v>
      </c>
      <c r="F246" s="15" t="s">
        <v>200</v>
      </c>
      <c r="G246" s="15" t="s">
        <v>76</v>
      </c>
      <c r="H246" s="15" t="s">
        <v>1192</v>
      </c>
      <c r="I246" s="15" t="s">
        <v>294</v>
      </c>
      <c r="J246" s="15" t="s">
        <v>295</v>
      </c>
      <c r="K246" s="15" t="s">
        <v>122</v>
      </c>
      <c r="L246" s="15" t="s">
        <v>123</v>
      </c>
      <c r="M246" s="15">
        <v>7</v>
      </c>
      <c r="N246" s="15">
        <v>60</v>
      </c>
      <c r="O246" s="15">
        <v>0</v>
      </c>
      <c r="P246" s="15">
        <v>420</v>
      </c>
      <c r="Q246" s="15">
        <v>4</v>
      </c>
      <c r="R246" s="15" t="s">
        <v>34</v>
      </c>
      <c r="S246" s="15" t="s">
        <v>115</v>
      </c>
      <c r="T246" s="15" t="s">
        <v>132</v>
      </c>
      <c r="U246" s="17" t="s">
        <v>1193</v>
      </c>
      <c r="V246" s="15" t="s">
        <v>64</v>
      </c>
    </row>
    <row r="247" spans="1:22">
      <c r="A247" s="18" t="s">
        <v>1194</v>
      </c>
      <c r="B247" s="18" t="s">
        <v>71</v>
      </c>
      <c r="C247" s="18" t="s">
        <v>24</v>
      </c>
      <c r="D247" s="18" t="s">
        <v>215</v>
      </c>
      <c r="E247" s="18" t="s">
        <v>711</v>
      </c>
      <c r="F247" s="18" t="s">
        <v>217</v>
      </c>
      <c r="G247" s="18" t="s">
        <v>76</v>
      </c>
      <c r="H247" s="18" t="s">
        <v>1195</v>
      </c>
      <c r="I247" s="18" t="s">
        <v>105</v>
      </c>
      <c r="J247" s="18" t="s">
        <v>106</v>
      </c>
      <c r="K247" s="18" t="s">
        <v>32</v>
      </c>
      <c r="L247" s="18" t="s">
        <v>33</v>
      </c>
      <c r="M247" s="18">
        <v>13</v>
      </c>
      <c r="N247" s="18">
        <v>2200</v>
      </c>
      <c r="O247" s="18">
        <v>10</v>
      </c>
      <c r="P247" s="18">
        <v>25740</v>
      </c>
      <c r="Q247" s="18">
        <v>1</v>
      </c>
      <c r="R247" s="18" t="s">
        <v>79</v>
      </c>
      <c r="S247" s="18" t="s">
        <v>151</v>
      </c>
      <c r="T247" s="18" t="s">
        <v>80</v>
      </c>
      <c r="U247" s="19" t="s">
        <v>1196</v>
      </c>
      <c r="V247" s="18" t="s">
        <v>38</v>
      </c>
    </row>
    <row r="248" spans="1:22">
      <c r="A248" s="15" t="s">
        <v>1197</v>
      </c>
      <c r="B248" s="15" t="s">
        <v>71</v>
      </c>
      <c r="C248" s="15" t="s">
        <v>24</v>
      </c>
      <c r="D248" s="15" t="s">
        <v>1198</v>
      </c>
      <c r="E248" s="15" t="s">
        <v>1199</v>
      </c>
      <c r="F248" s="15" t="s">
        <v>217</v>
      </c>
      <c r="G248" s="15" t="s">
        <v>76</v>
      </c>
      <c r="H248" s="15" t="s">
        <v>1200</v>
      </c>
      <c r="I248" s="15" t="s">
        <v>59</v>
      </c>
      <c r="J248" s="15" t="s">
        <v>31</v>
      </c>
      <c r="K248" s="15" t="s">
        <v>32</v>
      </c>
      <c r="L248" s="15" t="s">
        <v>33</v>
      </c>
      <c r="M248" s="15">
        <v>9</v>
      </c>
      <c r="N248" s="15">
        <v>2200</v>
      </c>
      <c r="O248" s="15">
        <v>10</v>
      </c>
      <c r="P248" s="15">
        <v>17820</v>
      </c>
      <c r="Q248" s="15">
        <v>2</v>
      </c>
      <c r="R248" s="15" t="s">
        <v>1201</v>
      </c>
      <c r="S248" s="15" t="s">
        <v>61</v>
      </c>
      <c r="T248" s="15" t="s">
        <v>80</v>
      </c>
      <c r="U248" s="17" t="s">
        <v>1202</v>
      </c>
      <c r="V248" s="15" t="s">
        <v>69</v>
      </c>
    </row>
    <row r="249" spans="1:22">
      <c r="A249" s="18" t="s">
        <v>1203</v>
      </c>
      <c r="B249" s="18" t="s">
        <v>327</v>
      </c>
      <c r="C249" s="18" t="s">
        <v>169</v>
      </c>
      <c r="D249" s="18" t="s">
        <v>944</v>
      </c>
      <c r="E249" s="18" t="s">
        <v>1204</v>
      </c>
      <c r="F249" s="18" t="s">
        <v>394</v>
      </c>
      <c r="G249" s="18" t="s">
        <v>76</v>
      </c>
      <c r="H249" s="18" t="s">
        <v>1205</v>
      </c>
      <c r="I249" s="18" t="s">
        <v>59</v>
      </c>
      <c r="J249" s="18" t="s">
        <v>31</v>
      </c>
      <c r="K249" s="18" t="s">
        <v>32</v>
      </c>
      <c r="L249" s="18" t="s">
        <v>174</v>
      </c>
      <c r="M249" s="18">
        <v>6</v>
      </c>
      <c r="N249" s="18">
        <v>8500</v>
      </c>
      <c r="O249" s="18">
        <v>15</v>
      </c>
      <c r="P249" s="18">
        <v>43350</v>
      </c>
      <c r="Q249" s="18">
        <v>2</v>
      </c>
      <c r="R249" s="18" t="s">
        <v>34</v>
      </c>
      <c r="S249" s="18" t="s">
        <v>151</v>
      </c>
      <c r="T249" s="18" t="s">
        <v>332</v>
      </c>
      <c r="U249" s="19" t="s">
        <v>1206</v>
      </c>
      <c r="V249" s="18" t="s">
        <v>69</v>
      </c>
    </row>
    <row r="250" spans="1:22">
      <c r="A250" s="15" t="s">
        <v>1207</v>
      </c>
      <c r="B250" s="15" t="s">
        <v>221</v>
      </c>
      <c r="C250" s="15" t="s">
        <v>24</v>
      </c>
      <c r="D250" s="15" t="s">
        <v>736</v>
      </c>
      <c r="E250" s="15" t="s">
        <v>94</v>
      </c>
      <c r="F250" s="15" t="s">
        <v>225</v>
      </c>
      <c r="G250" s="15" t="s">
        <v>76</v>
      </c>
      <c r="H250" s="15" t="s">
        <v>1208</v>
      </c>
      <c r="I250" s="15" t="s">
        <v>44</v>
      </c>
      <c r="J250" s="15" t="s">
        <v>45</v>
      </c>
      <c r="K250" s="15" t="s">
        <v>32</v>
      </c>
      <c r="L250" s="15" t="s">
        <v>33</v>
      </c>
      <c r="M250" s="15">
        <v>9</v>
      </c>
      <c r="N250" s="15">
        <v>2200</v>
      </c>
      <c r="O250" s="15">
        <v>10</v>
      </c>
      <c r="P250" s="15">
        <v>17820</v>
      </c>
      <c r="Q250" s="15">
        <v>3</v>
      </c>
      <c r="R250" s="15" t="s">
        <v>79</v>
      </c>
      <c r="S250" s="15" t="s">
        <v>35</v>
      </c>
      <c r="T250" s="15" t="s">
        <v>228</v>
      </c>
      <c r="U250" s="17" t="s">
        <v>1209</v>
      </c>
      <c r="V250" s="15" t="s">
        <v>64</v>
      </c>
    </row>
    <row r="251" spans="1:22">
      <c r="A251" s="18" t="s">
        <v>1210</v>
      </c>
      <c r="B251" s="18" t="s">
        <v>23</v>
      </c>
      <c r="C251" s="18" t="s">
        <v>169</v>
      </c>
      <c r="D251" s="18" t="s">
        <v>825</v>
      </c>
      <c r="E251" s="18" t="s">
        <v>876</v>
      </c>
      <c r="F251" s="18" t="s">
        <v>27</v>
      </c>
      <c r="G251" s="18" t="s">
        <v>28</v>
      </c>
      <c r="H251" s="18" t="s">
        <v>1211</v>
      </c>
      <c r="I251" s="18" t="s">
        <v>294</v>
      </c>
      <c r="J251" s="18" t="s">
        <v>295</v>
      </c>
      <c r="K251" s="18" t="s">
        <v>32</v>
      </c>
      <c r="L251" s="18" t="s">
        <v>174</v>
      </c>
      <c r="M251" s="18">
        <v>16</v>
      </c>
      <c r="N251" s="18">
        <v>8500</v>
      </c>
      <c r="O251" s="18">
        <v>0</v>
      </c>
      <c r="P251" s="18">
        <v>136000</v>
      </c>
      <c r="Q251" s="18">
        <v>5</v>
      </c>
      <c r="R251" s="18" t="s">
        <v>88</v>
      </c>
      <c r="S251" s="18" t="s">
        <v>115</v>
      </c>
      <c r="T251" s="18" t="s">
        <v>50</v>
      </c>
      <c r="U251" s="19" t="s">
        <v>1212</v>
      </c>
      <c r="V251" s="18" t="s">
        <v>69</v>
      </c>
    </row>
    <row r="252" spans="1:22">
      <c r="A252" s="15" t="s">
        <v>1213</v>
      </c>
      <c r="B252" s="15" t="s">
        <v>327</v>
      </c>
      <c r="C252" s="15" t="s">
        <v>72</v>
      </c>
      <c r="D252" s="15" t="s">
        <v>1214</v>
      </c>
      <c r="E252" s="15" t="s">
        <v>692</v>
      </c>
      <c r="F252" s="15" t="s">
        <v>394</v>
      </c>
      <c r="G252" s="15" t="s">
        <v>76</v>
      </c>
      <c r="H252" s="15" t="s">
        <v>1215</v>
      </c>
      <c r="I252" s="15" t="s">
        <v>44</v>
      </c>
      <c r="J252" s="15" t="s">
        <v>45</v>
      </c>
      <c r="K252" s="15" t="s">
        <v>46</v>
      </c>
      <c r="L252" s="15" t="s">
        <v>78</v>
      </c>
      <c r="M252" s="15">
        <v>10</v>
      </c>
      <c r="N252" s="15">
        <v>1200</v>
      </c>
      <c r="O252" s="15">
        <v>15</v>
      </c>
      <c r="P252" s="15">
        <v>10200</v>
      </c>
      <c r="Q252" s="15">
        <v>5</v>
      </c>
      <c r="R252" s="15" t="s">
        <v>34</v>
      </c>
      <c r="S252" s="15" t="s">
        <v>49</v>
      </c>
      <c r="T252" s="15" t="s">
        <v>332</v>
      </c>
      <c r="U252" s="17" t="s">
        <v>1216</v>
      </c>
      <c r="V252" s="15" t="s">
        <v>38</v>
      </c>
    </row>
    <row r="253" spans="1:22">
      <c r="A253" s="18" t="s">
        <v>1217</v>
      </c>
      <c r="B253" s="18" t="s">
        <v>127</v>
      </c>
      <c r="C253" s="18" t="s">
        <v>40</v>
      </c>
      <c r="D253" s="18" t="s">
        <v>413</v>
      </c>
      <c r="E253" s="18" t="s">
        <v>136</v>
      </c>
      <c r="F253" s="18" t="s">
        <v>200</v>
      </c>
      <c r="G253" s="18" t="s">
        <v>76</v>
      </c>
      <c r="H253" s="18" t="s">
        <v>1218</v>
      </c>
      <c r="I253" s="18" t="s">
        <v>294</v>
      </c>
      <c r="J253" s="18" t="s">
        <v>295</v>
      </c>
      <c r="K253" s="18" t="s">
        <v>46</v>
      </c>
      <c r="L253" s="18" t="s">
        <v>47</v>
      </c>
      <c r="M253" s="18">
        <v>7</v>
      </c>
      <c r="N253" s="18">
        <v>12000</v>
      </c>
      <c r="O253" s="18">
        <v>0</v>
      </c>
      <c r="P253" s="18">
        <v>84000</v>
      </c>
      <c r="Q253" s="18">
        <v>1</v>
      </c>
      <c r="R253" s="18" t="s">
        <v>88</v>
      </c>
      <c r="S253" s="18" t="s">
        <v>151</v>
      </c>
      <c r="T253" s="18" t="s">
        <v>132</v>
      </c>
      <c r="U253" s="19" t="s">
        <v>1219</v>
      </c>
      <c r="V253" s="18" t="s">
        <v>64</v>
      </c>
    </row>
    <row r="254" spans="1:22">
      <c r="A254" s="15" t="s">
        <v>1220</v>
      </c>
      <c r="B254" s="15" t="s">
        <v>221</v>
      </c>
      <c r="C254" s="15" t="s">
        <v>40</v>
      </c>
      <c r="D254" s="15" t="s">
        <v>128</v>
      </c>
      <c r="E254" s="15" t="s">
        <v>1221</v>
      </c>
      <c r="F254" s="15" t="s">
        <v>225</v>
      </c>
      <c r="G254" s="15" t="s">
        <v>76</v>
      </c>
      <c r="H254" s="15" t="s">
        <v>1222</v>
      </c>
      <c r="I254" s="15" t="s">
        <v>114</v>
      </c>
      <c r="J254" s="15" t="s">
        <v>106</v>
      </c>
      <c r="K254" s="15" t="s">
        <v>46</v>
      </c>
      <c r="L254" s="15" t="s">
        <v>47</v>
      </c>
      <c r="M254" s="15">
        <v>3</v>
      </c>
      <c r="N254" s="15">
        <v>12000</v>
      </c>
      <c r="O254" s="15">
        <v>10</v>
      </c>
      <c r="P254" s="15">
        <v>32400</v>
      </c>
      <c r="Q254" s="15">
        <v>4</v>
      </c>
      <c r="R254" s="15" t="s">
        <v>79</v>
      </c>
      <c r="S254" s="15" t="s">
        <v>151</v>
      </c>
      <c r="T254" s="15" t="s">
        <v>228</v>
      </c>
      <c r="U254" s="17" t="s">
        <v>1223</v>
      </c>
      <c r="V254" s="15" t="s">
        <v>38</v>
      </c>
    </row>
    <row r="255" spans="1:22">
      <c r="A255" s="18" t="s">
        <v>1224</v>
      </c>
      <c r="B255" s="18" t="s">
        <v>221</v>
      </c>
      <c r="C255" s="18" t="s">
        <v>40</v>
      </c>
      <c r="D255" s="18" t="s">
        <v>1225</v>
      </c>
      <c r="E255" s="18" t="s">
        <v>927</v>
      </c>
      <c r="F255" s="18" t="s">
        <v>225</v>
      </c>
      <c r="G255" s="18" t="s">
        <v>76</v>
      </c>
      <c r="H255" s="18" t="s">
        <v>1226</v>
      </c>
      <c r="I255" s="18" t="s">
        <v>30</v>
      </c>
      <c r="J255" s="18" t="s">
        <v>31</v>
      </c>
      <c r="K255" s="18" t="s">
        <v>46</v>
      </c>
      <c r="L255" s="18" t="s">
        <v>47</v>
      </c>
      <c r="M255" s="18">
        <v>4</v>
      </c>
      <c r="N255" s="18">
        <v>12000</v>
      </c>
      <c r="O255" s="18">
        <v>15</v>
      </c>
      <c r="P255" s="18">
        <v>40800</v>
      </c>
      <c r="Q255" s="18">
        <v>3</v>
      </c>
      <c r="R255" s="18" t="s">
        <v>79</v>
      </c>
      <c r="S255" s="18" t="s">
        <v>35</v>
      </c>
      <c r="T255" s="18" t="s">
        <v>228</v>
      </c>
      <c r="U255" s="19" t="s">
        <v>1227</v>
      </c>
      <c r="V255" s="18" t="s">
        <v>64</v>
      </c>
    </row>
    <row r="256" spans="1:22">
      <c r="A256" s="15" t="s">
        <v>1228</v>
      </c>
      <c r="B256" s="15" t="s">
        <v>127</v>
      </c>
      <c r="C256" s="15" t="s">
        <v>40</v>
      </c>
      <c r="D256" s="15" t="s">
        <v>260</v>
      </c>
      <c r="E256" s="15" t="s">
        <v>498</v>
      </c>
      <c r="F256" s="15" t="s">
        <v>200</v>
      </c>
      <c r="G256" s="15" t="s">
        <v>76</v>
      </c>
      <c r="H256" s="15" t="s">
        <v>1229</v>
      </c>
      <c r="I256" s="15" t="s">
        <v>30</v>
      </c>
      <c r="J256" s="15" t="s">
        <v>31</v>
      </c>
      <c r="K256" s="15" t="s">
        <v>46</v>
      </c>
      <c r="L256" s="15" t="s">
        <v>47</v>
      </c>
      <c r="M256" s="15">
        <v>13</v>
      </c>
      <c r="N256" s="15">
        <v>12000</v>
      </c>
      <c r="O256" s="15">
        <v>10</v>
      </c>
      <c r="P256" s="15">
        <v>140400</v>
      </c>
      <c r="Q256" s="15">
        <v>2</v>
      </c>
      <c r="R256" s="15" t="s">
        <v>34</v>
      </c>
      <c r="S256" s="15" t="s">
        <v>151</v>
      </c>
      <c r="T256" s="15" t="s">
        <v>132</v>
      </c>
      <c r="U256" s="17" t="s">
        <v>1230</v>
      </c>
      <c r="V256" s="15" t="s">
        <v>69</v>
      </c>
    </row>
    <row r="257" spans="1:22">
      <c r="A257" s="18" t="s">
        <v>1231</v>
      </c>
      <c r="B257" s="18" t="s">
        <v>23</v>
      </c>
      <c r="C257" s="18" t="s">
        <v>92</v>
      </c>
      <c r="D257" s="18" t="s">
        <v>318</v>
      </c>
      <c r="E257" s="18" t="s">
        <v>679</v>
      </c>
      <c r="F257" s="18" t="s">
        <v>27</v>
      </c>
      <c r="G257" s="18" t="s">
        <v>28</v>
      </c>
      <c r="H257" s="18" t="s">
        <v>1232</v>
      </c>
      <c r="I257" s="18" t="s">
        <v>59</v>
      </c>
      <c r="J257" s="18" t="s">
        <v>31</v>
      </c>
      <c r="K257" s="18" t="s">
        <v>32</v>
      </c>
      <c r="L257" s="18" t="s">
        <v>97</v>
      </c>
      <c r="M257" s="18">
        <v>19</v>
      </c>
      <c r="N257" s="18">
        <v>3500</v>
      </c>
      <c r="O257" s="18">
        <v>20</v>
      </c>
      <c r="P257" s="18">
        <v>53200</v>
      </c>
      <c r="Q257" s="18">
        <v>1</v>
      </c>
      <c r="R257" s="18" t="s">
        <v>34</v>
      </c>
      <c r="S257" s="18" t="s">
        <v>61</v>
      </c>
      <c r="T257" s="18" t="s">
        <v>50</v>
      </c>
      <c r="U257" s="19" t="s">
        <v>1233</v>
      </c>
      <c r="V257" s="18" t="s">
        <v>69</v>
      </c>
    </row>
    <row r="258" spans="1:22">
      <c r="A258" s="15" t="s">
        <v>1234</v>
      </c>
      <c r="B258" s="15" t="s">
        <v>23</v>
      </c>
      <c r="C258" s="15" t="s">
        <v>24</v>
      </c>
      <c r="D258" s="15" t="s">
        <v>932</v>
      </c>
      <c r="E258" s="15" t="s">
        <v>436</v>
      </c>
      <c r="F258" s="15" t="s">
        <v>27</v>
      </c>
      <c r="G258" s="15" t="s">
        <v>28</v>
      </c>
      <c r="H258" s="15" t="s">
        <v>1235</v>
      </c>
      <c r="I258" s="15" t="s">
        <v>105</v>
      </c>
      <c r="J258" s="15" t="s">
        <v>106</v>
      </c>
      <c r="K258" s="15" t="s">
        <v>32</v>
      </c>
      <c r="L258" s="15" t="s">
        <v>33</v>
      </c>
      <c r="M258" s="15">
        <v>7</v>
      </c>
      <c r="N258" s="15">
        <v>2200</v>
      </c>
      <c r="O258" s="15">
        <v>5</v>
      </c>
      <c r="P258" s="15">
        <v>14630</v>
      </c>
      <c r="Q258" s="15">
        <v>3</v>
      </c>
      <c r="R258" s="15" t="s">
        <v>88</v>
      </c>
      <c r="S258" s="15" t="s">
        <v>61</v>
      </c>
      <c r="T258" s="15" t="s">
        <v>50</v>
      </c>
      <c r="U258" s="17" t="s">
        <v>1236</v>
      </c>
      <c r="V258" s="15" t="s">
        <v>69</v>
      </c>
    </row>
    <row r="259" spans="1:22">
      <c r="A259" s="18" t="s">
        <v>1237</v>
      </c>
      <c r="B259" s="18" t="s">
        <v>83</v>
      </c>
      <c r="C259" s="18" t="s">
        <v>184</v>
      </c>
      <c r="D259" s="18" t="s">
        <v>1238</v>
      </c>
      <c r="E259" s="18" t="s">
        <v>426</v>
      </c>
      <c r="F259" s="18" t="s">
        <v>180</v>
      </c>
      <c r="G259" s="18" t="s">
        <v>76</v>
      </c>
      <c r="H259" s="18" t="s">
        <v>1239</v>
      </c>
      <c r="I259" s="18" t="s">
        <v>212</v>
      </c>
      <c r="J259" s="18" t="s">
        <v>45</v>
      </c>
      <c r="K259" s="18" t="s">
        <v>46</v>
      </c>
      <c r="L259" s="18" t="s">
        <v>189</v>
      </c>
      <c r="M259" s="18">
        <v>18</v>
      </c>
      <c r="N259" s="18">
        <v>700</v>
      </c>
      <c r="O259" s="18">
        <v>5</v>
      </c>
      <c r="P259" s="18">
        <v>11970</v>
      </c>
      <c r="Q259" s="18">
        <v>2</v>
      </c>
      <c r="R259" s="18" t="s">
        <v>88</v>
      </c>
      <c r="S259" s="18" t="s">
        <v>61</v>
      </c>
      <c r="T259" s="18" t="s">
        <v>89</v>
      </c>
      <c r="U259" s="19" t="s">
        <v>1240</v>
      </c>
      <c r="V259" s="18" t="s">
        <v>69</v>
      </c>
    </row>
    <row r="260" spans="1:22">
      <c r="A260" s="15" t="s">
        <v>1241</v>
      </c>
      <c r="B260" s="15" t="s">
        <v>23</v>
      </c>
      <c r="C260" s="15" t="s">
        <v>222</v>
      </c>
      <c r="D260" s="15" t="s">
        <v>1106</v>
      </c>
      <c r="E260" s="15" t="s">
        <v>1242</v>
      </c>
      <c r="F260" s="15" t="s">
        <v>27</v>
      </c>
      <c r="G260" s="15" t="s">
        <v>28</v>
      </c>
      <c r="H260" s="15" t="s">
        <v>1243</v>
      </c>
      <c r="I260" s="15" t="s">
        <v>294</v>
      </c>
      <c r="J260" s="15" t="s">
        <v>295</v>
      </c>
      <c r="K260" s="15" t="s">
        <v>122</v>
      </c>
      <c r="L260" s="15" t="s">
        <v>227</v>
      </c>
      <c r="M260" s="15">
        <v>11</v>
      </c>
      <c r="N260" s="15">
        <v>20</v>
      </c>
      <c r="O260" s="15">
        <v>0</v>
      </c>
      <c r="P260" s="15">
        <v>220</v>
      </c>
      <c r="Q260" s="15">
        <v>2</v>
      </c>
      <c r="R260" s="15" t="s">
        <v>48</v>
      </c>
      <c r="S260" s="15" t="s">
        <v>115</v>
      </c>
      <c r="T260" s="15" t="s">
        <v>50</v>
      </c>
      <c r="U260" s="17" t="s">
        <v>1244</v>
      </c>
      <c r="V260" s="15" t="s">
        <v>69</v>
      </c>
    </row>
    <row r="261" spans="1:22">
      <c r="A261" s="18" t="s">
        <v>1245</v>
      </c>
      <c r="B261" s="18" t="s">
        <v>327</v>
      </c>
      <c r="C261" s="18" t="s">
        <v>40</v>
      </c>
      <c r="D261" s="18" t="s">
        <v>1069</v>
      </c>
      <c r="E261" s="18" t="s">
        <v>272</v>
      </c>
      <c r="F261" s="18" t="s">
        <v>394</v>
      </c>
      <c r="G261" s="18" t="s">
        <v>76</v>
      </c>
      <c r="H261" s="18" t="s">
        <v>1246</v>
      </c>
      <c r="I261" s="18" t="s">
        <v>114</v>
      </c>
      <c r="J261" s="18" t="s">
        <v>106</v>
      </c>
      <c r="K261" s="18" t="s">
        <v>46</v>
      </c>
      <c r="L261" s="18" t="s">
        <v>47</v>
      </c>
      <c r="M261" s="18">
        <v>17</v>
      </c>
      <c r="N261" s="18">
        <v>12000</v>
      </c>
      <c r="O261" s="18">
        <v>20</v>
      </c>
      <c r="P261" s="18">
        <v>163200</v>
      </c>
      <c r="Q261" s="18">
        <v>4</v>
      </c>
      <c r="R261" s="18" t="s">
        <v>88</v>
      </c>
      <c r="S261" s="18" t="s">
        <v>151</v>
      </c>
      <c r="T261" s="18" t="s">
        <v>332</v>
      </c>
      <c r="U261" s="19" t="s">
        <v>1247</v>
      </c>
      <c r="V261" s="18" t="s">
        <v>38</v>
      </c>
    </row>
    <row r="262" spans="1:22">
      <c r="A262" s="15" t="s">
        <v>1248</v>
      </c>
      <c r="B262" s="15" t="s">
        <v>251</v>
      </c>
      <c r="C262" s="15" t="s">
        <v>24</v>
      </c>
      <c r="D262" s="15" t="s">
        <v>1249</v>
      </c>
      <c r="E262" s="15" t="s">
        <v>267</v>
      </c>
      <c r="F262" s="15" t="s">
        <v>254</v>
      </c>
      <c r="G262" s="15" t="s">
        <v>28</v>
      </c>
      <c r="H262" s="15" t="s">
        <v>1250</v>
      </c>
      <c r="I262" s="15" t="s">
        <v>294</v>
      </c>
      <c r="J262" s="15" t="s">
        <v>295</v>
      </c>
      <c r="K262" s="15" t="s">
        <v>32</v>
      </c>
      <c r="L262" s="15" t="s">
        <v>33</v>
      </c>
      <c r="M262" s="15">
        <v>4</v>
      </c>
      <c r="N262" s="15">
        <v>2200</v>
      </c>
      <c r="O262" s="15">
        <v>5</v>
      </c>
      <c r="P262" s="15">
        <v>8360</v>
      </c>
      <c r="Q262" s="15">
        <v>2</v>
      </c>
      <c r="R262" s="15" t="s">
        <v>34</v>
      </c>
      <c r="S262" s="15" t="s">
        <v>35</v>
      </c>
      <c r="T262" s="15" t="s">
        <v>256</v>
      </c>
      <c r="U262" s="17" t="s">
        <v>1251</v>
      </c>
      <c r="V262" s="15" t="s">
        <v>38</v>
      </c>
    </row>
    <row r="263" spans="1:22">
      <c r="A263" s="18" t="s">
        <v>1252</v>
      </c>
      <c r="B263" s="18" t="s">
        <v>23</v>
      </c>
      <c r="C263" s="18" t="s">
        <v>54</v>
      </c>
      <c r="D263" s="18" t="s">
        <v>1253</v>
      </c>
      <c r="E263" s="18" t="s">
        <v>455</v>
      </c>
      <c r="F263" s="18" t="s">
        <v>27</v>
      </c>
      <c r="G263" s="18" t="s">
        <v>28</v>
      </c>
      <c r="H263" s="18" t="s">
        <v>1254</v>
      </c>
      <c r="I263" s="18" t="s">
        <v>138</v>
      </c>
      <c r="J263" s="18" t="s">
        <v>106</v>
      </c>
      <c r="K263" s="18" t="s">
        <v>46</v>
      </c>
      <c r="L263" s="18" t="s">
        <v>60</v>
      </c>
      <c r="M263" s="18">
        <v>6</v>
      </c>
      <c r="N263" s="18">
        <v>55000</v>
      </c>
      <c r="O263" s="18">
        <v>20</v>
      </c>
      <c r="P263" s="18">
        <v>264000</v>
      </c>
      <c r="Q263" s="18">
        <v>2</v>
      </c>
      <c r="R263" s="18" t="s">
        <v>88</v>
      </c>
      <c r="S263" s="18" t="s">
        <v>151</v>
      </c>
      <c r="T263" s="18" t="s">
        <v>50</v>
      </c>
      <c r="U263" s="19" t="s">
        <v>1255</v>
      </c>
      <c r="V263" s="18" t="s">
        <v>69</v>
      </c>
    </row>
    <row r="264" spans="1:22">
      <c r="A264" s="15" t="s">
        <v>1256</v>
      </c>
      <c r="B264" s="15" t="s">
        <v>71</v>
      </c>
      <c r="C264" s="15" t="s">
        <v>169</v>
      </c>
      <c r="D264" s="15" t="s">
        <v>84</v>
      </c>
      <c r="E264" s="15" t="s">
        <v>998</v>
      </c>
      <c r="F264" s="15" t="s">
        <v>217</v>
      </c>
      <c r="G264" s="15" t="s">
        <v>76</v>
      </c>
      <c r="H264" s="15" t="s">
        <v>1257</v>
      </c>
      <c r="I264" s="15" t="s">
        <v>44</v>
      </c>
      <c r="J264" s="15" t="s">
        <v>45</v>
      </c>
      <c r="K264" s="15" t="s">
        <v>32</v>
      </c>
      <c r="L264" s="15" t="s">
        <v>174</v>
      </c>
      <c r="M264" s="15">
        <v>6</v>
      </c>
      <c r="N264" s="15">
        <v>8500</v>
      </c>
      <c r="O264" s="15">
        <v>10</v>
      </c>
      <c r="P264" s="15">
        <v>45900</v>
      </c>
      <c r="Q264" s="15">
        <v>5</v>
      </c>
      <c r="R264" s="15" t="s">
        <v>88</v>
      </c>
      <c r="S264" s="15" t="s">
        <v>61</v>
      </c>
      <c r="T264" s="15" t="s">
        <v>80</v>
      </c>
      <c r="U264" s="17" t="s">
        <v>1258</v>
      </c>
      <c r="V264" s="15" t="s">
        <v>38</v>
      </c>
    </row>
    <row r="265" spans="1:22">
      <c r="A265" s="18" t="s">
        <v>1259</v>
      </c>
      <c r="B265" s="18" t="s">
        <v>23</v>
      </c>
      <c r="C265" s="18" t="s">
        <v>222</v>
      </c>
      <c r="D265" s="18" t="s">
        <v>558</v>
      </c>
      <c r="E265" s="18" t="s">
        <v>371</v>
      </c>
      <c r="F265" s="18" t="s">
        <v>27</v>
      </c>
      <c r="G265" s="18" t="s">
        <v>28</v>
      </c>
      <c r="H265" s="18" t="s">
        <v>1260</v>
      </c>
      <c r="I265" s="18" t="s">
        <v>212</v>
      </c>
      <c r="J265" s="18" t="s">
        <v>45</v>
      </c>
      <c r="K265" s="18" t="s">
        <v>122</v>
      </c>
      <c r="L265" s="18" t="s">
        <v>227</v>
      </c>
      <c r="M265" s="18">
        <v>6</v>
      </c>
      <c r="N265" s="18">
        <v>20</v>
      </c>
      <c r="O265" s="18">
        <v>15</v>
      </c>
      <c r="P265" s="18">
        <v>102</v>
      </c>
      <c r="Q265" s="18">
        <v>2</v>
      </c>
      <c r="R265" s="18" t="s">
        <v>88</v>
      </c>
      <c r="S265" s="18" t="s">
        <v>49</v>
      </c>
      <c r="T265" s="18" t="s">
        <v>50</v>
      </c>
      <c r="U265" s="19" t="s">
        <v>1261</v>
      </c>
      <c r="V265" s="18" t="s">
        <v>69</v>
      </c>
    </row>
    <row r="266" spans="1:22">
      <c r="A266" s="15" t="s">
        <v>1262</v>
      </c>
      <c r="B266" s="15" t="s">
        <v>53</v>
      </c>
      <c r="C266" s="15" t="s">
        <v>118</v>
      </c>
      <c r="D266" s="15" t="s">
        <v>1263</v>
      </c>
      <c r="E266" s="15" t="s">
        <v>597</v>
      </c>
      <c r="F266" s="15" t="s">
        <v>163</v>
      </c>
      <c r="G266" s="15" t="s">
        <v>28</v>
      </c>
      <c r="H266" s="15" t="s">
        <v>1264</v>
      </c>
      <c r="I266" s="15" t="s">
        <v>105</v>
      </c>
      <c r="J266" s="15" t="s">
        <v>106</v>
      </c>
      <c r="K266" s="15" t="s">
        <v>122</v>
      </c>
      <c r="L266" s="15" t="s">
        <v>123</v>
      </c>
      <c r="M266" s="15">
        <v>6</v>
      </c>
      <c r="N266" s="15">
        <v>60</v>
      </c>
      <c r="O266" s="15">
        <v>5</v>
      </c>
      <c r="P266" s="15">
        <v>342</v>
      </c>
      <c r="Q266" s="15">
        <v>1</v>
      </c>
      <c r="R266" s="15" t="s">
        <v>48</v>
      </c>
      <c r="S266" s="15" t="s">
        <v>61</v>
      </c>
      <c r="T266" s="15" t="s">
        <v>62</v>
      </c>
      <c r="U266" s="17" t="s">
        <v>1265</v>
      </c>
      <c r="V266" s="15" t="s">
        <v>38</v>
      </c>
    </row>
    <row r="267" spans="1:22">
      <c r="A267" s="18" t="s">
        <v>1266</v>
      </c>
      <c r="B267" s="18" t="s">
        <v>127</v>
      </c>
      <c r="C267" s="18" t="s">
        <v>169</v>
      </c>
      <c r="D267" s="18" t="s">
        <v>1267</v>
      </c>
      <c r="E267" s="18" t="s">
        <v>1268</v>
      </c>
      <c r="F267" s="18" t="s">
        <v>200</v>
      </c>
      <c r="G267" s="18" t="s">
        <v>76</v>
      </c>
      <c r="H267" s="18" t="s">
        <v>1269</v>
      </c>
      <c r="I267" s="18" t="s">
        <v>30</v>
      </c>
      <c r="J267" s="18" t="s">
        <v>31</v>
      </c>
      <c r="K267" s="18" t="s">
        <v>32</v>
      </c>
      <c r="L267" s="18" t="s">
        <v>174</v>
      </c>
      <c r="M267" s="18">
        <v>19</v>
      </c>
      <c r="N267" s="18">
        <v>8500</v>
      </c>
      <c r="O267" s="18">
        <v>0</v>
      </c>
      <c r="P267" s="18">
        <v>161500</v>
      </c>
      <c r="Q267" s="18">
        <v>5</v>
      </c>
      <c r="R267" s="18" t="s">
        <v>88</v>
      </c>
      <c r="S267" s="18" t="s">
        <v>151</v>
      </c>
      <c r="T267" s="18" t="s">
        <v>132</v>
      </c>
      <c r="U267" s="19" t="s">
        <v>1270</v>
      </c>
      <c r="V267" s="18" t="s">
        <v>38</v>
      </c>
    </row>
    <row r="268" spans="1:22">
      <c r="A268" s="15" t="s">
        <v>1271</v>
      </c>
      <c r="B268" s="15" t="s">
        <v>251</v>
      </c>
      <c r="C268" s="15" t="s">
        <v>54</v>
      </c>
      <c r="D268" s="15" t="s">
        <v>445</v>
      </c>
      <c r="E268" s="15" t="s">
        <v>573</v>
      </c>
      <c r="F268" s="15" t="s">
        <v>254</v>
      </c>
      <c r="G268" s="15" t="s">
        <v>28</v>
      </c>
      <c r="H268" s="15" t="s">
        <v>1272</v>
      </c>
      <c r="I268" s="15" t="s">
        <v>212</v>
      </c>
      <c r="J268" s="15" t="s">
        <v>45</v>
      </c>
      <c r="K268" s="15" t="s">
        <v>46</v>
      </c>
      <c r="L268" s="15" t="s">
        <v>60</v>
      </c>
      <c r="M268" s="15">
        <v>8</v>
      </c>
      <c r="N268" s="15">
        <v>55000</v>
      </c>
      <c r="O268" s="15">
        <v>0</v>
      </c>
      <c r="P268" s="15">
        <v>440000</v>
      </c>
      <c r="Q268" s="15">
        <v>3</v>
      </c>
      <c r="R268" s="15" t="s">
        <v>79</v>
      </c>
      <c r="S268" s="15" t="s">
        <v>115</v>
      </c>
      <c r="T268" s="15" t="s">
        <v>256</v>
      </c>
      <c r="U268" s="17" t="s">
        <v>1273</v>
      </c>
      <c r="V268" s="15" t="s">
        <v>64</v>
      </c>
    </row>
    <row r="269" spans="1:22">
      <c r="A269" s="18" t="s">
        <v>1274</v>
      </c>
      <c r="B269" s="18" t="s">
        <v>71</v>
      </c>
      <c r="C269" s="18" t="s">
        <v>40</v>
      </c>
      <c r="D269" s="18" t="s">
        <v>1098</v>
      </c>
      <c r="E269" s="18" t="s">
        <v>583</v>
      </c>
      <c r="F269" s="18" t="s">
        <v>217</v>
      </c>
      <c r="G269" s="18" t="s">
        <v>76</v>
      </c>
      <c r="H269" s="18" t="s">
        <v>1275</v>
      </c>
      <c r="I269" s="18" t="s">
        <v>294</v>
      </c>
      <c r="J269" s="18" t="s">
        <v>295</v>
      </c>
      <c r="K269" s="18" t="s">
        <v>46</v>
      </c>
      <c r="L269" s="18" t="s">
        <v>47</v>
      </c>
      <c r="M269" s="18">
        <v>18</v>
      </c>
      <c r="N269" s="18">
        <v>12000</v>
      </c>
      <c r="O269" s="18">
        <v>20</v>
      </c>
      <c r="P269" s="18">
        <v>172800</v>
      </c>
      <c r="Q269" s="18">
        <v>5</v>
      </c>
      <c r="R269" s="18" t="s">
        <v>88</v>
      </c>
      <c r="S269" s="18" t="s">
        <v>61</v>
      </c>
      <c r="T269" s="18" t="s">
        <v>80</v>
      </c>
      <c r="U269" s="19" t="s">
        <v>1276</v>
      </c>
      <c r="V269" s="18" t="s">
        <v>69</v>
      </c>
    </row>
    <row r="270" spans="1:22">
      <c r="A270" s="15" t="s">
        <v>1277</v>
      </c>
      <c r="B270" s="15" t="s">
        <v>127</v>
      </c>
      <c r="C270" s="15" t="s">
        <v>169</v>
      </c>
      <c r="D270" s="15" t="s">
        <v>1278</v>
      </c>
      <c r="E270" s="15" t="s">
        <v>198</v>
      </c>
      <c r="F270" s="15" t="s">
        <v>200</v>
      </c>
      <c r="G270" s="15" t="s">
        <v>76</v>
      </c>
      <c r="H270" s="15" t="s">
        <v>1279</v>
      </c>
      <c r="I270" s="15" t="s">
        <v>138</v>
      </c>
      <c r="J270" s="15" t="s">
        <v>106</v>
      </c>
      <c r="K270" s="15" t="s">
        <v>32</v>
      </c>
      <c r="L270" s="15" t="s">
        <v>174</v>
      </c>
      <c r="M270" s="15">
        <v>8</v>
      </c>
      <c r="N270" s="15">
        <v>8500</v>
      </c>
      <c r="O270" s="15">
        <v>5</v>
      </c>
      <c r="P270" s="15">
        <v>64600</v>
      </c>
      <c r="Q270" s="15">
        <v>2</v>
      </c>
      <c r="R270" s="15" t="s">
        <v>79</v>
      </c>
      <c r="S270" s="15" t="s">
        <v>61</v>
      </c>
      <c r="T270" s="15" t="s">
        <v>132</v>
      </c>
      <c r="U270" s="17" t="s">
        <v>1280</v>
      </c>
      <c r="V270" s="15" t="s">
        <v>69</v>
      </c>
    </row>
    <row r="271" spans="1:22">
      <c r="A271" s="18" t="s">
        <v>1281</v>
      </c>
      <c r="B271" s="18" t="s">
        <v>23</v>
      </c>
      <c r="C271" s="18" t="s">
        <v>222</v>
      </c>
      <c r="D271" s="18" t="s">
        <v>1282</v>
      </c>
      <c r="E271" s="18" t="s">
        <v>724</v>
      </c>
      <c r="F271" s="18" t="s">
        <v>27</v>
      </c>
      <c r="G271" s="18" t="s">
        <v>28</v>
      </c>
      <c r="H271" s="18" t="s">
        <v>1283</v>
      </c>
      <c r="I271" s="18" t="s">
        <v>105</v>
      </c>
      <c r="J271" s="18" t="s">
        <v>106</v>
      </c>
      <c r="K271" s="18" t="s">
        <v>122</v>
      </c>
      <c r="L271" s="18" t="s">
        <v>227</v>
      </c>
      <c r="M271" s="18">
        <v>13</v>
      </c>
      <c r="N271" s="18">
        <v>20</v>
      </c>
      <c r="O271" s="18">
        <v>5</v>
      </c>
      <c r="P271" s="18">
        <v>247</v>
      </c>
      <c r="Q271" s="18">
        <v>3</v>
      </c>
      <c r="R271" s="18" t="s">
        <v>48</v>
      </c>
      <c r="S271" s="18" t="s">
        <v>115</v>
      </c>
      <c r="T271" s="18" t="s">
        <v>50</v>
      </c>
      <c r="U271" s="19" t="s">
        <v>1284</v>
      </c>
      <c r="V271" s="18" t="s">
        <v>64</v>
      </c>
    </row>
    <row r="272" spans="1:22">
      <c r="A272" s="15" t="s">
        <v>1285</v>
      </c>
      <c r="B272" s="15" t="s">
        <v>83</v>
      </c>
      <c r="C272" s="15" t="s">
        <v>118</v>
      </c>
      <c r="D272" s="15" t="s">
        <v>740</v>
      </c>
      <c r="E272" s="15" t="s">
        <v>1286</v>
      </c>
      <c r="F272" s="15" t="s">
        <v>180</v>
      </c>
      <c r="G272" s="15" t="s">
        <v>76</v>
      </c>
      <c r="H272" s="15" t="s">
        <v>1287</v>
      </c>
      <c r="I272" s="15" t="s">
        <v>212</v>
      </c>
      <c r="J272" s="15" t="s">
        <v>45</v>
      </c>
      <c r="K272" s="15" t="s">
        <v>122</v>
      </c>
      <c r="L272" s="15" t="s">
        <v>123</v>
      </c>
      <c r="M272" s="15">
        <v>1</v>
      </c>
      <c r="N272" s="15">
        <v>60</v>
      </c>
      <c r="O272" s="15">
        <v>15</v>
      </c>
      <c r="P272" s="15">
        <v>51</v>
      </c>
      <c r="Q272" s="15">
        <v>2</v>
      </c>
      <c r="R272" s="15" t="s">
        <v>79</v>
      </c>
      <c r="S272" s="15" t="s">
        <v>61</v>
      </c>
      <c r="T272" s="15" t="s">
        <v>89</v>
      </c>
      <c r="U272" s="17" t="s">
        <v>1288</v>
      </c>
      <c r="V272" s="15" t="s">
        <v>69</v>
      </c>
    </row>
    <row r="273" spans="1:22">
      <c r="A273" s="18" t="s">
        <v>1289</v>
      </c>
      <c r="B273" s="18" t="s">
        <v>53</v>
      </c>
      <c r="C273" s="18" t="s">
        <v>222</v>
      </c>
      <c r="D273" s="18" t="s">
        <v>1290</v>
      </c>
      <c r="E273" s="18" t="s">
        <v>965</v>
      </c>
      <c r="F273" s="18" t="s">
        <v>163</v>
      </c>
      <c r="G273" s="18" t="s">
        <v>28</v>
      </c>
      <c r="H273" s="18" t="s">
        <v>1291</v>
      </c>
      <c r="I273" s="18" t="s">
        <v>114</v>
      </c>
      <c r="J273" s="18" t="s">
        <v>106</v>
      </c>
      <c r="K273" s="18" t="s">
        <v>122</v>
      </c>
      <c r="L273" s="18" t="s">
        <v>227</v>
      </c>
      <c r="M273" s="18">
        <v>5</v>
      </c>
      <c r="N273" s="18">
        <v>20</v>
      </c>
      <c r="O273" s="18">
        <v>5</v>
      </c>
      <c r="P273" s="18">
        <v>95</v>
      </c>
      <c r="Q273" s="18">
        <v>2</v>
      </c>
      <c r="R273" s="18" t="s">
        <v>48</v>
      </c>
      <c r="S273" s="18" t="s">
        <v>49</v>
      </c>
      <c r="T273" s="18" t="s">
        <v>62</v>
      </c>
      <c r="U273" s="19" t="s">
        <v>1292</v>
      </c>
      <c r="V273" s="18" t="s">
        <v>64</v>
      </c>
    </row>
    <row r="274" spans="1:22">
      <c r="A274" s="15" t="s">
        <v>1293</v>
      </c>
      <c r="B274" s="15" t="s">
        <v>221</v>
      </c>
      <c r="C274" s="15" t="s">
        <v>222</v>
      </c>
      <c r="D274" s="15" t="s">
        <v>1294</v>
      </c>
      <c r="E274" s="15" t="s">
        <v>1017</v>
      </c>
      <c r="F274" s="15" t="s">
        <v>225</v>
      </c>
      <c r="G274" s="15" t="s">
        <v>76</v>
      </c>
      <c r="H274" s="15" t="s">
        <v>1295</v>
      </c>
      <c r="I274" s="15" t="s">
        <v>294</v>
      </c>
      <c r="J274" s="15" t="s">
        <v>295</v>
      </c>
      <c r="K274" s="15" t="s">
        <v>122</v>
      </c>
      <c r="L274" s="15" t="s">
        <v>227</v>
      </c>
      <c r="M274" s="15">
        <v>19</v>
      </c>
      <c r="N274" s="15">
        <v>20</v>
      </c>
      <c r="O274" s="15">
        <v>20</v>
      </c>
      <c r="P274" s="15">
        <v>304</v>
      </c>
      <c r="Q274" s="15">
        <v>3</v>
      </c>
      <c r="R274" s="15" t="s">
        <v>34</v>
      </c>
      <c r="S274" s="15" t="s">
        <v>35</v>
      </c>
      <c r="T274" s="15" t="s">
        <v>228</v>
      </c>
      <c r="U274" s="17" t="s">
        <v>1296</v>
      </c>
      <c r="V274" s="15" t="s">
        <v>69</v>
      </c>
    </row>
    <row r="275" spans="1:22">
      <c r="A275" s="18" t="s">
        <v>1297</v>
      </c>
      <c r="B275" s="18" t="s">
        <v>100</v>
      </c>
      <c r="C275" s="18" t="s">
        <v>259</v>
      </c>
      <c r="D275" s="18" t="s">
        <v>1298</v>
      </c>
      <c r="E275" s="18" t="s">
        <v>366</v>
      </c>
      <c r="F275" s="18" t="s">
        <v>103</v>
      </c>
      <c r="G275" s="18" t="s">
        <v>28</v>
      </c>
      <c r="H275" s="18" t="s">
        <v>1299</v>
      </c>
      <c r="I275" s="18" t="s">
        <v>138</v>
      </c>
      <c r="J275" s="18" t="s">
        <v>106</v>
      </c>
      <c r="K275" s="18" t="s">
        <v>122</v>
      </c>
      <c r="L275" s="18" t="s">
        <v>263</v>
      </c>
      <c r="M275" s="18">
        <v>17</v>
      </c>
      <c r="N275" s="18">
        <v>45</v>
      </c>
      <c r="O275" s="18">
        <v>5</v>
      </c>
      <c r="P275" s="18">
        <v>726.75</v>
      </c>
      <c r="Q275" s="18">
        <v>4</v>
      </c>
      <c r="R275" s="18" t="s">
        <v>34</v>
      </c>
      <c r="S275" s="18" t="s">
        <v>115</v>
      </c>
      <c r="T275" s="18" t="s">
        <v>144</v>
      </c>
      <c r="U275" s="19" t="s">
        <v>1300</v>
      </c>
      <c r="V275" s="18" t="s">
        <v>64</v>
      </c>
    </row>
    <row r="276" spans="1:22">
      <c r="A276" s="15" t="s">
        <v>1301</v>
      </c>
      <c r="B276" s="15" t="s">
        <v>83</v>
      </c>
      <c r="C276" s="15" t="s">
        <v>184</v>
      </c>
      <c r="D276" s="15" t="s">
        <v>1302</v>
      </c>
      <c r="E276" s="15" t="s">
        <v>170</v>
      </c>
      <c r="F276" s="15" t="s">
        <v>180</v>
      </c>
      <c r="G276" s="15" t="s">
        <v>76</v>
      </c>
      <c r="H276" s="15" t="s">
        <v>1303</v>
      </c>
      <c r="I276" s="15" t="s">
        <v>59</v>
      </c>
      <c r="J276" s="15" t="s">
        <v>31</v>
      </c>
      <c r="K276" s="15" t="s">
        <v>46</v>
      </c>
      <c r="L276" s="15" t="s">
        <v>189</v>
      </c>
      <c r="M276" s="15">
        <v>8</v>
      </c>
      <c r="N276" s="15">
        <v>700</v>
      </c>
      <c r="O276" s="15">
        <v>15</v>
      </c>
      <c r="P276" s="15">
        <v>4760</v>
      </c>
      <c r="Q276" s="15">
        <v>4</v>
      </c>
      <c r="R276" s="15" t="s">
        <v>48</v>
      </c>
      <c r="S276" s="15" t="s">
        <v>35</v>
      </c>
      <c r="T276" s="15" t="s">
        <v>89</v>
      </c>
      <c r="U276" s="17" t="s">
        <v>1304</v>
      </c>
      <c r="V276" s="15" t="s">
        <v>64</v>
      </c>
    </row>
    <row r="277" spans="1:22">
      <c r="A277" s="18" t="s">
        <v>1305</v>
      </c>
      <c r="B277" s="18" t="s">
        <v>168</v>
      </c>
      <c r="C277" s="18" t="s">
        <v>24</v>
      </c>
      <c r="D277" s="18" t="s">
        <v>1306</v>
      </c>
      <c r="E277" s="18" t="s">
        <v>1307</v>
      </c>
      <c r="F277" s="18" t="s">
        <v>361</v>
      </c>
      <c r="G277" s="18" t="s">
        <v>28</v>
      </c>
      <c r="H277" s="18" t="s">
        <v>1308</v>
      </c>
      <c r="I277" s="18" t="s">
        <v>105</v>
      </c>
      <c r="J277" s="18" t="s">
        <v>106</v>
      </c>
      <c r="K277" s="18" t="s">
        <v>32</v>
      </c>
      <c r="L277" s="18" t="s">
        <v>33</v>
      </c>
      <c r="M277" s="18">
        <v>15</v>
      </c>
      <c r="N277" s="18">
        <v>2200</v>
      </c>
      <c r="O277" s="18">
        <v>10</v>
      </c>
      <c r="P277" s="18">
        <v>29700</v>
      </c>
      <c r="Q277" s="18">
        <v>5</v>
      </c>
      <c r="R277" s="18" t="s">
        <v>88</v>
      </c>
      <c r="S277" s="18" t="s">
        <v>151</v>
      </c>
      <c r="T277" s="18" t="s">
        <v>175</v>
      </c>
      <c r="U277" s="19" t="s">
        <v>1309</v>
      </c>
      <c r="V277" s="18" t="s">
        <v>38</v>
      </c>
    </row>
    <row r="278" spans="1:22">
      <c r="A278" s="15" t="s">
        <v>1310</v>
      </c>
      <c r="B278" s="15" t="s">
        <v>100</v>
      </c>
      <c r="C278" s="15" t="s">
        <v>24</v>
      </c>
      <c r="D278" s="15" t="s">
        <v>860</v>
      </c>
      <c r="E278" s="15" t="s">
        <v>1311</v>
      </c>
      <c r="F278" s="15" t="s">
        <v>103</v>
      </c>
      <c r="G278" s="15" t="s">
        <v>28</v>
      </c>
      <c r="H278" s="15" t="s">
        <v>1312</v>
      </c>
      <c r="I278" s="15" t="s">
        <v>105</v>
      </c>
      <c r="J278" s="15" t="s">
        <v>106</v>
      </c>
      <c r="K278" s="15" t="s">
        <v>32</v>
      </c>
      <c r="L278" s="15" t="s">
        <v>33</v>
      </c>
      <c r="M278" s="15">
        <v>1</v>
      </c>
      <c r="N278" s="15">
        <v>2200</v>
      </c>
      <c r="O278" s="15">
        <v>0</v>
      </c>
      <c r="P278" s="15">
        <v>2200</v>
      </c>
      <c r="Q278" s="15">
        <v>4</v>
      </c>
      <c r="R278" s="15" t="s">
        <v>34</v>
      </c>
      <c r="S278" s="15" t="s">
        <v>49</v>
      </c>
      <c r="T278" s="15" t="s">
        <v>144</v>
      </c>
      <c r="U278" s="17" t="s">
        <v>1313</v>
      </c>
      <c r="V278" s="15" t="s">
        <v>69</v>
      </c>
    </row>
    <row r="279" spans="1:22">
      <c r="A279" s="18" t="s">
        <v>1314</v>
      </c>
      <c r="B279" s="18" t="s">
        <v>251</v>
      </c>
      <c r="C279" s="18" t="s">
        <v>92</v>
      </c>
      <c r="D279" s="18" t="s">
        <v>872</v>
      </c>
      <c r="E279" s="18" t="s">
        <v>1315</v>
      </c>
      <c r="F279" s="18" t="s">
        <v>254</v>
      </c>
      <c r="G279" s="18" t="s">
        <v>28</v>
      </c>
      <c r="H279" s="18" t="s">
        <v>1316</v>
      </c>
      <c r="I279" s="18" t="s">
        <v>138</v>
      </c>
      <c r="J279" s="18" t="s">
        <v>106</v>
      </c>
      <c r="K279" s="18" t="s">
        <v>32</v>
      </c>
      <c r="L279" s="18" t="s">
        <v>97</v>
      </c>
      <c r="M279" s="18">
        <v>10</v>
      </c>
      <c r="N279" s="18">
        <v>3500</v>
      </c>
      <c r="O279" s="18">
        <v>10</v>
      </c>
      <c r="P279" s="18">
        <v>31500</v>
      </c>
      <c r="Q279" s="18">
        <v>4</v>
      </c>
      <c r="R279" s="18" t="s">
        <v>48</v>
      </c>
      <c r="S279" s="18" t="s">
        <v>35</v>
      </c>
      <c r="T279" s="18" t="s">
        <v>256</v>
      </c>
      <c r="U279" s="19" t="s">
        <v>1317</v>
      </c>
      <c r="V279" s="18" t="s">
        <v>69</v>
      </c>
    </row>
    <row r="280" spans="1:22">
      <c r="A280" s="15" t="s">
        <v>1318</v>
      </c>
      <c r="B280" s="15" t="s">
        <v>71</v>
      </c>
      <c r="C280" s="15" t="s">
        <v>92</v>
      </c>
      <c r="D280" s="15" t="s">
        <v>1319</v>
      </c>
      <c r="E280" s="15" t="s">
        <v>1320</v>
      </c>
      <c r="F280" s="15" t="s">
        <v>217</v>
      </c>
      <c r="G280" s="15" t="s">
        <v>76</v>
      </c>
      <c r="H280" s="15" t="s">
        <v>1321</v>
      </c>
      <c r="I280" s="15" t="s">
        <v>212</v>
      </c>
      <c r="J280" s="15" t="s">
        <v>45</v>
      </c>
      <c r="K280" s="15" t="s">
        <v>32</v>
      </c>
      <c r="L280" s="15" t="s">
        <v>97</v>
      </c>
      <c r="M280" s="15">
        <v>16</v>
      </c>
      <c r="N280" s="15">
        <v>3500</v>
      </c>
      <c r="O280" s="15">
        <v>15</v>
      </c>
      <c r="P280" s="15">
        <v>47600</v>
      </c>
      <c r="Q280" s="15">
        <v>1</v>
      </c>
      <c r="R280" s="15" t="s">
        <v>79</v>
      </c>
      <c r="S280" s="15" t="s">
        <v>115</v>
      </c>
      <c r="T280" s="15" t="s">
        <v>80</v>
      </c>
      <c r="U280" s="17" t="s">
        <v>1322</v>
      </c>
      <c r="V280" s="15" t="s">
        <v>64</v>
      </c>
    </row>
    <row r="281" spans="1:22">
      <c r="A281" s="18" t="s">
        <v>1323</v>
      </c>
      <c r="B281" s="18" t="s">
        <v>251</v>
      </c>
      <c r="C281" s="18" t="s">
        <v>40</v>
      </c>
      <c r="D281" s="18" t="s">
        <v>1324</v>
      </c>
      <c r="E281" s="18" t="s">
        <v>25</v>
      </c>
      <c r="F281" s="18" t="s">
        <v>254</v>
      </c>
      <c r="G281" s="18" t="s">
        <v>28</v>
      </c>
      <c r="H281" s="18" t="s">
        <v>1325</v>
      </c>
      <c r="I281" s="18" t="s">
        <v>212</v>
      </c>
      <c r="J281" s="18" t="s">
        <v>45</v>
      </c>
      <c r="K281" s="18" t="s">
        <v>46</v>
      </c>
      <c r="L281" s="18" t="s">
        <v>47</v>
      </c>
      <c r="M281" s="18">
        <v>1</v>
      </c>
      <c r="N281" s="18">
        <v>12000</v>
      </c>
      <c r="O281" s="18">
        <v>0</v>
      </c>
      <c r="P281" s="18">
        <v>12000</v>
      </c>
      <c r="Q281" s="18">
        <v>4</v>
      </c>
      <c r="R281" s="18" t="s">
        <v>48</v>
      </c>
      <c r="S281" s="18" t="s">
        <v>115</v>
      </c>
      <c r="T281" s="18" t="s">
        <v>256</v>
      </c>
      <c r="U281" s="19" t="s">
        <v>1326</v>
      </c>
      <c r="V281" s="18" t="s">
        <v>69</v>
      </c>
    </row>
    <row r="282" spans="1:22">
      <c r="A282" s="15" t="s">
        <v>1327</v>
      </c>
      <c r="B282" s="15" t="s">
        <v>83</v>
      </c>
      <c r="C282" s="15" t="s">
        <v>184</v>
      </c>
      <c r="D282" s="15" t="s">
        <v>1328</v>
      </c>
      <c r="E282" s="15" t="s">
        <v>606</v>
      </c>
      <c r="F282" s="15" t="s">
        <v>180</v>
      </c>
      <c r="G282" s="15" t="s">
        <v>76</v>
      </c>
      <c r="H282" s="15" t="s">
        <v>1329</v>
      </c>
      <c r="I282" s="15" t="s">
        <v>105</v>
      </c>
      <c r="J282" s="15" t="s">
        <v>106</v>
      </c>
      <c r="K282" s="15" t="s">
        <v>46</v>
      </c>
      <c r="L282" s="15" t="s">
        <v>189</v>
      </c>
      <c r="M282" s="15">
        <v>6</v>
      </c>
      <c r="N282" s="15">
        <v>700</v>
      </c>
      <c r="O282" s="15">
        <v>20</v>
      </c>
      <c r="P282" s="15">
        <v>3360</v>
      </c>
      <c r="Q282" s="15">
        <v>2</v>
      </c>
      <c r="R282" s="15" t="s">
        <v>48</v>
      </c>
      <c r="S282" s="15" t="s">
        <v>115</v>
      </c>
      <c r="T282" s="15" t="s">
        <v>89</v>
      </c>
      <c r="U282" s="17" t="s">
        <v>1330</v>
      </c>
      <c r="V282" s="15" t="s">
        <v>64</v>
      </c>
    </row>
    <row r="283" spans="1:22">
      <c r="A283" s="18" t="s">
        <v>1331</v>
      </c>
      <c r="B283" s="18" t="s">
        <v>71</v>
      </c>
      <c r="C283" s="18" t="s">
        <v>24</v>
      </c>
      <c r="D283" s="18" t="s">
        <v>923</v>
      </c>
      <c r="E283" s="18" t="s">
        <v>1332</v>
      </c>
      <c r="F283" s="18" t="s">
        <v>217</v>
      </c>
      <c r="G283" s="18" t="s">
        <v>76</v>
      </c>
      <c r="H283" s="18" t="s">
        <v>1333</v>
      </c>
      <c r="I283" s="18" t="s">
        <v>138</v>
      </c>
      <c r="J283" s="18" t="s">
        <v>106</v>
      </c>
      <c r="K283" s="18" t="s">
        <v>32</v>
      </c>
      <c r="L283" s="18" t="s">
        <v>33</v>
      </c>
      <c r="M283" s="18">
        <v>3</v>
      </c>
      <c r="N283" s="18">
        <v>2200</v>
      </c>
      <c r="O283" s="18">
        <v>0</v>
      </c>
      <c r="P283" s="18">
        <v>6600</v>
      </c>
      <c r="Q283" s="18">
        <v>4</v>
      </c>
      <c r="R283" s="18" t="s">
        <v>79</v>
      </c>
      <c r="S283" s="18" t="s">
        <v>35</v>
      </c>
      <c r="T283" s="18" t="s">
        <v>80</v>
      </c>
      <c r="U283" s="19" t="s">
        <v>1334</v>
      </c>
      <c r="V283" s="18" t="s">
        <v>38</v>
      </c>
    </row>
    <row r="284" spans="1:22">
      <c r="A284" s="15" t="s">
        <v>1335</v>
      </c>
      <c r="B284" s="15" t="s">
        <v>251</v>
      </c>
      <c r="C284" s="15" t="s">
        <v>259</v>
      </c>
      <c r="D284" s="15" t="s">
        <v>1198</v>
      </c>
      <c r="E284" s="15" t="s">
        <v>216</v>
      </c>
      <c r="F284" s="15" t="s">
        <v>254</v>
      </c>
      <c r="G284" s="15" t="s">
        <v>28</v>
      </c>
      <c r="H284" s="15" t="s">
        <v>1336</v>
      </c>
      <c r="I284" s="15" t="s">
        <v>30</v>
      </c>
      <c r="J284" s="15" t="s">
        <v>31</v>
      </c>
      <c r="K284" s="15" t="s">
        <v>122</v>
      </c>
      <c r="L284" s="15" t="s">
        <v>263</v>
      </c>
      <c r="M284" s="15">
        <v>6</v>
      </c>
      <c r="N284" s="15">
        <v>45</v>
      </c>
      <c r="O284" s="15">
        <v>15</v>
      </c>
      <c r="P284" s="15">
        <v>229.5</v>
      </c>
      <c r="Q284" s="15">
        <v>1</v>
      </c>
      <c r="R284" s="15" t="s">
        <v>88</v>
      </c>
      <c r="S284" s="15" t="s">
        <v>49</v>
      </c>
      <c r="T284" s="15" t="s">
        <v>256</v>
      </c>
      <c r="U284" s="17" t="s">
        <v>1337</v>
      </c>
      <c r="V284" s="15" t="s">
        <v>38</v>
      </c>
    </row>
    <row r="285" spans="1:22">
      <c r="A285" s="18" t="s">
        <v>1338</v>
      </c>
      <c r="B285" s="18" t="s">
        <v>251</v>
      </c>
      <c r="C285" s="18" t="s">
        <v>72</v>
      </c>
      <c r="D285" s="18" t="s">
        <v>26</v>
      </c>
      <c r="E285" s="18" t="s">
        <v>1339</v>
      </c>
      <c r="F285" s="18" t="s">
        <v>254</v>
      </c>
      <c r="G285" s="18" t="s">
        <v>28</v>
      </c>
      <c r="H285" s="18" t="s">
        <v>1340</v>
      </c>
      <c r="I285" s="18" t="s">
        <v>59</v>
      </c>
      <c r="J285" s="18" t="s">
        <v>31</v>
      </c>
      <c r="K285" s="18" t="s">
        <v>46</v>
      </c>
      <c r="L285" s="18" t="s">
        <v>78</v>
      </c>
      <c r="M285" s="18">
        <v>2</v>
      </c>
      <c r="N285" s="18">
        <v>1200</v>
      </c>
      <c r="O285" s="18">
        <v>0</v>
      </c>
      <c r="P285" s="18">
        <v>2400</v>
      </c>
      <c r="Q285" s="18">
        <v>1</v>
      </c>
      <c r="R285" s="18" t="s">
        <v>34</v>
      </c>
      <c r="S285" s="18" t="s">
        <v>151</v>
      </c>
      <c r="T285" s="18" t="s">
        <v>256</v>
      </c>
      <c r="U285" s="19" t="s">
        <v>1341</v>
      </c>
      <c r="V285" s="18" t="s">
        <v>69</v>
      </c>
    </row>
    <row r="286" spans="1:22">
      <c r="A286" s="15" t="s">
        <v>1342</v>
      </c>
      <c r="B286" s="15" t="s">
        <v>168</v>
      </c>
      <c r="C286" s="15" t="s">
        <v>184</v>
      </c>
      <c r="D286" s="15" t="s">
        <v>1343</v>
      </c>
      <c r="E286" s="15" t="s">
        <v>1344</v>
      </c>
      <c r="F286" s="15" t="s">
        <v>361</v>
      </c>
      <c r="G286" s="15" t="s">
        <v>28</v>
      </c>
      <c r="H286" s="15" t="s">
        <v>1345</v>
      </c>
      <c r="I286" s="15" t="s">
        <v>30</v>
      </c>
      <c r="J286" s="15" t="s">
        <v>31</v>
      </c>
      <c r="K286" s="15" t="s">
        <v>46</v>
      </c>
      <c r="L286" s="15" t="s">
        <v>189</v>
      </c>
      <c r="M286" s="15">
        <v>14</v>
      </c>
      <c r="N286" s="15">
        <v>700</v>
      </c>
      <c r="O286" s="15">
        <v>15</v>
      </c>
      <c r="P286" s="15">
        <v>8330</v>
      </c>
      <c r="Q286" s="15">
        <v>5</v>
      </c>
      <c r="R286" s="15" t="s">
        <v>34</v>
      </c>
      <c r="S286" s="15" t="s">
        <v>115</v>
      </c>
      <c r="T286" s="15" t="s">
        <v>175</v>
      </c>
      <c r="U286" s="17" t="s">
        <v>1346</v>
      </c>
      <c r="V286" s="15" t="s">
        <v>64</v>
      </c>
    </row>
    <row r="287" spans="1:22">
      <c r="A287" s="18" t="s">
        <v>1347</v>
      </c>
      <c r="B287" s="18" t="s">
        <v>100</v>
      </c>
      <c r="C287" s="18" t="s">
        <v>222</v>
      </c>
      <c r="D287" s="18" t="s">
        <v>291</v>
      </c>
      <c r="E287" s="18" t="s">
        <v>507</v>
      </c>
      <c r="F287" s="18" t="s">
        <v>103</v>
      </c>
      <c r="G287" s="18" t="s">
        <v>28</v>
      </c>
      <c r="H287" s="18" t="s">
        <v>1348</v>
      </c>
      <c r="I287" s="18" t="s">
        <v>105</v>
      </c>
      <c r="J287" s="18" t="s">
        <v>106</v>
      </c>
      <c r="K287" s="18" t="s">
        <v>122</v>
      </c>
      <c r="L287" s="18" t="s">
        <v>227</v>
      </c>
      <c r="M287" s="18">
        <v>13</v>
      </c>
      <c r="N287" s="18">
        <v>20</v>
      </c>
      <c r="O287" s="18">
        <v>5</v>
      </c>
      <c r="P287" s="18">
        <v>247</v>
      </c>
      <c r="Q287" s="18">
        <v>1</v>
      </c>
      <c r="R287" s="18" t="s">
        <v>79</v>
      </c>
      <c r="S287" s="18" t="s">
        <v>35</v>
      </c>
      <c r="T287" s="18" t="s">
        <v>1349</v>
      </c>
      <c r="U287" s="19" t="s">
        <v>1350</v>
      </c>
      <c r="V287" s="18" t="s">
        <v>64</v>
      </c>
    </row>
    <row r="288" spans="1:22">
      <c r="A288" s="15" t="s">
        <v>1351</v>
      </c>
      <c r="B288" s="15" t="s">
        <v>71</v>
      </c>
      <c r="C288" s="15" t="s">
        <v>24</v>
      </c>
      <c r="D288" s="15" t="s">
        <v>135</v>
      </c>
      <c r="E288" s="15" t="s">
        <v>136</v>
      </c>
      <c r="F288" s="15" t="s">
        <v>217</v>
      </c>
      <c r="G288" s="15" t="s">
        <v>76</v>
      </c>
      <c r="H288" s="15" t="s">
        <v>1352</v>
      </c>
      <c r="I288" s="15" t="s">
        <v>114</v>
      </c>
      <c r="J288" s="15" t="s">
        <v>106</v>
      </c>
      <c r="K288" s="15" t="s">
        <v>32</v>
      </c>
      <c r="L288" s="15" t="s">
        <v>33</v>
      </c>
      <c r="M288" s="15">
        <v>3</v>
      </c>
      <c r="N288" s="15">
        <v>2200</v>
      </c>
      <c r="O288" s="15">
        <v>0</v>
      </c>
      <c r="P288" s="15">
        <v>6600</v>
      </c>
      <c r="Q288" s="15">
        <v>4</v>
      </c>
      <c r="R288" s="15" t="s">
        <v>48</v>
      </c>
      <c r="S288" s="15" t="s">
        <v>61</v>
      </c>
      <c r="T288" s="15" t="s">
        <v>80</v>
      </c>
      <c r="U288" s="17" t="s">
        <v>1353</v>
      </c>
      <c r="V288" s="15" t="s">
        <v>69</v>
      </c>
    </row>
    <row r="289" spans="1:22">
      <c r="A289" s="18" t="s">
        <v>1354</v>
      </c>
      <c r="B289" s="18" t="s">
        <v>71</v>
      </c>
      <c r="C289" s="18" t="s">
        <v>118</v>
      </c>
      <c r="D289" s="18" t="s">
        <v>450</v>
      </c>
      <c r="E289" s="18" t="s">
        <v>923</v>
      </c>
      <c r="F289" s="18" t="s">
        <v>217</v>
      </c>
      <c r="G289" s="18" t="s">
        <v>76</v>
      </c>
      <c r="H289" s="18" t="s">
        <v>1355</v>
      </c>
      <c r="I289" s="18" t="s">
        <v>114</v>
      </c>
      <c r="J289" s="18" t="s">
        <v>106</v>
      </c>
      <c r="K289" s="18" t="s">
        <v>122</v>
      </c>
      <c r="L289" s="18" t="s">
        <v>123</v>
      </c>
      <c r="M289" s="18">
        <v>3</v>
      </c>
      <c r="N289" s="18">
        <v>60</v>
      </c>
      <c r="O289" s="18">
        <v>15</v>
      </c>
      <c r="P289" s="18">
        <v>153</v>
      </c>
      <c r="Q289" s="18">
        <v>4</v>
      </c>
      <c r="R289" s="18" t="s">
        <v>88</v>
      </c>
      <c r="S289" s="18" t="s">
        <v>115</v>
      </c>
      <c r="T289" s="18" t="s">
        <v>80</v>
      </c>
      <c r="U289" s="19" t="s">
        <v>1356</v>
      </c>
      <c r="V289" s="18" t="s">
        <v>38</v>
      </c>
    </row>
    <row r="290" spans="1:22">
      <c r="A290" s="15" t="s">
        <v>1357</v>
      </c>
      <c r="B290" s="15" t="s">
        <v>127</v>
      </c>
      <c r="C290" s="15" t="s">
        <v>92</v>
      </c>
      <c r="D290" s="15" t="s">
        <v>624</v>
      </c>
      <c r="E290" s="15" t="s">
        <v>825</v>
      </c>
      <c r="F290" s="15" t="s">
        <v>200</v>
      </c>
      <c r="G290" s="15" t="s">
        <v>76</v>
      </c>
      <c r="H290" s="15" t="s">
        <v>584</v>
      </c>
      <c r="I290" s="15" t="s">
        <v>105</v>
      </c>
      <c r="J290" s="15" t="s">
        <v>106</v>
      </c>
      <c r="K290" s="15" t="s">
        <v>32</v>
      </c>
      <c r="L290" s="15" t="s">
        <v>97</v>
      </c>
      <c r="M290" s="15">
        <v>9</v>
      </c>
      <c r="N290" s="15">
        <v>3500</v>
      </c>
      <c r="O290" s="15">
        <v>5</v>
      </c>
      <c r="P290" s="15">
        <v>29925</v>
      </c>
      <c r="Q290" s="15">
        <v>1</v>
      </c>
      <c r="R290" s="15" t="s">
        <v>34</v>
      </c>
      <c r="S290" s="15" t="s">
        <v>61</v>
      </c>
      <c r="T290" s="15" t="s">
        <v>132</v>
      </c>
      <c r="U290" s="17" t="s">
        <v>1358</v>
      </c>
      <c r="V290" s="15" t="s">
        <v>64</v>
      </c>
    </row>
    <row r="291" spans="1:22">
      <c r="A291" s="18" t="s">
        <v>1359</v>
      </c>
      <c r="B291" s="18" t="s">
        <v>327</v>
      </c>
      <c r="C291" s="18" t="s">
        <v>72</v>
      </c>
      <c r="D291" s="18" t="s">
        <v>120</v>
      </c>
      <c r="E291" s="18" t="s">
        <v>1360</v>
      </c>
      <c r="F291" s="18" t="s">
        <v>394</v>
      </c>
      <c r="G291" s="18" t="s">
        <v>76</v>
      </c>
      <c r="H291" s="18" t="s">
        <v>1361</v>
      </c>
      <c r="I291" s="18" t="s">
        <v>212</v>
      </c>
      <c r="J291" s="18" t="s">
        <v>45</v>
      </c>
      <c r="K291" s="18" t="s">
        <v>46</v>
      </c>
      <c r="L291" s="18" t="s">
        <v>78</v>
      </c>
      <c r="M291" s="18">
        <v>5</v>
      </c>
      <c r="N291" s="18">
        <v>1200</v>
      </c>
      <c r="O291" s="18">
        <v>20</v>
      </c>
      <c r="P291" s="18">
        <v>4800</v>
      </c>
      <c r="Q291" s="18">
        <v>2</v>
      </c>
      <c r="R291" s="18" t="s">
        <v>88</v>
      </c>
      <c r="S291" s="18" t="s">
        <v>115</v>
      </c>
      <c r="T291" s="18" t="s">
        <v>332</v>
      </c>
      <c r="U291" s="19" t="s">
        <v>1362</v>
      </c>
      <c r="V291" s="18" t="s">
        <v>64</v>
      </c>
    </row>
    <row r="292" spans="1:22">
      <c r="A292" s="15" t="s">
        <v>1363</v>
      </c>
      <c r="B292" s="15" t="s">
        <v>53</v>
      </c>
      <c r="C292" s="15" t="s">
        <v>72</v>
      </c>
      <c r="D292" s="15" t="s">
        <v>1031</v>
      </c>
      <c r="E292" s="15" t="s">
        <v>910</v>
      </c>
      <c r="F292" s="15" t="s">
        <v>163</v>
      </c>
      <c r="G292" s="15" t="s">
        <v>28</v>
      </c>
      <c r="H292" s="15" t="s">
        <v>1364</v>
      </c>
      <c r="I292" s="15" t="s">
        <v>212</v>
      </c>
      <c r="J292" s="15" t="s">
        <v>45</v>
      </c>
      <c r="K292" s="15" t="s">
        <v>46</v>
      </c>
      <c r="L292" s="15" t="s">
        <v>78</v>
      </c>
      <c r="M292" s="15">
        <v>10</v>
      </c>
      <c r="N292" s="15">
        <v>1200</v>
      </c>
      <c r="O292" s="15">
        <v>20</v>
      </c>
      <c r="P292" s="15">
        <v>9600</v>
      </c>
      <c r="Q292" s="15">
        <v>4</v>
      </c>
      <c r="R292" s="15" t="s">
        <v>34</v>
      </c>
      <c r="S292" s="15" t="s">
        <v>49</v>
      </c>
      <c r="T292" s="16" t="s">
        <v>1365</v>
      </c>
      <c r="U292" s="17" t="s">
        <v>1366</v>
      </c>
      <c r="V292" s="15" t="s">
        <v>38</v>
      </c>
    </row>
    <row r="293" spans="1:22">
      <c r="A293" s="18" t="s">
        <v>1367</v>
      </c>
      <c r="B293" s="18" t="s">
        <v>23</v>
      </c>
      <c r="C293" s="18" t="s">
        <v>72</v>
      </c>
      <c r="D293" s="18" t="s">
        <v>1368</v>
      </c>
      <c r="E293" s="18" t="s">
        <v>1369</v>
      </c>
      <c r="F293" s="18" t="s">
        <v>27</v>
      </c>
      <c r="G293" s="18" t="s">
        <v>28</v>
      </c>
      <c r="H293" s="18" t="s">
        <v>1370</v>
      </c>
      <c r="I293" s="18" t="s">
        <v>138</v>
      </c>
      <c r="J293" s="18" t="s">
        <v>106</v>
      </c>
      <c r="K293" s="18" t="s">
        <v>46</v>
      </c>
      <c r="L293" s="18" t="s">
        <v>78</v>
      </c>
      <c r="M293" s="18">
        <v>5</v>
      </c>
      <c r="N293" s="18">
        <v>1200</v>
      </c>
      <c r="O293" s="18">
        <v>20</v>
      </c>
      <c r="P293" s="18">
        <v>4800</v>
      </c>
      <c r="Q293" s="18">
        <v>3</v>
      </c>
      <c r="R293" s="18" t="s">
        <v>48</v>
      </c>
      <c r="S293" s="18" t="s">
        <v>151</v>
      </c>
      <c r="T293" s="18" t="s">
        <v>50</v>
      </c>
      <c r="U293" s="19" t="s">
        <v>1371</v>
      </c>
      <c r="V293" s="18" t="s">
        <v>38</v>
      </c>
    </row>
    <row r="294" spans="1:22">
      <c r="A294" s="15" t="s">
        <v>1372</v>
      </c>
      <c r="B294" s="15" t="s">
        <v>168</v>
      </c>
      <c r="C294" s="15" t="s">
        <v>222</v>
      </c>
      <c r="D294" s="15" t="s">
        <v>1373</v>
      </c>
      <c r="E294" s="15" t="s">
        <v>1374</v>
      </c>
      <c r="F294" s="15" t="s">
        <v>361</v>
      </c>
      <c r="G294" s="15" t="s">
        <v>28</v>
      </c>
      <c r="H294" s="15" t="s">
        <v>1375</v>
      </c>
      <c r="I294" s="15" t="s">
        <v>105</v>
      </c>
      <c r="J294" s="15" t="s">
        <v>106</v>
      </c>
      <c r="K294" s="15" t="s">
        <v>122</v>
      </c>
      <c r="L294" s="15" t="s">
        <v>227</v>
      </c>
      <c r="M294" s="15">
        <v>10</v>
      </c>
      <c r="N294" s="15">
        <v>20</v>
      </c>
      <c r="O294" s="15">
        <v>5</v>
      </c>
      <c r="P294" s="15">
        <v>190</v>
      </c>
      <c r="Q294" s="15">
        <v>4</v>
      </c>
      <c r="R294" s="15" t="s">
        <v>34</v>
      </c>
      <c r="S294" s="15" t="s">
        <v>151</v>
      </c>
      <c r="T294" s="15" t="s">
        <v>175</v>
      </c>
      <c r="U294" s="17" t="s">
        <v>1376</v>
      </c>
      <c r="V294" s="15" t="s">
        <v>64</v>
      </c>
    </row>
    <row r="295" spans="1:22">
      <c r="A295" s="18" t="s">
        <v>1377</v>
      </c>
      <c r="B295" s="18" t="s">
        <v>100</v>
      </c>
      <c r="C295" s="18" t="s">
        <v>118</v>
      </c>
      <c r="D295" s="18" t="s">
        <v>1378</v>
      </c>
      <c r="E295" s="18" t="s">
        <v>1379</v>
      </c>
      <c r="F295" s="18" t="s">
        <v>103</v>
      </c>
      <c r="G295" s="18" t="s">
        <v>28</v>
      </c>
      <c r="H295" s="18" t="s">
        <v>1380</v>
      </c>
      <c r="I295" s="18" t="s">
        <v>44</v>
      </c>
      <c r="J295" s="18" t="s">
        <v>45</v>
      </c>
      <c r="K295" s="18" t="s">
        <v>122</v>
      </c>
      <c r="L295" s="18" t="s">
        <v>123</v>
      </c>
      <c r="M295" s="18">
        <v>20</v>
      </c>
      <c r="N295" s="18">
        <v>60</v>
      </c>
      <c r="O295" s="18">
        <v>15</v>
      </c>
      <c r="P295" s="18">
        <v>1020</v>
      </c>
      <c r="Q295" s="18">
        <v>5</v>
      </c>
      <c r="R295" s="18" t="s">
        <v>79</v>
      </c>
      <c r="S295" s="18" t="s">
        <v>35</v>
      </c>
      <c r="T295" s="18" t="s">
        <v>144</v>
      </c>
      <c r="U295" s="19" t="s">
        <v>1381</v>
      </c>
      <c r="V295" s="18" t="s">
        <v>64</v>
      </c>
    </row>
    <row r="296" spans="1:22">
      <c r="A296" s="15" t="s">
        <v>1382</v>
      </c>
      <c r="B296" s="15" t="s">
        <v>327</v>
      </c>
      <c r="C296" s="15" t="s">
        <v>24</v>
      </c>
      <c r="D296" s="15" t="s">
        <v>1360</v>
      </c>
      <c r="E296" s="15" t="s">
        <v>577</v>
      </c>
      <c r="F296" s="15" t="s">
        <v>394</v>
      </c>
      <c r="G296" s="15" t="s">
        <v>76</v>
      </c>
      <c r="H296" s="15" t="s">
        <v>1383</v>
      </c>
      <c r="I296" s="15" t="s">
        <v>138</v>
      </c>
      <c r="J296" s="15" t="s">
        <v>106</v>
      </c>
      <c r="K296" s="15" t="s">
        <v>32</v>
      </c>
      <c r="L296" s="15" t="s">
        <v>33</v>
      </c>
      <c r="M296" s="15">
        <v>7</v>
      </c>
      <c r="N296" s="15">
        <v>2200</v>
      </c>
      <c r="O296" s="15">
        <v>15</v>
      </c>
      <c r="P296" s="15">
        <v>13090</v>
      </c>
      <c r="Q296" s="15">
        <v>4</v>
      </c>
      <c r="R296" s="15" t="s">
        <v>34</v>
      </c>
      <c r="S296" s="15" t="s">
        <v>61</v>
      </c>
      <c r="T296" s="15" t="s">
        <v>332</v>
      </c>
      <c r="U296" s="17" t="s">
        <v>1384</v>
      </c>
      <c r="V296" s="15" t="s">
        <v>69</v>
      </c>
    </row>
    <row r="297" spans="1:22">
      <c r="A297" s="18" t="s">
        <v>1385</v>
      </c>
      <c r="B297" s="18" t="s">
        <v>127</v>
      </c>
      <c r="C297" s="18" t="s">
        <v>54</v>
      </c>
      <c r="D297" s="18" t="s">
        <v>619</v>
      </c>
      <c r="E297" s="18" t="s">
        <v>760</v>
      </c>
      <c r="F297" s="18" t="s">
        <v>200</v>
      </c>
      <c r="G297" s="18" t="s">
        <v>76</v>
      </c>
      <c r="H297" s="18" t="s">
        <v>1386</v>
      </c>
      <c r="I297" s="18" t="s">
        <v>30</v>
      </c>
      <c r="J297" s="18" t="s">
        <v>31</v>
      </c>
      <c r="K297" s="18" t="s">
        <v>46</v>
      </c>
      <c r="L297" s="18" t="s">
        <v>60</v>
      </c>
      <c r="M297" s="18">
        <v>11</v>
      </c>
      <c r="N297" s="18">
        <v>55000</v>
      </c>
      <c r="O297" s="18">
        <v>5</v>
      </c>
      <c r="P297" s="18">
        <v>574750</v>
      </c>
      <c r="Q297" s="18">
        <v>1</v>
      </c>
      <c r="R297" s="18" t="s">
        <v>88</v>
      </c>
      <c r="S297" s="18" t="s">
        <v>35</v>
      </c>
      <c r="T297" s="18" t="s">
        <v>132</v>
      </c>
      <c r="U297" s="19" t="s">
        <v>1387</v>
      </c>
      <c r="V297" s="18" t="s">
        <v>69</v>
      </c>
    </row>
    <row r="298" spans="1:22">
      <c r="A298" s="15" t="s">
        <v>1388</v>
      </c>
      <c r="B298" s="15" t="s">
        <v>83</v>
      </c>
      <c r="C298" s="15" t="s">
        <v>92</v>
      </c>
      <c r="D298" s="15" t="s">
        <v>308</v>
      </c>
      <c r="E298" s="15" t="s">
        <v>1389</v>
      </c>
      <c r="F298" s="15" t="s">
        <v>180</v>
      </c>
      <c r="G298" s="15" t="s">
        <v>76</v>
      </c>
      <c r="H298" s="15" t="s">
        <v>1390</v>
      </c>
      <c r="I298" s="15" t="s">
        <v>212</v>
      </c>
      <c r="J298" s="15" t="s">
        <v>45</v>
      </c>
      <c r="K298" s="15" t="s">
        <v>32</v>
      </c>
      <c r="L298" s="15" t="s">
        <v>97</v>
      </c>
      <c r="M298" s="15">
        <v>12</v>
      </c>
      <c r="N298" s="15">
        <v>3500</v>
      </c>
      <c r="O298" s="15">
        <v>0</v>
      </c>
      <c r="P298" s="15">
        <v>42000</v>
      </c>
      <c r="Q298" s="15">
        <v>2</v>
      </c>
      <c r="R298" s="15" t="s">
        <v>48</v>
      </c>
      <c r="S298" s="15" t="s">
        <v>2154</v>
      </c>
      <c r="T298" s="15" t="s">
        <v>89</v>
      </c>
      <c r="U298" s="17" t="s">
        <v>1391</v>
      </c>
      <c r="V298" s="15" t="s">
        <v>64</v>
      </c>
    </row>
    <row r="299" spans="1:22">
      <c r="A299" s="18" t="s">
        <v>1392</v>
      </c>
      <c r="B299" s="18" t="s">
        <v>71</v>
      </c>
      <c r="C299" s="18" t="s">
        <v>259</v>
      </c>
      <c r="D299" s="18" t="s">
        <v>94</v>
      </c>
      <c r="E299" s="18" t="s">
        <v>298</v>
      </c>
      <c r="F299" s="18" t="s">
        <v>217</v>
      </c>
      <c r="G299" s="18" t="s">
        <v>76</v>
      </c>
      <c r="H299" s="18" t="s">
        <v>1393</v>
      </c>
      <c r="I299" s="18" t="s">
        <v>30</v>
      </c>
      <c r="J299" s="18" t="s">
        <v>31</v>
      </c>
      <c r="K299" s="18" t="s">
        <v>122</v>
      </c>
      <c r="L299" s="18" t="s">
        <v>263</v>
      </c>
      <c r="M299" s="18">
        <v>15</v>
      </c>
      <c r="N299" s="18">
        <v>45</v>
      </c>
      <c r="O299" s="18">
        <v>10</v>
      </c>
      <c r="P299" s="18">
        <v>607.5</v>
      </c>
      <c r="Q299" s="18">
        <v>2</v>
      </c>
      <c r="R299" s="18" t="s">
        <v>34</v>
      </c>
      <c r="S299" s="18" t="s">
        <v>151</v>
      </c>
      <c r="T299" s="18" t="s">
        <v>80</v>
      </c>
      <c r="U299" s="19" t="s">
        <v>1394</v>
      </c>
      <c r="V299" s="18" t="s">
        <v>64</v>
      </c>
    </row>
    <row r="300" spans="1:22">
      <c r="A300" s="15" t="s">
        <v>1395</v>
      </c>
      <c r="B300" s="15" t="s">
        <v>327</v>
      </c>
      <c r="C300" s="15" t="s">
        <v>259</v>
      </c>
      <c r="D300" s="15" t="s">
        <v>1320</v>
      </c>
      <c r="E300" s="15" t="s">
        <v>936</v>
      </c>
      <c r="F300" s="15" t="s">
        <v>394</v>
      </c>
      <c r="G300" s="15" t="s">
        <v>76</v>
      </c>
      <c r="H300" s="15" t="s">
        <v>1396</v>
      </c>
      <c r="I300" s="15" t="s">
        <v>59</v>
      </c>
      <c r="J300" s="15" t="s">
        <v>31</v>
      </c>
      <c r="K300" s="15" t="s">
        <v>122</v>
      </c>
      <c r="L300" s="15" t="s">
        <v>263</v>
      </c>
      <c r="M300" s="15">
        <v>13</v>
      </c>
      <c r="N300" s="15">
        <v>45</v>
      </c>
      <c r="O300" s="15">
        <v>0</v>
      </c>
      <c r="P300" s="15">
        <v>585</v>
      </c>
      <c r="Q300" s="15">
        <v>5</v>
      </c>
      <c r="R300" s="15" t="s">
        <v>48</v>
      </c>
      <c r="S300" s="15" t="s">
        <v>49</v>
      </c>
      <c r="T300" s="15" t="s">
        <v>332</v>
      </c>
      <c r="U300" s="17" t="s">
        <v>1397</v>
      </c>
      <c r="V300" s="15" t="s">
        <v>64</v>
      </c>
    </row>
    <row r="301" spans="1:22">
      <c r="A301" s="18" t="s">
        <v>1398</v>
      </c>
      <c r="B301" s="18" t="s">
        <v>127</v>
      </c>
      <c r="C301" s="18" t="s">
        <v>54</v>
      </c>
      <c r="D301" s="18" t="s">
        <v>711</v>
      </c>
      <c r="E301" s="18" t="s">
        <v>1199</v>
      </c>
      <c r="F301" s="18" t="s">
        <v>200</v>
      </c>
      <c r="G301" s="18" t="s">
        <v>76</v>
      </c>
      <c r="H301" s="18" t="s">
        <v>1399</v>
      </c>
      <c r="I301" s="18" t="s">
        <v>59</v>
      </c>
      <c r="J301" s="18" t="s">
        <v>31</v>
      </c>
      <c r="K301" s="18" t="s">
        <v>46</v>
      </c>
      <c r="L301" s="18" t="s">
        <v>60</v>
      </c>
      <c r="M301" s="18">
        <v>8</v>
      </c>
      <c r="N301" s="18">
        <v>55000</v>
      </c>
      <c r="O301" s="18">
        <v>0</v>
      </c>
      <c r="P301" s="18">
        <v>440000</v>
      </c>
      <c r="Q301" s="18">
        <v>2</v>
      </c>
      <c r="R301" s="18" t="s">
        <v>88</v>
      </c>
      <c r="S301" s="18" t="s">
        <v>151</v>
      </c>
      <c r="T301" s="18" t="s">
        <v>132</v>
      </c>
      <c r="U301" s="19" t="s">
        <v>1400</v>
      </c>
      <c r="V301" s="18" t="s">
        <v>69</v>
      </c>
    </row>
    <row r="302" spans="1:22">
      <c r="A302" s="15" t="s">
        <v>1401</v>
      </c>
      <c r="B302" s="15" t="s">
        <v>251</v>
      </c>
      <c r="C302" s="15" t="s">
        <v>54</v>
      </c>
      <c r="D302" s="15" t="s">
        <v>830</v>
      </c>
      <c r="E302" s="15" t="s">
        <v>381</v>
      </c>
      <c r="F302" s="15" t="s">
        <v>254</v>
      </c>
      <c r="G302" s="15" t="s">
        <v>28</v>
      </c>
      <c r="H302" s="15" t="s">
        <v>1402</v>
      </c>
      <c r="I302" s="15" t="s">
        <v>44</v>
      </c>
      <c r="J302" s="15" t="s">
        <v>45</v>
      </c>
      <c r="K302" s="15" t="s">
        <v>46</v>
      </c>
      <c r="L302" s="15" t="s">
        <v>60</v>
      </c>
      <c r="M302" s="15">
        <v>4</v>
      </c>
      <c r="N302" s="15">
        <v>55000</v>
      </c>
      <c r="O302" s="15">
        <v>20</v>
      </c>
      <c r="P302" s="15">
        <v>176000</v>
      </c>
      <c r="Q302" s="15">
        <v>5</v>
      </c>
      <c r="R302" s="15" t="s">
        <v>34</v>
      </c>
      <c r="S302" s="15" t="s">
        <v>49</v>
      </c>
      <c r="T302" s="15" t="s">
        <v>256</v>
      </c>
      <c r="U302" s="17" t="s">
        <v>1403</v>
      </c>
      <c r="V302" s="15" t="s">
        <v>64</v>
      </c>
    </row>
    <row r="303" spans="1:22">
      <c r="A303" s="18" t="s">
        <v>1404</v>
      </c>
      <c r="B303" s="18" t="s">
        <v>23</v>
      </c>
      <c r="C303" s="18" t="s">
        <v>92</v>
      </c>
      <c r="D303" s="18" t="s">
        <v>1405</v>
      </c>
      <c r="E303" s="18" t="s">
        <v>716</v>
      </c>
      <c r="F303" s="18" t="s">
        <v>27</v>
      </c>
      <c r="G303" s="18" t="s">
        <v>28</v>
      </c>
      <c r="H303" s="18" t="s">
        <v>1406</v>
      </c>
      <c r="I303" s="18" t="s">
        <v>138</v>
      </c>
      <c r="J303" s="18" t="s">
        <v>106</v>
      </c>
      <c r="K303" s="18" t="s">
        <v>32</v>
      </c>
      <c r="L303" s="18" t="s">
        <v>97</v>
      </c>
      <c r="M303" s="18">
        <v>19</v>
      </c>
      <c r="N303" s="18">
        <v>3500</v>
      </c>
      <c r="O303" s="18">
        <v>5</v>
      </c>
      <c r="P303" s="18">
        <v>63175</v>
      </c>
      <c r="Q303" s="18">
        <v>1</v>
      </c>
      <c r="R303" s="18" t="s">
        <v>79</v>
      </c>
      <c r="S303" s="18" t="s">
        <v>115</v>
      </c>
      <c r="T303" s="18" t="s">
        <v>50</v>
      </c>
      <c r="U303" s="19" t="s">
        <v>1407</v>
      </c>
      <c r="V303" s="18" t="s">
        <v>38</v>
      </c>
    </row>
    <row r="304" spans="1:22">
      <c r="A304" s="15" t="s">
        <v>1408</v>
      </c>
      <c r="B304" s="15" t="s">
        <v>221</v>
      </c>
      <c r="C304" s="15" t="s">
        <v>72</v>
      </c>
      <c r="D304" s="15" t="s">
        <v>1409</v>
      </c>
      <c r="E304" s="15" t="s">
        <v>414</v>
      </c>
      <c r="F304" s="15" t="s">
        <v>225</v>
      </c>
      <c r="G304" s="15" t="s">
        <v>76</v>
      </c>
      <c r="H304" s="15" t="s">
        <v>1410</v>
      </c>
      <c r="I304" s="15" t="s">
        <v>212</v>
      </c>
      <c r="J304" s="15" t="s">
        <v>45</v>
      </c>
      <c r="K304" s="15" t="s">
        <v>46</v>
      </c>
      <c r="L304" s="15" t="s">
        <v>78</v>
      </c>
      <c r="M304" s="15">
        <v>17</v>
      </c>
      <c r="N304" s="15">
        <v>1200</v>
      </c>
      <c r="O304" s="15">
        <v>15</v>
      </c>
      <c r="P304" s="15">
        <v>17340</v>
      </c>
      <c r="Q304" s="15">
        <v>2</v>
      </c>
      <c r="R304" s="15" t="s">
        <v>48</v>
      </c>
      <c r="S304" s="15" t="s">
        <v>49</v>
      </c>
      <c r="T304" s="15" t="s">
        <v>228</v>
      </c>
      <c r="U304" s="17" t="s">
        <v>1411</v>
      </c>
      <c r="V304" s="15" t="s">
        <v>38</v>
      </c>
    </row>
    <row r="305" spans="1:22">
      <c r="A305" s="18" t="s">
        <v>1412</v>
      </c>
      <c r="B305" s="18" t="s">
        <v>23</v>
      </c>
      <c r="C305" s="18" t="s">
        <v>24</v>
      </c>
      <c r="D305" s="18" t="s">
        <v>450</v>
      </c>
      <c r="E305" s="18" t="s">
        <v>736</v>
      </c>
      <c r="F305" s="18" t="s">
        <v>27</v>
      </c>
      <c r="G305" s="18" t="s">
        <v>28</v>
      </c>
      <c r="H305" s="18" t="s">
        <v>1413</v>
      </c>
      <c r="I305" s="18" t="s">
        <v>30</v>
      </c>
      <c r="J305" s="18" t="s">
        <v>31</v>
      </c>
      <c r="K305" s="18" t="s">
        <v>32</v>
      </c>
      <c r="L305" s="18" t="s">
        <v>33</v>
      </c>
      <c r="M305" s="18">
        <v>8</v>
      </c>
      <c r="N305" s="18">
        <v>2200</v>
      </c>
      <c r="O305" s="18">
        <v>5</v>
      </c>
      <c r="P305" s="18">
        <v>16720</v>
      </c>
      <c r="Q305" s="18">
        <v>3</v>
      </c>
      <c r="R305" s="18" t="s">
        <v>79</v>
      </c>
      <c r="S305" s="18" t="s">
        <v>115</v>
      </c>
      <c r="T305" s="18" t="s">
        <v>50</v>
      </c>
      <c r="U305" s="19" t="s">
        <v>1414</v>
      </c>
      <c r="V305" s="18" t="s">
        <v>64</v>
      </c>
    </row>
    <row r="306" spans="1:22">
      <c r="A306" s="15" t="s">
        <v>1415</v>
      </c>
      <c r="B306" s="15" t="s">
        <v>251</v>
      </c>
      <c r="C306" s="15" t="s">
        <v>184</v>
      </c>
      <c r="D306" s="15" t="s">
        <v>987</v>
      </c>
      <c r="E306" s="15" t="s">
        <v>387</v>
      </c>
      <c r="F306" s="15" t="s">
        <v>254</v>
      </c>
      <c r="G306" s="15" t="s">
        <v>28</v>
      </c>
      <c r="H306" s="15" t="s">
        <v>813</v>
      </c>
      <c r="I306" s="15" t="s">
        <v>105</v>
      </c>
      <c r="J306" s="15" t="s">
        <v>106</v>
      </c>
      <c r="K306" s="15" t="s">
        <v>46</v>
      </c>
      <c r="L306" s="15" t="s">
        <v>189</v>
      </c>
      <c r="M306" s="15">
        <v>17</v>
      </c>
      <c r="N306" s="15">
        <v>700</v>
      </c>
      <c r="O306" s="15">
        <v>20</v>
      </c>
      <c r="P306" s="15">
        <v>9520</v>
      </c>
      <c r="Q306" s="15">
        <v>4</v>
      </c>
      <c r="R306" s="15" t="s">
        <v>48</v>
      </c>
      <c r="S306" s="15" t="s">
        <v>115</v>
      </c>
      <c r="T306" s="15" t="s">
        <v>256</v>
      </c>
      <c r="U306" s="17" t="s">
        <v>1416</v>
      </c>
      <c r="V306" s="15" t="s">
        <v>38</v>
      </c>
    </row>
    <row r="307" spans="1:22">
      <c r="A307" s="18" t="s">
        <v>1417</v>
      </c>
      <c r="B307" s="18" t="s">
        <v>251</v>
      </c>
      <c r="C307" s="18" t="s">
        <v>169</v>
      </c>
      <c r="D307" s="18" t="s">
        <v>372</v>
      </c>
      <c r="E307" s="18" t="s">
        <v>246</v>
      </c>
      <c r="F307" s="18" t="s">
        <v>254</v>
      </c>
      <c r="G307" s="18" t="s">
        <v>28</v>
      </c>
      <c r="H307" s="18" t="s">
        <v>1215</v>
      </c>
      <c r="I307" s="18" t="s">
        <v>114</v>
      </c>
      <c r="J307" s="18" t="s">
        <v>106</v>
      </c>
      <c r="K307" s="18" t="s">
        <v>32</v>
      </c>
      <c r="L307" s="18" t="s">
        <v>174</v>
      </c>
      <c r="M307" s="18">
        <v>6</v>
      </c>
      <c r="N307" s="18">
        <v>8500</v>
      </c>
      <c r="O307" s="18">
        <v>15</v>
      </c>
      <c r="P307" s="18">
        <v>43350</v>
      </c>
      <c r="Q307" s="18">
        <v>1</v>
      </c>
      <c r="R307" s="18" t="s">
        <v>34</v>
      </c>
      <c r="S307" s="18" t="s">
        <v>61</v>
      </c>
      <c r="T307" s="18" t="s">
        <v>256</v>
      </c>
      <c r="U307" s="19" t="s">
        <v>1418</v>
      </c>
      <c r="V307" s="18" t="s">
        <v>38</v>
      </c>
    </row>
    <row r="308" spans="1:22">
      <c r="A308" s="15" t="s">
        <v>1419</v>
      </c>
      <c r="B308" s="15" t="s">
        <v>53</v>
      </c>
      <c r="C308" s="15" t="s">
        <v>92</v>
      </c>
      <c r="D308" s="15" t="s">
        <v>941</v>
      </c>
      <c r="E308" s="15" t="s">
        <v>345</v>
      </c>
      <c r="F308" s="15" t="s">
        <v>163</v>
      </c>
      <c r="G308" s="15" t="s">
        <v>28</v>
      </c>
      <c r="H308" s="15" t="s">
        <v>1420</v>
      </c>
      <c r="I308" s="15" t="s">
        <v>30</v>
      </c>
      <c r="J308" s="15" t="s">
        <v>31</v>
      </c>
      <c r="K308" s="15" t="s">
        <v>32</v>
      </c>
      <c r="L308" s="15" t="s">
        <v>97</v>
      </c>
      <c r="M308" s="15">
        <v>3</v>
      </c>
      <c r="N308" s="15">
        <v>3500</v>
      </c>
      <c r="O308" s="15">
        <v>10</v>
      </c>
      <c r="P308" s="15">
        <v>9450</v>
      </c>
      <c r="Q308" s="15">
        <v>1</v>
      </c>
      <c r="R308" s="15" t="s">
        <v>48</v>
      </c>
      <c r="S308" s="15" t="s">
        <v>49</v>
      </c>
      <c r="T308" s="15" t="s">
        <v>62</v>
      </c>
      <c r="U308" s="17" t="s">
        <v>1421</v>
      </c>
      <c r="V308" s="15" t="s">
        <v>38</v>
      </c>
    </row>
    <row r="309" spans="1:22">
      <c r="A309" s="18" t="s">
        <v>1422</v>
      </c>
      <c r="B309" s="18" t="s">
        <v>71</v>
      </c>
      <c r="C309" s="18" t="s">
        <v>40</v>
      </c>
      <c r="D309" s="18" t="s">
        <v>1378</v>
      </c>
      <c r="E309" s="18" t="s">
        <v>783</v>
      </c>
      <c r="F309" s="18" t="s">
        <v>217</v>
      </c>
      <c r="G309" s="18" t="s">
        <v>76</v>
      </c>
      <c r="H309" s="18" t="s">
        <v>1423</v>
      </c>
      <c r="I309" s="18" t="s">
        <v>138</v>
      </c>
      <c r="J309" s="18" t="s">
        <v>106</v>
      </c>
      <c r="K309" s="18" t="s">
        <v>46</v>
      </c>
      <c r="L309" s="18" t="s">
        <v>47</v>
      </c>
      <c r="M309" s="18">
        <v>2</v>
      </c>
      <c r="N309" s="18">
        <v>12000</v>
      </c>
      <c r="O309" s="18">
        <v>20</v>
      </c>
      <c r="P309" s="18">
        <v>19200</v>
      </c>
      <c r="Q309" s="18">
        <v>1</v>
      </c>
      <c r="R309" s="18" t="s">
        <v>79</v>
      </c>
      <c r="S309" s="18" t="s">
        <v>61</v>
      </c>
      <c r="T309" s="18" t="s">
        <v>80</v>
      </c>
      <c r="U309" s="19" t="s">
        <v>1424</v>
      </c>
      <c r="V309" s="18" t="s">
        <v>38</v>
      </c>
    </row>
    <row r="310" spans="1:22">
      <c r="A310" s="15" t="s">
        <v>1425</v>
      </c>
      <c r="B310" s="15" t="s">
        <v>221</v>
      </c>
      <c r="C310" s="15" t="s">
        <v>222</v>
      </c>
      <c r="D310" s="15" t="s">
        <v>340</v>
      </c>
      <c r="E310" s="15" t="s">
        <v>1426</v>
      </c>
      <c r="F310" s="15" t="s">
        <v>225</v>
      </c>
      <c r="G310" s="15" t="s">
        <v>76</v>
      </c>
      <c r="H310" s="15" t="s">
        <v>1427</v>
      </c>
      <c r="I310" s="15" t="s">
        <v>44</v>
      </c>
      <c r="J310" s="15" t="s">
        <v>45</v>
      </c>
      <c r="K310" s="15" t="s">
        <v>122</v>
      </c>
      <c r="L310" s="15" t="s">
        <v>227</v>
      </c>
      <c r="M310" s="15">
        <v>12</v>
      </c>
      <c r="N310" s="15">
        <v>20</v>
      </c>
      <c r="O310" s="15">
        <v>20</v>
      </c>
      <c r="P310" s="15">
        <v>192</v>
      </c>
      <c r="Q310" s="15">
        <v>2</v>
      </c>
      <c r="R310" s="15" t="s">
        <v>79</v>
      </c>
      <c r="S310" s="15" t="s">
        <v>49</v>
      </c>
      <c r="T310" s="15" t="s">
        <v>228</v>
      </c>
      <c r="U310" s="17" t="s">
        <v>1428</v>
      </c>
      <c r="V310" s="15" t="s">
        <v>38</v>
      </c>
    </row>
    <row r="311" spans="1:22">
      <c r="A311" s="18" t="s">
        <v>1429</v>
      </c>
      <c r="B311" s="18" t="s">
        <v>100</v>
      </c>
      <c r="C311" s="18" t="s">
        <v>40</v>
      </c>
      <c r="D311" s="18" t="s">
        <v>716</v>
      </c>
      <c r="E311" s="18" t="s">
        <v>1430</v>
      </c>
      <c r="F311" s="18" t="s">
        <v>103</v>
      </c>
      <c r="G311" s="18" t="s">
        <v>28</v>
      </c>
      <c r="H311" s="18" t="s">
        <v>1431</v>
      </c>
      <c r="I311" s="18" t="s">
        <v>294</v>
      </c>
      <c r="J311" s="18" t="s">
        <v>295</v>
      </c>
      <c r="K311" s="18" t="s">
        <v>46</v>
      </c>
      <c r="L311" s="18" t="s">
        <v>47</v>
      </c>
      <c r="M311" s="18">
        <v>20</v>
      </c>
      <c r="N311" s="18">
        <v>12000</v>
      </c>
      <c r="O311" s="18">
        <v>15</v>
      </c>
      <c r="P311" s="18">
        <v>204000</v>
      </c>
      <c r="Q311" s="18">
        <v>3</v>
      </c>
      <c r="R311" s="18" t="s">
        <v>34</v>
      </c>
      <c r="S311" s="18" t="s">
        <v>35</v>
      </c>
      <c r="T311" s="18" t="s">
        <v>144</v>
      </c>
      <c r="U311" s="19" t="s">
        <v>1432</v>
      </c>
      <c r="V311" s="18" t="s">
        <v>64</v>
      </c>
    </row>
    <row r="312" spans="1:22">
      <c r="A312" s="15" t="s">
        <v>1433</v>
      </c>
      <c r="B312" s="15" t="s">
        <v>53</v>
      </c>
      <c r="C312" s="15" t="s">
        <v>118</v>
      </c>
      <c r="D312" s="15" t="s">
        <v>398</v>
      </c>
      <c r="E312" s="15" t="s">
        <v>740</v>
      </c>
      <c r="F312" s="15" t="s">
        <v>163</v>
      </c>
      <c r="G312" s="15" t="s">
        <v>28</v>
      </c>
      <c r="H312" s="15" t="s">
        <v>1434</v>
      </c>
      <c r="I312" s="15" t="s">
        <v>212</v>
      </c>
      <c r="J312" s="15" t="s">
        <v>45</v>
      </c>
      <c r="K312" s="15" t="s">
        <v>122</v>
      </c>
      <c r="L312" s="15" t="s">
        <v>123</v>
      </c>
      <c r="M312" s="15">
        <v>13</v>
      </c>
      <c r="N312" s="15">
        <v>60</v>
      </c>
      <c r="O312" s="15">
        <v>10</v>
      </c>
      <c r="P312" s="15">
        <v>702</v>
      </c>
      <c r="Q312" s="15">
        <v>5</v>
      </c>
      <c r="R312" s="15" t="s">
        <v>34</v>
      </c>
      <c r="S312" s="15" t="s">
        <v>35</v>
      </c>
      <c r="T312" s="15" t="s">
        <v>62</v>
      </c>
      <c r="U312" s="17" t="s">
        <v>1435</v>
      </c>
      <c r="V312" s="15" t="s">
        <v>64</v>
      </c>
    </row>
    <row r="313" spans="1:22">
      <c r="A313" s="18" t="s">
        <v>1436</v>
      </c>
      <c r="B313" s="18" t="s">
        <v>71</v>
      </c>
      <c r="C313" s="18" t="s">
        <v>54</v>
      </c>
      <c r="D313" s="18" t="s">
        <v>1437</v>
      </c>
      <c r="E313" s="18" t="s">
        <v>1294</v>
      </c>
      <c r="F313" s="18" t="s">
        <v>217</v>
      </c>
      <c r="G313" s="18" t="s">
        <v>76</v>
      </c>
      <c r="H313" s="18" t="s">
        <v>1438</v>
      </c>
      <c r="I313" s="18" t="s">
        <v>114</v>
      </c>
      <c r="J313" s="18" t="s">
        <v>106</v>
      </c>
      <c r="K313" s="18" t="s">
        <v>46</v>
      </c>
      <c r="L313" s="18" t="s">
        <v>60</v>
      </c>
      <c r="M313" s="18">
        <v>13</v>
      </c>
      <c r="N313" s="18">
        <v>55000</v>
      </c>
      <c r="O313" s="18">
        <v>5</v>
      </c>
      <c r="P313" s="18">
        <v>679250</v>
      </c>
      <c r="Q313" s="18">
        <v>1</v>
      </c>
      <c r="R313" s="18" t="s">
        <v>88</v>
      </c>
      <c r="S313" s="18" t="s">
        <v>151</v>
      </c>
      <c r="T313" s="18" t="s">
        <v>80</v>
      </c>
      <c r="U313" s="19" t="s">
        <v>1439</v>
      </c>
      <c r="V313" s="18" t="s">
        <v>64</v>
      </c>
    </row>
    <row r="314" spans="1:22">
      <c r="A314" s="15" t="s">
        <v>1440</v>
      </c>
      <c r="B314" s="15" t="s">
        <v>100</v>
      </c>
      <c r="C314" s="15" t="s">
        <v>72</v>
      </c>
      <c r="D314" s="15" t="s">
        <v>797</v>
      </c>
      <c r="E314" s="15" t="s">
        <v>798</v>
      </c>
      <c r="F314" s="15" t="s">
        <v>103</v>
      </c>
      <c r="G314" s="15" t="s">
        <v>28</v>
      </c>
      <c r="H314" s="15" t="s">
        <v>1441</v>
      </c>
      <c r="I314" s="15" t="s">
        <v>59</v>
      </c>
      <c r="J314" s="15" t="s">
        <v>31</v>
      </c>
      <c r="K314" s="15" t="s">
        <v>46</v>
      </c>
      <c r="L314" s="15" t="s">
        <v>78</v>
      </c>
      <c r="M314" s="15">
        <v>7</v>
      </c>
      <c r="N314" s="15">
        <v>1200</v>
      </c>
      <c r="O314" s="15">
        <v>15</v>
      </c>
      <c r="P314" s="15">
        <v>7140</v>
      </c>
      <c r="Q314" s="15">
        <v>5</v>
      </c>
      <c r="R314" s="15" t="s">
        <v>88</v>
      </c>
      <c r="S314" s="15" t="s">
        <v>49</v>
      </c>
      <c r="T314" s="15" t="s">
        <v>144</v>
      </c>
      <c r="U314" s="17" t="s">
        <v>1442</v>
      </c>
      <c r="V314" s="15" t="s">
        <v>64</v>
      </c>
    </row>
    <row r="315" spans="1:22">
      <c r="A315" s="18" t="s">
        <v>1443</v>
      </c>
      <c r="B315" s="18" t="s">
        <v>83</v>
      </c>
      <c r="C315" s="18" t="s">
        <v>40</v>
      </c>
      <c r="D315" s="18" t="s">
        <v>961</v>
      </c>
      <c r="E315" s="18" t="s">
        <v>1444</v>
      </c>
      <c r="F315" s="18" t="s">
        <v>180</v>
      </c>
      <c r="G315" s="18" t="s">
        <v>76</v>
      </c>
      <c r="H315" s="18" t="s">
        <v>1445</v>
      </c>
      <c r="I315" s="18" t="s">
        <v>212</v>
      </c>
      <c r="J315" s="18" t="s">
        <v>45</v>
      </c>
      <c r="K315" s="18" t="s">
        <v>46</v>
      </c>
      <c r="L315" s="18" t="s">
        <v>47</v>
      </c>
      <c r="M315" s="18">
        <v>17</v>
      </c>
      <c r="N315" s="18">
        <v>12000</v>
      </c>
      <c r="O315" s="18">
        <v>5</v>
      </c>
      <c r="P315" s="18">
        <v>193800</v>
      </c>
      <c r="Q315" s="18">
        <v>1</v>
      </c>
      <c r="R315" s="18" t="s">
        <v>34</v>
      </c>
      <c r="S315" s="18" t="s">
        <v>61</v>
      </c>
      <c r="T315" s="18" t="s">
        <v>89</v>
      </c>
      <c r="U315" s="19" t="s">
        <v>1446</v>
      </c>
      <c r="V315" s="18" t="s">
        <v>69</v>
      </c>
    </row>
    <row r="316" spans="1:22">
      <c r="A316" s="15" t="s">
        <v>1447</v>
      </c>
      <c r="B316" s="15" t="s">
        <v>83</v>
      </c>
      <c r="C316" s="15" t="s">
        <v>222</v>
      </c>
      <c r="D316" s="15" t="s">
        <v>356</v>
      </c>
      <c r="E316" s="15" t="s">
        <v>517</v>
      </c>
      <c r="F316" s="15" t="s">
        <v>180</v>
      </c>
      <c r="G316" s="15" t="s">
        <v>76</v>
      </c>
      <c r="H316" s="15" t="s">
        <v>1448</v>
      </c>
      <c r="I316" s="15" t="s">
        <v>59</v>
      </c>
      <c r="J316" s="15" t="s">
        <v>31</v>
      </c>
      <c r="K316" s="15" t="s">
        <v>122</v>
      </c>
      <c r="L316" s="15" t="s">
        <v>227</v>
      </c>
      <c r="M316" s="15">
        <v>10</v>
      </c>
      <c r="N316" s="15">
        <v>20</v>
      </c>
      <c r="O316" s="15">
        <v>5</v>
      </c>
      <c r="P316" s="15">
        <v>190</v>
      </c>
      <c r="Q316" s="15">
        <v>2</v>
      </c>
      <c r="R316" s="15" t="s">
        <v>34</v>
      </c>
      <c r="S316" s="15" t="s">
        <v>61</v>
      </c>
      <c r="T316" s="15" t="s">
        <v>89</v>
      </c>
      <c r="U316" s="17" t="s">
        <v>1449</v>
      </c>
      <c r="V316" s="15" t="s">
        <v>69</v>
      </c>
    </row>
    <row r="317" spans="1:22">
      <c r="A317" s="18" t="s">
        <v>1450</v>
      </c>
      <c r="B317" s="18" t="s">
        <v>168</v>
      </c>
      <c r="C317" s="18" t="s">
        <v>24</v>
      </c>
      <c r="D317" s="18" t="s">
        <v>291</v>
      </c>
      <c r="E317" s="18" t="s">
        <v>1451</v>
      </c>
      <c r="F317" s="18" t="s">
        <v>361</v>
      </c>
      <c r="G317" s="18" t="s">
        <v>28</v>
      </c>
      <c r="H317" s="18" t="s">
        <v>1452</v>
      </c>
      <c r="I317" s="18" t="s">
        <v>44</v>
      </c>
      <c r="J317" s="18" t="s">
        <v>45</v>
      </c>
      <c r="K317" s="18" t="s">
        <v>32</v>
      </c>
      <c r="L317" s="18" t="s">
        <v>33</v>
      </c>
      <c r="M317" s="18">
        <v>11</v>
      </c>
      <c r="N317" s="18">
        <v>2200</v>
      </c>
      <c r="O317" s="18">
        <v>5</v>
      </c>
      <c r="P317" s="18">
        <v>22990</v>
      </c>
      <c r="Q317" s="18">
        <v>5</v>
      </c>
      <c r="R317" s="18" t="s">
        <v>79</v>
      </c>
      <c r="S317" s="18" t="s">
        <v>49</v>
      </c>
      <c r="T317" s="18" t="s">
        <v>175</v>
      </c>
      <c r="U317" s="19" t="s">
        <v>1453</v>
      </c>
      <c r="V317" s="18" t="s">
        <v>64</v>
      </c>
    </row>
    <row r="318" spans="1:22">
      <c r="A318" s="15" t="s">
        <v>1454</v>
      </c>
      <c r="B318" s="15" t="s">
        <v>100</v>
      </c>
      <c r="C318" s="15" t="s">
        <v>118</v>
      </c>
      <c r="D318" s="15" t="s">
        <v>1369</v>
      </c>
      <c r="E318" s="15" t="s">
        <v>178</v>
      </c>
      <c r="F318" s="15" t="s">
        <v>103</v>
      </c>
      <c r="G318" s="15" t="s">
        <v>28</v>
      </c>
      <c r="H318" s="15" t="s">
        <v>1455</v>
      </c>
      <c r="I318" s="15" t="s">
        <v>212</v>
      </c>
      <c r="J318" s="15" t="s">
        <v>45</v>
      </c>
      <c r="K318" s="15" t="s">
        <v>122</v>
      </c>
      <c r="L318" s="15" t="s">
        <v>123</v>
      </c>
      <c r="M318" s="15">
        <v>8</v>
      </c>
      <c r="N318" s="15">
        <v>60</v>
      </c>
      <c r="O318" s="15">
        <v>15</v>
      </c>
      <c r="P318" s="15">
        <v>408</v>
      </c>
      <c r="Q318" s="15">
        <v>4</v>
      </c>
      <c r="R318" s="15" t="s">
        <v>34</v>
      </c>
      <c r="S318" s="15" t="s">
        <v>49</v>
      </c>
      <c r="T318" s="15" t="s">
        <v>144</v>
      </c>
      <c r="U318" s="17" t="s">
        <v>1456</v>
      </c>
      <c r="V318" s="15" t="s">
        <v>64</v>
      </c>
    </row>
    <row r="319" spans="1:22">
      <c r="A319" s="18" t="s">
        <v>1457</v>
      </c>
      <c r="B319" s="18" t="s">
        <v>221</v>
      </c>
      <c r="C319" s="18" t="s">
        <v>259</v>
      </c>
      <c r="D319" s="18" t="s">
        <v>825</v>
      </c>
      <c r="E319" s="18" t="s">
        <v>119</v>
      </c>
      <c r="F319" s="18" t="s">
        <v>225</v>
      </c>
      <c r="G319" s="18" t="s">
        <v>76</v>
      </c>
      <c r="H319" s="18" t="s">
        <v>1458</v>
      </c>
      <c r="I319" s="18" t="s">
        <v>44</v>
      </c>
      <c r="J319" s="18" t="s">
        <v>45</v>
      </c>
      <c r="K319" s="18" t="s">
        <v>122</v>
      </c>
      <c r="L319" s="18" t="s">
        <v>263</v>
      </c>
      <c r="M319" s="18">
        <v>17</v>
      </c>
      <c r="N319" s="18">
        <v>45</v>
      </c>
      <c r="O319" s="18">
        <v>15</v>
      </c>
      <c r="P319" s="18">
        <v>650.25</v>
      </c>
      <c r="Q319" s="18">
        <v>2</v>
      </c>
      <c r="R319" s="18" t="s">
        <v>88</v>
      </c>
      <c r="S319" s="18" t="s">
        <v>151</v>
      </c>
      <c r="T319" s="18" t="s">
        <v>228</v>
      </c>
      <c r="U319" s="19" t="s">
        <v>1459</v>
      </c>
      <c r="V319" s="18" t="s">
        <v>38</v>
      </c>
    </row>
    <row r="320" spans="1:22">
      <c r="A320" s="15" t="s">
        <v>1460</v>
      </c>
      <c r="B320" s="15" t="s">
        <v>327</v>
      </c>
      <c r="C320" s="15" t="s">
        <v>184</v>
      </c>
      <c r="D320" s="15" t="s">
        <v>632</v>
      </c>
      <c r="E320" s="15" t="s">
        <v>1461</v>
      </c>
      <c r="F320" s="15" t="s">
        <v>394</v>
      </c>
      <c r="G320" s="15" t="s">
        <v>76</v>
      </c>
      <c r="H320" s="15" t="s">
        <v>1462</v>
      </c>
      <c r="I320" s="15" t="s">
        <v>212</v>
      </c>
      <c r="J320" s="15" t="s">
        <v>45</v>
      </c>
      <c r="K320" s="15" t="s">
        <v>46</v>
      </c>
      <c r="L320" s="15" t="s">
        <v>189</v>
      </c>
      <c r="M320" s="15">
        <v>14</v>
      </c>
      <c r="N320" s="15">
        <v>700</v>
      </c>
      <c r="O320" s="15">
        <v>15</v>
      </c>
      <c r="P320" s="15">
        <v>8330</v>
      </c>
      <c r="Q320" s="15">
        <v>1</v>
      </c>
      <c r="R320" s="15" t="s">
        <v>79</v>
      </c>
      <c r="S320" s="15" t="s">
        <v>115</v>
      </c>
      <c r="T320" s="15" t="s">
        <v>332</v>
      </c>
      <c r="U320" s="17" t="s">
        <v>1463</v>
      </c>
      <c r="V320" s="15" t="s">
        <v>38</v>
      </c>
    </row>
    <row r="321" spans="1:22">
      <c r="A321" s="18" t="s">
        <v>1464</v>
      </c>
      <c r="B321" s="18" t="s">
        <v>83</v>
      </c>
      <c r="C321" s="18" t="s">
        <v>72</v>
      </c>
      <c r="D321" s="18" t="s">
        <v>1465</v>
      </c>
      <c r="E321" s="18" t="s">
        <v>948</v>
      </c>
      <c r="F321" s="18" t="s">
        <v>180</v>
      </c>
      <c r="G321" s="18" t="s">
        <v>76</v>
      </c>
      <c r="H321" s="18" t="s">
        <v>1466</v>
      </c>
      <c r="I321" s="18" t="s">
        <v>114</v>
      </c>
      <c r="J321" s="18" t="s">
        <v>106</v>
      </c>
      <c r="K321" s="18" t="s">
        <v>46</v>
      </c>
      <c r="L321" s="18" t="s">
        <v>78</v>
      </c>
      <c r="M321" s="18">
        <v>3</v>
      </c>
      <c r="N321" s="18">
        <v>1200</v>
      </c>
      <c r="O321" s="18">
        <v>5</v>
      </c>
      <c r="P321" s="18">
        <v>3420</v>
      </c>
      <c r="Q321" s="18">
        <v>3</v>
      </c>
      <c r="R321" s="18" t="s">
        <v>48</v>
      </c>
      <c r="S321" s="18" t="s">
        <v>151</v>
      </c>
      <c r="T321" s="18" t="s">
        <v>89</v>
      </c>
      <c r="U321" s="19" t="s">
        <v>1467</v>
      </c>
      <c r="V321" s="18" t="s">
        <v>38</v>
      </c>
    </row>
    <row r="322" spans="1:22">
      <c r="A322" s="15" t="s">
        <v>1468</v>
      </c>
      <c r="B322" s="15" t="s">
        <v>23</v>
      </c>
      <c r="C322" s="15" t="s">
        <v>72</v>
      </c>
      <c r="D322" s="15" t="s">
        <v>489</v>
      </c>
      <c r="E322" s="15" t="s">
        <v>914</v>
      </c>
      <c r="F322" s="15" t="s">
        <v>27</v>
      </c>
      <c r="G322" s="15" t="s">
        <v>28</v>
      </c>
      <c r="H322" s="15" t="s">
        <v>1469</v>
      </c>
      <c r="I322" s="15" t="s">
        <v>138</v>
      </c>
      <c r="J322" s="15" t="s">
        <v>106</v>
      </c>
      <c r="K322" s="15" t="s">
        <v>46</v>
      </c>
      <c r="L322" s="15" t="s">
        <v>78</v>
      </c>
      <c r="M322" s="15">
        <v>9</v>
      </c>
      <c r="N322" s="15">
        <v>1200</v>
      </c>
      <c r="O322" s="15">
        <v>15</v>
      </c>
      <c r="P322" s="15">
        <v>9180</v>
      </c>
      <c r="Q322" s="15">
        <v>3</v>
      </c>
      <c r="R322" s="15" t="s">
        <v>34</v>
      </c>
      <c r="S322" s="15" t="s">
        <v>49</v>
      </c>
      <c r="T322" s="15" t="s">
        <v>50</v>
      </c>
      <c r="U322" s="17" t="s">
        <v>1470</v>
      </c>
      <c r="V322" s="15" t="s">
        <v>38</v>
      </c>
    </row>
    <row r="323" spans="1:22">
      <c r="A323" s="18" t="s">
        <v>1471</v>
      </c>
      <c r="B323" s="18" t="s">
        <v>251</v>
      </c>
      <c r="C323" s="18" t="s">
        <v>222</v>
      </c>
      <c r="D323" s="18" t="s">
        <v>224</v>
      </c>
      <c r="E323" s="18" t="s">
        <v>360</v>
      </c>
      <c r="F323" s="18" t="s">
        <v>254</v>
      </c>
      <c r="G323" s="18" t="s">
        <v>28</v>
      </c>
      <c r="H323" s="18" t="s">
        <v>1472</v>
      </c>
      <c r="I323" s="18" t="s">
        <v>105</v>
      </c>
      <c r="J323" s="18" t="s">
        <v>106</v>
      </c>
      <c r="K323" s="18" t="s">
        <v>122</v>
      </c>
      <c r="L323" s="18" t="s">
        <v>227</v>
      </c>
      <c r="M323" s="18">
        <v>5</v>
      </c>
      <c r="N323" s="18">
        <v>20</v>
      </c>
      <c r="O323" s="18">
        <v>5</v>
      </c>
      <c r="P323" s="18">
        <v>95</v>
      </c>
      <c r="Q323" s="18">
        <v>4</v>
      </c>
      <c r="R323" s="18" t="s">
        <v>34</v>
      </c>
      <c r="S323" s="18" t="s">
        <v>151</v>
      </c>
      <c r="T323" s="18" t="s">
        <v>256</v>
      </c>
      <c r="U323" s="19" t="s">
        <v>1473</v>
      </c>
      <c r="V323" s="18" t="s">
        <v>38</v>
      </c>
    </row>
    <row r="324" spans="1:22">
      <c r="A324" s="15" t="s">
        <v>1474</v>
      </c>
      <c r="B324" s="15" t="s">
        <v>251</v>
      </c>
      <c r="C324" s="15" t="s">
        <v>24</v>
      </c>
      <c r="D324" s="15" t="s">
        <v>1475</v>
      </c>
      <c r="E324" s="15" t="s">
        <v>1476</v>
      </c>
      <c r="F324" s="15" t="s">
        <v>254</v>
      </c>
      <c r="G324" s="15" t="s">
        <v>28</v>
      </c>
      <c r="H324" s="15" t="s">
        <v>1477</v>
      </c>
      <c r="I324" s="15" t="s">
        <v>138</v>
      </c>
      <c r="J324" s="15" t="s">
        <v>106</v>
      </c>
      <c r="K324" s="15" t="s">
        <v>32</v>
      </c>
      <c r="L324" s="15" t="s">
        <v>33</v>
      </c>
      <c r="M324" s="15">
        <v>8</v>
      </c>
      <c r="N324" s="15">
        <v>2200</v>
      </c>
      <c r="O324" s="15">
        <v>10</v>
      </c>
      <c r="P324" s="15">
        <v>15840</v>
      </c>
      <c r="Q324" s="15">
        <v>4</v>
      </c>
      <c r="R324" s="15" t="s">
        <v>88</v>
      </c>
      <c r="S324" s="15" t="s">
        <v>61</v>
      </c>
      <c r="T324" s="15" t="s">
        <v>256</v>
      </c>
      <c r="U324" s="17" t="s">
        <v>1478</v>
      </c>
      <c r="V324" s="15" t="s">
        <v>69</v>
      </c>
    </row>
    <row r="325" spans="1:22">
      <c r="A325" s="18" t="s">
        <v>1479</v>
      </c>
      <c r="B325" s="18" t="s">
        <v>251</v>
      </c>
      <c r="C325" s="18" t="s">
        <v>184</v>
      </c>
      <c r="D325" s="18" t="s">
        <v>298</v>
      </c>
      <c r="E325" s="18" t="s">
        <v>1480</v>
      </c>
      <c r="F325" s="18" t="s">
        <v>254</v>
      </c>
      <c r="G325" s="18" t="s">
        <v>28</v>
      </c>
      <c r="H325" s="18" t="s">
        <v>1481</v>
      </c>
      <c r="I325" s="18" t="s">
        <v>105</v>
      </c>
      <c r="J325" s="18" t="s">
        <v>106</v>
      </c>
      <c r="K325" s="18" t="s">
        <v>46</v>
      </c>
      <c r="L325" s="18" t="s">
        <v>189</v>
      </c>
      <c r="M325" s="18">
        <v>10</v>
      </c>
      <c r="N325" s="18">
        <v>700</v>
      </c>
      <c r="O325" s="18">
        <v>20</v>
      </c>
      <c r="P325" s="18">
        <v>5600</v>
      </c>
      <c r="Q325" s="18">
        <v>1</v>
      </c>
      <c r="R325" s="18" t="s">
        <v>88</v>
      </c>
      <c r="S325" s="18" t="s">
        <v>115</v>
      </c>
      <c r="T325" s="18" t="s">
        <v>256</v>
      </c>
      <c r="U325" s="19" t="s">
        <v>1482</v>
      </c>
      <c r="V325" s="18" t="s">
        <v>38</v>
      </c>
    </row>
    <row r="326" spans="1:22">
      <c r="A326" s="15" t="s">
        <v>1483</v>
      </c>
      <c r="B326" s="15" t="s">
        <v>83</v>
      </c>
      <c r="C326" s="15" t="s">
        <v>184</v>
      </c>
      <c r="D326" s="15" t="s">
        <v>1484</v>
      </c>
      <c r="E326" s="15" t="s">
        <v>1485</v>
      </c>
      <c r="F326" s="15" t="s">
        <v>180</v>
      </c>
      <c r="G326" s="15" t="s">
        <v>76</v>
      </c>
      <c r="H326" s="15" t="s">
        <v>1486</v>
      </c>
      <c r="I326" s="15" t="s">
        <v>59</v>
      </c>
      <c r="J326" s="15" t="s">
        <v>31</v>
      </c>
      <c r="K326" s="15" t="s">
        <v>46</v>
      </c>
      <c r="L326" s="15" t="s">
        <v>189</v>
      </c>
      <c r="M326" s="15">
        <v>2</v>
      </c>
      <c r="N326" s="15">
        <v>700</v>
      </c>
      <c r="O326" s="15">
        <v>20</v>
      </c>
      <c r="P326" s="15">
        <v>1120</v>
      </c>
      <c r="Q326" s="15">
        <v>2</v>
      </c>
      <c r="R326" s="15" t="s">
        <v>34</v>
      </c>
      <c r="S326" s="15" t="s">
        <v>115</v>
      </c>
      <c r="T326" s="15" t="s">
        <v>89</v>
      </c>
      <c r="U326" s="17" t="s">
        <v>1487</v>
      </c>
      <c r="V326" s="15" t="s">
        <v>64</v>
      </c>
    </row>
    <row r="327" spans="1:22">
      <c r="A327" s="18" t="s">
        <v>1488</v>
      </c>
      <c r="B327" s="18" t="s">
        <v>221</v>
      </c>
      <c r="C327" s="18" t="s">
        <v>92</v>
      </c>
      <c r="D327" s="18" t="s">
        <v>872</v>
      </c>
      <c r="E327" s="18" t="s">
        <v>965</v>
      </c>
      <c r="F327" s="18" t="s">
        <v>225</v>
      </c>
      <c r="G327" s="18" t="s">
        <v>76</v>
      </c>
      <c r="H327" s="18" t="s">
        <v>1489</v>
      </c>
      <c r="I327" s="18" t="s">
        <v>114</v>
      </c>
      <c r="J327" s="18" t="s">
        <v>106</v>
      </c>
      <c r="K327" s="18" t="s">
        <v>32</v>
      </c>
      <c r="L327" s="18" t="s">
        <v>97</v>
      </c>
      <c r="M327" s="18">
        <v>16</v>
      </c>
      <c r="N327" s="18">
        <v>3500</v>
      </c>
      <c r="O327" s="18">
        <v>20</v>
      </c>
      <c r="P327" s="18">
        <v>44800</v>
      </c>
      <c r="Q327" s="18">
        <v>2</v>
      </c>
      <c r="R327" s="18" t="s">
        <v>88</v>
      </c>
      <c r="S327" s="18" t="s">
        <v>35</v>
      </c>
      <c r="T327" s="18" t="s">
        <v>228</v>
      </c>
      <c r="U327" s="19" t="s">
        <v>1490</v>
      </c>
      <c r="V327" s="18" t="s">
        <v>64</v>
      </c>
    </row>
    <row r="328" spans="1:22">
      <c r="A328" s="15" t="s">
        <v>1491</v>
      </c>
      <c r="B328" s="15" t="s">
        <v>168</v>
      </c>
      <c r="C328" s="15" t="s">
        <v>92</v>
      </c>
      <c r="D328" s="15" t="s">
        <v>829</v>
      </c>
      <c r="E328" s="15" t="s">
        <v>756</v>
      </c>
      <c r="F328" s="15" t="s">
        <v>361</v>
      </c>
      <c r="G328" s="15" t="s">
        <v>28</v>
      </c>
      <c r="H328" s="15" t="s">
        <v>1492</v>
      </c>
      <c r="I328" s="15" t="s">
        <v>44</v>
      </c>
      <c r="J328" s="15" t="s">
        <v>45</v>
      </c>
      <c r="K328" s="15" t="s">
        <v>32</v>
      </c>
      <c r="L328" s="15" t="s">
        <v>97</v>
      </c>
      <c r="M328" s="15">
        <v>9</v>
      </c>
      <c r="N328" s="15">
        <v>3500</v>
      </c>
      <c r="O328" s="15">
        <v>20</v>
      </c>
      <c r="P328" s="15">
        <v>25200</v>
      </c>
      <c r="Q328" s="15">
        <v>1</v>
      </c>
      <c r="R328" s="15" t="s">
        <v>79</v>
      </c>
      <c r="S328" s="15" t="s">
        <v>49</v>
      </c>
      <c r="T328" s="15" t="s">
        <v>175</v>
      </c>
      <c r="U328" s="17" t="s">
        <v>1493</v>
      </c>
      <c r="V328" s="15" t="s">
        <v>69</v>
      </c>
    </row>
    <row r="329" spans="1:22">
      <c r="A329" s="18" t="s">
        <v>1494</v>
      </c>
      <c r="B329" s="18" t="s">
        <v>127</v>
      </c>
      <c r="C329" s="18" t="s">
        <v>184</v>
      </c>
      <c r="D329" s="18" t="s">
        <v>896</v>
      </c>
      <c r="E329" s="18" t="s">
        <v>530</v>
      </c>
      <c r="F329" s="18" t="s">
        <v>200</v>
      </c>
      <c r="G329" s="18" t="s">
        <v>76</v>
      </c>
      <c r="H329" s="18" t="s">
        <v>1495</v>
      </c>
      <c r="I329" s="18" t="s">
        <v>30</v>
      </c>
      <c r="J329" s="18" t="s">
        <v>31</v>
      </c>
      <c r="K329" s="18" t="s">
        <v>46</v>
      </c>
      <c r="L329" s="18" t="s">
        <v>189</v>
      </c>
      <c r="M329" s="18">
        <v>15</v>
      </c>
      <c r="N329" s="18">
        <v>700</v>
      </c>
      <c r="O329" s="18">
        <v>5</v>
      </c>
      <c r="P329" s="18">
        <v>9975</v>
      </c>
      <c r="Q329" s="18">
        <v>1</v>
      </c>
      <c r="R329" s="18" t="s">
        <v>34</v>
      </c>
      <c r="S329" s="18" t="s">
        <v>49</v>
      </c>
      <c r="T329" s="18" t="s">
        <v>132</v>
      </c>
      <c r="U329" s="19" t="s">
        <v>1496</v>
      </c>
      <c r="V329" s="18" t="s">
        <v>69</v>
      </c>
    </row>
    <row r="330" spans="1:22">
      <c r="A330" s="15" t="s">
        <v>1497</v>
      </c>
      <c r="B330" s="15" t="s">
        <v>53</v>
      </c>
      <c r="C330" s="15" t="s">
        <v>72</v>
      </c>
      <c r="D330" s="15" t="s">
        <v>179</v>
      </c>
      <c r="E330" s="15" t="s">
        <v>798</v>
      </c>
      <c r="F330" s="15" t="s">
        <v>163</v>
      </c>
      <c r="G330" s="15" t="s">
        <v>28</v>
      </c>
      <c r="H330" s="15" t="s">
        <v>1498</v>
      </c>
      <c r="I330" s="15" t="s">
        <v>138</v>
      </c>
      <c r="J330" s="15" t="s">
        <v>106</v>
      </c>
      <c r="K330" s="15" t="s">
        <v>46</v>
      </c>
      <c r="L330" s="15" t="s">
        <v>78</v>
      </c>
      <c r="M330" s="15">
        <v>13</v>
      </c>
      <c r="N330" s="15">
        <v>1200</v>
      </c>
      <c r="O330" s="15">
        <v>0</v>
      </c>
      <c r="P330" s="15">
        <v>15600</v>
      </c>
      <c r="Q330" s="15">
        <v>3</v>
      </c>
      <c r="R330" s="15" t="s">
        <v>48</v>
      </c>
      <c r="S330" s="15" t="s">
        <v>115</v>
      </c>
      <c r="T330" s="15" t="s">
        <v>62</v>
      </c>
      <c r="U330" s="17" t="s">
        <v>1499</v>
      </c>
      <c r="V330" s="15" t="s">
        <v>69</v>
      </c>
    </row>
    <row r="331" spans="1:22">
      <c r="A331" s="18" t="s">
        <v>1500</v>
      </c>
      <c r="B331" s="18" t="s">
        <v>327</v>
      </c>
      <c r="C331" s="18" t="s">
        <v>40</v>
      </c>
      <c r="D331" s="18" t="s">
        <v>1501</v>
      </c>
      <c r="E331" s="18" t="s">
        <v>1502</v>
      </c>
      <c r="F331" s="18" t="s">
        <v>394</v>
      </c>
      <c r="G331" s="18" t="s">
        <v>76</v>
      </c>
      <c r="H331" s="18" t="s">
        <v>1503</v>
      </c>
      <c r="I331" s="18" t="s">
        <v>44</v>
      </c>
      <c r="J331" s="18" t="s">
        <v>45</v>
      </c>
      <c r="K331" s="18" t="s">
        <v>46</v>
      </c>
      <c r="L331" s="18" t="s">
        <v>47</v>
      </c>
      <c r="M331" s="18">
        <v>5</v>
      </c>
      <c r="N331" s="18">
        <v>12000</v>
      </c>
      <c r="O331" s="18">
        <v>10</v>
      </c>
      <c r="P331" s="18">
        <v>54000</v>
      </c>
      <c r="Q331" s="18">
        <v>3</v>
      </c>
      <c r="R331" s="18" t="s">
        <v>88</v>
      </c>
      <c r="S331" s="18" t="s">
        <v>49</v>
      </c>
      <c r="T331" s="18" t="s">
        <v>332</v>
      </c>
      <c r="U331" s="19" t="s">
        <v>1504</v>
      </c>
      <c r="V331" s="18" t="s">
        <v>38</v>
      </c>
    </row>
    <row r="332" spans="1:22">
      <c r="A332" s="15" t="s">
        <v>1505</v>
      </c>
      <c r="B332" s="15" t="s">
        <v>53</v>
      </c>
      <c r="C332" s="15" t="s">
        <v>259</v>
      </c>
      <c r="D332" s="15" t="s">
        <v>1506</v>
      </c>
      <c r="E332" s="15" t="s">
        <v>1507</v>
      </c>
      <c r="F332" s="15" t="s">
        <v>163</v>
      </c>
      <c r="G332" s="15" t="s">
        <v>28</v>
      </c>
      <c r="H332" s="15" t="s">
        <v>1508</v>
      </c>
      <c r="I332" s="15" t="s">
        <v>59</v>
      </c>
      <c r="J332" s="15" t="s">
        <v>31</v>
      </c>
      <c r="K332" s="15" t="s">
        <v>122</v>
      </c>
      <c r="L332" s="15" t="s">
        <v>263</v>
      </c>
      <c r="M332" s="15">
        <v>12</v>
      </c>
      <c r="N332" s="15">
        <v>45</v>
      </c>
      <c r="O332" s="15">
        <v>20</v>
      </c>
      <c r="P332" s="15">
        <v>432</v>
      </c>
      <c r="Q332" s="15">
        <v>3</v>
      </c>
      <c r="R332" s="15" t="s">
        <v>48</v>
      </c>
      <c r="S332" s="15" t="s">
        <v>61</v>
      </c>
      <c r="T332" s="15" t="s">
        <v>62</v>
      </c>
      <c r="U332" s="17" t="s">
        <v>1509</v>
      </c>
      <c r="V332" s="15" t="s">
        <v>38</v>
      </c>
    </row>
    <row r="333" spans="1:22">
      <c r="A333" s="18" t="s">
        <v>1510</v>
      </c>
      <c r="B333" s="18" t="s">
        <v>23</v>
      </c>
      <c r="C333" s="18" t="s">
        <v>92</v>
      </c>
      <c r="D333" s="18" t="s">
        <v>652</v>
      </c>
      <c r="E333" s="18" t="s">
        <v>666</v>
      </c>
      <c r="F333" s="18" t="s">
        <v>27</v>
      </c>
      <c r="G333" s="18" t="s">
        <v>28</v>
      </c>
      <c r="H333" s="18" t="s">
        <v>1511</v>
      </c>
      <c r="I333" s="18" t="s">
        <v>59</v>
      </c>
      <c r="J333" s="18" t="s">
        <v>31</v>
      </c>
      <c r="K333" s="18" t="s">
        <v>32</v>
      </c>
      <c r="L333" s="18" t="s">
        <v>97</v>
      </c>
      <c r="M333" s="18">
        <v>2</v>
      </c>
      <c r="N333" s="18">
        <v>3500</v>
      </c>
      <c r="O333" s="18">
        <v>0</v>
      </c>
      <c r="P333" s="18">
        <v>7000</v>
      </c>
      <c r="Q333" s="18">
        <v>1</v>
      </c>
      <c r="R333" s="18" t="s">
        <v>48</v>
      </c>
      <c r="S333" s="18" t="s">
        <v>115</v>
      </c>
      <c r="T333" s="18" t="s">
        <v>50</v>
      </c>
      <c r="U333" s="19" t="s">
        <v>1512</v>
      </c>
      <c r="V333" s="18" t="s">
        <v>64</v>
      </c>
    </row>
    <row r="334" spans="1:22">
      <c r="A334" s="15" t="s">
        <v>1513</v>
      </c>
      <c r="B334" s="15" t="s">
        <v>23</v>
      </c>
      <c r="C334" s="15" t="s">
        <v>24</v>
      </c>
      <c r="D334" s="15" t="s">
        <v>426</v>
      </c>
      <c r="E334" s="15" t="s">
        <v>1180</v>
      </c>
      <c r="F334" s="15" t="s">
        <v>27</v>
      </c>
      <c r="G334" s="15" t="s">
        <v>28</v>
      </c>
      <c r="H334" s="15" t="s">
        <v>1514</v>
      </c>
      <c r="I334" s="15" t="s">
        <v>114</v>
      </c>
      <c r="J334" s="15" t="s">
        <v>106</v>
      </c>
      <c r="K334" s="15" t="s">
        <v>32</v>
      </c>
      <c r="L334" s="15" t="s">
        <v>33</v>
      </c>
      <c r="M334" s="15">
        <v>15</v>
      </c>
      <c r="N334" s="15">
        <v>2200</v>
      </c>
      <c r="O334" s="15">
        <v>15</v>
      </c>
      <c r="P334" s="15">
        <v>28050</v>
      </c>
      <c r="Q334" s="15">
        <v>2</v>
      </c>
      <c r="R334" s="15" t="s">
        <v>48</v>
      </c>
      <c r="S334" s="15" t="s">
        <v>49</v>
      </c>
      <c r="T334" s="15" t="s">
        <v>50</v>
      </c>
      <c r="U334" s="17" t="s">
        <v>1515</v>
      </c>
      <c r="V334" s="15" t="s">
        <v>64</v>
      </c>
    </row>
    <row r="335" spans="1:22">
      <c r="A335" s="18" t="s">
        <v>1516</v>
      </c>
      <c r="B335" s="18" t="s">
        <v>100</v>
      </c>
      <c r="C335" s="18" t="s">
        <v>222</v>
      </c>
      <c r="D335" s="18" t="s">
        <v>186</v>
      </c>
      <c r="E335" s="18" t="s">
        <v>1253</v>
      </c>
      <c r="F335" s="18" t="s">
        <v>103</v>
      </c>
      <c r="G335" s="18" t="s">
        <v>28</v>
      </c>
      <c r="H335" s="18" t="s">
        <v>1517</v>
      </c>
      <c r="I335" s="18" t="s">
        <v>138</v>
      </c>
      <c r="J335" s="18" t="s">
        <v>106</v>
      </c>
      <c r="K335" s="18" t="s">
        <v>122</v>
      </c>
      <c r="L335" s="18" t="s">
        <v>227</v>
      </c>
      <c r="M335" s="18">
        <v>8</v>
      </c>
      <c r="N335" s="18">
        <v>20</v>
      </c>
      <c r="O335" s="18">
        <v>20</v>
      </c>
      <c r="P335" s="18">
        <v>128</v>
      </c>
      <c r="Q335" s="18">
        <v>5</v>
      </c>
      <c r="R335" s="18" t="s">
        <v>88</v>
      </c>
      <c r="S335" s="18" t="s">
        <v>49</v>
      </c>
      <c r="T335" s="18" t="s">
        <v>144</v>
      </c>
      <c r="U335" s="19" t="s">
        <v>1518</v>
      </c>
      <c r="V335" s="18" t="s">
        <v>38</v>
      </c>
    </row>
    <row r="336" spans="1:22">
      <c r="A336" s="15" t="s">
        <v>1519</v>
      </c>
      <c r="B336" s="15" t="s">
        <v>127</v>
      </c>
      <c r="C336" s="15" t="s">
        <v>222</v>
      </c>
      <c r="D336" s="15" t="s">
        <v>298</v>
      </c>
      <c r="E336" s="15" t="s">
        <v>798</v>
      </c>
      <c r="F336" s="15" t="s">
        <v>200</v>
      </c>
      <c r="G336" s="15" t="s">
        <v>76</v>
      </c>
      <c r="H336" s="15" t="s">
        <v>1520</v>
      </c>
      <c r="I336" s="15" t="s">
        <v>30</v>
      </c>
      <c r="J336" s="15" t="s">
        <v>31</v>
      </c>
      <c r="K336" s="15" t="s">
        <v>122</v>
      </c>
      <c r="L336" s="15" t="s">
        <v>227</v>
      </c>
      <c r="M336" s="15">
        <v>1</v>
      </c>
      <c r="N336" s="15">
        <v>20</v>
      </c>
      <c r="O336" s="15">
        <v>0</v>
      </c>
      <c r="P336" s="15">
        <v>20</v>
      </c>
      <c r="Q336" s="15">
        <v>3</v>
      </c>
      <c r="R336" s="15" t="s">
        <v>88</v>
      </c>
      <c r="S336" s="15" t="s">
        <v>35</v>
      </c>
      <c r="T336" s="15" t="s">
        <v>132</v>
      </c>
      <c r="U336" s="17" t="s">
        <v>1521</v>
      </c>
      <c r="V336" s="15" t="s">
        <v>38</v>
      </c>
    </row>
    <row r="337" spans="1:22">
      <c r="A337" s="18" t="s">
        <v>1522</v>
      </c>
      <c r="B337" s="18" t="s">
        <v>23</v>
      </c>
      <c r="C337" s="18" t="s">
        <v>184</v>
      </c>
      <c r="D337" s="18" t="s">
        <v>1199</v>
      </c>
      <c r="E337" s="18" t="s">
        <v>253</v>
      </c>
      <c r="F337" s="18" t="s">
        <v>27</v>
      </c>
      <c r="G337" s="18" t="s">
        <v>28</v>
      </c>
      <c r="H337" s="18" t="s">
        <v>1523</v>
      </c>
      <c r="I337" s="18" t="s">
        <v>212</v>
      </c>
      <c r="J337" s="18" t="s">
        <v>45</v>
      </c>
      <c r="K337" s="18" t="s">
        <v>46</v>
      </c>
      <c r="L337" s="18" t="s">
        <v>189</v>
      </c>
      <c r="M337" s="18">
        <v>15</v>
      </c>
      <c r="N337" s="18">
        <v>700</v>
      </c>
      <c r="O337" s="18">
        <v>0</v>
      </c>
      <c r="P337" s="18">
        <v>10500</v>
      </c>
      <c r="Q337" s="18">
        <v>2</v>
      </c>
      <c r="R337" s="18" t="s">
        <v>88</v>
      </c>
      <c r="S337" s="18" t="s">
        <v>49</v>
      </c>
      <c r="T337" s="18" t="s">
        <v>50</v>
      </c>
      <c r="U337" s="19" t="s">
        <v>1524</v>
      </c>
      <c r="V337" s="18" t="s">
        <v>38</v>
      </c>
    </row>
    <row r="338" spans="1:22">
      <c r="A338" s="15" t="s">
        <v>1525</v>
      </c>
      <c r="B338" s="15" t="s">
        <v>327</v>
      </c>
      <c r="C338" s="15" t="s">
        <v>92</v>
      </c>
      <c r="D338" s="15" t="s">
        <v>932</v>
      </c>
      <c r="E338" s="15" t="s">
        <v>1526</v>
      </c>
      <c r="F338" s="15" t="s">
        <v>394</v>
      </c>
      <c r="G338" s="15" t="s">
        <v>76</v>
      </c>
      <c r="H338" s="15" t="s">
        <v>1527</v>
      </c>
      <c r="I338" s="15" t="s">
        <v>30</v>
      </c>
      <c r="J338" s="15" t="s">
        <v>31</v>
      </c>
      <c r="K338" s="15" t="s">
        <v>32</v>
      </c>
      <c r="L338" s="15" t="s">
        <v>97</v>
      </c>
      <c r="M338" s="15">
        <v>15</v>
      </c>
      <c r="N338" s="15">
        <v>3500</v>
      </c>
      <c r="O338" s="15">
        <v>10</v>
      </c>
      <c r="P338" s="15">
        <v>47250</v>
      </c>
      <c r="Q338" s="15">
        <v>3</v>
      </c>
      <c r="R338" s="15" t="s">
        <v>34</v>
      </c>
      <c r="S338" s="15" t="s">
        <v>151</v>
      </c>
      <c r="T338" s="15" t="s">
        <v>332</v>
      </c>
      <c r="U338" s="17" t="s">
        <v>1528</v>
      </c>
      <c r="V338" s="15" t="s">
        <v>64</v>
      </c>
    </row>
    <row r="339" spans="1:22">
      <c r="A339" s="18" t="s">
        <v>1529</v>
      </c>
      <c r="B339" s="18" t="s">
        <v>23</v>
      </c>
      <c r="C339" s="18" t="s">
        <v>118</v>
      </c>
      <c r="D339" s="18" t="s">
        <v>1530</v>
      </c>
      <c r="E339" s="18" t="s">
        <v>156</v>
      </c>
      <c r="F339" s="18" t="s">
        <v>27</v>
      </c>
      <c r="G339" s="18" t="s">
        <v>28</v>
      </c>
      <c r="H339" s="18" t="s">
        <v>1531</v>
      </c>
      <c r="I339" s="18" t="s">
        <v>294</v>
      </c>
      <c r="J339" s="18" t="s">
        <v>295</v>
      </c>
      <c r="K339" s="18" t="s">
        <v>122</v>
      </c>
      <c r="L339" s="18" t="s">
        <v>123</v>
      </c>
      <c r="M339" s="18">
        <v>16</v>
      </c>
      <c r="N339" s="18">
        <v>60</v>
      </c>
      <c r="O339" s="18">
        <v>10</v>
      </c>
      <c r="P339" s="18">
        <v>864</v>
      </c>
      <c r="Q339" s="18">
        <v>4</v>
      </c>
      <c r="R339" s="18" t="s">
        <v>79</v>
      </c>
      <c r="S339" s="18" t="s">
        <v>61</v>
      </c>
      <c r="T339" s="18" t="s">
        <v>50</v>
      </c>
      <c r="U339" s="19" t="s">
        <v>1532</v>
      </c>
      <c r="V339" s="18" t="s">
        <v>38</v>
      </c>
    </row>
    <row r="340" spans="1:22">
      <c r="A340" s="15" t="s">
        <v>1533</v>
      </c>
      <c r="B340" s="15" t="s">
        <v>127</v>
      </c>
      <c r="C340" s="15" t="s">
        <v>259</v>
      </c>
      <c r="D340" s="15" t="s">
        <v>309</v>
      </c>
      <c r="E340" s="15" t="s">
        <v>793</v>
      </c>
      <c r="F340" s="15" t="s">
        <v>200</v>
      </c>
      <c r="G340" s="15" t="s">
        <v>76</v>
      </c>
      <c r="H340" s="15" t="s">
        <v>1534</v>
      </c>
      <c r="I340" s="15" t="s">
        <v>44</v>
      </c>
      <c r="J340" s="15" t="s">
        <v>45</v>
      </c>
      <c r="K340" s="15" t="s">
        <v>122</v>
      </c>
      <c r="L340" s="15" t="s">
        <v>263</v>
      </c>
      <c r="M340" s="15">
        <v>2</v>
      </c>
      <c r="N340" s="15">
        <v>45</v>
      </c>
      <c r="O340" s="15">
        <v>15</v>
      </c>
      <c r="P340" s="15">
        <v>76.5</v>
      </c>
      <c r="Q340" s="15">
        <v>1</v>
      </c>
      <c r="R340" s="15" t="s">
        <v>88</v>
      </c>
      <c r="S340" s="15" t="s">
        <v>151</v>
      </c>
      <c r="T340" s="15" t="s">
        <v>132</v>
      </c>
      <c r="U340" s="17" t="s">
        <v>1535</v>
      </c>
      <c r="V340" s="15" t="s">
        <v>69</v>
      </c>
    </row>
    <row r="341" spans="1:22">
      <c r="A341" s="18" t="s">
        <v>1536</v>
      </c>
      <c r="B341" s="18" t="s">
        <v>168</v>
      </c>
      <c r="C341" s="18" t="s">
        <v>118</v>
      </c>
      <c r="D341" s="18" t="s">
        <v>1537</v>
      </c>
      <c r="E341" s="18" t="s">
        <v>1214</v>
      </c>
      <c r="F341" s="18" t="s">
        <v>361</v>
      </c>
      <c r="G341" s="18" t="s">
        <v>28</v>
      </c>
      <c r="H341" s="18" t="s">
        <v>1538</v>
      </c>
      <c r="I341" s="18" t="s">
        <v>44</v>
      </c>
      <c r="J341" s="18" t="s">
        <v>45</v>
      </c>
      <c r="K341" s="18" t="s">
        <v>122</v>
      </c>
      <c r="L341" s="18" t="s">
        <v>123</v>
      </c>
      <c r="M341" s="18">
        <v>13</v>
      </c>
      <c r="N341" s="18">
        <v>60</v>
      </c>
      <c r="O341" s="18">
        <v>15</v>
      </c>
      <c r="P341" s="18">
        <v>663</v>
      </c>
      <c r="Q341" s="18">
        <v>2</v>
      </c>
      <c r="R341" s="18" t="s">
        <v>48</v>
      </c>
      <c r="S341" s="18" t="s">
        <v>61</v>
      </c>
      <c r="T341" s="18" t="s">
        <v>175</v>
      </c>
      <c r="U341" s="19" t="s">
        <v>1539</v>
      </c>
      <c r="V341" s="18" t="s">
        <v>69</v>
      </c>
    </row>
    <row r="342" spans="1:22">
      <c r="A342" s="15" t="s">
        <v>1540</v>
      </c>
      <c r="B342" s="15" t="s">
        <v>83</v>
      </c>
      <c r="C342" s="15" t="s">
        <v>40</v>
      </c>
      <c r="D342" s="15" t="s">
        <v>1086</v>
      </c>
      <c r="E342" s="15" t="s">
        <v>236</v>
      </c>
      <c r="F342" s="15" t="s">
        <v>180</v>
      </c>
      <c r="G342" s="15" t="s">
        <v>76</v>
      </c>
      <c r="H342" s="15" t="s">
        <v>1541</v>
      </c>
      <c r="I342" s="15" t="s">
        <v>44</v>
      </c>
      <c r="J342" s="15" t="s">
        <v>45</v>
      </c>
      <c r="K342" s="15" t="s">
        <v>46</v>
      </c>
      <c r="L342" s="15" t="s">
        <v>47</v>
      </c>
      <c r="M342" s="15">
        <v>15</v>
      </c>
      <c r="N342" s="15">
        <v>12000</v>
      </c>
      <c r="O342" s="15">
        <v>20</v>
      </c>
      <c r="P342" s="15">
        <v>144000</v>
      </c>
      <c r="Q342" s="15">
        <v>3</v>
      </c>
      <c r="R342" s="15" t="s">
        <v>79</v>
      </c>
      <c r="S342" s="15" t="s">
        <v>35</v>
      </c>
      <c r="T342" s="15" t="s">
        <v>89</v>
      </c>
      <c r="U342" s="17" t="s">
        <v>1542</v>
      </c>
      <c r="V342" s="15" t="s">
        <v>69</v>
      </c>
    </row>
    <row r="343" spans="1:22">
      <c r="A343" s="18" t="s">
        <v>1543</v>
      </c>
      <c r="B343" s="18" t="s">
        <v>327</v>
      </c>
      <c r="C343" s="18" t="s">
        <v>222</v>
      </c>
      <c r="D343" s="18" t="s">
        <v>755</v>
      </c>
      <c r="E343" s="18" t="s">
        <v>1544</v>
      </c>
      <c r="F343" s="18" t="s">
        <v>394</v>
      </c>
      <c r="G343" s="18" t="s">
        <v>76</v>
      </c>
      <c r="H343" s="18" t="s">
        <v>1545</v>
      </c>
      <c r="I343" s="18" t="s">
        <v>44</v>
      </c>
      <c r="J343" s="18" t="s">
        <v>45</v>
      </c>
      <c r="K343" s="18" t="s">
        <v>122</v>
      </c>
      <c r="L343" s="18" t="s">
        <v>227</v>
      </c>
      <c r="M343" s="18">
        <v>2</v>
      </c>
      <c r="N343" s="18">
        <v>20</v>
      </c>
      <c r="O343" s="18">
        <v>20</v>
      </c>
      <c r="P343" s="18">
        <v>32</v>
      </c>
      <c r="Q343" s="18">
        <v>4</v>
      </c>
      <c r="R343" s="18" t="s">
        <v>34</v>
      </c>
      <c r="S343" s="18" t="s">
        <v>35</v>
      </c>
      <c r="T343" s="18" t="s">
        <v>332</v>
      </c>
      <c r="U343" s="19" t="s">
        <v>1546</v>
      </c>
      <c r="V343" s="18" t="s">
        <v>64</v>
      </c>
    </row>
    <row r="344" spans="1:22">
      <c r="A344" s="15" t="s">
        <v>1547</v>
      </c>
      <c r="B344" s="15" t="s">
        <v>127</v>
      </c>
      <c r="C344" s="15" t="s">
        <v>92</v>
      </c>
      <c r="D344" s="15" t="s">
        <v>382</v>
      </c>
      <c r="E344" s="15" t="s">
        <v>1548</v>
      </c>
      <c r="F344" s="15" t="s">
        <v>200</v>
      </c>
      <c r="G344" s="15" t="s">
        <v>76</v>
      </c>
      <c r="H344" s="15" t="s">
        <v>1549</v>
      </c>
      <c r="I344" s="15" t="s">
        <v>59</v>
      </c>
      <c r="J344" s="15" t="s">
        <v>31</v>
      </c>
      <c r="K344" s="15" t="s">
        <v>32</v>
      </c>
      <c r="L344" s="15" t="s">
        <v>97</v>
      </c>
      <c r="M344" s="15">
        <v>16</v>
      </c>
      <c r="N344" s="15">
        <v>3500</v>
      </c>
      <c r="O344" s="15">
        <v>0</v>
      </c>
      <c r="P344" s="15">
        <v>56000</v>
      </c>
      <c r="Q344" s="15">
        <v>4</v>
      </c>
      <c r="R344" s="15" t="s">
        <v>34</v>
      </c>
      <c r="S344" s="15" t="s">
        <v>115</v>
      </c>
      <c r="T344" s="15" t="s">
        <v>132</v>
      </c>
      <c r="U344" s="17" t="s">
        <v>1550</v>
      </c>
      <c r="V344" s="15" t="s">
        <v>38</v>
      </c>
    </row>
    <row r="345" spans="1:22">
      <c r="A345" s="18" t="s">
        <v>1551</v>
      </c>
      <c r="B345" s="18" t="s">
        <v>53</v>
      </c>
      <c r="C345" s="18" t="s">
        <v>92</v>
      </c>
      <c r="D345" s="18" t="s">
        <v>1302</v>
      </c>
      <c r="E345" s="18" t="s">
        <v>94</v>
      </c>
      <c r="F345" s="18" t="s">
        <v>163</v>
      </c>
      <c r="G345" s="18" t="s">
        <v>28</v>
      </c>
      <c r="H345" s="18" t="s">
        <v>1552</v>
      </c>
      <c r="I345" s="18" t="s">
        <v>138</v>
      </c>
      <c r="J345" s="18" t="s">
        <v>106</v>
      </c>
      <c r="K345" s="18" t="s">
        <v>32</v>
      </c>
      <c r="L345" s="18" t="s">
        <v>97</v>
      </c>
      <c r="M345" s="18">
        <v>18</v>
      </c>
      <c r="N345" s="18">
        <v>3500</v>
      </c>
      <c r="O345" s="18">
        <v>15</v>
      </c>
      <c r="P345" s="18">
        <v>53550</v>
      </c>
      <c r="Q345" s="18">
        <v>5</v>
      </c>
      <c r="R345" s="18" t="s">
        <v>34</v>
      </c>
      <c r="S345" s="18" t="s">
        <v>151</v>
      </c>
      <c r="T345" s="18" t="s">
        <v>62</v>
      </c>
      <c r="U345" s="19" t="s">
        <v>1553</v>
      </c>
      <c r="V345" s="18" t="s">
        <v>69</v>
      </c>
    </row>
    <row r="346" spans="1:22">
      <c r="A346" s="15" t="s">
        <v>1554</v>
      </c>
      <c r="B346" s="15" t="s">
        <v>23</v>
      </c>
      <c r="C346" s="15" t="s">
        <v>259</v>
      </c>
      <c r="D346" s="15" t="s">
        <v>65</v>
      </c>
      <c r="E346" s="15" t="s">
        <v>544</v>
      </c>
      <c r="F346" s="15" t="s">
        <v>27</v>
      </c>
      <c r="G346" s="15" t="s">
        <v>28</v>
      </c>
      <c r="H346" s="15" t="s">
        <v>1555</v>
      </c>
      <c r="I346" s="15" t="s">
        <v>138</v>
      </c>
      <c r="J346" s="15" t="s">
        <v>106</v>
      </c>
      <c r="K346" s="15" t="s">
        <v>122</v>
      </c>
      <c r="L346" s="15" t="s">
        <v>263</v>
      </c>
      <c r="M346" s="15">
        <v>20</v>
      </c>
      <c r="N346" s="15">
        <v>45</v>
      </c>
      <c r="O346" s="15">
        <v>15</v>
      </c>
      <c r="P346" s="15">
        <v>765</v>
      </c>
      <c r="Q346" s="15">
        <v>4</v>
      </c>
      <c r="R346" s="15" t="s">
        <v>34</v>
      </c>
      <c r="S346" s="15" t="s">
        <v>151</v>
      </c>
      <c r="T346" s="15" t="s">
        <v>50</v>
      </c>
      <c r="U346" s="17" t="s">
        <v>1556</v>
      </c>
      <c r="V346" s="15" t="s">
        <v>69</v>
      </c>
    </row>
    <row r="347" spans="1:22">
      <c r="A347" s="18" t="s">
        <v>1557</v>
      </c>
      <c r="B347" s="18" t="s">
        <v>251</v>
      </c>
      <c r="C347" s="18" t="s">
        <v>24</v>
      </c>
      <c r="D347" s="18" t="s">
        <v>1286</v>
      </c>
      <c r="E347" s="18" t="s">
        <v>356</v>
      </c>
      <c r="F347" s="18" t="s">
        <v>254</v>
      </c>
      <c r="G347" s="18" t="s">
        <v>28</v>
      </c>
      <c r="H347" s="18" t="s">
        <v>1558</v>
      </c>
      <c r="I347" s="18" t="s">
        <v>44</v>
      </c>
      <c r="J347" s="18" t="s">
        <v>45</v>
      </c>
      <c r="K347" s="18" t="s">
        <v>32</v>
      </c>
      <c r="L347" s="18" t="s">
        <v>33</v>
      </c>
      <c r="M347" s="18">
        <v>13</v>
      </c>
      <c r="N347" s="18">
        <v>2200</v>
      </c>
      <c r="O347" s="18">
        <v>15</v>
      </c>
      <c r="P347" s="18">
        <v>24310</v>
      </c>
      <c r="Q347" s="18">
        <v>2</v>
      </c>
      <c r="R347" s="18" t="s">
        <v>48</v>
      </c>
      <c r="S347" s="18" t="s">
        <v>115</v>
      </c>
      <c r="T347" s="18" t="s">
        <v>256</v>
      </c>
      <c r="U347" s="19" t="s">
        <v>1559</v>
      </c>
      <c r="V347" s="18" t="s">
        <v>64</v>
      </c>
    </row>
    <row r="348" spans="1:22">
      <c r="A348" s="15" t="s">
        <v>1560</v>
      </c>
      <c r="B348" s="15" t="s">
        <v>53</v>
      </c>
      <c r="C348" s="15" t="s">
        <v>1561</v>
      </c>
      <c r="D348" s="15" t="s">
        <v>340</v>
      </c>
      <c r="E348" s="15" t="s">
        <v>346</v>
      </c>
      <c r="F348" s="15" t="s">
        <v>163</v>
      </c>
      <c r="G348" s="15" t="s">
        <v>28</v>
      </c>
      <c r="H348" s="15" t="s">
        <v>1562</v>
      </c>
      <c r="I348" s="15" t="s">
        <v>294</v>
      </c>
      <c r="J348" s="15" t="s">
        <v>295</v>
      </c>
      <c r="K348" s="15" t="s">
        <v>32</v>
      </c>
      <c r="L348" s="15" t="s">
        <v>174</v>
      </c>
      <c r="M348" s="15">
        <v>11</v>
      </c>
      <c r="N348" s="15">
        <v>8500</v>
      </c>
      <c r="O348" s="15">
        <v>5</v>
      </c>
      <c r="P348" s="15">
        <v>88825</v>
      </c>
      <c r="Q348" s="15">
        <v>1</v>
      </c>
      <c r="R348" s="15" t="s">
        <v>88</v>
      </c>
      <c r="S348" s="15" t="s">
        <v>115</v>
      </c>
      <c r="T348" s="15" t="s">
        <v>62</v>
      </c>
      <c r="U348" s="17" t="s">
        <v>1563</v>
      </c>
      <c r="V348" s="15" t="s">
        <v>69</v>
      </c>
    </row>
    <row r="349" spans="1:22">
      <c r="A349" s="18" t="s">
        <v>1564</v>
      </c>
      <c r="B349" s="18" t="s">
        <v>53</v>
      </c>
      <c r="C349" s="18" t="s">
        <v>24</v>
      </c>
      <c r="D349" s="18" t="s">
        <v>1565</v>
      </c>
      <c r="E349" s="18" t="s">
        <v>1475</v>
      </c>
      <c r="F349" s="18" t="s">
        <v>163</v>
      </c>
      <c r="G349" s="18" t="s">
        <v>28</v>
      </c>
      <c r="H349" s="18" t="s">
        <v>1566</v>
      </c>
      <c r="I349" s="18" t="s">
        <v>212</v>
      </c>
      <c r="J349" s="18" t="s">
        <v>45</v>
      </c>
      <c r="K349" s="18" t="s">
        <v>32</v>
      </c>
      <c r="L349" s="18" t="s">
        <v>33</v>
      </c>
      <c r="M349" s="18">
        <v>2</v>
      </c>
      <c r="N349" s="18">
        <v>2200</v>
      </c>
      <c r="O349" s="18">
        <v>0</v>
      </c>
      <c r="P349" s="18">
        <v>4400</v>
      </c>
      <c r="Q349" s="18">
        <v>4</v>
      </c>
      <c r="R349" s="18" t="s">
        <v>88</v>
      </c>
      <c r="S349" s="18" t="s">
        <v>151</v>
      </c>
      <c r="T349" s="18" t="s">
        <v>62</v>
      </c>
      <c r="U349" s="19" t="s">
        <v>1567</v>
      </c>
      <c r="V349" s="18" t="s">
        <v>64</v>
      </c>
    </row>
    <row r="350" spans="1:22">
      <c r="A350" s="15" t="s">
        <v>1568</v>
      </c>
      <c r="B350" s="15" t="s">
        <v>83</v>
      </c>
      <c r="C350" s="15" t="s">
        <v>184</v>
      </c>
      <c r="D350" s="15" t="s">
        <v>1242</v>
      </c>
      <c r="E350" s="15" t="s">
        <v>720</v>
      </c>
      <c r="F350" s="15" t="s">
        <v>180</v>
      </c>
      <c r="G350" s="15" t="s">
        <v>76</v>
      </c>
      <c r="H350" s="15" t="s">
        <v>1569</v>
      </c>
      <c r="I350" s="15" t="s">
        <v>105</v>
      </c>
      <c r="J350" s="15" t="s">
        <v>106</v>
      </c>
      <c r="K350" s="15" t="s">
        <v>46</v>
      </c>
      <c r="L350" s="15" t="s">
        <v>189</v>
      </c>
      <c r="M350" s="15">
        <v>15</v>
      </c>
      <c r="N350" s="15">
        <v>700</v>
      </c>
      <c r="O350" s="15">
        <v>15</v>
      </c>
      <c r="P350" s="15">
        <v>8925</v>
      </c>
      <c r="Q350" s="15">
        <v>3</v>
      </c>
      <c r="R350" s="15" t="s">
        <v>48</v>
      </c>
      <c r="S350" s="15" t="s">
        <v>115</v>
      </c>
      <c r="T350" s="15" t="s">
        <v>89</v>
      </c>
      <c r="U350" s="17" t="s">
        <v>1570</v>
      </c>
      <c r="V350" s="15" t="s">
        <v>38</v>
      </c>
    </row>
    <row r="351" spans="1:22">
      <c r="A351" s="18" t="s">
        <v>1571</v>
      </c>
      <c r="B351" s="18" t="s">
        <v>127</v>
      </c>
      <c r="C351" s="18" t="s">
        <v>24</v>
      </c>
      <c r="D351" s="18" t="s">
        <v>1572</v>
      </c>
      <c r="E351" s="18" t="s">
        <v>835</v>
      </c>
      <c r="F351" s="18" t="s">
        <v>200</v>
      </c>
      <c r="G351" s="18" t="s">
        <v>76</v>
      </c>
      <c r="H351" s="18" t="s">
        <v>1573</v>
      </c>
      <c r="I351" s="18" t="s">
        <v>138</v>
      </c>
      <c r="J351" s="18" t="s">
        <v>106</v>
      </c>
      <c r="K351" s="18" t="s">
        <v>32</v>
      </c>
      <c r="L351" s="18" t="s">
        <v>33</v>
      </c>
      <c r="M351" s="18">
        <v>5</v>
      </c>
      <c r="N351" s="18">
        <v>2200</v>
      </c>
      <c r="O351" s="18">
        <v>15</v>
      </c>
      <c r="P351" s="18">
        <v>9350</v>
      </c>
      <c r="Q351" s="18">
        <v>1</v>
      </c>
      <c r="R351" s="18" t="s">
        <v>48</v>
      </c>
      <c r="S351" s="18" t="s">
        <v>115</v>
      </c>
      <c r="T351" s="18" t="s">
        <v>132</v>
      </c>
      <c r="U351" s="19" t="s">
        <v>1574</v>
      </c>
      <c r="V351" s="18" t="s">
        <v>64</v>
      </c>
    </row>
    <row r="352" spans="1:22">
      <c r="A352" s="15" t="s">
        <v>1575</v>
      </c>
      <c r="B352" s="15" t="s">
        <v>83</v>
      </c>
      <c r="C352" s="15" t="s">
        <v>72</v>
      </c>
      <c r="D352" s="15" t="s">
        <v>554</v>
      </c>
      <c r="E352" s="15" t="s">
        <v>1480</v>
      </c>
      <c r="F352" s="15" t="s">
        <v>180</v>
      </c>
      <c r="G352" s="15" t="s">
        <v>76</v>
      </c>
      <c r="H352" s="15" t="s">
        <v>1576</v>
      </c>
      <c r="I352" s="15" t="s">
        <v>138</v>
      </c>
      <c r="J352" s="15" t="s">
        <v>106</v>
      </c>
      <c r="K352" s="15" t="s">
        <v>46</v>
      </c>
      <c r="L352" s="15" t="s">
        <v>78</v>
      </c>
      <c r="M352" s="15">
        <v>15</v>
      </c>
      <c r="N352" s="15">
        <v>1200</v>
      </c>
      <c r="O352" s="15">
        <v>0</v>
      </c>
      <c r="P352" s="15">
        <v>18000</v>
      </c>
      <c r="Q352" s="15">
        <v>3</v>
      </c>
      <c r="R352" s="15" t="s">
        <v>48</v>
      </c>
      <c r="S352" s="15" t="s">
        <v>61</v>
      </c>
      <c r="T352" s="15" t="s">
        <v>89</v>
      </c>
      <c r="U352" s="17" t="s">
        <v>1577</v>
      </c>
      <c r="V352" s="15" t="s">
        <v>69</v>
      </c>
    </row>
    <row r="353" spans="1:22">
      <c r="A353" s="18" t="s">
        <v>1578</v>
      </c>
      <c r="B353" s="18" t="s">
        <v>251</v>
      </c>
      <c r="C353" s="18" t="s">
        <v>72</v>
      </c>
      <c r="D353" s="18" t="s">
        <v>161</v>
      </c>
      <c r="E353" s="18" t="s">
        <v>657</v>
      </c>
      <c r="F353" s="18" t="s">
        <v>254</v>
      </c>
      <c r="G353" s="18" t="s">
        <v>28</v>
      </c>
      <c r="H353" s="18" t="s">
        <v>1579</v>
      </c>
      <c r="I353" s="18" t="s">
        <v>105</v>
      </c>
      <c r="J353" s="18" t="s">
        <v>106</v>
      </c>
      <c r="K353" s="18" t="s">
        <v>46</v>
      </c>
      <c r="L353" s="18" t="s">
        <v>78</v>
      </c>
      <c r="M353" s="18">
        <v>19</v>
      </c>
      <c r="N353" s="18">
        <v>1200</v>
      </c>
      <c r="O353" s="18">
        <v>0</v>
      </c>
      <c r="P353" s="18">
        <v>22800</v>
      </c>
      <c r="Q353" s="18">
        <v>1</v>
      </c>
      <c r="R353" s="18" t="s">
        <v>34</v>
      </c>
      <c r="S353" s="18" t="s">
        <v>49</v>
      </c>
      <c r="T353" s="18" t="s">
        <v>256</v>
      </c>
      <c r="U353" s="19" t="s">
        <v>1580</v>
      </c>
      <c r="V353" s="18" t="s">
        <v>69</v>
      </c>
    </row>
    <row r="354" spans="1:22">
      <c r="A354" s="15" t="s">
        <v>1581</v>
      </c>
      <c r="B354" s="15" t="s">
        <v>168</v>
      </c>
      <c r="C354" s="15" t="s">
        <v>40</v>
      </c>
      <c r="D354" s="15" t="s">
        <v>25</v>
      </c>
      <c r="E354" s="15" t="s">
        <v>1582</v>
      </c>
      <c r="F354" s="15" t="s">
        <v>361</v>
      </c>
      <c r="G354" s="15" t="s">
        <v>28</v>
      </c>
      <c r="H354" s="15" t="s">
        <v>1583</v>
      </c>
      <c r="I354" s="15" t="s">
        <v>105</v>
      </c>
      <c r="J354" s="15" t="s">
        <v>106</v>
      </c>
      <c r="K354" s="15" t="s">
        <v>46</v>
      </c>
      <c r="L354" s="15" t="s">
        <v>47</v>
      </c>
      <c r="M354" s="15">
        <v>9</v>
      </c>
      <c r="N354" s="15">
        <v>12000</v>
      </c>
      <c r="O354" s="15">
        <v>15</v>
      </c>
      <c r="P354" s="15">
        <v>91800</v>
      </c>
      <c r="Q354" s="15">
        <v>3</v>
      </c>
      <c r="R354" s="15" t="s">
        <v>88</v>
      </c>
      <c r="S354" s="15" t="s">
        <v>49</v>
      </c>
      <c r="T354" s="15" t="s">
        <v>175</v>
      </c>
      <c r="U354" s="17" t="s">
        <v>1584</v>
      </c>
      <c r="V354" s="15" t="s">
        <v>69</v>
      </c>
    </row>
    <row r="355" spans="1:22">
      <c r="A355" s="18" t="s">
        <v>1585</v>
      </c>
      <c r="B355" s="18" t="s">
        <v>23</v>
      </c>
      <c r="C355" s="18" t="s">
        <v>259</v>
      </c>
      <c r="D355" s="18" t="s">
        <v>345</v>
      </c>
      <c r="E355" s="18" t="s">
        <v>793</v>
      </c>
      <c r="F355" s="18" t="s">
        <v>27</v>
      </c>
      <c r="G355" s="18" t="s">
        <v>28</v>
      </c>
      <c r="H355" s="18" t="s">
        <v>1586</v>
      </c>
      <c r="I355" s="18" t="s">
        <v>212</v>
      </c>
      <c r="J355" s="18" t="s">
        <v>45</v>
      </c>
      <c r="K355" s="18" t="s">
        <v>122</v>
      </c>
      <c r="L355" s="18" t="s">
        <v>263</v>
      </c>
      <c r="M355" s="18">
        <v>5</v>
      </c>
      <c r="N355" s="18">
        <v>45</v>
      </c>
      <c r="O355" s="18">
        <v>5</v>
      </c>
      <c r="P355" s="18">
        <v>213.75</v>
      </c>
      <c r="Q355" s="18">
        <v>1</v>
      </c>
      <c r="R355" s="18" t="s">
        <v>79</v>
      </c>
      <c r="S355" s="18" t="s">
        <v>115</v>
      </c>
      <c r="T355" s="18" t="s">
        <v>50</v>
      </c>
      <c r="U355" s="19" t="s">
        <v>1587</v>
      </c>
      <c r="V355" s="18" t="s">
        <v>38</v>
      </c>
    </row>
    <row r="356" spans="1:22">
      <c r="A356" s="15" t="s">
        <v>1588</v>
      </c>
      <c r="B356" s="15" t="s">
        <v>251</v>
      </c>
      <c r="C356" s="15" t="s">
        <v>184</v>
      </c>
      <c r="D356" s="15" t="s">
        <v>1589</v>
      </c>
      <c r="E356" s="15" t="s">
        <v>1373</v>
      </c>
      <c r="F356" s="15" t="s">
        <v>254</v>
      </c>
      <c r="G356" s="15" t="s">
        <v>28</v>
      </c>
      <c r="H356" s="15" t="s">
        <v>1590</v>
      </c>
      <c r="I356" s="15" t="s">
        <v>105</v>
      </c>
      <c r="J356" s="15" t="s">
        <v>106</v>
      </c>
      <c r="K356" s="15" t="s">
        <v>46</v>
      </c>
      <c r="L356" s="15" t="s">
        <v>189</v>
      </c>
      <c r="M356" s="15">
        <v>3</v>
      </c>
      <c r="N356" s="15">
        <v>700</v>
      </c>
      <c r="O356" s="15">
        <v>15</v>
      </c>
      <c r="P356" s="15">
        <v>1785</v>
      </c>
      <c r="Q356" s="15">
        <v>4</v>
      </c>
      <c r="R356" s="15" t="s">
        <v>34</v>
      </c>
      <c r="S356" s="15" t="s">
        <v>151</v>
      </c>
      <c r="T356" s="15" t="s">
        <v>256</v>
      </c>
      <c r="U356" s="17" t="s">
        <v>1591</v>
      </c>
      <c r="V356" s="15" t="s">
        <v>38</v>
      </c>
    </row>
    <row r="357" spans="1:22">
      <c r="A357" s="18" t="s">
        <v>1592</v>
      </c>
      <c r="B357" s="18" t="s">
        <v>71</v>
      </c>
      <c r="C357" s="18" t="s">
        <v>169</v>
      </c>
      <c r="D357" s="18" t="s">
        <v>454</v>
      </c>
      <c r="E357" s="18" t="s">
        <v>961</v>
      </c>
      <c r="F357" s="18" t="s">
        <v>217</v>
      </c>
      <c r="G357" s="18" t="s">
        <v>76</v>
      </c>
      <c r="H357" s="18" t="s">
        <v>1593</v>
      </c>
      <c r="I357" s="18" t="s">
        <v>212</v>
      </c>
      <c r="J357" s="18" t="s">
        <v>45</v>
      </c>
      <c r="K357" s="18" t="s">
        <v>32</v>
      </c>
      <c r="L357" s="18" t="s">
        <v>174</v>
      </c>
      <c r="M357" s="18">
        <v>12</v>
      </c>
      <c r="N357" s="18">
        <v>8500</v>
      </c>
      <c r="O357" s="18">
        <v>5</v>
      </c>
      <c r="P357" s="18">
        <v>96900</v>
      </c>
      <c r="Q357" s="18">
        <v>3</v>
      </c>
      <c r="R357" s="18" t="s">
        <v>79</v>
      </c>
      <c r="S357" s="18" t="s">
        <v>61</v>
      </c>
      <c r="T357" s="18" t="s">
        <v>80</v>
      </c>
      <c r="U357" s="19" t="s">
        <v>1594</v>
      </c>
      <c r="V357" s="18" t="s">
        <v>64</v>
      </c>
    </row>
    <row r="358" spans="1:22">
      <c r="A358" s="15" t="s">
        <v>1595</v>
      </c>
      <c r="B358" s="15" t="s">
        <v>251</v>
      </c>
      <c r="C358" s="15" t="s">
        <v>169</v>
      </c>
      <c r="D358" s="15" t="s">
        <v>162</v>
      </c>
      <c r="E358" s="15" t="s">
        <v>356</v>
      </c>
      <c r="F358" s="15" t="s">
        <v>254</v>
      </c>
      <c r="G358" s="15" t="s">
        <v>28</v>
      </c>
      <c r="H358" s="15" t="s">
        <v>1596</v>
      </c>
      <c r="I358" s="15" t="s">
        <v>114</v>
      </c>
      <c r="J358" s="15" t="s">
        <v>106</v>
      </c>
      <c r="K358" s="15" t="s">
        <v>32</v>
      </c>
      <c r="L358" s="15" t="s">
        <v>174</v>
      </c>
      <c r="M358" s="15">
        <v>4</v>
      </c>
      <c r="N358" s="15">
        <v>8500</v>
      </c>
      <c r="O358" s="15">
        <v>15</v>
      </c>
      <c r="P358" s="15">
        <v>28900</v>
      </c>
      <c r="Q358" s="15">
        <v>4</v>
      </c>
      <c r="R358" s="15" t="s">
        <v>48</v>
      </c>
      <c r="S358" s="15" t="s">
        <v>61</v>
      </c>
      <c r="T358" s="15" t="s">
        <v>256</v>
      </c>
      <c r="U358" s="17" t="s">
        <v>1597</v>
      </c>
      <c r="V358" s="15" t="s">
        <v>64</v>
      </c>
    </row>
    <row r="359" spans="1:22">
      <c r="A359" s="18" t="s">
        <v>1598</v>
      </c>
      <c r="B359" s="18" t="s">
        <v>127</v>
      </c>
      <c r="C359" s="18" t="s">
        <v>222</v>
      </c>
      <c r="D359" s="18" t="s">
        <v>102</v>
      </c>
      <c r="E359" s="18" t="s">
        <v>953</v>
      </c>
      <c r="F359" s="18" t="s">
        <v>200</v>
      </c>
      <c r="G359" s="18" t="s">
        <v>76</v>
      </c>
      <c r="H359" s="18" t="s">
        <v>1599</v>
      </c>
      <c r="I359" s="18" t="s">
        <v>212</v>
      </c>
      <c r="J359" s="18" t="s">
        <v>45</v>
      </c>
      <c r="K359" s="18" t="s">
        <v>122</v>
      </c>
      <c r="L359" s="18" t="s">
        <v>227</v>
      </c>
      <c r="M359" s="18">
        <v>16</v>
      </c>
      <c r="N359" s="18">
        <v>20</v>
      </c>
      <c r="O359" s="18">
        <v>10</v>
      </c>
      <c r="P359" s="18">
        <v>288</v>
      </c>
      <c r="Q359" s="18">
        <v>4</v>
      </c>
      <c r="R359" s="18" t="s">
        <v>34</v>
      </c>
      <c r="S359" s="18" t="s">
        <v>115</v>
      </c>
      <c r="T359" s="18" t="s">
        <v>132</v>
      </c>
      <c r="U359" s="19" t="s">
        <v>1600</v>
      </c>
      <c r="V359" s="18" t="s">
        <v>69</v>
      </c>
    </row>
    <row r="360" spans="1:22">
      <c r="A360" s="15" t="s">
        <v>1601</v>
      </c>
      <c r="B360" s="15" t="s">
        <v>127</v>
      </c>
      <c r="C360" s="15" t="s">
        <v>118</v>
      </c>
      <c r="D360" s="15" t="s">
        <v>601</v>
      </c>
      <c r="E360" s="15" t="s">
        <v>1602</v>
      </c>
      <c r="F360" s="15" t="s">
        <v>200</v>
      </c>
      <c r="G360" s="15" t="s">
        <v>76</v>
      </c>
      <c r="H360" s="15" t="s">
        <v>1603</v>
      </c>
      <c r="I360" s="15" t="s">
        <v>105</v>
      </c>
      <c r="J360" s="15" t="s">
        <v>106</v>
      </c>
      <c r="K360" s="15" t="s">
        <v>122</v>
      </c>
      <c r="L360" s="15" t="s">
        <v>123</v>
      </c>
      <c r="M360" s="15">
        <v>3</v>
      </c>
      <c r="N360" s="15">
        <v>60</v>
      </c>
      <c r="O360" s="15">
        <v>20</v>
      </c>
      <c r="P360" s="15">
        <v>144</v>
      </c>
      <c r="Q360" s="15">
        <v>4</v>
      </c>
      <c r="R360" s="15" t="s">
        <v>88</v>
      </c>
      <c r="S360" s="15" t="s">
        <v>151</v>
      </c>
      <c r="T360" s="15" t="s">
        <v>132</v>
      </c>
      <c r="U360" s="17" t="s">
        <v>1604</v>
      </c>
      <c r="V360" s="15" t="s">
        <v>64</v>
      </c>
    </row>
    <row r="361" spans="1:22">
      <c r="A361" s="18" t="s">
        <v>1605</v>
      </c>
      <c r="B361" s="18" t="s">
        <v>71</v>
      </c>
      <c r="C361" s="18" t="s">
        <v>24</v>
      </c>
      <c r="D361" s="18" t="s">
        <v>1106</v>
      </c>
      <c r="E361" s="18" t="s">
        <v>155</v>
      </c>
      <c r="F361" s="18" t="s">
        <v>217</v>
      </c>
      <c r="G361" s="18" t="s">
        <v>76</v>
      </c>
      <c r="H361" s="18" t="s">
        <v>1606</v>
      </c>
      <c r="I361" s="18" t="s">
        <v>105</v>
      </c>
      <c r="J361" s="18" t="s">
        <v>106</v>
      </c>
      <c r="K361" s="18" t="s">
        <v>32</v>
      </c>
      <c r="L361" s="18" t="s">
        <v>33</v>
      </c>
      <c r="M361" s="18">
        <v>19</v>
      </c>
      <c r="N361" s="18">
        <v>2200</v>
      </c>
      <c r="O361" s="18">
        <v>10</v>
      </c>
      <c r="P361" s="18">
        <v>37620</v>
      </c>
      <c r="Q361" s="18">
        <v>2</v>
      </c>
      <c r="R361" s="18" t="s">
        <v>34</v>
      </c>
      <c r="S361" s="18" t="s">
        <v>151</v>
      </c>
      <c r="T361" s="18" t="s">
        <v>80</v>
      </c>
      <c r="U361" s="19" t="s">
        <v>1607</v>
      </c>
      <c r="V361" s="18" t="s">
        <v>64</v>
      </c>
    </row>
    <row r="362" spans="1:22">
      <c r="A362" s="15" t="s">
        <v>1608</v>
      </c>
      <c r="B362" s="15" t="s">
        <v>71</v>
      </c>
      <c r="C362" s="15" t="s">
        <v>72</v>
      </c>
      <c r="D362" s="15" t="s">
        <v>1609</v>
      </c>
      <c r="E362" s="15" t="s">
        <v>588</v>
      </c>
      <c r="F362" s="15" t="s">
        <v>217</v>
      </c>
      <c r="G362" s="15" t="s">
        <v>76</v>
      </c>
      <c r="H362" s="15" t="s">
        <v>1610</v>
      </c>
      <c r="I362" s="15" t="s">
        <v>30</v>
      </c>
      <c r="J362" s="15" t="s">
        <v>31</v>
      </c>
      <c r="K362" s="15" t="s">
        <v>46</v>
      </c>
      <c r="L362" s="15" t="s">
        <v>78</v>
      </c>
      <c r="M362" s="15">
        <v>7</v>
      </c>
      <c r="N362" s="15">
        <v>1200</v>
      </c>
      <c r="O362" s="15">
        <v>20</v>
      </c>
      <c r="P362" s="15">
        <v>6720</v>
      </c>
      <c r="Q362" s="15">
        <v>3</v>
      </c>
      <c r="R362" s="15" t="s">
        <v>79</v>
      </c>
      <c r="S362" s="15" t="s">
        <v>115</v>
      </c>
      <c r="T362" s="15" t="s">
        <v>80</v>
      </c>
      <c r="U362" s="17" t="s">
        <v>1611</v>
      </c>
      <c r="V362" s="15" t="s">
        <v>69</v>
      </c>
    </row>
    <row r="363" spans="1:22">
      <c r="A363" s="18" t="s">
        <v>1612</v>
      </c>
      <c r="B363" s="18" t="s">
        <v>53</v>
      </c>
      <c r="C363" s="18" t="s">
        <v>222</v>
      </c>
      <c r="D363" s="18" t="s">
        <v>543</v>
      </c>
      <c r="E363" s="18" t="s">
        <v>65</v>
      </c>
      <c r="F363" s="18" t="s">
        <v>163</v>
      </c>
      <c r="G363" s="18" t="s">
        <v>28</v>
      </c>
      <c r="H363" s="18" t="s">
        <v>1613</v>
      </c>
      <c r="I363" s="18" t="s">
        <v>59</v>
      </c>
      <c r="J363" s="18" t="s">
        <v>31</v>
      </c>
      <c r="K363" s="18" t="s">
        <v>122</v>
      </c>
      <c r="L363" s="18" t="s">
        <v>227</v>
      </c>
      <c r="M363" s="18">
        <v>20</v>
      </c>
      <c r="N363" s="18">
        <v>20</v>
      </c>
      <c r="O363" s="18">
        <v>20</v>
      </c>
      <c r="P363" s="18">
        <v>320</v>
      </c>
      <c r="Q363" s="18">
        <v>5</v>
      </c>
      <c r="R363" s="18" t="s">
        <v>79</v>
      </c>
      <c r="S363" s="18" t="s">
        <v>115</v>
      </c>
      <c r="T363" s="18" t="s">
        <v>62</v>
      </c>
      <c r="U363" s="19" t="s">
        <v>1614</v>
      </c>
      <c r="V363" s="18" t="s">
        <v>64</v>
      </c>
    </row>
    <row r="364" spans="1:22">
      <c r="A364" s="15" t="s">
        <v>1615</v>
      </c>
      <c r="B364" s="15" t="s">
        <v>100</v>
      </c>
      <c r="C364" s="15" t="s">
        <v>72</v>
      </c>
      <c r="D364" s="15" t="s">
        <v>210</v>
      </c>
      <c r="E364" s="15" t="s">
        <v>1616</v>
      </c>
      <c r="F364" s="15" t="s">
        <v>103</v>
      </c>
      <c r="G364" s="15" t="s">
        <v>28</v>
      </c>
      <c r="H364" s="15" t="s">
        <v>1617</v>
      </c>
      <c r="I364" s="15" t="s">
        <v>30</v>
      </c>
      <c r="J364" s="15" t="s">
        <v>31</v>
      </c>
      <c r="K364" s="15" t="s">
        <v>46</v>
      </c>
      <c r="L364" s="15" t="s">
        <v>78</v>
      </c>
      <c r="M364" s="15">
        <v>19</v>
      </c>
      <c r="N364" s="15">
        <v>1200</v>
      </c>
      <c r="O364" s="15">
        <v>5</v>
      </c>
      <c r="P364" s="15">
        <v>21660</v>
      </c>
      <c r="Q364" s="15">
        <v>3</v>
      </c>
      <c r="R364" s="15" t="s">
        <v>79</v>
      </c>
      <c r="S364" s="15" t="s">
        <v>35</v>
      </c>
      <c r="T364" s="15" t="s">
        <v>144</v>
      </c>
      <c r="U364" s="17" t="s">
        <v>1618</v>
      </c>
      <c r="V364" s="15" t="s">
        <v>64</v>
      </c>
    </row>
    <row r="365" spans="1:22">
      <c r="A365" s="18" t="s">
        <v>1619</v>
      </c>
      <c r="B365" s="18" t="s">
        <v>53</v>
      </c>
      <c r="C365" s="18" t="s">
        <v>222</v>
      </c>
      <c r="D365" s="18" t="s">
        <v>1620</v>
      </c>
      <c r="E365" s="18" t="s">
        <v>302</v>
      </c>
      <c r="F365" s="18" t="s">
        <v>163</v>
      </c>
      <c r="G365" s="18" t="s">
        <v>28</v>
      </c>
      <c r="H365" s="18" t="s">
        <v>1621</v>
      </c>
      <c r="I365" s="18" t="s">
        <v>30</v>
      </c>
      <c r="J365" s="18" t="s">
        <v>31</v>
      </c>
      <c r="K365" s="18" t="s">
        <v>122</v>
      </c>
      <c r="L365" s="18" t="s">
        <v>227</v>
      </c>
      <c r="M365" s="18">
        <v>5</v>
      </c>
      <c r="N365" s="18">
        <v>20</v>
      </c>
      <c r="O365" s="18">
        <v>0</v>
      </c>
      <c r="P365" s="18">
        <v>100</v>
      </c>
      <c r="Q365" s="18">
        <v>2</v>
      </c>
      <c r="R365" s="18" t="s">
        <v>88</v>
      </c>
      <c r="S365" s="18" t="s">
        <v>49</v>
      </c>
      <c r="T365" s="18" t="s">
        <v>62</v>
      </c>
      <c r="U365" s="19" t="s">
        <v>1622</v>
      </c>
      <c r="V365" s="18" t="s">
        <v>64</v>
      </c>
    </row>
    <row r="366" spans="1:22">
      <c r="A366" s="15" t="s">
        <v>1623</v>
      </c>
      <c r="B366" s="15" t="s">
        <v>100</v>
      </c>
      <c r="C366" s="15" t="s">
        <v>259</v>
      </c>
      <c r="D366" s="15" t="s">
        <v>797</v>
      </c>
      <c r="E366" s="15" t="s">
        <v>543</v>
      </c>
      <c r="F366" s="15" t="s">
        <v>103</v>
      </c>
      <c r="G366" s="15" t="s">
        <v>28</v>
      </c>
      <c r="H366" s="15" t="s">
        <v>1624</v>
      </c>
      <c r="I366" s="15" t="s">
        <v>212</v>
      </c>
      <c r="J366" s="15" t="s">
        <v>45</v>
      </c>
      <c r="K366" s="15" t="s">
        <v>122</v>
      </c>
      <c r="L366" s="15" t="s">
        <v>263</v>
      </c>
      <c r="M366" s="15">
        <v>16</v>
      </c>
      <c r="N366" s="15">
        <v>45</v>
      </c>
      <c r="O366" s="15">
        <v>15</v>
      </c>
      <c r="P366" s="15">
        <v>612</v>
      </c>
      <c r="Q366" s="15">
        <v>5</v>
      </c>
      <c r="R366" s="15" t="s">
        <v>34</v>
      </c>
      <c r="S366" s="15" t="s">
        <v>61</v>
      </c>
      <c r="T366" s="15" t="s">
        <v>144</v>
      </c>
      <c r="U366" s="17" t="s">
        <v>1625</v>
      </c>
      <c r="V366" s="15" t="s">
        <v>69</v>
      </c>
    </row>
    <row r="367" spans="1:22">
      <c r="A367" s="18" t="s">
        <v>1626</v>
      </c>
      <c r="B367" s="18" t="s">
        <v>23</v>
      </c>
      <c r="C367" s="18" t="s">
        <v>24</v>
      </c>
      <c r="D367" s="18" t="s">
        <v>1263</v>
      </c>
      <c r="E367" s="18" t="s">
        <v>944</v>
      </c>
      <c r="F367" s="18" t="s">
        <v>27</v>
      </c>
      <c r="G367" s="18" t="s">
        <v>28</v>
      </c>
      <c r="H367" s="18" t="s">
        <v>1627</v>
      </c>
      <c r="I367" s="18" t="s">
        <v>212</v>
      </c>
      <c r="J367" s="18" t="s">
        <v>45</v>
      </c>
      <c r="K367" s="18" t="s">
        <v>32</v>
      </c>
      <c r="L367" s="18" t="s">
        <v>33</v>
      </c>
      <c r="M367" s="18">
        <v>1</v>
      </c>
      <c r="N367" s="18">
        <v>2200</v>
      </c>
      <c r="O367" s="18">
        <v>10</v>
      </c>
      <c r="P367" s="18">
        <v>1980</v>
      </c>
      <c r="Q367" s="18">
        <v>5</v>
      </c>
      <c r="R367" s="18" t="s">
        <v>79</v>
      </c>
      <c r="S367" s="18" t="s">
        <v>49</v>
      </c>
      <c r="T367" s="18" t="s">
        <v>50</v>
      </c>
      <c r="U367" s="19" t="s">
        <v>1628</v>
      </c>
      <c r="V367" s="18" t="s">
        <v>38</v>
      </c>
    </row>
    <row r="368" spans="1:22">
      <c r="A368" s="15" t="s">
        <v>1629</v>
      </c>
      <c r="B368" s="15" t="s">
        <v>53</v>
      </c>
      <c r="C368" s="15" t="s">
        <v>118</v>
      </c>
      <c r="D368" s="15" t="s">
        <v>891</v>
      </c>
      <c r="E368" s="15" t="s">
        <v>1630</v>
      </c>
      <c r="F368" s="15" t="s">
        <v>163</v>
      </c>
      <c r="G368" s="15" t="s">
        <v>28</v>
      </c>
      <c r="H368" s="15" t="s">
        <v>1631</v>
      </c>
      <c r="I368" s="15" t="s">
        <v>30</v>
      </c>
      <c r="J368" s="15" t="s">
        <v>31</v>
      </c>
      <c r="K368" s="15" t="s">
        <v>122</v>
      </c>
      <c r="L368" s="15" t="s">
        <v>123</v>
      </c>
      <c r="M368" s="15">
        <v>19</v>
      </c>
      <c r="N368" s="15">
        <v>60</v>
      </c>
      <c r="O368" s="15">
        <v>15</v>
      </c>
      <c r="P368" s="15">
        <v>969</v>
      </c>
      <c r="Q368" s="15">
        <v>4</v>
      </c>
      <c r="R368" s="15" t="s">
        <v>48</v>
      </c>
      <c r="S368" s="15" t="s">
        <v>115</v>
      </c>
      <c r="T368" s="15" t="s">
        <v>62</v>
      </c>
      <c r="U368" s="17" t="s">
        <v>1632</v>
      </c>
      <c r="V368" s="15" t="s">
        <v>69</v>
      </c>
    </row>
    <row r="369" spans="1:22">
      <c r="A369" s="18" t="s">
        <v>1633</v>
      </c>
      <c r="B369" s="18" t="s">
        <v>327</v>
      </c>
      <c r="C369" s="18" t="s">
        <v>54</v>
      </c>
      <c r="D369" s="18" t="s">
        <v>64</v>
      </c>
      <c r="E369" s="18" t="s">
        <v>1634</v>
      </c>
      <c r="F369" s="18" t="s">
        <v>394</v>
      </c>
      <c r="G369" s="18" t="s">
        <v>76</v>
      </c>
      <c r="H369" s="18" t="s">
        <v>1635</v>
      </c>
      <c r="I369" s="18" t="s">
        <v>44</v>
      </c>
      <c r="J369" s="18" t="s">
        <v>45</v>
      </c>
      <c r="K369" s="18" t="s">
        <v>46</v>
      </c>
      <c r="L369" s="18" t="s">
        <v>60</v>
      </c>
      <c r="M369" s="18">
        <v>15</v>
      </c>
      <c r="N369" s="18">
        <v>55000</v>
      </c>
      <c r="O369" s="18">
        <v>0</v>
      </c>
      <c r="P369" s="18">
        <v>825000</v>
      </c>
      <c r="Q369" s="18">
        <v>5</v>
      </c>
      <c r="R369" s="18" t="s">
        <v>79</v>
      </c>
      <c r="S369" s="18" t="s">
        <v>115</v>
      </c>
      <c r="T369" s="18" t="s">
        <v>332</v>
      </c>
      <c r="U369" s="19" t="s">
        <v>1636</v>
      </c>
      <c r="V369" s="18" t="s">
        <v>69</v>
      </c>
    </row>
    <row r="370" spans="1:22">
      <c r="A370" s="15" t="s">
        <v>1637</v>
      </c>
      <c r="B370" s="15" t="s">
        <v>71</v>
      </c>
      <c r="C370" s="15" t="s">
        <v>259</v>
      </c>
      <c r="D370" s="15" t="s">
        <v>941</v>
      </c>
      <c r="E370" s="15" t="s">
        <v>1638</v>
      </c>
      <c r="F370" s="15" t="s">
        <v>217</v>
      </c>
      <c r="G370" s="15" t="s">
        <v>76</v>
      </c>
      <c r="H370" s="15" t="s">
        <v>1639</v>
      </c>
      <c r="I370" s="15" t="s">
        <v>59</v>
      </c>
      <c r="J370" s="15" t="s">
        <v>31</v>
      </c>
      <c r="K370" s="15" t="s">
        <v>122</v>
      </c>
      <c r="L370" s="15" t="s">
        <v>263</v>
      </c>
      <c r="M370" s="15">
        <v>11</v>
      </c>
      <c r="N370" s="15">
        <v>45</v>
      </c>
      <c r="O370" s="15">
        <v>5</v>
      </c>
      <c r="P370" s="15">
        <v>470.25</v>
      </c>
      <c r="Q370" s="15">
        <v>5</v>
      </c>
      <c r="R370" s="15" t="s">
        <v>48</v>
      </c>
      <c r="S370" s="15" t="s">
        <v>151</v>
      </c>
      <c r="T370" s="15" t="s">
        <v>80</v>
      </c>
      <c r="U370" s="17" t="s">
        <v>1640</v>
      </c>
      <c r="V370" s="15" t="s">
        <v>38</v>
      </c>
    </row>
    <row r="371" spans="1:22">
      <c r="A371" s="18" t="s">
        <v>1641</v>
      </c>
      <c r="B371" s="18" t="s">
        <v>251</v>
      </c>
      <c r="C371" s="18" t="s">
        <v>222</v>
      </c>
      <c r="D371" s="18" t="s">
        <v>1642</v>
      </c>
      <c r="E371" s="18" t="s">
        <v>1643</v>
      </c>
      <c r="F371" s="18" t="s">
        <v>254</v>
      </c>
      <c r="G371" s="18" t="s">
        <v>28</v>
      </c>
      <c r="H371" s="18" t="s">
        <v>1644</v>
      </c>
      <c r="I371" s="18" t="s">
        <v>212</v>
      </c>
      <c r="J371" s="18" t="s">
        <v>45</v>
      </c>
      <c r="K371" s="18" t="s">
        <v>122</v>
      </c>
      <c r="L371" s="18" t="s">
        <v>227</v>
      </c>
      <c r="M371" s="18">
        <v>9</v>
      </c>
      <c r="N371" s="18">
        <v>20</v>
      </c>
      <c r="O371" s="18">
        <v>10</v>
      </c>
      <c r="P371" s="18">
        <v>162</v>
      </c>
      <c r="Q371" s="18">
        <v>1</v>
      </c>
      <c r="R371" s="18" t="s">
        <v>79</v>
      </c>
      <c r="S371" s="18" t="s">
        <v>49</v>
      </c>
      <c r="T371" s="18" t="s">
        <v>256</v>
      </c>
      <c r="U371" s="19" t="s">
        <v>1645</v>
      </c>
      <c r="V371" s="18" t="s">
        <v>69</v>
      </c>
    </row>
    <row r="372" spans="1:22">
      <c r="A372" s="15" t="s">
        <v>1646</v>
      </c>
      <c r="B372" s="15" t="s">
        <v>168</v>
      </c>
      <c r="C372" s="15" t="s">
        <v>259</v>
      </c>
      <c r="D372" s="15" t="s">
        <v>645</v>
      </c>
      <c r="E372" s="15" t="s">
        <v>980</v>
      </c>
      <c r="F372" s="15" t="s">
        <v>361</v>
      </c>
      <c r="G372" s="15" t="s">
        <v>28</v>
      </c>
      <c r="H372" s="15" t="s">
        <v>1647</v>
      </c>
      <c r="I372" s="15" t="s">
        <v>59</v>
      </c>
      <c r="J372" s="15" t="s">
        <v>31</v>
      </c>
      <c r="K372" s="15" t="s">
        <v>122</v>
      </c>
      <c r="L372" s="15" t="s">
        <v>263</v>
      </c>
      <c r="M372" s="15">
        <v>5</v>
      </c>
      <c r="N372" s="15">
        <v>45</v>
      </c>
      <c r="O372" s="15">
        <v>5</v>
      </c>
      <c r="P372" s="15">
        <v>213.75</v>
      </c>
      <c r="Q372" s="15">
        <v>3</v>
      </c>
      <c r="R372" s="15" t="s">
        <v>79</v>
      </c>
      <c r="S372" s="15" t="s">
        <v>115</v>
      </c>
      <c r="T372" s="15" t="s">
        <v>175</v>
      </c>
      <c r="U372" s="17" t="s">
        <v>1648</v>
      </c>
      <c r="V372" s="15" t="s">
        <v>64</v>
      </c>
    </row>
    <row r="373" spans="1:22">
      <c r="A373" s="18" t="s">
        <v>1649</v>
      </c>
      <c r="B373" s="18" t="s">
        <v>83</v>
      </c>
      <c r="C373" s="18" t="s">
        <v>184</v>
      </c>
      <c r="D373" s="18" t="s">
        <v>1650</v>
      </c>
      <c r="E373" s="18" t="s">
        <v>1102</v>
      </c>
      <c r="F373" s="18" t="s">
        <v>180</v>
      </c>
      <c r="G373" s="18" t="s">
        <v>76</v>
      </c>
      <c r="H373" s="18" t="s">
        <v>1651</v>
      </c>
      <c r="I373" s="18" t="s">
        <v>30</v>
      </c>
      <c r="J373" s="18" t="s">
        <v>31</v>
      </c>
      <c r="K373" s="18" t="s">
        <v>46</v>
      </c>
      <c r="L373" s="18" t="s">
        <v>189</v>
      </c>
      <c r="M373" s="18">
        <v>5</v>
      </c>
      <c r="N373" s="18">
        <v>700</v>
      </c>
      <c r="O373" s="18">
        <v>10</v>
      </c>
      <c r="P373" s="18">
        <v>3150</v>
      </c>
      <c r="Q373" s="18">
        <v>2</v>
      </c>
      <c r="R373" s="18" t="s">
        <v>88</v>
      </c>
      <c r="S373" s="18" t="s">
        <v>49</v>
      </c>
      <c r="T373" s="18" t="s">
        <v>89</v>
      </c>
      <c r="U373" s="19" t="s">
        <v>1652</v>
      </c>
      <c r="V373" s="18" t="s">
        <v>38</v>
      </c>
    </row>
    <row r="374" spans="1:22">
      <c r="A374" s="15" t="s">
        <v>1653</v>
      </c>
      <c r="B374" s="15" t="s">
        <v>221</v>
      </c>
      <c r="C374" s="15" t="s">
        <v>184</v>
      </c>
      <c r="D374" s="15" t="s">
        <v>957</v>
      </c>
      <c r="E374" s="15" t="s">
        <v>1654</v>
      </c>
      <c r="F374" s="15" t="s">
        <v>225</v>
      </c>
      <c r="G374" s="15" t="s">
        <v>76</v>
      </c>
      <c r="H374" s="15" t="s">
        <v>1655</v>
      </c>
      <c r="I374" s="15" t="s">
        <v>294</v>
      </c>
      <c r="J374" s="15" t="s">
        <v>295</v>
      </c>
      <c r="K374" s="15" t="s">
        <v>46</v>
      </c>
      <c r="L374" s="15" t="s">
        <v>189</v>
      </c>
      <c r="M374" s="15">
        <v>1</v>
      </c>
      <c r="N374" s="15">
        <v>700</v>
      </c>
      <c r="O374" s="15">
        <v>0</v>
      </c>
      <c r="P374" s="15">
        <v>700</v>
      </c>
      <c r="Q374" s="15">
        <v>1</v>
      </c>
      <c r="R374" s="15" t="s">
        <v>88</v>
      </c>
      <c r="S374" s="15" t="s">
        <v>151</v>
      </c>
      <c r="T374" s="15" t="s">
        <v>228</v>
      </c>
      <c r="U374" s="17" t="s">
        <v>1656</v>
      </c>
      <c r="V374" s="15" t="s">
        <v>38</v>
      </c>
    </row>
    <row r="375" spans="1:22">
      <c r="A375" s="18" t="s">
        <v>1657</v>
      </c>
      <c r="B375" s="18" t="s">
        <v>23</v>
      </c>
      <c r="C375" s="18" t="s">
        <v>184</v>
      </c>
      <c r="D375" s="18" t="s">
        <v>1368</v>
      </c>
      <c r="E375" s="18" t="s">
        <v>923</v>
      </c>
      <c r="F375" s="18" t="s">
        <v>27</v>
      </c>
      <c r="G375" s="18" t="s">
        <v>28</v>
      </c>
      <c r="H375" s="18" t="s">
        <v>1658</v>
      </c>
      <c r="I375" s="18" t="s">
        <v>105</v>
      </c>
      <c r="J375" s="18" t="s">
        <v>106</v>
      </c>
      <c r="K375" s="18" t="s">
        <v>46</v>
      </c>
      <c r="L375" s="18" t="s">
        <v>189</v>
      </c>
      <c r="M375" s="18">
        <v>13</v>
      </c>
      <c r="N375" s="18">
        <v>700</v>
      </c>
      <c r="O375" s="18">
        <v>20</v>
      </c>
      <c r="P375" s="18">
        <v>7280</v>
      </c>
      <c r="Q375" s="18">
        <v>2</v>
      </c>
      <c r="R375" s="18" t="s">
        <v>79</v>
      </c>
      <c r="S375" s="18" t="s">
        <v>35</v>
      </c>
      <c r="T375" s="18" t="s">
        <v>50</v>
      </c>
      <c r="U375" s="19" t="s">
        <v>1659</v>
      </c>
      <c r="V375" s="18" t="s">
        <v>38</v>
      </c>
    </row>
    <row r="376" spans="1:22">
      <c r="A376" s="15" t="s">
        <v>1660</v>
      </c>
      <c r="B376" s="15" t="s">
        <v>71</v>
      </c>
      <c r="C376" s="15" t="s">
        <v>40</v>
      </c>
      <c r="D376" s="15" t="s">
        <v>1153</v>
      </c>
      <c r="E376" s="15" t="s">
        <v>303</v>
      </c>
      <c r="F376" s="15" t="s">
        <v>217</v>
      </c>
      <c r="G376" s="15" t="s">
        <v>76</v>
      </c>
      <c r="H376" s="15" t="s">
        <v>1661</v>
      </c>
      <c r="I376" s="15" t="s">
        <v>114</v>
      </c>
      <c r="J376" s="15" t="s">
        <v>106</v>
      </c>
      <c r="K376" s="15" t="s">
        <v>46</v>
      </c>
      <c r="L376" s="15" t="s">
        <v>47</v>
      </c>
      <c r="M376" s="15">
        <v>20</v>
      </c>
      <c r="N376" s="15">
        <v>12000</v>
      </c>
      <c r="O376" s="15">
        <v>0</v>
      </c>
      <c r="P376" s="15">
        <v>240000</v>
      </c>
      <c r="Q376" s="15">
        <v>2</v>
      </c>
      <c r="R376" s="15" t="s">
        <v>79</v>
      </c>
      <c r="S376" s="15" t="s">
        <v>115</v>
      </c>
      <c r="T376" s="15" t="s">
        <v>80</v>
      </c>
      <c r="U376" s="17" t="s">
        <v>1662</v>
      </c>
      <c r="V376" s="15" t="s">
        <v>38</v>
      </c>
    </row>
    <row r="377" spans="1:22">
      <c r="A377" s="18" t="s">
        <v>1663</v>
      </c>
      <c r="B377" s="18" t="s">
        <v>83</v>
      </c>
      <c r="C377" s="18" t="s">
        <v>72</v>
      </c>
      <c r="D377" s="18" t="s">
        <v>1198</v>
      </c>
      <c r="E377" s="18" t="s">
        <v>712</v>
      </c>
      <c r="F377" s="18" t="s">
        <v>180</v>
      </c>
      <c r="G377" s="18" t="s">
        <v>76</v>
      </c>
      <c r="H377" s="18" t="s">
        <v>1664</v>
      </c>
      <c r="I377" s="18" t="s">
        <v>294</v>
      </c>
      <c r="J377" s="18" t="s">
        <v>295</v>
      </c>
      <c r="K377" s="18" t="s">
        <v>46</v>
      </c>
      <c r="L377" s="18" t="s">
        <v>78</v>
      </c>
      <c r="M377" s="18">
        <v>9</v>
      </c>
      <c r="N377" s="18">
        <v>1200</v>
      </c>
      <c r="O377" s="18">
        <v>15</v>
      </c>
      <c r="P377" s="18">
        <v>9180</v>
      </c>
      <c r="Q377" s="18">
        <v>1</v>
      </c>
      <c r="R377" s="18" t="s">
        <v>88</v>
      </c>
      <c r="S377" s="18" t="s">
        <v>35</v>
      </c>
      <c r="T377" s="18" t="s">
        <v>89</v>
      </c>
      <c r="U377" s="19" t="s">
        <v>1665</v>
      </c>
      <c r="V377" s="18" t="s">
        <v>64</v>
      </c>
    </row>
    <row r="378" spans="1:22">
      <c r="A378" s="15" t="s">
        <v>1666</v>
      </c>
      <c r="B378" s="15" t="s">
        <v>83</v>
      </c>
      <c r="C378" s="15" t="s">
        <v>222</v>
      </c>
      <c r="D378" s="15" t="s">
        <v>1221</v>
      </c>
      <c r="E378" s="15" t="s">
        <v>1667</v>
      </c>
      <c r="F378" s="15" t="s">
        <v>180</v>
      </c>
      <c r="G378" s="15" t="s">
        <v>76</v>
      </c>
      <c r="H378" s="15" t="s">
        <v>1668</v>
      </c>
      <c r="I378" s="15" t="s">
        <v>212</v>
      </c>
      <c r="J378" s="15" t="s">
        <v>45</v>
      </c>
      <c r="K378" s="15" t="s">
        <v>122</v>
      </c>
      <c r="L378" s="15" t="s">
        <v>227</v>
      </c>
      <c r="M378" s="15">
        <v>3</v>
      </c>
      <c r="N378" s="15">
        <v>20</v>
      </c>
      <c r="O378" s="15">
        <v>15</v>
      </c>
      <c r="P378" s="15">
        <v>51</v>
      </c>
      <c r="Q378" s="15">
        <v>3</v>
      </c>
      <c r="R378" s="15" t="s">
        <v>34</v>
      </c>
      <c r="S378" s="15" t="s">
        <v>115</v>
      </c>
      <c r="T378" s="15" t="s">
        <v>89</v>
      </c>
      <c r="U378" s="17" t="s">
        <v>1669</v>
      </c>
      <c r="V378" s="15" t="s">
        <v>64</v>
      </c>
    </row>
    <row r="379" spans="1:22">
      <c r="A379" s="18" t="s">
        <v>1670</v>
      </c>
      <c r="B379" s="18" t="s">
        <v>251</v>
      </c>
      <c r="C379" s="18" t="s">
        <v>54</v>
      </c>
      <c r="D379" s="18" t="s">
        <v>788</v>
      </c>
      <c r="E379" s="18" t="s">
        <v>455</v>
      </c>
      <c r="F379" s="18" t="s">
        <v>254</v>
      </c>
      <c r="G379" s="18" t="s">
        <v>28</v>
      </c>
      <c r="H379" s="18" t="s">
        <v>1671</v>
      </c>
      <c r="I379" s="18" t="s">
        <v>44</v>
      </c>
      <c r="J379" s="18" t="s">
        <v>45</v>
      </c>
      <c r="K379" s="18" t="s">
        <v>46</v>
      </c>
      <c r="L379" s="18" t="s">
        <v>60</v>
      </c>
      <c r="M379" s="18">
        <v>8</v>
      </c>
      <c r="N379" s="18">
        <v>55000</v>
      </c>
      <c r="O379" s="18">
        <v>20</v>
      </c>
      <c r="P379" s="18">
        <v>352000</v>
      </c>
      <c r="Q379" s="18">
        <v>5</v>
      </c>
      <c r="R379" s="18" t="s">
        <v>79</v>
      </c>
      <c r="S379" s="18" t="s">
        <v>151</v>
      </c>
      <c r="T379" s="18" t="s">
        <v>256</v>
      </c>
      <c r="U379" s="19" t="s">
        <v>1672</v>
      </c>
      <c r="V379" s="18" t="s">
        <v>64</v>
      </c>
    </row>
    <row r="380" spans="1:22">
      <c r="A380" s="15" t="s">
        <v>1673</v>
      </c>
      <c r="B380" s="15" t="s">
        <v>251</v>
      </c>
      <c r="C380" s="15" t="s">
        <v>118</v>
      </c>
      <c r="D380" s="15" t="s">
        <v>1311</v>
      </c>
      <c r="E380" s="15" t="s">
        <v>74</v>
      </c>
      <c r="F380" s="15" t="s">
        <v>254</v>
      </c>
      <c r="G380" s="15" t="s">
        <v>28</v>
      </c>
      <c r="H380" s="15" t="s">
        <v>1674</v>
      </c>
      <c r="I380" s="15" t="s">
        <v>44</v>
      </c>
      <c r="J380" s="15" t="s">
        <v>45</v>
      </c>
      <c r="K380" s="15" t="s">
        <v>122</v>
      </c>
      <c r="L380" s="15" t="s">
        <v>123</v>
      </c>
      <c r="M380" s="15">
        <v>17</v>
      </c>
      <c r="N380" s="15">
        <v>60</v>
      </c>
      <c r="O380" s="15">
        <v>20</v>
      </c>
      <c r="P380" s="15">
        <v>816</v>
      </c>
      <c r="Q380" s="15">
        <v>1</v>
      </c>
      <c r="R380" s="15" t="s">
        <v>88</v>
      </c>
      <c r="S380" s="15" t="s">
        <v>35</v>
      </c>
      <c r="T380" s="15" t="s">
        <v>256</v>
      </c>
      <c r="U380" s="17" t="s">
        <v>1675</v>
      </c>
      <c r="V380" s="15" t="s">
        <v>64</v>
      </c>
    </row>
    <row r="381" spans="1:22">
      <c r="A381" s="18" t="s">
        <v>1676</v>
      </c>
      <c r="B381" s="18" t="s">
        <v>127</v>
      </c>
      <c r="C381" s="18" t="s">
        <v>222</v>
      </c>
      <c r="D381" s="18" t="s">
        <v>1677</v>
      </c>
      <c r="E381" s="18" t="s">
        <v>236</v>
      </c>
      <c r="F381" s="18" t="s">
        <v>200</v>
      </c>
      <c r="G381" s="18" t="s">
        <v>76</v>
      </c>
      <c r="H381" s="18" t="s">
        <v>1678</v>
      </c>
      <c r="I381" s="18" t="s">
        <v>59</v>
      </c>
      <c r="J381" s="18" t="s">
        <v>31</v>
      </c>
      <c r="K381" s="18" t="s">
        <v>122</v>
      </c>
      <c r="L381" s="18" t="s">
        <v>227</v>
      </c>
      <c r="M381" s="18">
        <v>4</v>
      </c>
      <c r="N381" s="18">
        <v>20</v>
      </c>
      <c r="O381" s="18">
        <v>15</v>
      </c>
      <c r="P381" s="18">
        <v>68</v>
      </c>
      <c r="Q381" s="18">
        <v>3</v>
      </c>
      <c r="R381" s="18" t="s">
        <v>48</v>
      </c>
      <c r="S381" s="18" t="s">
        <v>61</v>
      </c>
      <c r="T381" s="18" t="s">
        <v>132</v>
      </c>
      <c r="U381" s="19" t="s">
        <v>1679</v>
      </c>
      <c r="V381" s="18" t="s">
        <v>64</v>
      </c>
    </row>
    <row r="382" spans="1:22">
      <c r="A382" s="15" t="s">
        <v>1680</v>
      </c>
      <c r="B382" s="15" t="s">
        <v>127</v>
      </c>
      <c r="C382" s="15" t="s">
        <v>24</v>
      </c>
      <c r="D382" s="15" t="s">
        <v>1360</v>
      </c>
      <c r="E382" s="15" t="s">
        <v>775</v>
      </c>
      <c r="F382" s="15" t="s">
        <v>200</v>
      </c>
      <c r="G382" s="15" t="s">
        <v>76</v>
      </c>
      <c r="H382" s="15" t="s">
        <v>1682</v>
      </c>
      <c r="I382" s="15" t="s">
        <v>294</v>
      </c>
      <c r="J382" s="15" t="s">
        <v>295</v>
      </c>
      <c r="K382" s="15" t="s">
        <v>32</v>
      </c>
      <c r="L382" s="15" t="s">
        <v>33</v>
      </c>
      <c r="M382" s="15">
        <v>2</v>
      </c>
      <c r="N382" s="15">
        <v>2200</v>
      </c>
      <c r="O382" s="15">
        <v>10</v>
      </c>
      <c r="P382" s="15">
        <v>3960</v>
      </c>
      <c r="Q382" s="15">
        <v>2</v>
      </c>
      <c r="R382" s="15" t="s">
        <v>88</v>
      </c>
      <c r="S382" s="15" t="s">
        <v>49</v>
      </c>
      <c r="T382" s="15" t="s">
        <v>132</v>
      </c>
      <c r="U382" s="17" t="s">
        <v>1683</v>
      </c>
      <c r="V382" s="15" t="s">
        <v>64</v>
      </c>
    </row>
    <row r="383" spans="1:22">
      <c r="A383" s="18" t="s">
        <v>1684</v>
      </c>
      <c r="B383" s="18" t="s">
        <v>221</v>
      </c>
      <c r="C383" s="18" t="s">
        <v>118</v>
      </c>
      <c r="D383" s="18" t="s">
        <v>366</v>
      </c>
      <c r="E383" s="18" t="s">
        <v>539</v>
      </c>
      <c r="F383" s="18" t="s">
        <v>225</v>
      </c>
      <c r="G383" s="18" t="s">
        <v>76</v>
      </c>
      <c r="H383" s="18" t="s">
        <v>1685</v>
      </c>
      <c r="I383" s="18" t="s">
        <v>59</v>
      </c>
      <c r="J383" s="18" t="s">
        <v>31</v>
      </c>
      <c r="K383" s="18" t="s">
        <v>122</v>
      </c>
      <c r="L383" s="18" t="s">
        <v>123</v>
      </c>
      <c r="M383" s="18">
        <v>5</v>
      </c>
      <c r="N383" s="18">
        <v>60</v>
      </c>
      <c r="O383" s="18">
        <v>5</v>
      </c>
      <c r="P383" s="18">
        <v>285</v>
      </c>
      <c r="Q383" s="18">
        <v>1</v>
      </c>
      <c r="R383" s="18" t="s">
        <v>88</v>
      </c>
      <c r="S383" s="18" t="s">
        <v>35</v>
      </c>
      <c r="T383" s="18" t="s">
        <v>228</v>
      </c>
      <c r="U383" s="19" t="s">
        <v>1686</v>
      </c>
      <c r="V383" s="18" t="s">
        <v>69</v>
      </c>
    </row>
    <row r="384" spans="1:22">
      <c r="A384" s="15" t="s">
        <v>1687</v>
      </c>
      <c r="B384" s="15" t="s">
        <v>127</v>
      </c>
      <c r="C384" s="15" t="s">
        <v>24</v>
      </c>
      <c r="D384" s="15" t="s">
        <v>1688</v>
      </c>
      <c r="E384" s="15" t="s">
        <v>1689</v>
      </c>
      <c r="F384" s="15" t="s">
        <v>200</v>
      </c>
      <c r="G384" s="15" t="s">
        <v>76</v>
      </c>
      <c r="H384" s="15" t="s">
        <v>1690</v>
      </c>
      <c r="I384" s="15" t="s">
        <v>44</v>
      </c>
      <c r="J384" s="15" t="s">
        <v>45</v>
      </c>
      <c r="K384" s="15" t="s">
        <v>32</v>
      </c>
      <c r="L384" s="15" t="s">
        <v>33</v>
      </c>
      <c r="M384" s="15">
        <v>17</v>
      </c>
      <c r="N384" s="15">
        <v>2200</v>
      </c>
      <c r="O384" s="15">
        <v>0</v>
      </c>
      <c r="P384" s="15">
        <v>37400</v>
      </c>
      <c r="Q384" s="15">
        <v>2</v>
      </c>
      <c r="R384" s="15" t="s">
        <v>88</v>
      </c>
      <c r="S384" s="15" t="s">
        <v>151</v>
      </c>
      <c r="T384" s="15" t="s">
        <v>132</v>
      </c>
      <c r="U384" s="17" t="s">
        <v>1691</v>
      </c>
      <c r="V384" s="15" t="s">
        <v>69</v>
      </c>
    </row>
    <row r="385" spans="1:22">
      <c r="A385" s="18" t="s">
        <v>1692</v>
      </c>
      <c r="B385" s="18" t="s">
        <v>168</v>
      </c>
      <c r="C385" s="18" t="s">
        <v>118</v>
      </c>
      <c r="D385" s="18" t="s">
        <v>186</v>
      </c>
      <c r="E385" s="18" t="s">
        <v>610</v>
      </c>
      <c r="F385" s="18" t="s">
        <v>361</v>
      </c>
      <c r="G385" s="18" t="s">
        <v>28</v>
      </c>
      <c r="H385" s="18" t="s">
        <v>1693</v>
      </c>
      <c r="I385" s="18" t="s">
        <v>138</v>
      </c>
      <c r="J385" s="18" t="s">
        <v>106</v>
      </c>
      <c r="K385" s="18" t="s">
        <v>122</v>
      </c>
      <c r="L385" s="18" t="s">
        <v>123</v>
      </c>
      <c r="M385" s="18">
        <v>7</v>
      </c>
      <c r="N385" s="18">
        <v>60</v>
      </c>
      <c r="O385" s="18">
        <v>0</v>
      </c>
      <c r="P385" s="18">
        <v>420</v>
      </c>
      <c r="Q385" s="18">
        <v>2</v>
      </c>
      <c r="R385" s="18" t="s">
        <v>88</v>
      </c>
      <c r="S385" s="18" t="s">
        <v>61</v>
      </c>
      <c r="T385" s="18" t="s">
        <v>175</v>
      </c>
      <c r="U385" s="19" t="s">
        <v>1694</v>
      </c>
      <c r="V385" s="18" t="s">
        <v>64</v>
      </c>
    </row>
    <row r="386" spans="1:22">
      <c r="A386" s="15" t="s">
        <v>1695</v>
      </c>
      <c r="B386" s="15" t="s">
        <v>221</v>
      </c>
      <c r="C386" s="15" t="s">
        <v>54</v>
      </c>
      <c r="D386" s="15" t="s">
        <v>702</v>
      </c>
      <c r="E386" s="15" t="s">
        <v>1696</v>
      </c>
      <c r="F386" s="15" t="s">
        <v>225</v>
      </c>
      <c r="G386" s="15" t="s">
        <v>76</v>
      </c>
      <c r="H386" s="15" t="s">
        <v>1697</v>
      </c>
      <c r="I386" s="15" t="s">
        <v>30</v>
      </c>
      <c r="J386" s="15" t="s">
        <v>31</v>
      </c>
      <c r="K386" s="15" t="s">
        <v>46</v>
      </c>
      <c r="L386" s="15" t="s">
        <v>60</v>
      </c>
      <c r="M386" s="15">
        <v>6</v>
      </c>
      <c r="N386" s="15">
        <v>55000</v>
      </c>
      <c r="O386" s="15">
        <v>5</v>
      </c>
      <c r="P386" s="15">
        <v>313500</v>
      </c>
      <c r="Q386" s="15">
        <v>4</v>
      </c>
      <c r="R386" s="15" t="s">
        <v>79</v>
      </c>
      <c r="S386" s="15" t="s">
        <v>61</v>
      </c>
      <c r="T386" s="15" t="s">
        <v>228</v>
      </c>
      <c r="U386" s="17" t="s">
        <v>1698</v>
      </c>
      <c r="V386" s="15" t="s">
        <v>38</v>
      </c>
    </row>
    <row r="387" spans="1:22">
      <c r="A387" s="18" t="s">
        <v>1699</v>
      </c>
      <c r="B387" s="18" t="s">
        <v>71</v>
      </c>
      <c r="C387" s="18" t="s">
        <v>222</v>
      </c>
      <c r="D387" s="18" t="s">
        <v>1306</v>
      </c>
      <c r="E387" s="18" t="s">
        <v>1700</v>
      </c>
      <c r="F387" s="18" t="s">
        <v>217</v>
      </c>
      <c r="G387" s="18" t="s">
        <v>76</v>
      </c>
      <c r="H387" s="18" t="s">
        <v>1701</v>
      </c>
      <c r="I387" s="18" t="s">
        <v>30</v>
      </c>
      <c r="J387" s="18" t="s">
        <v>31</v>
      </c>
      <c r="K387" s="18" t="s">
        <v>122</v>
      </c>
      <c r="L387" s="18" t="s">
        <v>227</v>
      </c>
      <c r="M387" s="18">
        <v>16</v>
      </c>
      <c r="N387" s="18">
        <v>20</v>
      </c>
      <c r="O387" s="18">
        <v>5</v>
      </c>
      <c r="P387" s="18">
        <v>304</v>
      </c>
      <c r="Q387" s="18">
        <v>1</v>
      </c>
      <c r="R387" s="18" t="s">
        <v>79</v>
      </c>
      <c r="S387" s="18" t="s">
        <v>49</v>
      </c>
      <c r="T387" s="18" t="s">
        <v>80</v>
      </c>
      <c r="U387" s="19" t="s">
        <v>1702</v>
      </c>
      <c r="V387" s="18" t="s">
        <v>38</v>
      </c>
    </row>
    <row r="388" spans="1:22">
      <c r="A388" s="15" t="s">
        <v>1703</v>
      </c>
      <c r="B388" s="15" t="s">
        <v>23</v>
      </c>
      <c r="C388" s="15" t="s">
        <v>24</v>
      </c>
      <c r="D388" s="15" t="s">
        <v>1704</v>
      </c>
      <c r="E388" s="15" t="s">
        <v>1705</v>
      </c>
      <c r="F388" s="15" t="s">
        <v>27</v>
      </c>
      <c r="G388" s="15" t="s">
        <v>28</v>
      </c>
      <c r="H388" s="15" t="s">
        <v>1706</v>
      </c>
      <c r="I388" s="15" t="s">
        <v>294</v>
      </c>
      <c r="J388" s="15" t="s">
        <v>295</v>
      </c>
      <c r="K388" s="15" t="s">
        <v>32</v>
      </c>
      <c r="L388" s="15" t="s">
        <v>33</v>
      </c>
      <c r="M388" s="15">
        <v>11</v>
      </c>
      <c r="N388" s="15">
        <v>2200</v>
      </c>
      <c r="O388" s="15">
        <v>15</v>
      </c>
      <c r="P388" s="15">
        <v>20570</v>
      </c>
      <c r="Q388" s="15">
        <v>1</v>
      </c>
      <c r="R388" s="15" t="s">
        <v>48</v>
      </c>
      <c r="S388" s="15" t="s">
        <v>115</v>
      </c>
      <c r="T388" s="15" t="s">
        <v>50</v>
      </c>
      <c r="U388" s="17" t="s">
        <v>1707</v>
      </c>
      <c r="V388" s="15" t="s">
        <v>69</v>
      </c>
    </row>
    <row r="389" spans="1:22">
      <c r="A389" s="18" t="s">
        <v>1708</v>
      </c>
      <c r="B389" s="18" t="s">
        <v>100</v>
      </c>
      <c r="C389" s="18" t="s">
        <v>222</v>
      </c>
      <c r="D389" s="18" t="s">
        <v>1069</v>
      </c>
      <c r="E389" s="18" t="s">
        <v>1409</v>
      </c>
      <c r="F389" s="18" t="s">
        <v>103</v>
      </c>
      <c r="G389" s="18" t="s">
        <v>28</v>
      </c>
      <c r="H389" s="18" t="s">
        <v>1709</v>
      </c>
      <c r="I389" s="18" t="s">
        <v>114</v>
      </c>
      <c r="J389" s="18" t="s">
        <v>106</v>
      </c>
      <c r="K389" s="18" t="s">
        <v>122</v>
      </c>
      <c r="L389" s="18" t="s">
        <v>227</v>
      </c>
      <c r="M389" s="18">
        <v>19</v>
      </c>
      <c r="N389" s="18">
        <v>20</v>
      </c>
      <c r="O389" s="18">
        <v>5</v>
      </c>
      <c r="P389" s="18">
        <v>361</v>
      </c>
      <c r="Q389" s="18">
        <v>4</v>
      </c>
      <c r="R389" s="18" t="s">
        <v>88</v>
      </c>
      <c r="S389" s="18" t="s">
        <v>35</v>
      </c>
      <c r="T389" s="18" t="s">
        <v>144</v>
      </c>
      <c r="U389" s="19" t="s">
        <v>1710</v>
      </c>
      <c r="V389" s="18" t="s">
        <v>64</v>
      </c>
    </row>
    <row r="390" spans="1:22">
      <c r="A390" s="15" t="s">
        <v>1711</v>
      </c>
      <c r="B390" s="15" t="s">
        <v>100</v>
      </c>
      <c r="C390" s="15" t="s">
        <v>72</v>
      </c>
      <c r="D390" s="15" t="s">
        <v>1712</v>
      </c>
      <c r="E390" s="15" t="s">
        <v>1713</v>
      </c>
      <c r="F390" s="15" t="s">
        <v>103</v>
      </c>
      <c r="G390" s="15" t="s">
        <v>28</v>
      </c>
      <c r="H390" s="15" t="s">
        <v>1714</v>
      </c>
      <c r="I390" s="15" t="s">
        <v>114</v>
      </c>
      <c r="J390" s="15" t="s">
        <v>106</v>
      </c>
      <c r="K390" s="15" t="s">
        <v>46</v>
      </c>
      <c r="L390" s="15" t="s">
        <v>78</v>
      </c>
      <c r="M390" s="15">
        <v>20</v>
      </c>
      <c r="N390" s="15">
        <v>1200</v>
      </c>
      <c r="O390" s="15">
        <v>15</v>
      </c>
      <c r="P390" s="15">
        <v>20400</v>
      </c>
      <c r="Q390" s="15">
        <v>4</v>
      </c>
      <c r="R390" s="15" t="s">
        <v>79</v>
      </c>
      <c r="S390" s="15" t="s">
        <v>35</v>
      </c>
      <c r="T390" s="15" t="s">
        <v>144</v>
      </c>
      <c r="U390" s="17" t="s">
        <v>1715</v>
      </c>
      <c r="V390" s="15" t="s">
        <v>64</v>
      </c>
    </row>
    <row r="391" spans="1:22">
      <c r="A391" s="18" t="s">
        <v>1716</v>
      </c>
      <c r="B391" s="18" t="s">
        <v>53</v>
      </c>
      <c r="C391" s="18" t="s">
        <v>222</v>
      </c>
      <c r="D391" s="18" t="s">
        <v>1717</v>
      </c>
      <c r="E391" s="18" t="s">
        <v>1718</v>
      </c>
      <c r="F391" s="18" t="s">
        <v>163</v>
      </c>
      <c r="G391" s="18" t="s">
        <v>28</v>
      </c>
      <c r="H391" s="18" t="s">
        <v>1719</v>
      </c>
      <c r="I391" s="18" t="s">
        <v>30</v>
      </c>
      <c r="J391" s="18" t="s">
        <v>31</v>
      </c>
      <c r="K391" s="18" t="s">
        <v>122</v>
      </c>
      <c r="L391" s="18" t="s">
        <v>227</v>
      </c>
      <c r="M391" s="18">
        <v>13</v>
      </c>
      <c r="N391" s="18">
        <v>20</v>
      </c>
      <c r="O391" s="18">
        <v>15</v>
      </c>
      <c r="P391" s="18">
        <v>221</v>
      </c>
      <c r="Q391" s="18">
        <v>4</v>
      </c>
      <c r="R391" s="18" t="s">
        <v>34</v>
      </c>
      <c r="S391" s="18" t="s">
        <v>35</v>
      </c>
      <c r="T391" s="18" t="s">
        <v>62</v>
      </c>
      <c r="U391" s="19" t="s">
        <v>1720</v>
      </c>
      <c r="V391" s="18" t="s">
        <v>64</v>
      </c>
    </row>
    <row r="392" spans="1:22">
      <c r="A392" s="15" t="s">
        <v>1721</v>
      </c>
      <c r="B392" s="15" t="s">
        <v>251</v>
      </c>
      <c r="C392" s="15" t="s">
        <v>72</v>
      </c>
      <c r="D392" s="15" t="s">
        <v>205</v>
      </c>
      <c r="E392" s="15" t="s">
        <v>206</v>
      </c>
      <c r="F392" s="15" t="s">
        <v>254</v>
      </c>
      <c r="G392" s="15" t="s">
        <v>28</v>
      </c>
      <c r="H392" s="15" t="s">
        <v>1722</v>
      </c>
      <c r="I392" s="15" t="s">
        <v>44</v>
      </c>
      <c r="J392" s="15" t="s">
        <v>45</v>
      </c>
      <c r="K392" s="15" t="s">
        <v>46</v>
      </c>
      <c r="L392" s="15" t="s">
        <v>78</v>
      </c>
      <c r="M392" s="15">
        <v>12</v>
      </c>
      <c r="N392" s="15">
        <v>1200</v>
      </c>
      <c r="O392" s="15">
        <v>10</v>
      </c>
      <c r="P392" s="15">
        <v>12960</v>
      </c>
      <c r="Q392" s="15">
        <v>3</v>
      </c>
      <c r="R392" s="15" t="s">
        <v>48</v>
      </c>
      <c r="S392" s="15" t="s">
        <v>35</v>
      </c>
      <c r="T392" s="15" t="s">
        <v>256</v>
      </c>
      <c r="U392" s="17" t="s">
        <v>1723</v>
      </c>
      <c r="V392" s="15" t="s">
        <v>64</v>
      </c>
    </row>
    <row r="393" spans="1:22">
      <c r="A393" s="18" t="s">
        <v>1724</v>
      </c>
      <c r="B393" s="18" t="s">
        <v>100</v>
      </c>
      <c r="C393" s="18" t="s">
        <v>169</v>
      </c>
      <c r="D393" s="18" t="s">
        <v>1705</v>
      </c>
      <c r="E393" s="18" t="s">
        <v>783</v>
      </c>
      <c r="F393" s="18" t="s">
        <v>103</v>
      </c>
      <c r="G393" s="18" t="s">
        <v>28</v>
      </c>
      <c r="H393" s="18" t="s">
        <v>1725</v>
      </c>
      <c r="I393" s="18" t="s">
        <v>294</v>
      </c>
      <c r="J393" s="18" t="s">
        <v>295</v>
      </c>
      <c r="K393" s="18" t="s">
        <v>32</v>
      </c>
      <c r="L393" s="18" t="s">
        <v>174</v>
      </c>
      <c r="M393" s="18">
        <v>6</v>
      </c>
      <c r="N393" s="18">
        <v>8500</v>
      </c>
      <c r="O393" s="18">
        <v>5</v>
      </c>
      <c r="P393" s="18">
        <v>48450</v>
      </c>
      <c r="Q393" s="18">
        <v>5</v>
      </c>
      <c r="R393" s="18" t="s">
        <v>34</v>
      </c>
      <c r="S393" s="18" t="s">
        <v>115</v>
      </c>
      <c r="T393" s="18" t="s">
        <v>144</v>
      </c>
      <c r="U393" s="19" t="s">
        <v>1726</v>
      </c>
      <c r="V393" s="18" t="s">
        <v>69</v>
      </c>
    </row>
    <row r="394" spans="1:22">
      <c r="A394" s="15" t="s">
        <v>1727</v>
      </c>
      <c r="B394" s="15" t="s">
        <v>23</v>
      </c>
      <c r="C394" s="15" t="s">
        <v>169</v>
      </c>
      <c r="D394" s="15" t="s">
        <v>1302</v>
      </c>
      <c r="E394" s="15" t="s">
        <v>1728</v>
      </c>
      <c r="F394" s="15" t="s">
        <v>27</v>
      </c>
      <c r="G394" s="15" t="s">
        <v>28</v>
      </c>
      <c r="H394" s="15" t="s">
        <v>1729</v>
      </c>
      <c r="I394" s="15" t="s">
        <v>138</v>
      </c>
      <c r="J394" s="15" t="s">
        <v>106</v>
      </c>
      <c r="K394" s="15" t="s">
        <v>32</v>
      </c>
      <c r="L394" s="15" t="s">
        <v>174</v>
      </c>
      <c r="M394" s="15">
        <v>15</v>
      </c>
      <c r="N394" s="15">
        <v>8500</v>
      </c>
      <c r="O394" s="15">
        <v>10</v>
      </c>
      <c r="P394" s="15">
        <v>114750</v>
      </c>
      <c r="Q394" s="15">
        <v>1</v>
      </c>
      <c r="R394" s="15" t="s">
        <v>34</v>
      </c>
      <c r="S394" s="15" t="s">
        <v>115</v>
      </c>
      <c r="T394" s="15" t="s">
        <v>50</v>
      </c>
      <c r="U394" s="17" t="s">
        <v>1730</v>
      </c>
      <c r="V394" s="15" t="s">
        <v>38</v>
      </c>
    </row>
    <row r="395" spans="1:22">
      <c r="A395" s="18" t="s">
        <v>1731</v>
      </c>
      <c r="B395" s="18" t="s">
        <v>127</v>
      </c>
      <c r="C395" s="18" t="s">
        <v>40</v>
      </c>
      <c r="D395" s="18" t="s">
        <v>1732</v>
      </c>
      <c r="E395" s="18" t="s">
        <v>1733</v>
      </c>
      <c r="F395" s="18" t="s">
        <v>200</v>
      </c>
      <c r="G395" s="18" t="s">
        <v>76</v>
      </c>
      <c r="H395" s="18" t="s">
        <v>1734</v>
      </c>
      <c r="I395" s="18" t="s">
        <v>30</v>
      </c>
      <c r="J395" s="18" t="s">
        <v>31</v>
      </c>
      <c r="K395" s="18" t="s">
        <v>46</v>
      </c>
      <c r="L395" s="18" t="s">
        <v>47</v>
      </c>
      <c r="M395" s="18">
        <v>19</v>
      </c>
      <c r="N395" s="18">
        <v>12000</v>
      </c>
      <c r="O395" s="18">
        <v>20</v>
      </c>
      <c r="P395" s="18">
        <v>182400</v>
      </c>
      <c r="Q395" s="18">
        <v>5</v>
      </c>
      <c r="R395" s="18" t="s">
        <v>34</v>
      </c>
      <c r="S395" s="18" t="s">
        <v>115</v>
      </c>
      <c r="T395" s="18" t="s">
        <v>132</v>
      </c>
      <c r="U395" s="19" t="s">
        <v>1735</v>
      </c>
      <c r="V395" s="18" t="s">
        <v>38</v>
      </c>
    </row>
    <row r="396" spans="1:22">
      <c r="A396" s="15" t="s">
        <v>1736</v>
      </c>
      <c r="B396" s="15" t="s">
        <v>83</v>
      </c>
      <c r="C396" s="15" t="s">
        <v>184</v>
      </c>
      <c r="D396" s="15" t="s">
        <v>142</v>
      </c>
      <c r="E396" s="15" t="s">
        <v>1737</v>
      </c>
      <c r="F396" s="15" t="s">
        <v>180</v>
      </c>
      <c r="G396" s="15" t="s">
        <v>76</v>
      </c>
      <c r="H396" s="15" t="s">
        <v>1738</v>
      </c>
      <c r="I396" s="15" t="s">
        <v>44</v>
      </c>
      <c r="J396" s="15" t="s">
        <v>45</v>
      </c>
      <c r="K396" s="15" t="s">
        <v>46</v>
      </c>
      <c r="L396" s="15" t="s">
        <v>189</v>
      </c>
      <c r="M396" s="15">
        <v>5</v>
      </c>
      <c r="N396" s="15">
        <v>700</v>
      </c>
      <c r="O396" s="15">
        <v>0</v>
      </c>
      <c r="P396" s="15">
        <v>3500</v>
      </c>
      <c r="Q396" s="15">
        <v>2</v>
      </c>
      <c r="R396" s="15" t="s">
        <v>79</v>
      </c>
      <c r="S396" s="15" t="s">
        <v>61</v>
      </c>
      <c r="T396" s="15" t="s">
        <v>89</v>
      </c>
      <c r="U396" s="17" t="s">
        <v>1739</v>
      </c>
      <c r="V396" s="15" t="s">
        <v>69</v>
      </c>
    </row>
    <row r="397" spans="1:22">
      <c r="A397" s="18" t="s">
        <v>1740</v>
      </c>
      <c r="B397" s="18" t="s">
        <v>83</v>
      </c>
      <c r="C397" s="18" t="s">
        <v>40</v>
      </c>
      <c r="D397" s="18" t="s">
        <v>1654</v>
      </c>
      <c r="E397" s="18" t="s">
        <v>765</v>
      </c>
      <c r="F397" s="18" t="s">
        <v>180</v>
      </c>
      <c r="G397" s="18" t="s">
        <v>76</v>
      </c>
      <c r="H397" s="18" t="s">
        <v>1741</v>
      </c>
      <c r="I397" s="18" t="s">
        <v>294</v>
      </c>
      <c r="J397" s="18" t="s">
        <v>295</v>
      </c>
      <c r="K397" s="18" t="s">
        <v>46</v>
      </c>
      <c r="L397" s="18" t="s">
        <v>47</v>
      </c>
      <c r="M397" s="18">
        <v>19</v>
      </c>
      <c r="N397" s="18">
        <v>12000</v>
      </c>
      <c r="O397" s="18">
        <v>0</v>
      </c>
      <c r="P397" s="18">
        <v>228000</v>
      </c>
      <c r="Q397" s="18">
        <v>4</v>
      </c>
      <c r="R397" s="18" t="s">
        <v>88</v>
      </c>
      <c r="S397" s="18" t="s">
        <v>61</v>
      </c>
      <c r="T397" s="18" t="s">
        <v>89</v>
      </c>
      <c r="U397" s="19" t="s">
        <v>1742</v>
      </c>
      <c r="V397" s="18" t="s">
        <v>64</v>
      </c>
    </row>
    <row r="398" spans="1:22">
      <c r="A398" s="15" t="s">
        <v>1743</v>
      </c>
      <c r="B398" s="15" t="s">
        <v>327</v>
      </c>
      <c r="C398" s="15" t="s">
        <v>184</v>
      </c>
      <c r="D398" s="18" t="s">
        <v>64</v>
      </c>
      <c r="E398" s="15" t="s">
        <v>1225</v>
      </c>
      <c r="F398" s="15" t="s">
        <v>394</v>
      </c>
      <c r="G398" s="15" t="s">
        <v>76</v>
      </c>
      <c r="H398" s="15" t="s">
        <v>1744</v>
      </c>
      <c r="I398" s="15" t="s">
        <v>59</v>
      </c>
      <c r="J398" s="15" t="s">
        <v>31</v>
      </c>
      <c r="K398" s="15" t="s">
        <v>46</v>
      </c>
      <c r="L398" s="15" t="s">
        <v>189</v>
      </c>
      <c r="M398" s="15">
        <v>12</v>
      </c>
      <c r="N398" s="15">
        <v>700</v>
      </c>
      <c r="O398" s="15">
        <v>15</v>
      </c>
      <c r="P398" s="15">
        <v>7140</v>
      </c>
      <c r="Q398" s="15">
        <v>3</v>
      </c>
      <c r="R398" s="15" t="s">
        <v>79</v>
      </c>
      <c r="S398" s="15" t="s">
        <v>35</v>
      </c>
      <c r="T398" s="15" t="s">
        <v>332</v>
      </c>
      <c r="U398" s="17" t="s">
        <v>1745</v>
      </c>
      <c r="V398" s="15" t="s">
        <v>38</v>
      </c>
    </row>
    <row r="399" spans="1:22">
      <c r="A399" s="18" t="s">
        <v>1746</v>
      </c>
      <c r="B399" s="18" t="s">
        <v>23</v>
      </c>
      <c r="C399" s="18" t="s">
        <v>72</v>
      </c>
      <c r="D399" s="18" t="s">
        <v>1747</v>
      </c>
      <c r="E399" s="18" t="s">
        <v>707</v>
      </c>
      <c r="F399" s="18" t="s">
        <v>27</v>
      </c>
      <c r="G399" s="18" t="s">
        <v>28</v>
      </c>
      <c r="H399" s="18" t="s">
        <v>1748</v>
      </c>
      <c r="I399" s="18" t="s">
        <v>44</v>
      </c>
      <c r="J399" s="18" t="s">
        <v>45</v>
      </c>
      <c r="K399" s="18" t="s">
        <v>46</v>
      </c>
      <c r="L399" s="18" t="s">
        <v>78</v>
      </c>
      <c r="M399" s="18">
        <v>16</v>
      </c>
      <c r="N399" s="18">
        <v>1200</v>
      </c>
      <c r="O399" s="18">
        <v>20</v>
      </c>
      <c r="P399" s="18">
        <v>15360</v>
      </c>
      <c r="Q399" s="18">
        <v>1</v>
      </c>
      <c r="R399" s="18" t="s">
        <v>34</v>
      </c>
      <c r="S399" s="18" t="s">
        <v>49</v>
      </c>
      <c r="T399" s="18" t="s">
        <v>50</v>
      </c>
      <c r="U399" s="19" t="s">
        <v>1749</v>
      </c>
      <c r="V399" s="18" t="s">
        <v>64</v>
      </c>
    </row>
    <row r="400" spans="1:22">
      <c r="A400" s="15" t="s">
        <v>1750</v>
      </c>
      <c r="B400" s="15" t="s">
        <v>71</v>
      </c>
      <c r="C400" s="15" t="s">
        <v>169</v>
      </c>
      <c r="D400" s="15" t="s">
        <v>1052</v>
      </c>
      <c r="E400" s="15" t="s">
        <v>84</v>
      </c>
      <c r="F400" s="15" t="s">
        <v>217</v>
      </c>
      <c r="G400" s="15" t="s">
        <v>76</v>
      </c>
      <c r="H400" s="15" t="s">
        <v>1751</v>
      </c>
      <c r="I400" s="15" t="s">
        <v>30</v>
      </c>
      <c r="J400" s="15" t="s">
        <v>31</v>
      </c>
      <c r="K400" s="15" t="s">
        <v>32</v>
      </c>
      <c r="L400" s="15" t="s">
        <v>174</v>
      </c>
      <c r="M400" s="15">
        <v>10</v>
      </c>
      <c r="N400" s="15">
        <v>8500</v>
      </c>
      <c r="O400" s="15">
        <v>5</v>
      </c>
      <c r="P400" s="15">
        <v>80750</v>
      </c>
      <c r="Q400" s="15">
        <v>5</v>
      </c>
      <c r="R400" s="15" t="s">
        <v>48</v>
      </c>
      <c r="S400" s="15" t="s">
        <v>35</v>
      </c>
      <c r="T400" s="15" t="s">
        <v>80</v>
      </c>
      <c r="U400" s="17" t="s">
        <v>1752</v>
      </c>
      <c r="V400" s="15" t="s">
        <v>38</v>
      </c>
    </row>
    <row r="401" spans="1:22">
      <c r="A401" s="18" t="s">
        <v>1753</v>
      </c>
      <c r="B401" s="18" t="s">
        <v>23</v>
      </c>
      <c r="C401" s="18" t="s">
        <v>222</v>
      </c>
      <c r="D401" s="18" t="s">
        <v>1373</v>
      </c>
      <c r="E401" s="18" t="s">
        <v>386</v>
      </c>
      <c r="F401" s="18" t="s">
        <v>27</v>
      </c>
      <c r="G401" s="18" t="s">
        <v>28</v>
      </c>
      <c r="H401" s="18" t="s">
        <v>1754</v>
      </c>
      <c r="I401" s="18" t="s">
        <v>138</v>
      </c>
      <c r="J401" s="18" t="s">
        <v>106</v>
      </c>
      <c r="K401" s="18" t="s">
        <v>122</v>
      </c>
      <c r="L401" s="18" t="s">
        <v>227</v>
      </c>
      <c r="M401" s="18">
        <v>18</v>
      </c>
      <c r="N401" s="18">
        <v>20</v>
      </c>
      <c r="O401" s="18">
        <v>20</v>
      </c>
      <c r="P401" s="18">
        <v>288</v>
      </c>
      <c r="Q401" s="18">
        <v>1</v>
      </c>
      <c r="R401" s="18" t="s">
        <v>88</v>
      </c>
      <c r="S401" s="18" t="s">
        <v>35</v>
      </c>
      <c r="T401" s="18" t="s">
        <v>50</v>
      </c>
      <c r="U401" s="19" t="s">
        <v>1755</v>
      </c>
      <c r="V401" s="18" t="s">
        <v>64</v>
      </c>
    </row>
    <row r="402" spans="1:22">
      <c r="A402" s="15" t="s">
        <v>1756</v>
      </c>
      <c r="B402" s="15" t="s">
        <v>71</v>
      </c>
      <c r="C402" s="15" t="s">
        <v>169</v>
      </c>
      <c r="D402" s="15" t="s">
        <v>241</v>
      </c>
      <c r="E402" s="15" t="s">
        <v>404</v>
      </c>
      <c r="F402" s="15" t="s">
        <v>217</v>
      </c>
      <c r="G402" s="15" t="s">
        <v>76</v>
      </c>
      <c r="H402" s="15" t="s">
        <v>1757</v>
      </c>
      <c r="I402" s="15" t="s">
        <v>105</v>
      </c>
      <c r="J402" s="15" t="s">
        <v>106</v>
      </c>
      <c r="K402" s="15" t="s">
        <v>32</v>
      </c>
      <c r="L402" s="15" t="s">
        <v>174</v>
      </c>
      <c r="M402" s="15">
        <v>9</v>
      </c>
      <c r="N402" s="15">
        <v>8500</v>
      </c>
      <c r="O402" s="15">
        <v>0</v>
      </c>
      <c r="P402" s="15">
        <v>76500</v>
      </c>
      <c r="Q402" s="15">
        <v>2</v>
      </c>
      <c r="R402" s="15" t="s">
        <v>79</v>
      </c>
      <c r="S402" s="15" t="s">
        <v>35</v>
      </c>
      <c r="T402" s="15" t="s">
        <v>80</v>
      </c>
      <c r="U402" s="17" t="s">
        <v>1758</v>
      </c>
      <c r="V402" s="15" t="s">
        <v>64</v>
      </c>
    </row>
    <row r="403" spans="1:22">
      <c r="A403" s="18" t="s">
        <v>1759</v>
      </c>
      <c r="B403" s="18" t="s">
        <v>23</v>
      </c>
      <c r="C403" s="18" t="s">
        <v>169</v>
      </c>
      <c r="D403" s="18" t="s">
        <v>1221</v>
      </c>
      <c r="E403" s="18" t="s">
        <v>1760</v>
      </c>
      <c r="F403" s="18" t="s">
        <v>27</v>
      </c>
      <c r="G403" s="18" t="s">
        <v>28</v>
      </c>
      <c r="H403" s="18" t="s">
        <v>1761</v>
      </c>
      <c r="I403" s="18" t="s">
        <v>105</v>
      </c>
      <c r="J403" s="18" t="s">
        <v>106</v>
      </c>
      <c r="K403" s="18" t="s">
        <v>32</v>
      </c>
      <c r="L403" s="18" t="s">
        <v>174</v>
      </c>
      <c r="M403" s="18">
        <v>8</v>
      </c>
      <c r="N403" s="18">
        <v>8500</v>
      </c>
      <c r="O403" s="18">
        <v>10</v>
      </c>
      <c r="P403" s="18">
        <v>61200</v>
      </c>
      <c r="Q403" s="18">
        <v>4</v>
      </c>
      <c r="R403" s="18" t="s">
        <v>34</v>
      </c>
      <c r="S403" s="18" t="s">
        <v>115</v>
      </c>
      <c r="T403" s="18" t="s">
        <v>50</v>
      </c>
      <c r="U403" s="19" t="s">
        <v>1762</v>
      </c>
      <c r="V403" s="18" t="s">
        <v>69</v>
      </c>
    </row>
    <row r="404" spans="1:22">
      <c r="A404" s="15" t="s">
        <v>1763</v>
      </c>
      <c r="B404" s="15" t="s">
        <v>53</v>
      </c>
      <c r="C404" s="15" t="s">
        <v>222</v>
      </c>
      <c r="D404" s="15" t="s">
        <v>483</v>
      </c>
      <c r="E404" s="15" t="s">
        <v>1764</v>
      </c>
      <c r="F404" s="15" t="s">
        <v>163</v>
      </c>
      <c r="G404" s="15" t="s">
        <v>28</v>
      </c>
      <c r="H404" s="15" t="s">
        <v>1765</v>
      </c>
      <c r="I404" s="15" t="s">
        <v>114</v>
      </c>
      <c r="J404" s="15" t="s">
        <v>106</v>
      </c>
      <c r="K404" s="15" t="s">
        <v>122</v>
      </c>
      <c r="L404" s="15" t="s">
        <v>227</v>
      </c>
      <c r="M404" s="15">
        <v>3</v>
      </c>
      <c r="N404" s="15">
        <v>20</v>
      </c>
      <c r="O404" s="15">
        <v>10</v>
      </c>
      <c r="P404" s="15">
        <v>54</v>
      </c>
      <c r="Q404" s="15">
        <v>3</v>
      </c>
      <c r="R404" s="15" t="s">
        <v>79</v>
      </c>
      <c r="S404" s="15" t="s">
        <v>151</v>
      </c>
      <c r="T404" s="15" t="s">
        <v>62</v>
      </c>
      <c r="U404" s="17" t="s">
        <v>1766</v>
      </c>
      <c r="V404" s="15" t="s">
        <v>64</v>
      </c>
    </row>
    <row r="405" spans="1:22">
      <c r="A405" s="18" t="s">
        <v>1767</v>
      </c>
      <c r="B405" s="18" t="s">
        <v>168</v>
      </c>
      <c r="C405" s="18" t="s">
        <v>169</v>
      </c>
      <c r="D405" s="18" t="s">
        <v>232</v>
      </c>
      <c r="E405" s="18" t="s">
        <v>641</v>
      </c>
      <c r="F405" s="18" t="s">
        <v>361</v>
      </c>
      <c r="G405" s="18" t="s">
        <v>28</v>
      </c>
      <c r="H405" s="18" t="s">
        <v>1768</v>
      </c>
      <c r="I405" s="18" t="s">
        <v>294</v>
      </c>
      <c r="J405" s="18" t="s">
        <v>295</v>
      </c>
      <c r="K405" s="18" t="s">
        <v>32</v>
      </c>
      <c r="L405" s="18" t="s">
        <v>174</v>
      </c>
      <c r="M405" s="18">
        <v>18</v>
      </c>
      <c r="N405" s="18">
        <v>8500</v>
      </c>
      <c r="O405" s="18">
        <v>10</v>
      </c>
      <c r="P405" s="18">
        <v>137700</v>
      </c>
      <c r="Q405" s="18">
        <v>4</v>
      </c>
      <c r="R405" s="18" t="s">
        <v>34</v>
      </c>
      <c r="S405" s="18" t="s">
        <v>49</v>
      </c>
      <c r="T405" s="18" t="s">
        <v>175</v>
      </c>
      <c r="U405" s="19" t="s">
        <v>1769</v>
      </c>
      <c r="V405" s="18" t="s">
        <v>69</v>
      </c>
    </row>
    <row r="406" spans="1:22">
      <c r="A406" s="15" t="s">
        <v>1770</v>
      </c>
      <c r="B406" s="15" t="s">
        <v>53</v>
      </c>
      <c r="C406" s="15" t="s">
        <v>259</v>
      </c>
      <c r="D406" s="15" t="s">
        <v>308</v>
      </c>
      <c r="E406" s="15" t="s">
        <v>281</v>
      </c>
      <c r="F406" s="15" t="s">
        <v>163</v>
      </c>
      <c r="G406" s="15" t="s">
        <v>28</v>
      </c>
      <c r="H406" s="15" t="s">
        <v>1771</v>
      </c>
      <c r="I406" s="15" t="s">
        <v>114</v>
      </c>
      <c r="J406" s="15" t="s">
        <v>106</v>
      </c>
      <c r="K406" s="15" t="s">
        <v>122</v>
      </c>
      <c r="L406" s="15" t="s">
        <v>263</v>
      </c>
      <c r="M406" s="15">
        <v>5</v>
      </c>
      <c r="N406" s="15">
        <v>45</v>
      </c>
      <c r="O406" s="15">
        <v>10</v>
      </c>
      <c r="P406" s="15">
        <v>202.5</v>
      </c>
      <c r="Q406" s="15">
        <v>3</v>
      </c>
      <c r="R406" s="15" t="s">
        <v>34</v>
      </c>
      <c r="S406" s="15" t="s">
        <v>115</v>
      </c>
      <c r="T406" s="15" t="s">
        <v>62</v>
      </c>
      <c r="U406" s="17" t="s">
        <v>1772</v>
      </c>
      <c r="V406" s="15" t="s">
        <v>64</v>
      </c>
    </row>
    <row r="407" spans="1:22">
      <c r="A407" s="18" t="s">
        <v>1773</v>
      </c>
      <c r="B407" s="18" t="s">
        <v>71</v>
      </c>
      <c r="C407" s="18" t="s">
        <v>259</v>
      </c>
      <c r="D407" s="18" t="s">
        <v>683</v>
      </c>
      <c r="E407" s="18" t="s">
        <v>684</v>
      </c>
      <c r="F407" s="18" t="s">
        <v>217</v>
      </c>
      <c r="G407" s="18" t="s">
        <v>76</v>
      </c>
      <c r="H407" s="18" t="s">
        <v>1774</v>
      </c>
      <c r="I407" s="18" t="s">
        <v>105</v>
      </c>
      <c r="J407" s="18" t="s">
        <v>106</v>
      </c>
      <c r="K407" s="18" t="s">
        <v>122</v>
      </c>
      <c r="L407" s="18" t="s">
        <v>263</v>
      </c>
      <c r="M407" s="18">
        <v>2</v>
      </c>
      <c r="N407" s="18">
        <v>45</v>
      </c>
      <c r="O407" s="18">
        <v>20</v>
      </c>
      <c r="P407" s="18">
        <v>72</v>
      </c>
      <c r="Q407" s="18">
        <v>5</v>
      </c>
      <c r="R407" s="18" t="s">
        <v>88</v>
      </c>
      <c r="S407" s="18" t="s">
        <v>61</v>
      </c>
      <c r="T407" s="18" t="s">
        <v>80</v>
      </c>
      <c r="U407" s="19" t="s">
        <v>1775</v>
      </c>
      <c r="V407" s="18" t="s">
        <v>69</v>
      </c>
    </row>
    <row r="408" spans="1:22">
      <c r="A408" s="15" t="s">
        <v>1776</v>
      </c>
      <c r="B408" s="15" t="s">
        <v>100</v>
      </c>
      <c r="C408" s="15" t="s">
        <v>259</v>
      </c>
      <c r="D408" s="15" t="s">
        <v>1379</v>
      </c>
      <c r="E408" s="15" t="s">
        <v>900</v>
      </c>
      <c r="F408" s="15" t="s">
        <v>103</v>
      </c>
      <c r="G408" s="15" t="s">
        <v>28</v>
      </c>
      <c r="H408" s="15" t="s">
        <v>1777</v>
      </c>
      <c r="I408" s="15" t="s">
        <v>30</v>
      </c>
      <c r="J408" s="15" t="s">
        <v>31</v>
      </c>
      <c r="K408" s="15" t="s">
        <v>122</v>
      </c>
      <c r="L408" s="15" t="s">
        <v>263</v>
      </c>
      <c r="M408" s="15">
        <v>18</v>
      </c>
      <c r="N408" s="15">
        <v>45</v>
      </c>
      <c r="O408" s="15">
        <v>10</v>
      </c>
      <c r="P408" s="15">
        <v>729</v>
      </c>
      <c r="Q408" s="15">
        <v>2</v>
      </c>
      <c r="R408" s="15" t="s">
        <v>48</v>
      </c>
      <c r="S408" s="15" t="s">
        <v>115</v>
      </c>
      <c r="T408" s="15" t="s">
        <v>144</v>
      </c>
      <c r="U408" s="17" t="s">
        <v>1778</v>
      </c>
      <c r="V408" s="15" t="s">
        <v>64</v>
      </c>
    </row>
    <row r="409" spans="1:22">
      <c r="A409" s="18" t="s">
        <v>1779</v>
      </c>
      <c r="B409" s="18" t="s">
        <v>127</v>
      </c>
      <c r="C409" s="18" t="s">
        <v>72</v>
      </c>
      <c r="D409" s="18" t="s">
        <v>463</v>
      </c>
      <c r="E409" s="18" t="s">
        <v>216</v>
      </c>
      <c r="F409" s="18" t="s">
        <v>200</v>
      </c>
      <c r="G409" s="18" t="s">
        <v>76</v>
      </c>
      <c r="H409" s="18" t="s">
        <v>1780</v>
      </c>
      <c r="I409" s="18" t="s">
        <v>294</v>
      </c>
      <c r="J409" s="18" t="s">
        <v>295</v>
      </c>
      <c r="K409" s="18" t="s">
        <v>46</v>
      </c>
      <c r="L409" s="18" t="s">
        <v>78</v>
      </c>
      <c r="M409" s="18">
        <v>13</v>
      </c>
      <c r="N409" s="18">
        <v>1200</v>
      </c>
      <c r="O409" s="18">
        <v>5</v>
      </c>
      <c r="P409" s="18">
        <v>14820</v>
      </c>
      <c r="Q409" s="18">
        <v>4</v>
      </c>
      <c r="R409" s="18" t="s">
        <v>79</v>
      </c>
      <c r="S409" s="18" t="s">
        <v>115</v>
      </c>
      <c r="T409" s="18" t="s">
        <v>132</v>
      </c>
      <c r="U409" s="19" t="s">
        <v>1781</v>
      </c>
      <c r="V409" s="18" t="s">
        <v>38</v>
      </c>
    </row>
    <row r="410" spans="1:22">
      <c r="A410" s="15" t="s">
        <v>1782</v>
      </c>
      <c r="B410" s="15" t="s">
        <v>23</v>
      </c>
      <c r="C410" s="15" t="s">
        <v>222</v>
      </c>
      <c r="D410" s="15" t="s">
        <v>1344</v>
      </c>
      <c r="E410" s="15" t="s">
        <v>1783</v>
      </c>
      <c r="F410" s="15" t="s">
        <v>27</v>
      </c>
      <c r="G410" s="15" t="s">
        <v>28</v>
      </c>
      <c r="H410" s="15" t="s">
        <v>1784</v>
      </c>
      <c r="I410" s="15" t="s">
        <v>30</v>
      </c>
      <c r="J410" s="15" t="s">
        <v>31</v>
      </c>
      <c r="K410" s="15" t="s">
        <v>122</v>
      </c>
      <c r="L410" s="15" t="s">
        <v>227</v>
      </c>
      <c r="M410" s="15">
        <v>14</v>
      </c>
      <c r="N410" s="15">
        <v>20</v>
      </c>
      <c r="O410" s="15">
        <v>20</v>
      </c>
      <c r="P410" s="15">
        <v>224</v>
      </c>
      <c r="Q410" s="15">
        <v>5</v>
      </c>
      <c r="R410" s="15" t="s">
        <v>88</v>
      </c>
      <c r="S410" s="15" t="s">
        <v>49</v>
      </c>
      <c r="T410" s="15" t="s">
        <v>50</v>
      </c>
      <c r="U410" s="17" t="s">
        <v>1785</v>
      </c>
      <c r="V410" s="15" t="s">
        <v>64</v>
      </c>
    </row>
    <row r="411" spans="1:22">
      <c r="A411" s="18" t="s">
        <v>1786</v>
      </c>
      <c r="B411" s="18" t="s">
        <v>100</v>
      </c>
      <c r="C411" s="18" t="s">
        <v>92</v>
      </c>
      <c r="D411" s="18" t="s">
        <v>1787</v>
      </c>
      <c r="E411" s="18" t="s">
        <v>1689</v>
      </c>
      <c r="F411" s="18" t="s">
        <v>103</v>
      </c>
      <c r="G411" s="18" t="s">
        <v>28</v>
      </c>
      <c r="H411" s="18" t="s">
        <v>1788</v>
      </c>
      <c r="I411" s="18" t="s">
        <v>30</v>
      </c>
      <c r="J411" s="18" t="s">
        <v>31</v>
      </c>
      <c r="K411" s="18" t="s">
        <v>32</v>
      </c>
      <c r="L411" s="18" t="s">
        <v>97</v>
      </c>
      <c r="M411" s="18">
        <v>16</v>
      </c>
      <c r="N411" s="18">
        <v>3500</v>
      </c>
      <c r="O411" s="18">
        <v>15</v>
      </c>
      <c r="P411" s="18">
        <v>47600</v>
      </c>
      <c r="Q411" s="18">
        <v>3</v>
      </c>
      <c r="R411" s="18" t="s">
        <v>88</v>
      </c>
      <c r="S411" s="18" t="s">
        <v>61</v>
      </c>
      <c r="T411" s="18" t="s">
        <v>144</v>
      </c>
      <c r="U411" s="19" t="s">
        <v>1789</v>
      </c>
      <c r="V411" s="18" t="s">
        <v>69</v>
      </c>
    </row>
    <row r="412" spans="1:22">
      <c r="A412" s="15" t="s">
        <v>1790</v>
      </c>
      <c r="B412" s="15" t="s">
        <v>251</v>
      </c>
      <c r="C412" s="15" t="s">
        <v>222</v>
      </c>
      <c r="D412" s="15" t="s">
        <v>987</v>
      </c>
      <c r="E412" s="15" t="s">
        <v>1110</v>
      </c>
      <c r="F412" s="15" t="s">
        <v>254</v>
      </c>
      <c r="G412" s="15" t="s">
        <v>28</v>
      </c>
      <c r="H412" s="15" t="s">
        <v>1791</v>
      </c>
      <c r="I412" s="15" t="s">
        <v>59</v>
      </c>
      <c r="J412" s="15" t="s">
        <v>31</v>
      </c>
      <c r="K412" s="15" t="s">
        <v>122</v>
      </c>
      <c r="L412" s="15" t="s">
        <v>227</v>
      </c>
      <c r="M412" s="15">
        <v>20</v>
      </c>
      <c r="N412" s="15">
        <v>20</v>
      </c>
      <c r="O412" s="15">
        <v>15</v>
      </c>
      <c r="P412" s="15">
        <v>340</v>
      </c>
      <c r="Q412" s="15">
        <v>1</v>
      </c>
      <c r="R412" s="15" t="s">
        <v>48</v>
      </c>
      <c r="S412" s="15" t="s">
        <v>61</v>
      </c>
      <c r="T412" s="15" t="s">
        <v>256</v>
      </c>
      <c r="U412" s="17" t="s">
        <v>1792</v>
      </c>
      <c r="V412" s="15" t="s">
        <v>69</v>
      </c>
    </row>
    <row r="413" spans="1:22">
      <c r="A413" s="18" t="s">
        <v>1793</v>
      </c>
      <c r="B413" s="18" t="s">
        <v>168</v>
      </c>
      <c r="C413" s="18" t="s">
        <v>54</v>
      </c>
      <c r="D413" s="18" t="s">
        <v>652</v>
      </c>
      <c r="E413" s="18" t="s">
        <v>666</v>
      </c>
      <c r="F413" s="18" t="s">
        <v>361</v>
      </c>
      <c r="G413" s="18" t="s">
        <v>28</v>
      </c>
      <c r="H413" s="18" t="s">
        <v>1794</v>
      </c>
      <c r="I413" s="18" t="s">
        <v>138</v>
      </c>
      <c r="J413" s="18" t="s">
        <v>106</v>
      </c>
      <c r="K413" s="18" t="s">
        <v>46</v>
      </c>
      <c r="L413" s="18" t="s">
        <v>60</v>
      </c>
      <c r="M413" s="18">
        <v>1</v>
      </c>
      <c r="N413" s="18">
        <v>55000</v>
      </c>
      <c r="O413" s="18">
        <v>15</v>
      </c>
      <c r="P413" s="18">
        <v>46750</v>
      </c>
      <c r="Q413" s="18">
        <v>2</v>
      </c>
      <c r="R413" s="18" t="s">
        <v>88</v>
      </c>
      <c r="S413" s="18" t="s">
        <v>115</v>
      </c>
      <c r="T413" s="18" t="s">
        <v>175</v>
      </c>
      <c r="U413" s="19" t="s">
        <v>1795</v>
      </c>
      <c r="V413" s="18" t="s">
        <v>69</v>
      </c>
    </row>
    <row r="414" spans="1:22">
      <c r="A414" s="15" t="s">
        <v>1796</v>
      </c>
      <c r="B414" s="15" t="s">
        <v>100</v>
      </c>
      <c r="C414" s="15" t="s">
        <v>118</v>
      </c>
      <c r="D414" s="15" t="s">
        <v>142</v>
      </c>
      <c r="E414" s="15" t="s">
        <v>620</v>
      </c>
      <c r="F414" s="15" t="s">
        <v>103</v>
      </c>
      <c r="G414" s="15" t="s">
        <v>28</v>
      </c>
      <c r="H414" s="15" t="s">
        <v>1797</v>
      </c>
      <c r="I414" s="15" t="s">
        <v>138</v>
      </c>
      <c r="J414" s="15" t="s">
        <v>106</v>
      </c>
      <c r="K414" s="15" t="s">
        <v>122</v>
      </c>
      <c r="L414" s="15" t="s">
        <v>123</v>
      </c>
      <c r="M414" s="15">
        <v>15</v>
      </c>
      <c r="N414" s="15">
        <v>60</v>
      </c>
      <c r="O414" s="15">
        <v>5</v>
      </c>
      <c r="P414" s="15">
        <v>855</v>
      </c>
      <c r="Q414" s="15">
        <v>4</v>
      </c>
      <c r="R414" s="15" t="s">
        <v>48</v>
      </c>
      <c r="S414" s="15" t="s">
        <v>61</v>
      </c>
      <c r="T414" s="15" t="s">
        <v>144</v>
      </c>
      <c r="U414" s="17" t="s">
        <v>1798</v>
      </c>
      <c r="V414" s="15" t="s">
        <v>38</v>
      </c>
    </row>
    <row r="415" spans="1:22">
      <c r="A415" s="18" t="s">
        <v>1799</v>
      </c>
      <c r="B415" s="18" t="s">
        <v>83</v>
      </c>
      <c r="C415" s="18" t="s">
        <v>184</v>
      </c>
      <c r="D415" s="18" t="s">
        <v>1800</v>
      </c>
      <c r="E415" s="18" t="s">
        <v>66</v>
      </c>
      <c r="F415" s="18" t="s">
        <v>180</v>
      </c>
      <c r="G415" s="18" t="s">
        <v>76</v>
      </c>
      <c r="H415" s="18" t="s">
        <v>1801</v>
      </c>
      <c r="I415" s="18" t="s">
        <v>105</v>
      </c>
      <c r="J415" s="18" t="s">
        <v>106</v>
      </c>
      <c r="K415" s="18" t="s">
        <v>46</v>
      </c>
      <c r="L415" s="18" t="s">
        <v>189</v>
      </c>
      <c r="M415" s="18">
        <v>15</v>
      </c>
      <c r="N415" s="18">
        <v>700</v>
      </c>
      <c r="O415" s="18">
        <v>0</v>
      </c>
      <c r="P415" s="18">
        <v>10500</v>
      </c>
      <c r="Q415" s="18">
        <v>5</v>
      </c>
      <c r="R415" s="18" t="s">
        <v>48</v>
      </c>
      <c r="S415" s="18" t="s">
        <v>115</v>
      </c>
      <c r="T415" s="18" t="s">
        <v>89</v>
      </c>
      <c r="U415" s="19" t="s">
        <v>1802</v>
      </c>
      <c r="V415" s="18" t="s">
        <v>38</v>
      </c>
    </row>
    <row r="416" spans="1:22">
      <c r="A416" s="15" t="s">
        <v>1803</v>
      </c>
      <c r="B416" s="15" t="s">
        <v>221</v>
      </c>
      <c r="C416" s="15" t="s">
        <v>40</v>
      </c>
      <c r="D416" s="15" t="s">
        <v>1199</v>
      </c>
      <c r="E416" s="15" t="s">
        <v>440</v>
      </c>
      <c r="F416" s="15" t="s">
        <v>225</v>
      </c>
      <c r="G416" s="15" t="s">
        <v>76</v>
      </c>
      <c r="H416" s="15" t="s">
        <v>1804</v>
      </c>
      <c r="I416" s="15" t="s">
        <v>294</v>
      </c>
      <c r="J416" s="15" t="s">
        <v>295</v>
      </c>
      <c r="K416" s="15" t="s">
        <v>46</v>
      </c>
      <c r="L416" s="15" t="s">
        <v>47</v>
      </c>
      <c r="M416" s="15">
        <v>13</v>
      </c>
      <c r="N416" s="15">
        <v>12000</v>
      </c>
      <c r="O416" s="15">
        <v>10</v>
      </c>
      <c r="P416" s="15">
        <v>140400</v>
      </c>
      <c r="Q416" s="15">
        <v>1</v>
      </c>
      <c r="R416" s="15" t="s">
        <v>34</v>
      </c>
      <c r="S416" s="15" t="s">
        <v>151</v>
      </c>
      <c r="T416" s="15" t="s">
        <v>228</v>
      </c>
      <c r="U416" s="17" t="s">
        <v>1805</v>
      </c>
      <c r="V416" s="15" t="s">
        <v>69</v>
      </c>
    </row>
    <row r="417" spans="1:22">
      <c r="A417" s="18" t="s">
        <v>1806</v>
      </c>
      <c r="B417" s="18" t="s">
        <v>83</v>
      </c>
      <c r="C417" s="18" t="s">
        <v>40</v>
      </c>
      <c r="D417" s="18" t="s">
        <v>1807</v>
      </c>
      <c r="E417" s="18" t="s">
        <v>1081</v>
      </c>
      <c r="F417" s="18" t="s">
        <v>180</v>
      </c>
      <c r="G417" s="18" t="s">
        <v>76</v>
      </c>
      <c r="H417" s="18" t="s">
        <v>1808</v>
      </c>
      <c r="I417" s="18" t="s">
        <v>30</v>
      </c>
      <c r="J417" s="18" t="s">
        <v>31</v>
      </c>
      <c r="K417" s="18" t="s">
        <v>46</v>
      </c>
      <c r="L417" s="18" t="s">
        <v>47</v>
      </c>
      <c r="M417" s="18">
        <v>12</v>
      </c>
      <c r="N417" s="18">
        <v>12000</v>
      </c>
      <c r="O417" s="18">
        <v>20</v>
      </c>
      <c r="P417" s="18">
        <v>115200</v>
      </c>
      <c r="Q417" s="18">
        <v>2</v>
      </c>
      <c r="R417" s="18" t="s">
        <v>34</v>
      </c>
      <c r="S417" s="18" t="s">
        <v>35</v>
      </c>
      <c r="T417" s="18" t="s">
        <v>89</v>
      </c>
      <c r="U417" s="19" t="s">
        <v>1809</v>
      </c>
      <c r="V417" s="18" t="s">
        <v>38</v>
      </c>
    </row>
    <row r="418" spans="1:22">
      <c r="A418" s="15" t="s">
        <v>1810</v>
      </c>
      <c r="B418" s="15" t="s">
        <v>83</v>
      </c>
      <c r="C418" s="15" t="s">
        <v>259</v>
      </c>
      <c r="D418" s="15" t="s">
        <v>119</v>
      </c>
      <c r="E418" s="15" t="s">
        <v>1298</v>
      </c>
      <c r="F418" s="15" t="s">
        <v>180</v>
      </c>
      <c r="G418" s="15" t="s">
        <v>76</v>
      </c>
      <c r="H418" s="15" t="s">
        <v>1811</v>
      </c>
      <c r="I418" s="15" t="s">
        <v>105</v>
      </c>
      <c r="J418" s="15" t="s">
        <v>106</v>
      </c>
      <c r="K418" s="15" t="s">
        <v>122</v>
      </c>
      <c r="L418" s="15" t="s">
        <v>263</v>
      </c>
      <c r="M418" s="15">
        <v>10</v>
      </c>
      <c r="N418" s="15">
        <v>45</v>
      </c>
      <c r="O418" s="15">
        <v>0</v>
      </c>
      <c r="P418" s="15">
        <v>450</v>
      </c>
      <c r="Q418" s="15">
        <v>5</v>
      </c>
      <c r="R418" s="15" t="s">
        <v>79</v>
      </c>
      <c r="S418" s="15" t="s">
        <v>115</v>
      </c>
      <c r="T418" s="15" t="s">
        <v>89</v>
      </c>
      <c r="U418" s="17" t="s">
        <v>1812</v>
      </c>
      <c r="V418" s="15" t="s">
        <v>69</v>
      </c>
    </row>
    <row r="419" spans="1:22">
      <c r="A419" s="18" t="s">
        <v>1813</v>
      </c>
      <c r="B419" s="18" t="s">
        <v>127</v>
      </c>
      <c r="C419" s="18" t="s">
        <v>72</v>
      </c>
      <c r="D419" s="18" t="s">
        <v>41</v>
      </c>
      <c r="E419" s="18" t="s">
        <v>596</v>
      </c>
      <c r="F419" s="18" t="s">
        <v>200</v>
      </c>
      <c r="G419" s="18" t="s">
        <v>76</v>
      </c>
      <c r="H419" s="18" t="s">
        <v>1814</v>
      </c>
      <c r="I419" s="18" t="s">
        <v>105</v>
      </c>
      <c r="J419" s="18" t="s">
        <v>106</v>
      </c>
      <c r="K419" s="18" t="s">
        <v>46</v>
      </c>
      <c r="L419" s="18" t="s">
        <v>78</v>
      </c>
      <c r="M419" s="18">
        <v>20</v>
      </c>
      <c r="N419" s="18">
        <v>1200</v>
      </c>
      <c r="O419" s="18">
        <v>20</v>
      </c>
      <c r="P419" s="18">
        <v>19200</v>
      </c>
      <c r="Q419" s="18">
        <v>5</v>
      </c>
      <c r="R419" s="18" t="s">
        <v>48</v>
      </c>
      <c r="S419" s="18" t="s">
        <v>61</v>
      </c>
      <c r="T419" s="18" t="s">
        <v>132</v>
      </c>
      <c r="U419" s="19" t="s">
        <v>1815</v>
      </c>
      <c r="V419" s="18" t="s">
        <v>69</v>
      </c>
    </row>
    <row r="420" spans="1:22">
      <c r="A420" s="15" t="s">
        <v>1816</v>
      </c>
      <c r="B420" s="15" t="s">
        <v>71</v>
      </c>
      <c r="C420" s="15" t="s">
        <v>72</v>
      </c>
      <c r="D420" s="15" t="s">
        <v>128</v>
      </c>
      <c r="E420" s="15" t="s">
        <v>1817</v>
      </c>
      <c r="F420" s="15" t="s">
        <v>217</v>
      </c>
      <c r="G420" s="15" t="s">
        <v>76</v>
      </c>
      <c r="H420" s="15" t="s">
        <v>1818</v>
      </c>
      <c r="I420" s="15" t="s">
        <v>114</v>
      </c>
      <c r="J420" s="15" t="s">
        <v>106</v>
      </c>
      <c r="K420" s="15" t="s">
        <v>46</v>
      </c>
      <c r="L420" s="15" t="s">
        <v>78</v>
      </c>
      <c r="M420" s="15">
        <v>8</v>
      </c>
      <c r="N420" s="15">
        <v>1200</v>
      </c>
      <c r="O420" s="15">
        <v>10</v>
      </c>
      <c r="P420" s="15">
        <v>8640</v>
      </c>
      <c r="Q420" s="15">
        <v>4</v>
      </c>
      <c r="R420" s="15" t="s">
        <v>48</v>
      </c>
      <c r="S420" s="15" t="s">
        <v>61</v>
      </c>
      <c r="T420" s="15" t="s">
        <v>80</v>
      </c>
      <c r="U420" s="17" t="s">
        <v>1819</v>
      </c>
      <c r="V420" s="15" t="s">
        <v>38</v>
      </c>
    </row>
    <row r="421" spans="1:22">
      <c r="A421" s="18" t="s">
        <v>1820</v>
      </c>
      <c r="B421" s="18" t="s">
        <v>127</v>
      </c>
      <c r="C421" s="18" t="s">
        <v>72</v>
      </c>
      <c r="D421" s="18" t="s">
        <v>1085</v>
      </c>
      <c r="E421" s="18" t="s">
        <v>1086</v>
      </c>
      <c r="F421" s="18" t="s">
        <v>200</v>
      </c>
      <c r="G421" s="18" t="s">
        <v>76</v>
      </c>
      <c r="H421" s="18" t="s">
        <v>1821</v>
      </c>
      <c r="I421" s="18" t="s">
        <v>212</v>
      </c>
      <c r="J421" s="18" t="s">
        <v>45</v>
      </c>
      <c r="K421" s="18" t="s">
        <v>46</v>
      </c>
      <c r="L421" s="18" t="s">
        <v>78</v>
      </c>
      <c r="M421" s="18">
        <v>8</v>
      </c>
      <c r="N421" s="18">
        <v>1200</v>
      </c>
      <c r="O421" s="18">
        <v>10</v>
      </c>
      <c r="P421" s="18">
        <v>8640</v>
      </c>
      <c r="Q421" s="18">
        <v>5</v>
      </c>
      <c r="R421" s="18" t="s">
        <v>79</v>
      </c>
      <c r="S421" s="18" t="s">
        <v>49</v>
      </c>
      <c r="T421" s="18" t="s">
        <v>132</v>
      </c>
      <c r="U421" s="19" t="s">
        <v>1822</v>
      </c>
      <c r="V421" s="18" t="s">
        <v>69</v>
      </c>
    </row>
    <row r="422" spans="1:22">
      <c r="A422" s="15" t="s">
        <v>1823</v>
      </c>
      <c r="B422" s="15" t="s">
        <v>327</v>
      </c>
      <c r="C422" s="15" t="s">
        <v>24</v>
      </c>
      <c r="D422" s="15" t="s">
        <v>1824</v>
      </c>
      <c r="E422" s="15" t="s">
        <v>1444</v>
      </c>
      <c r="F422" s="15" t="s">
        <v>394</v>
      </c>
      <c r="G422" s="15" t="s">
        <v>76</v>
      </c>
      <c r="H422" s="15" t="s">
        <v>1825</v>
      </c>
      <c r="I422" s="15" t="s">
        <v>212</v>
      </c>
      <c r="J422" s="15" t="s">
        <v>45</v>
      </c>
      <c r="K422" s="15" t="s">
        <v>32</v>
      </c>
      <c r="L422" s="15" t="s">
        <v>33</v>
      </c>
      <c r="M422" s="15">
        <v>9</v>
      </c>
      <c r="N422" s="15">
        <v>2200</v>
      </c>
      <c r="O422" s="15">
        <v>20</v>
      </c>
      <c r="P422" s="15">
        <v>15840</v>
      </c>
      <c r="Q422" s="15">
        <v>1</v>
      </c>
      <c r="R422" s="15" t="s">
        <v>48</v>
      </c>
      <c r="S422" s="15" t="s">
        <v>115</v>
      </c>
      <c r="T422" s="15" t="s">
        <v>332</v>
      </c>
      <c r="U422" s="17" t="s">
        <v>1826</v>
      </c>
      <c r="V422" s="15" t="s">
        <v>38</v>
      </c>
    </row>
    <row r="423" spans="1:22">
      <c r="A423" s="18" t="s">
        <v>1827</v>
      </c>
      <c r="B423" s="18" t="s">
        <v>127</v>
      </c>
      <c r="C423" s="18" t="s">
        <v>222</v>
      </c>
      <c r="D423" s="18" t="s">
        <v>1268</v>
      </c>
      <c r="E423" s="18" t="s">
        <v>760</v>
      </c>
      <c r="F423" s="18" t="s">
        <v>200</v>
      </c>
      <c r="G423" s="18" t="s">
        <v>76</v>
      </c>
      <c r="H423" s="18" t="s">
        <v>1828</v>
      </c>
      <c r="I423" s="18" t="s">
        <v>294</v>
      </c>
      <c r="J423" s="18" t="s">
        <v>295</v>
      </c>
      <c r="K423" s="18" t="s">
        <v>122</v>
      </c>
      <c r="L423" s="18" t="s">
        <v>227</v>
      </c>
      <c r="M423" s="18">
        <v>8</v>
      </c>
      <c r="N423" s="18">
        <v>20</v>
      </c>
      <c r="O423" s="18">
        <v>20</v>
      </c>
      <c r="P423" s="18">
        <v>128</v>
      </c>
      <c r="Q423" s="18">
        <v>4</v>
      </c>
      <c r="R423" s="18" t="s">
        <v>34</v>
      </c>
      <c r="S423" s="18" t="s">
        <v>35</v>
      </c>
      <c r="T423" s="18" t="s">
        <v>132</v>
      </c>
      <c r="U423" s="19" t="s">
        <v>1829</v>
      </c>
      <c r="V423" s="18" t="s">
        <v>69</v>
      </c>
    </row>
    <row r="424" spans="1:22">
      <c r="A424" s="15" t="s">
        <v>1830</v>
      </c>
      <c r="B424" s="15" t="s">
        <v>221</v>
      </c>
      <c r="C424" s="15" t="s">
        <v>54</v>
      </c>
      <c r="D424" s="15" t="s">
        <v>1176</v>
      </c>
      <c r="E424" s="15" t="s">
        <v>1831</v>
      </c>
      <c r="F424" s="15" t="s">
        <v>225</v>
      </c>
      <c r="G424" s="15" t="s">
        <v>76</v>
      </c>
      <c r="H424" s="15" t="s">
        <v>1006</v>
      </c>
      <c r="I424" s="15" t="s">
        <v>114</v>
      </c>
      <c r="J424" s="15" t="s">
        <v>106</v>
      </c>
      <c r="K424" s="15" t="s">
        <v>46</v>
      </c>
      <c r="L424" s="15" t="s">
        <v>60</v>
      </c>
      <c r="M424" s="15">
        <v>5</v>
      </c>
      <c r="N424" s="15">
        <v>55000</v>
      </c>
      <c r="O424" s="15">
        <v>0</v>
      </c>
      <c r="P424" s="15">
        <v>275000</v>
      </c>
      <c r="Q424" s="15">
        <v>1</v>
      </c>
      <c r="R424" s="15" t="s">
        <v>79</v>
      </c>
      <c r="S424" s="15" t="s">
        <v>115</v>
      </c>
      <c r="T424" s="15" t="s">
        <v>228</v>
      </c>
      <c r="U424" s="17" t="s">
        <v>1832</v>
      </c>
      <c r="V424" s="15" t="s">
        <v>38</v>
      </c>
    </row>
    <row r="425" spans="1:22">
      <c r="A425" s="18" t="s">
        <v>1833</v>
      </c>
      <c r="B425" s="18" t="s">
        <v>100</v>
      </c>
      <c r="C425" s="18" t="s">
        <v>72</v>
      </c>
      <c r="D425" s="18" t="s">
        <v>1834</v>
      </c>
      <c r="E425" s="18" t="s">
        <v>636</v>
      </c>
      <c r="F425" s="18" t="s">
        <v>103</v>
      </c>
      <c r="G425" s="18" t="s">
        <v>28</v>
      </c>
      <c r="H425" s="18" t="s">
        <v>1835</v>
      </c>
      <c r="I425" s="18" t="s">
        <v>105</v>
      </c>
      <c r="J425" s="18" t="s">
        <v>106</v>
      </c>
      <c r="K425" s="18" t="s">
        <v>46</v>
      </c>
      <c r="L425" s="18" t="s">
        <v>78</v>
      </c>
      <c r="M425" s="18">
        <v>13</v>
      </c>
      <c r="N425" s="18">
        <v>1200</v>
      </c>
      <c r="O425" s="18">
        <v>5</v>
      </c>
      <c r="P425" s="18">
        <v>14820</v>
      </c>
      <c r="Q425" s="18">
        <v>2</v>
      </c>
      <c r="R425" s="18" t="s">
        <v>79</v>
      </c>
      <c r="S425" s="18" t="s">
        <v>35</v>
      </c>
      <c r="T425" s="18" t="s">
        <v>144</v>
      </c>
      <c r="U425" s="19" t="s">
        <v>1836</v>
      </c>
      <c r="V425" s="18" t="s">
        <v>69</v>
      </c>
    </row>
    <row r="426" spans="1:22">
      <c r="A426" s="15" t="s">
        <v>1837</v>
      </c>
      <c r="B426" s="15" t="s">
        <v>83</v>
      </c>
      <c r="C426" s="15" t="s">
        <v>169</v>
      </c>
      <c r="D426" s="15" t="s">
        <v>1484</v>
      </c>
      <c r="E426" s="15" t="s">
        <v>1838</v>
      </c>
      <c r="F426" s="15" t="s">
        <v>180</v>
      </c>
      <c r="G426" s="15" t="s">
        <v>76</v>
      </c>
      <c r="H426" s="15" t="s">
        <v>1839</v>
      </c>
      <c r="I426" s="15" t="s">
        <v>212</v>
      </c>
      <c r="J426" s="15" t="s">
        <v>45</v>
      </c>
      <c r="K426" s="15" t="s">
        <v>32</v>
      </c>
      <c r="L426" s="15" t="s">
        <v>174</v>
      </c>
      <c r="M426" s="15">
        <v>13</v>
      </c>
      <c r="N426" s="15">
        <v>8500</v>
      </c>
      <c r="O426" s="15">
        <v>20</v>
      </c>
      <c r="P426" s="15">
        <v>88400</v>
      </c>
      <c r="Q426" s="15">
        <v>5</v>
      </c>
      <c r="R426" s="15" t="s">
        <v>34</v>
      </c>
      <c r="S426" s="15" t="s">
        <v>49</v>
      </c>
      <c r="T426" s="15" t="s">
        <v>89</v>
      </c>
      <c r="U426" s="17" t="s">
        <v>1840</v>
      </c>
      <c r="V426" s="15" t="s">
        <v>64</v>
      </c>
    </row>
    <row r="427" spans="1:22">
      <c r="A427" s="18" t="s">
        <v>1841</v>
      </c>
      <c r="B427" s="18" t="s">
        <v>71</v>
      </c>
      <c r="C427" s="18" t="s">
        <v>118</v>
      </c>
      <c r="D427" s="18" t="s">
        <v>765</v>
      </c>
      <c r="E427" s="18" t="s">
        <v>1842</v>
      </c>
      <c r="F427" s="18" t="s">
        <v>217</v>
      </c>
      <c r="G427" s="18" t="s">
        <v>76</v>
      </c>
      <c r="H427" s="18" t="s">
        <v>1843</v>
      </c>
      <c r="I427" s="18" t="s">
        <v>114</v>
      </c>
      <c r="J427" s="18" t="s">
        <v>106</v>
      </c>
      <c r="K427" s="18" t="s">
        <v>122</v>
      </c>
      <c r="L427" s="18" t="s">
        <v>123</v>
      </c>
      <c r="M427" s="18">
        <v>14</v>
      </c>
      <c r="N427" s="18">
        <v>60</v>
      </c>
      <c r="O427" s="18">
        <v>10</v>
      </c>
      <c r="P427" s="18">
        <v>756</v>
      </c>
      <c r="Q427" s="18">
        <v>1</v>
      </c>
      <c r="R427" s="18" t="s">
        <v>34</v>
      </c>
      <c r="S427" s="18" t="s">
        <v>61</v>
      </c>
      <c r="T427" s="18" t="s">
        <v>80</v>
      </c>
      <c r="U427" s="19" t="s">
        <v>1844</v>
      </c>
      <c r="V427" s="18" t="s">
        <v>69</v>
      </c>
    </row>
    <row r="428" spans="1:22">
      <c r="A428" s="15" t="s">
        <v>1845</v>
      </c>
      <c r="B428" s="15" t="s">
        <v>251</v>
      </c>
      <c r="C428" s="15" t="s">
        <v>24</v>
      </c>
      <c r="D428" s="15" t="s">
        <v>336</v>
      </c>
      <c r="E428" s="15" t="s">
        <v>606</v>
      </c>
      <c r="F428" s="15" t="s">
        <v>254</v>
      </c>
      <c r="G428" s="15" t="s">
        <v>28</v>
      </c>
      <c r="H428" s="15" t="s">
        <v>1846</v>
      </c>
      <c r="I428" s="15" t="s">
        <v>59</v>
      </c>
      <c r="J428" s="15" t="s">
        <v>31</v>
      </c>
      <c r="K428" s="15" t="s">
        <v>32</v>
      </c>
      <c r="L428" s="15" t="s">
        <v>33</v>
      </c>
      <c r="M428" s="15">
        <v>15</v>
      </c>
      <c r="N428" s="15">
        <v>2200</v>
      </c>
      <c r="O428" s="15">
        <v>0</v>
      </c>
      <c r="P428" s="15">
        <v>33000</v>
      </c>
      <c r="Q428" s="15">
        <v>1</v>
      </c>
      <c r="R428" s="15" t="s">
        <v>34</v>
      </c>
      <c r="S428" s="15" t="s">
        <v>61</v>
      </c>
      <c r="T428" s="15" t="s">
        <v>256</v>
      </c>
      <c r="U428" s="17" t="s">
        <v>1847</v>
      </c>
      <c r="V428" s="15" t="s">
        <v>38</v>
      </c>
    </row>
    <row r="429" spans="1:22">
      <c r="A429" s="18" t="s">
        <v>1848</v>
      </c>
      <c r="B429" s="18" t="s">
        <v>83</v>
      </c>
      <c r="C429" s="18" t="s">
        <v>118</v>
      </c>
      <c r="D429" s="18" t="s">
        <v>1849</v>
      </c>
      <c r="E429" s="18" t="s">
        <v>1850</v>
      </c>
      <c r="F429" s="18" t="s">
        <v>180</v>
      </c>
      <c r="G429" s="18" t="s">
        <v>76</v>
      </c>
      <c r="H429" s="18" t="s">
        <v>1851</v>
      </c>
      <c r="I429" s="18" t="s">
        <v>212</v>
      </c>
      <c r="J429" s="18" t="s">
        <v>45</v>
      </c>
      <c r="K429" s="18" t="s">
        <v>122</v>
      </c>
      <c r="L429" s="18" t="s">
        <v>123</v>
      </c>
      <c r="M429" s="18">
        <v>19</v>
      </c>
      <c r="N429" s="18">
        <v>60</v>
      </c>
      <c r="O429" s="18">
        <v>20</v>
      </c>
      <c r="P429" s="18">
        <v>912</v>
      </c>
      <c r="Q429" s="18">
        <v>3</v>
      </c>
      <c r="R429" s="18" t="s">
        <v>34</v>
      </c>
      <c r="S429" s="18" t="s">
        <v>151</v>
      </c>
      <c r="T429" s="18" t="s">
        <v>89</v>
      </c>
      <c r="U429" s="19" t="s">
        <v>1852</v>
      </c>
      <c r="V429" s="18" t="s">
        <v>64</v>
      </c>
    </row>
    <row r="430" spans="1:22">
      <c r="A430" s="15" t="s">
        <v>1853</v>
      </c>
      <c r="B430" s="15" t="s">
        <v>53</v>
      </c>
      <c r="C430" s="15" t="s">
        <v>259</v>
      </c>
      <c r="D430" s="15" t="s">
        <v>1760</v>
      </c>
      <c r="E430" s="15" t="s">
        <v>341</v>
      </c>
      <c r="F430" s="15" t="s">
        <v>163</v>
      </c>
      <c r="G430" s="15" t="s">
        <v>28</v>
      </c>
      <c r="H430" s="15" t="s">
        <v>1854</v>
      </c>
      <c r="I430" s="15" t="s">
        <v>212</v>
      </c>
      <c r="J430" s="15" t="s">
        <v>45</v>
      </c>
      <c r="K430" s="15" t="s">
        <v>122</v>
      </c>
      <c r="L430" s="15" t="s">
        <v>263</v>
      </c>
      <c r="M430" s="15">
        <v>13</v>
      </c>
      <c r="N430" s="15">
        <v>45</v>
      </c>
      <c r="O430" s="15">
        <v>15</v>
      </c>
      <c r="P430" s="15">
        <v>497.25</v>
      </c>
      <c r="Q430" s="15">
        <v>2</v>
      </c>
      <c r="R430" s="15" t="s">
        <v>34</v>
      </c>
      <c r="S430" s="15" t="s">
        <v>49</v>
      </c>
      <c r="T430" s="15" t="s">
        <v>62</v>
      </c>
      <c r="U430" s="17" t="s">
        <v>1855</v>
      </c>
      <c r="V430" s="15" t="s">
        <v>38</v>
      </c>
    </row>
    <row r="431" spans="1:22">
      <c r="A431" s="18" t="s">
        <v>1856</v>
      </c>
      <c r="B431" s="18" t="s">
        <v>251</v>
      </c>
      <c r="C431" s="18" t="s">
        <v>40</v>
      </c>
      <c r="D431" s="18" t="s">
        <v>998</v>
      </c>
      <c r="E431" s="18" t="s">
        <v>1128</v>
      </c>
      <c r="F431" s="18" t="s">
        <v>254</v>
      </c>
      <c r="G431" s="18" t="s">
        <v>28</v>
      </c>
      <c r="H431" s="18" t="s">
        <v>1857</v>
      </c>
      <c r="I431" s="18" t="s">
        <v>105</v>
      </c>
      <c r="J431" s="18" t="s">
        <v>106</v>
      </c>
      <c r="K431" s="18" t="s">
        <v>46</v>
      </c>
      <c r="L431" s="18" t="s">
        <v>47</v>
      </c>
      <c r="M431" s="18">
        <v>7</v>
      </c>
      <c r="N431" s="18">
        <v>12000</v>
      </c>
      <c r="O431" s="18">
        <v>5</v>
      </c>
      <c r="P431" s="18">
        <v>79800</v>
      </c>
      <c r="Q431" s="18">
        <v>4</v>
      </c>
      <c r="R431" s="18" t="s">
        <v>79</v>
      </c>
      <c r="S431" s="18" t="s">
        <v>151</v>
      </c>
      <c r="T431" s="18" t="s">
        <v>256</v>
      </c>
      <c r="U431" s="19" t="s">
        <v>1858</v>
      </c>
      <c r="V431" s="18" t="s">
        <v>69</v>
      </c>
    </row>
    <row r="432" spans="1:22">
      <c r="A432" s="15" t="s">
        <v>1859</v>
      </c>
      <c r="B432" s="15" t="s">
        <v>327</v>
      </c>
      <c r="C432" s="15" t="s">
        <v>222</v>
      </c>
      <c r="D432" s="15" t="s">
        <v>601</v>
      </c>
      <c r="E432" s="15" t="s">
        <v>64</v>
      </c>
      <c r="F432" s="15" t="s">
        <v>394</v>
      </c>
      <c r="G432" s="15" t="s">
        <v>76</v>
      </c>
      <c r="H432" s="15" t="s">
        <v>1860</v>
      </c>
      <c r="I432" s="15" t="s">
        <v>294</v>
      </c>
      <c r="J432" s="15" t="s">
        <v>295</v>
      </c>
      <c r="K432" s="15" t="s">
        <v>122</v>
      </c>
      <c r="L432" s="15" t="s">
        <v>227</v>
      </c>
      <c r="M432" s="15">
        <v>8</v>
      </c>
      <c r="N432" s="15">
        <v>20</v>
      </c>
      <c r="O432" s="15">
        <v>0</v>
      </c>
      <c r="P432" s="15">
        <v>160</v>
      </c>
      <c r="Q432" s="15">
        <v>4</v>
      </c>
      <c r="R432" s="15" t="s">
        <v>79</v>
      </c>
      <c r="S432" s="15" t="s">
        <v>61</v>
      </c>
      <c r="T432" s="15" t="s">
        <v>332</v>
      </c>
      <c r="U432" s="17" t="s">
        <v>1861</v>
      </c>
      <c r="V432" s="15" t="s">
        <v>64</v>
      </c>
    </row>
    <row r="433" spans="1:22">
      <c r="A433" s="18" t="s">
        <v>1862</v>
      </c>
      <c r="B433" s="18" t="s">
        <v>23</v>
      </c>
      <c r="C433" s="18" t="s">
        <v>92</v>
      </c>
      <c r="D433" s="18" t="s">
        <v>1863</v>
      </c>
      <c r="E433" s="18" t="s">
        <v>900</v>
      </c>
      <c r="F433" s="18" t="s">
        <v>27</v>
      </c>
      <c r="G433" s="18" t="s">
        <v>28</v>
      </c>
      <c r="H433" s="18" t="s">
        <v>1864</v>
      </c>
      <c r="I433" s="18" t="s">
        <v>294</v>
      </c>
      <c r="J433" s="18" t="s">
        <v>295</v>
      </c>
      <c r="K433" s="18" t="s">
        <v>32</v>
      </c>
      <c r="L433" s="18" t="s">
        <v>97</v>
      </c>
      <c r="M433" s="18">
        <v>16</v>
      </c>
      <c r="N433" s="18">
        <v>3500</v>
      </c>
      <c r="O433" s="18">
        <v>5</v>
      </c>
      <c r="P433" s="18">
        <v>53200</v>
      </c>
      <c r="Q433" s="18">
        <v>1</v>
      </c>
      <c r="R433" s="18" t="s">
        <v>79</v>
      </c>
      <c r="S433" s="18" t="s">
        <v>61</v>
      </c>
      <c r="T433" s="18" t="s">
        <v>50</v>
      </c>
      <c r="U433" s="19" t="s">
        <v>1865</v>
      </c>
      <c r="V433" s="18" t="s">
        <v>69</v>
      </c>
    </row>
    <row r="434" spans="1:22">
      <c r="A434" s="15" t="s">
        <v>1866</v>
      </c>
      <c r="B434" s="15" t="s">
        <v>327</v>
      </c>
      <c r="C434" s="15" t="s">
        <v>169</v>
      </c>
      <c r="D434" s="15" t="s">
        <v>1867</v>
      </c>
      <c r="E434" s="15" t="s">
        <v>1157</v>
      </c>
      <c r="F434" s="15" t="s">
        <v>394</v>
      </c>
      <c r="G434" s="15" t="s">
        <v>76</v>
      </c>
      <c r="H434" s="15" t="s">
        <v>1868</v>
      </c>
      <c r="I434" s="15" t="s">
        <v>105</v>
      </c>
      <c r="J434" s="15" t="s">
        <v>106</v>
      </c>
      <c r="K434" s="15" t="s">
        <v>32</v>
      </c>
      <c r="L434" s="15" t="s">
        <v>174</v>
      </c>
      <c r="M434" s="15">
        <v>12</v>
      </c>
      <c r="N434" s="15">
        <v>8500</v>
      </c>
      <c r="O434" s="15">
        <v>10</v>
      </c>
      <c r="P434" s="15">
        <v>91800</v>
      </c>
      <c r="Q434" s="15">
        <v>3</v>
      </c>
      <c r="R434" s="15" t="s">
        <v>79</v>
      </c>
      <c r="S434" s="15" t="s">
        <v>35</v>
      </c>
      <c r="T434" s="15" t="s">
        <v>332</v>
      </c>
      <c r="U434" s="17" t="s">
        <v>1869</v>
      </c>
      <c r="V434" s="15" t="s">
        <v>38</v>
      </c>
    </row>
    <row r="435" spans="1:22">
      <c r="A435" s="18" t="s">
        <v>1870</v>
      </c>
      <c r="B435" s="18" t="s">
        <v>23</v>
      </c>
      <c r="C435" s="18" t="s">
        <v>118</v>
      </c>
      <c r="D435" s="18" t="s">
        <v>539</v>
      </c>
      <c r="E435" s="18" t="s">
        <v>1114</v>
      </c>
      <c r="F435" s="18" t="s">
        <v>27</v>
      </c>
      <c r="G435" s="18" t="s">
        <v>28</v>
      </c>
      <c r="H435" s="18" t="s">
        <v>1871</v>
      </c>
      <c r="I435" s="18" t="s">
        <v>138</v>
      </c>
      <c r="J435" s="18" t="s">
        <v>106</v>
      </c>
      <c r="K435" s="18" t="s">
        <v>122</v>
      </c>
      <c r="L435" s="18" t="s">
        <v>123</v>
      </c>
      <c r="M435" s="18">
        <v>1</v>
      </c>
      <c r="N435" s="18">
        <v>60</v>
      </c>
      <c r="O435" s="18">
        <v>20</v>
      </c>
      <c r="P435" s="18">
        <v>48</v>
      </c>
      <c r="Q435" s="18">
        <v>2</v>
      </c>
      <c r="R435" s="18" t="s">
        <v>79</v>
      </c>
      <c r="S435" s="18" t="s">
        <v>151</v>
      </c>
      <c r="T435" s="18" t="s">
        <v>50</v>
      </c>
      <c r="U435" s="19" t="s">
        <v>1872</v>
      </c>
      <c r="V435" s="18" t="s">
        <v>38</v>
      </c>
    </row>
    <row r="436" spans="1:22">
      <c r="A436" s="15" t="s">
        <v>1873</v>
      </c>
      <c r="B436" s="15" t="s">
        <v>127</v>
      </c>
      <c r="C436" s="15" t="s">
        <v>118</v>
      </c>
      <c r="D436" s="15" t="s">
        <v>507</v>
      </c>
      <c r="E436" s="15" t="s">
        <v>535</v>
      </c>
      <c r="F436" s="15" t="s">
        <v>200</v>
      </c>
      <c r="G436" s="15" t="s">
        <v>76</v>
      </c>
      <c r="H436" s="15" t="s">
        <v>1874</v>
      </c>
      <c r="I436" s="15" t="s">
        <v>30</v>
      </c>
      <c r="J436" s="15" t="s">
        <v>31</v>
      </c>
      <c r="K436" s="15" t="s">
        <v>122</v>
      </c>
      <c r="L436" s="15" t="s">
        <v>123</v>
      </c>
      <c r="M436" s="15">
        <v>3</v>
      </c>
      <c r="N436" s="15">
        <v>60</v>
      </c>
      <c r="O436" s="15">
        <v>15</v>
      </c>
      <c r="P436" s="15">
        <v>153</v>
      </c>
      <c r="Q436" s="15">
        <v>4</v>
      </c>
      <c r="R436" s="15" t="s">
        <v>79</v>
      </c>
      <c r="S436" s="15" t="s">
        <v>35</v>
      </c>
      <c r="T436" s="15" t="s">
        <v>132</v>
      </c>
      <c r="U436" s="17" t="s">
        <v>1875</v>
      </c>
      <c r="V436" s="15" t="s">
        <v>38</v>
      </c>
    </row>
    <row r="437" spans="1:22">
      <c r="A437" s="18" t="s">
        <v>1876</v>
      </c>
      <c r="B437" s="18" t="s">
        <v>100</v>
      </c>
      <c r="C437" s="18" t="s">
        <v>184</v>
      </c>
      <c r="D437" s="18" t="s">
        <v>568</v>
      </c>
      <c r="E437" s="18" t="s">
        <v>119</v>
      </c>
      <c r="F437" s="18" t="s">
        <v>103</v>
      </c>
      <c r="G437" s="18" t="s">
        <v>28</v>
      </c>
      <c r="H437" s="18" t="s">
        <v>1877</v>
      </c>
      <c r="I437" s="18" t="s">
        <v>294</v>
      </c>
      <c r="J437" s="18" t="s">
        <v>295</v>
      </c>
      <c r="K437" s="18" t="s">
        <v>46</v>
      </c>
      <c r="L437" s="18" t="s">
        <v>189</v>
      </c>
      <c r="M437" s="18">
        <v>10</v>
      </c>
      <c r="N437" s="18">
        <v>700</v>
      </c>
      <c r="O437" s="18">
        <v>15</v>
      </c>
      <c r="P437" s="18">
        <v>5950</v>
      </c>
      <c r="Q437" s="18">
        <v>3</v>
      </c>
      <c r="R437" s="18" t="s">
        <v>48</v>
      </c>
      <c r="S437" s="18" t="s">
        <v>35</v>
      </c>
      <c r="T437" s="18" t="s">
        <v>144</v>
      </c>
      <c r="U437" s="19" t="s">
        <v>1878</v>
      </c>
      <c r="V437" s="18" t="s">
        <v>64</v>
      </c>
    </row>
    <row r="438" spans="1:22">
      <c r="A438" s="15" t="s">
        <v>1879</v>
      </c>
      <c r="B438" s="15" t="s">
        <v>83</v>
      </c>
      <c r="C438" s="15" t="s">
        <v>222</v>
      </c>
      <c r="D438" s="15" t="s">
        <v>1880</v>
      </c>
      <c r="E438" s="15" t="s">
        <v>1881</v>
      </c>
      <c r="F438" s="15" t="s">
        <v>180</v>
      </c>
      <c r="G438" s="15" t="s">
        <v>76</v>
      </c>
      <c r="H438" s="15" t="s">
        <v>1882</v>
      </c>
      <c r="I438" s="15" t="s">
        <v>138</v>
      </c>
      <c r="J438" s="15" t="s">
        <v>106</v>
      </c>
      <c r="K438" s="15" t="s">
        <v>122</v>
      </c>
      <c r="L438" s="15" t="s">
        <v>227</v>
      </c>
      <c r="M438" s="15">
        <v>2</v>
      </c>
      <c r="N438" s="15">
        <v>20</v>
      </c>
      <c r="O438" s="15">
        <v>10</v>
      </c>
      <c r="P438" s="15">
        <v>36</v>
      </c>
      <c r="Q438" s="15">
        <v>2</v>
      </c>
      <c r="R438" s="15" t="s">
        <v>88</v>
      </c>
      <c r="S438" s="15" t="s">
        <v>61</v>
      </c>
      <c r="T438" s="15" t="s">
        <v>89</v>
      </c>
      <c r="U438" s="17" t="s">
        <v>1883</v>
      </c>
      <c r="V438" s="15" t="s">
        <v>38</v>
      </c>
    </row>
    <row r="439" spans="1:22">
      <c r="A439" s="18" t="s">
        <v>1884</v>
      </c>
      <c r="B439" s="18" t="s">
        <v>83</v>
      </c>
      <c r="C439" s="18" t="s">
        <v>222</v>
      </c>
      <c r="D439" s="18" t="s">
        <v>1885</v>
      </c>
      <c r="E439" s="18" t="s">
        <v>1199</v>
      </c>
      <c r="F439" s="18" t="s">
        <v>180</v>
      </c>
      <c r="G439" s="18" t="s">
        <v>76</v>
      </c>
      <c r="H439" s="18" t="s">
        <v>1886</v>
      </c>
      <c r="I439" s="18" t="s">
        <v>44</v>
      </c>
      <c r="J439" s="18" t="s">
        <v>45</v>
      </c>
      <c r="K439" s="18" t="s">
        <v>122</v>
      </c>
      <c r="L439" s="18" t="s">
        <v>227</v>
      </c>
      <c r="M439" s="18">
        <v>14</v>
      </c>
      <c r="N439" s="18">
        <v>20</v>
      </c>
      <c r="O439" s="18">
        <v>20</v>
      </c>
      <c r="P439" s="18">
        <v>224</v>
      </c>
      <c r="Q439" s="18">
        <v>5</v>
      </c>
      <c r="R439" s="18" t="s">
        <v>34</v>
      </c>
      <c r="S439" s="18" t="s">
        <v>151</v>
      </c>
      <c r="T439" s="18" t="s">
        <v>89</v>
      </c>
      <c r="U439" s="19" t="s">
        <v>1887</v>
      </c>
      <c r="V439" s="18" t="s">
        <v>64</v>
      </c>
    </row>
    <row r="440" spans="1:22">
      <c r="A440" s="15" t="s">
        <v>1888</v>
      </c>
      <c r="B440" s="15" t="s">
        <v>327</v>
      </c>
      <c r="C440" s="15" t="s">
        <v>92</v>
      </c>
      <c r="D440" s="15" t="s">
        <v>1713</v>
      </c>
      <c r="E440" s="15" t="s">
        <v>193</v>
      </c>
      <c r="F440" s="15" t="s">
        <v>394</v>
      </c>
      <c r="G440" s="15" t="s">
        <v>76</v>
      </c>
      <c r="H440" s="15" t="s">
        <v>1889</v>
      </c>
      <c r="I440" s="15" t="s">
        <v>138</v>
      </c>
      <c r="J440" s="15" t="s">
        <v>106</v>
      </c>
      <c r="K440" s="15" t="s">
        <v>32</v>
      </c>
      <c r="L440" s="15" t="s">
        <v>97</v>
      </c>
      <c r="M440" s="15">
        <v>4</v>
      </c>
      <c r="N440" s="15">
        <v>3500</v>
      </c>
      <c r="O440" s="15">
        <v>0</v>
      </c>
      <c r="P440" s="15">
        <v>14000</v>
      </c>
      <c r="Q440" s="15">
        <v>2</v>
      </c>
      <c r="R440" s="15" t="s">
        <v>88</v>
      </c>
      <c r="S440" s="15" t="s">
        <v>35</v>
      </c>
      <c r="T440" s="15" t="s">
        <v>332</v>
      </c>
      <c r="U440" s="17" t="s">
        <v>1890</v>
      </c>
      <c r="V440" s="15" t="s">
        <v>69</v>
      </c>
    </row>
    <row r="441" spans="1:22">
      <c r="A441" s="18" t="s">
        <v>1891</v>
      </c>
      <c r="B441" s="18" t="s">
        <v>83</v>
      </c>
      <c r="C441" s="18" t="s">
        <v>92</v>
      </c>
      <c r="D441" s="18" t="s">
        <v>318</v>
      </c>
      <c r="E441" s="18" t="s">
        <v>1119</v>
      </c>
      <c r="F441" s="18" t="s">
        <v>180</v>
      </c>
      <c r="G441" s="18" t="s">
        <v>76</v>
      </c>
      <c r="H441" s="18" t="s">
        <v>1892</v>
      </c>
      <c r="I441" s="18" t="s">
        <v>212</v>
      </c>
      <c r="J441" s="18" t="s">
        <v>45</v>
      </c>
      <c r="K441" s="18" t="s">
        <v>32</v>
      </c>
      <c r="L441" s="18" t="s">
        <v>97</v>
      </c>
      <c r="M441" s="18">
        <v>9</v>
      </c>
      <c r="N441" s="18">
        <v>3500</v>
      </c>
      <c r="O441" s="18">
        <v>5</v>
      </c>
      <c r="P441" s="18">
        <v>29925</v>
      </c>
      <c r="Q441" s="18">
        <v>3</v>
      </c>
      <c r="R441" s="18" t="s">
        <v>79</v>
      </c>
      <c r="S441" s="18" t="s">
        <v>61</v>
      </c>
      <c r="T441" s="18" t="s">
        <v>89</v>
      </c>
      <c r="U441" s="19" t="s">
        <v>1893</v>
      </c>
      <c r="V441" s="18" t="s">
        <v>38</v>
      </c>
    </row>
    <row r="442" spans="1:22">
      <c r="A442" s="15" t="s">
        <v>1894</v>
      </c>
      <c r="B442" s="15" t="s">
        <v>127</v>
      </c>
      <c r="C442" s="15" t="s">
        <v>118</v>
      </c>
      <c r="D442" s="15" t="s">
        <v>683</v>
      </c>
      <c r="E442" s="15" t="s">
        <v>1465</v>
      </c>
      <c r="F442" s="15" t="s">
        <v>200</v>
      </c>
      <c r="G442" s="15" t="s">
        <v>76</v>
      </c>
      <c r="H442" s="15" t="s">
        <v>1895</v>
      </c>
      <c r="I442" s="15" t="s">
        <v>105</v>
      </c>
      <c r="J442" s="15" t="s">
        <v>106</v>
      </c>
      <c r="K442" s="15" t="s">
        <v>122</v>
      </c>
      <c r="L442" s="15" t="s">
        <v>123</v>
      </c>
      <c r="M442" s="15">
        <v>9</v>
      </c>
      <c r="N442" s="15">
        <v>60</v>
      </c>
      <c r="O442" s="15">
        <v>0</v>
      </c>
      <c r="P442" s="15">
        <v>540</v>
      </c>
      <c r="Q442" s="15">
        <v>3</v>
      </c>
      <c r="R442" s="15" t="s">
        <v>88</v>
      </c>
      <c r="S442" s="15" t="s">
        <v>35</v>
      </c>
      <c r="T442" s="15" t="s">
        <v>132</v>
      </c>
      <c r="U442" s="17" t="s">
        <v>1896</v>
      </c>
      <c r="V442" s="15" t="s">
        <v>64</v>
      </c>
    </row>
    <row r="443" spans="1:22">
      <c r="A443" s="18" t="s">
        <v>1897</v>
      </c>
      <c r="B443" s="18" t="s">
        <v>168</v>
      </c>
      <c r="C443" s="18" t="s">
        <v>72</v>
      </c>
      <c r="D443" s="18" t="s">
        <v>1898</v>
      </c>
      <c r="E443" s="18" t="s">
        <v>1263</v>
      </c>
      <c r="F443" s="18" t="s">
        <v>361</v>
      </c>
      <c r="G443" s="18" t="s">
        <v>28</v>
      </c>
      <c r="H443" s="18" t="s">
        <v>1899</v>
      </c>
      <c r="I443" s="18" t="s">
        <v>138</v>
      </c>
      <c r="J443" s="18" t="s">
        <v>106</v>
      </c>
      <c r="K443" s="18" t="s">
        <v>46</v>
      </c>
      <c r="L443" s="18" t="s">
        <v>78</v>
      </c>
      <c r="M443" s="18">
        <v>4</v>
      </c>
      <c r="N443" s="18">
        <v>1200</v>
      </c>
      <c r="O443" s="18">
        <v>0</v>
      </c>
      <c r="P443" s="18">
        <v>4800</v>
      </c>
      <c r="Q443" s="18">
        <v>1</v>
      </c>
      <c r="R443" s="18" t="s">
        <v>48</v>
      </c>
      <c r="S443" s="18" t="s">
        <v>61</v>
      </c>
      <c r="T443" s="18" t="s">
        <v>175</v>
      </c>
      <c r="U443" s="19" t="s">
        <v>1900</v>
      </c>
      <c r="V443" s="18" t="s">
        <v>38</v>
      </c>
    </row>
    <row r="444" spans="1:22">
      <c r="A444" s="15" t="s">
        <v>1901</v>
      </c>
      <c r="B444" s="15" t="s">
        <v>53</v>
      </c>
      <c r="C444" s="15" t="s">
        <v>54</v>
      </c>
      <c r="D444" s="15" t="s">
        <v>1620</v>
      </c>
      <c r="E444" s="15" t="s">
        <v>302</v>
      </c>
      <c r="F444" s="15" t="s">
        <v>163</v>
      </c>
      <c r="G444" s="15" t="s">
        <v>28</v>
      </c>
      <c r="H444" s="15" t="s">
        <v>1902</v>
      </c>
      <c r="I444" s="15" t="s">
        <v>30</v>
      </c>
      <c r="J444" s="15" t="s">
        <v>31</v>
      </c>
      <c r="K444" s="15" t="s">
        <v>46</v>
      </c>
      <c r="L444" s="15" t="s">
        <v>60</v>
      </c>
      <c r="M444" s="15">
        <v>10</v>
      </c>
      <c r="N444" s="15">
        <v>55000</v>
      </c>
      <c r="O444" s="15">
        <v>5</v>
      </c>
      <c r="P444" s="15">
        <v>522500</v>
      </c>
      <c r="Q444" s="15">
        <v>5</v>
      </c>
      <c r="R444" s="15" t="s">
        <v>88</v>
      </c>
      <c r="S444" s="15" t="s">
        <v>115</v>
      </c>
      <c r="T444" s="15" t="s">
        <v>62</v>
      </c>
      <c r="U444" s="17" t="s">
        <v>1903</v>
      </c>
      <c r="V444" s="15" t="s">
        <v>38</v>
      </c>
    </row>
    <row r="445" spans="1:22">
      <c r="A445" s="18" t="s">
        <v>1904</v>
      </c>
      <c r="B445" s="18" t="s">
        <v>221</v>
      </c>
      <c r="C445" s="18" t="s">
        <v>259</v>
      </c>
      <c r="D445" s="18" t="s">
        <v>1905</v>
      </c>
      <c r="E445" s="18" t="s">
        <v>881</v>
      </c>
      <c r="F445" s="18" t="s">
        <v>225</v>
      </c>
      <c r="G445" s="18" t="s">
        <v>76</v>
      </c>
      <c r="H445" s="18" t="s">
        <v>1906</v>
      </c>
      <c r="I445" s="18" t="s">
        <v>30</v>
      </c>
      <c r="J445" s="18" t="s">
        <v>31</v>
      </c>
      <c r="K445" s="18" t="s">
        <v>122</v>
      </c>
      <c r="L445" s="18" t="s">
        <v>263</v>
      </c>
      <c r="M445" s="18">
        <v>20</v>
      </c>
      <c r="N445" s="18">
        <v>45</v>
      </c>
      <c r="O445" s="18">
        <v>15</v>
      </c>
      <c r="P445" s="18">
        <v>765</v>
      </c>
      <c r="Q445" s="18">
        <v>2</v>
      </c>
      <c r="R445" s="18" t="s">
        <v>79</v>
      </c>
      <c r="S445" s="18" t="s">
        <v>35</v>
      </c>
      <c r="T445" s="18" t="s">
        <v>228</v>
      </c>
      <c r="U445" s="19" t="s">
        <v>1907</v>
      </c>
      <c r="V445" s="18" t="s">
        <v>69</v>
      </c>
    </row>
    <row r="446" spans="1:22">
      <c r="A446" s="15" t="s">
        <v>1908</v>
      </c>
      <c r="B446" s="15" t="s">
        <v>23</v>
      </c>
      <c r="C446" s="15" t="s">
        <v>222</v>
      </c>
      <c r="D446" s="15" t="s">
        <v>314</v>
      </c>
      <c r="E446" s="15" t="s">
        <v>170</v>
      </c>
      <c r="F446" s="15" t="s">
        <v>27</v>
      </c>
      <c r="G446" s="15" t="s">
        <v>28</v>
      </c>
      <c r="H446" s="15" t="s">
        <v>1909</v>
      </c>
      <c r="I446" s="15" t="s">
        <v>105</v>
      </c>
      <c r="J446" s="15" t="s">
        <v>106</v>
      </c>
      <c r="K446" s="15" t="s">
        <v>122</v>
      </c>
      <c r="L446" s="15" t="s">
        <v>227</v>
      </c>
      <c r="M446" s="15">
        <v>9</v>
      </c>
      <c r="N446" s="15">
        <v>20</v>
      </c>
      <c r="O446" s="15">
        <v>20</v>
      </c>
      <c r="P446" s="15">
        <v>144</v>
      </c>
      <c r="Q446" s="15">
        <v>3</v>
      </c>
      <c r="R446" s="15" t="s">
        <v>79</v>
      </c>
      <c r="S446" s="15" t="s">
        <v>61</v>
      </c>
      <c r="T446" s="15" t="s">
        <v>50</v>
      </c>
      <c r="U446" s="17" t="s">
        <v>1910</v>
      </c>
      <c r="V446" s="15" t="s">
        <v>38</v>
      </c>
    </row>
    <row r="447" spans="1:22">
      <c r="A447" s="18" t="s">
        <v>1911</v>
      </c>
      <c r="B447" s="18" t="s">
        <v>23</v>
      </c>
      <c r="C447" s="18" t="s">
        <v>54</v>
      </c>
      <c r="D447" s="18" t="s">
        <v>1912</v>
      </c>
      <c r="E447" s="18" t="s">
        <v>910</v>
      </c>
      <c r="F447" s="18" t="s">
        <v>27</v>
      </c>
      <c r="G447" s="18" t="s">
        <v>28</v>
      </c>
      <c r="H447" s="18" t="s">
        <v>1913</v>
      </c>
      <c r="I447" s="18" t="s">
        <v>114</v>
      </c>
      <c r="J447" s="18" t="s">
        <v>106</v>
      </c>
      <c r="K447" s="18" t="s">
        <v>46</v>
      </c>
      <c r="L447" s="18" t="s">
        <v>60</v>
      </c>
      <c r="M447" s="18">
        <v>8</v>
      </c>
      <c r="N447" s="18">
        <v>55000</v>
      </c>
      <c r="O447" s="18">
        <v>0</v>
      </c>
      <c r="P447" s="18">
        <v>440000</v>
      </c>
      <c r="Q447" s="18">
        <v>4</v>
      </c>
      <c r="R447" s="18" t="s">
        <v>34</v>
      </c>
      <c r="S447" s="18" t="s">
        <v>115</v>
      </c>
      <c r="T447" s="18" t="s">
        <v>50</v>
      </c>
      <c r="U447" s="19" t="s">
        <v>1914</v>
      </c>
      <c r="V447" s="18" t="s">
        <v>38</v>
      </c>
    </row>
    <row r="448" spans="1:22">
      <c r="A448" s="15" t="s">
        <v>1915</v>
      </c>
      <c r="B448" s="15" t="s">
        <v>327</v>
      </c>
      <c r="C448" s="15" t="s">
        <v>72</v>
      </c>
      <c r="D448" s="15" t="s">
        <v>1916</v>
      </c>
      <c r="E448" s="15" t="s">
        <v>1430</v>
      </c>
      <c r="F448" s="15" t="s">
        <v>394</v>
      </c>
      <c r="G448" s="15" t="s">
        <v>76</v>
      </c>
      <c r="H448" s="15" t="s">
        <v>1917</v>
      </c>
      <c r="I448" s="15" t="s">
        <v>138</v>
      </c>
      <c r="J448" s="15" t="s">
        <v>106</v>
      </c>
      <c r="K448" s="15" t="s">
        <v>46</v>
      </c>
      <c r="L448" s="15" t="s">
        <v>78</v>
      </c>
      <c r="M448" s="15">
        <v>4</v>
      </c>
      <c r="N448" s="15">
        <v>1200</v>
      </c>
      <c r="O448" s="15">
        <v>10</v>
      </c>
      <c r="P448" s="15">
        <v>4320</v>
      </c>
      <c r="Q448" s="15">
        <v>4</v>
      </c>
      <c r="R448" s="15" t="s">
        <v>88</v>
      </c>
      <c r="S448" s="15" t="s">
        <v>35</v>
      </c>
      <c r="T448" s="16" t="s">
        <v>1918</v>
      </c>
      <c r="U448" s="17" t="s">
        <v>1919</v>
      </c>
      <c r="V448" s="15" t="s">
        <v>69</v>
      </c>
    </row>
    <row r="449" spans="1:22">
      <c r="A449" s="18" t="s">
        <v>1920</v>
      </c>
      <c r="B449" s="18" t="s">
        <v>327</v>
      </c>
      <c r="C449" s="18" t="s">
        <v>169</v>
      </c>
      <c r="D449" s="18" t="s">
        <v>518</v>
      </c>
      <c r="E449" s="18" t="s">
        <v>426</v>
      </c>
      <c r="F449" s="18" t="s">
        <v>394</v>
      </c>
      <c r="G449" s="18" t="s">
        <v>76</v>
      </c>
      <c r="H449" s="18" t="s">
        <v>1921</v>
      </c>
      <c r="I449" s="18" t="s">
        <v>294</v>
      </c>
      <c r="J449" s="18" t="s">
        <v>295</v>
      </c>
      <c r="K449" s="18" t="s">
        <v>32</v>
      </c>
      <c r="L449" s="18" t="s">
        <v>174</v>
      </c>
      <c r="M449" s="18">
        <v>14</v>
      </c>
      <c r="N449" s="18">
        <v>8500</v>
      </c>
      <c r="O449" s="18">
        <v>10</v>
      </c>
      <c r="P449" s="18">
        <v>107100</v>
      </c>
      <c r="Q449" s="18">
        <v>4</v>
      </c>
      <c r="R449" s="18" t="s">
        <v>34</v>
      </c>
      <c r="S449" s="18" t="s">
        <v>35</v>
      </c>
      <c r="T449" s="18" t="s">
        <v>332</v>
      </c>
      <c r="U449" s="19" t="s">
        <v>1922</v>
      </c>
      <c r="V449" s="18" t="s">
        <v>38</v>
      </c>
    </row>
    <row r="450" spans="1:22">
      <c r="A450" s="15" t="s">
        <v>1923</v>
      </c>
      <c r="B450" s="15" t="s">
        <v>71</v>
      </c>
      <c r="C450" s="15" t="s">
        <v>259</v>
      </c>
      <c r="D450" s="15" t="s">
        <v>683</v>
      </c>
      <c r="E450" s="15" t="s">
        <v>1924</v>
      </c>
      <c r="F450" s="15" t="s">
        <v>217</v>
      </c>
      <c r="G450" s="15" t="s">
        <v>76</v>
      </c>
      <c r="H450" s="15" t="s">
        <v>1925</v>
      </c>
      <c r="I450" s="15" t="s">
        <v>30</v>
      </c>
      <c r="J450" s="15" t="s">
        <v>31</v>
      </c>
      <c r="K450" s="15" t="s">
        <v>122</v>
      </c>
      <c r="L450" s="15" t="s">
        <v>263</v>
      </c>
      <c r="M450" s="15">
        <v>1</v>
      </c>
      <c r="N450" s="15">
        <v>45</v>
      </c>
      <c r="O450" s="15">
        <v>0</v>
      </c>
      <c r="P450" s="15">
        <v>45</v>
      </c>
      <c r="Q450" s="15">
        <v>3</v>
      </c>
      <c r="R450" s="15" t="s">
        <v>88</v>
      </c>
      <c r="S450" s="15" t="s">
        <v>151</v>
      </c>
      <c r="T450" s="15" t="s">
        <v>80</v>
      </c>
      <c r="U450" s="17" t="s">
        <v>1926</v>
      </c>
      <c r="V450" s="15" t="s">
        <v>69</v>
      </c>
    </row>
    <row r="451" spans="1:22">
      <c r="A451" s="18" t="s">
        <v>1927</v>
      </c>
      <c r="B451" s="18" t="s">
        <v>71</v>
      </c>
      <c r="C451" s="18" t="s">
        <v>54</v>
      </c>
      <c r="D451" s="18" t="s">
        <v>901</v>
      </c>
      <c r="E451" s="18" t="s">
        <v>1069</v>
      </c>
      <c r="F451" s="18" t="s">
        <v>217</v>
      </c>
      <c r="G451" s="18" t="s">
        <v>76</v>
      </c>
      <c r="H451" s="18" t="s">
        <v>1928</v>
      </c>
      <c r="I451" s="18" t="s">
        <v>44</v>
      </c>
      <c r="J451" s="18" t="s">
        <v>45</v>
      </c>
      <c r="K451" s="18" t="s">
        <v>46</v>
      </c>
      <c r="L451" s="18" t="s">
        <v>60</v>
      </c>
      <c r="M451" s="18">
        <v>16</v>
      </c>
      <c r="N451" s="18">
        <v>55000</v>
      </c>
      <c r="O451" s="18">
        <v>15</v>
      </c>
      <c r="P451" s="18">
        <v>748000</v>
      </c>
      <c r="Q451" s="18">
        <v>1</v>
      </c>
      <c r="R451" s="18" t="s">
        <v>79</v>
      </c>
      <c r="S451" s="18" t="s">
        <v>151</v>
      </c>
      <c r="T451" s="18" t="s">
        <v>80</v>
      </c>
      <c r="U451" s="19" t="s">
        <v>1929</v>
      </c>
      <c r="V451" s="18" t="s">
        <v>69</v>
      </c>
    </row>
    <row r="452" spans="1:22">
      <c r="A452" s="15" t="s">
        <v>1930</v>
      </c>
      <c r="B452" s="15" t="s">
        <v>53</v>
      </c>
      <c r="C452" s="15" t="s">
        <v>184</v>
      </c>
      <c r="D452" s="15" t="s">
        <v>1931</v>
      </c>
      <c r="E452" s="15" t="s">
        <v>1932</v>
      </c>
      <c r="F452" s="15" t="s">
        <v>163</v>
      </c>
      <c r="G452" s="15" t="s">
        <v>28</v>
      </c>
      <c r="H452" s="15" t="s">
        <v>1933</v>
      </c>
      <c r="I452" s="15" t="s">
        <v>138</v>
      </c>
      <c r="J452" s="15" t="s">
        <v>106</v>
      </c>
      <c r="K452" s="15" t="s">
        <v>46</v>
      </c>
      <c r="L452" s="15" t="s">
        <v>189</v>
      </c>
      <c r="M452" s="15">
        <v>8</v>
      </c>
      <c r="N452" s="15">
        <v>700</v>
      </c>
      <c r="O452" s="15">
        <v>0</v>
      </c>
      <c r="P452" s="15">
        <v>5600</v>
      </c>
      <c r="Q452" s="15">
        <v>3</v>
      </c>
      <c r="R452" s="15" t="s">
        <v>34</v>
      </c>
      <c r="S452" s="15" t="s">
        <v>49</v>
      </c>
      <c r="T452" s="15" t="s">
        <v>62</v>
      </c>
      <c r="U452" s="17" t="s">
        <v>1934</v>
      </c>
      <c r="V452" s="15" t="s">
        <v>38</v>
      </c>
    </row>
    <row r="453" spans="1:22">
      <c r="A453" s="18" t="s">
        <v>1935</v>
      </c>
      <c r="B453" s="18" t="s">
        <v>251</v>
      </c>
      <c r="C453" s="18" t="s">
        <v>72</v>
      </c>
      <c r="D453" s="18" t="s">
        <v>66</v>
      </c>
      <c r="E453" s="18" t="s">
        <v>1936</v>
      </c>
      <c r="F453" s="18" t="s">
        <v>254</v>
      </c>
      <c r="G453" s="18" t="s">
        <v>28</v>
      </c>
      <c r="H453" s="18" t="s">
        <v>1937</v>
      </c>
      <c r="I453" s="18" t="s">
        <v>138</v>
      </c>
      <c r="J453" s="18" t="s">
        <v>106</v>
      </c>
      <c r="K453" s="18" t="s">
        <v>46</v>
      </c>
      <c r="L453" s="18" t="s">
        <v>78</v>
      </c>
      <c r="M453" s="18">
        <v>3</v>
      </c>
      <c r="N453" s="18">
        <v>1200</v>
      </c>
      <c r="O453" s="18">
        <v>0</v>
      </c>
      <c r="P453" s="18">
        <v>3600</v>
      </c>
      <c r="Q453" s="18">
        <v>1</v>
      </c>
      <c r="R453" s="18" t="s">
        <v>79</v>
      </c>
      <c r="S453" s="18" t="s">
        <v>49</v>
      </c>
      <c r="T453" s="18" t="s">
        <v>256</v>
      </c>
      <c r="U453" s="19" t="s">
        <v>1938</v>
      </c>
      <c r="V453" s="18" t="s">
        <v>69</v>
      </c>
    </row>
    <row r="454" spans="1:22">
      <c r="A454" s="15" t="s">
        <v>1939</v>
      </c>
      <c r="B454" s="15" t="s">
        <v>71</v>
      </c>
      <c r="C454" s="15" t="s">
        <v>92</v>
      </c>
      <c r="D454" s="15" t="s">
        <v>988</v>
      </c>
      <c r="E454" s="15" t="s">
        <v>387</v>
      </c>
      <c r="F454" s="15" t="s">
        <v>217</v>
      </c>
      <c r="G454" s="15" t="s">
        <v>76</v>
      </c>
      <c r="H454" s="15" t="s">
        <v>1940</v>
      </c>
      <c r="I454" s="15" t="s">
        <v>294</v>
      </c>
      <c r="J454" s="15" t="s">
        <v>295</v>
      </c>
      <c r="K454" s="15" t="s">
        <v>32</v>
      </c>
      <c r="L454" s="15" t="s">
        <v>97</v>
      </c>
      <c r="M454" s="15">
        <v>7</v>
      </c>
      <c r="N454" s="15">
        <v>3500</v>
      </c>
      <c r="O454" s="15">
        <v>15</v>
      </c>
      <c r="P454" s="15">
        <v>20825</v>
      </c>
      <c r="Q454" s="15">
        <v>4</v>
      </c>
      <c r="R454" s="15" t="s">
        <v>79</v>
      </c>
      <c r="S454" s="15" t="s">
        <v>61</v>
      </c>
      <c r="T454" s="15" t="s">
        <v>80</v>
      </c>
      <c r="U454" s="17" t="s">
        <v>1941</v>
      </c>
      <c r="V454" s="15" t="s">
        <v>64</v>
      </c>
    </row>
    <row r="455" spans="1:22">
      <c r="A455" s="18" t="s">
        <v>1942</v>
      </c>
      <c r="B455" s="18" t="s">
        <v>53</v>
      </c>
      <c r="C455" s="18" t="s">
        <v>54</v>
      </c>
      <c r="D455" s="18" t="s">
        <v>1932</v>
      </c>
      <c r="E455" s="18" t="s">
        <v>740</v>
      </c>
      <c r="F455" s="18" t="s">
        <v>163</v>
      </c>
      <c r="G455" s="18" t="s">
        <v>28</v>
      </c>
      <c r="H455" s="18" t="s">
        <v>1943</v>
      </c>
      <c r="I455" s="18" t="s">
        <v>114</v>
      </c>
      <c r="J455" s="18" t="s">
        <v>106</v>
      </c>
      <c r="K455" s="18" t="s">
        <v>46</v>
      </c>
      <c r="L455" s="18" t="s">
        <v>60</v>
      </c>
      <c r="M455" s="18">
        <v>9</v>
      </c>
      <c r="N455" s="18">
        <v>55000</v>
      </c>
      <c r="O455" s="18">
        <v>15</v>
      </c>
      <c r="P455" s="18">
        <v>420750</v>
      </c>
      <c r="Q455" s="18">
        <v>3</v>
      </c>
      <c r="R455" s="18" t="s">
        <v>88</v>
      </c>
      <c r="S455" s="18" t="s">
        <v>35</v>
      </c>
      <c r="T455" s="18" t="s">
        <v>62</v>
      </c>
      <c r="U455" s="19" t="s">
        <v>1944</v>
      </c>
      <c r="V455" s="18" t="s">
        <v>69</v>
      </c>
    </row>
    <row r="456" spans="1:22">
      <c r="A456" s="15" t="s">
        <v>1945</v>
      </c>
      <c r="B456" s="15" t="s">
        <v>327</v>
      </c>
      <c r="C456" s="15" t="s">
        <v>40</v>
      </c>
      <c r="D456" s="15" t="s">
        <v>185</v>
      </c>
      <c r="E456" s="15" t="s">
        <v>918</v>
      </c>
      <c r="F456" s="15" t="s">
        <v>394</v>
      </c>
      <c r="G456" s="15" t="s">
        <v>76</v>
      </c>
      <c r="H456" s="15" t="s">
        <v>1946</v>
      </c>
      <c r="I456" s="15" t="s">
        <v>59</v>
      </c>
      <c r="J456" s="15" t="s">
        <v>31</v>
      </c>
      <c r="K456" s="15" t="s">
        <v>46</v>
      </c>
      <c r="L456" s="15" t="s">
        <v>47</v>
      </c>
      <c r="M456" s="15">
        <v>12</v>
      </c>
      <c r="N456" s="15">
        <v>12000</v>
      </c>
      <c r="O456" s="15">
        <v>0</v>
      </c>
      <c r="P456" s="15">
        <v>144000</v>
      </c>
      <c r="Q456" s="15">
        <v>3</v>
      </c>
      <c r="R456" s="15" t="s">
        <v>79</v>
      </c>
      <c r="S456" s="15" t="s">
        <v>151</v>
      </c>
      <c r="T456" s="15" t="s">
        <v>332</v>
      </c>
      <c r="U456" s="17" t="s">
        <v>1947</v>
      </c>
      <c r="V456" s="15" t="s">
        <v>69</v>
      </c>
    </row>
    <row r="457" spans="1:22">
      <c r="A457" s="18" t="s">
        <v>1948</v>
      </c>
      <c r="B457" s="18" t="s">
        <v>100</v>
      </c>
      <c r="C457" s="18" t="s">
        <v>118</v>
      </c>
      <c r="D457" s="18" t="s">
        <v>42</v>
      </c>
      <c r="E457" s="18" t="s">
        <v>597</v>
      </c>
      <c r="F457" s="18" t="s">
        <v>103</v>
      </c>
      <c r="G457" s="18" t="s">
        <v>28</v>
      </c>
      <c r="H457" s="18" t="s">
        <v>1949</v>
      </c>
      <c r="I457" s="18" t="s">
        <v>138</v>
      </c>
      <c r="J457" s="18" t="s">
        <v>106</v>
      </c>
      <c r="K457" s="18" t="s">
        <v>122</v>
      </c>
      <c r="L457" s="18" t="s">
        <v>123</v>
      </c>
      <c r="M457" s="18">
        <v>7</v>
      </c>
      <c r="N457" s="18">
        <v>60</v>
      </c>
      <c r="O457" s="18">
        <v>10</v>
      </c>
      <c r="P457" s="18">
        <v>378</v>
      </c>
      <c r="Q457" s="18">
        <v>4</v>
      </c>
      <c r="R457" s="18" t="s">
        <v>34</v>
      </c>
      <c r="S457" s="18" t="s">
        <v>49</v>
      </c>
      <c r="T457" s="18" t="s">
        <v>144</v>
      </c>
      <c r="U457" s="19" t="s">
        <v>1950</v>
      </c>
      <c r="V457" s="18" t="s">
        <v>69</v>
      </c>
    </row>
    <row r="458" spans="1:22">
      <c r="A458" s="15" t="s">
        <v>1951</v>
      </c>
      <c r="B458" s="15" t="s">
        <v>221</v>
      </c>
      <c r="C458" s="15" t="s">
        <v>24</v>
      </c>
      <c r="D458" s="15" t="s">
        <v>377</v>
      </c>
      <c r="E458" s="15" t="s">
        <v>674</v>
      </c>
      <c r="F458" s="15" t="s">
        <v>225</v>
      </c>
      <c r="G458" s="15" t="s">
        <v>76</v>
      </c>
      <c r="H458" s="15" t="s">
        <v>1952</v>
      </c>
      <c r="I458" s="15" t="s">
        <v>105</v>
      </c>
      <c r="J458" s="15" t="s">
        <v>106</v>
      </c>
      <c r="K458" s="15" t="s">
        <v>32</v>
      </c>
      <c r="L458" s="15" t="s">
        <v>33</v>
      </c>
      <c r="M458" s="15">
        <v>17</v>
      </c>
      <c r="N458" s="15">
        <v>2200</v>
      </c>
      <c r="O458" s="15">
        <v>15</v>
      </c>
      <c r="P458" s="15">
        <v>31790</v>
      </c>
      <c r="Q458" s="15">
        <v>3</v>
      </c>
      <c r="R458" s="15" t="s">
        <v>88</v>
      </c>
      <c r="S458" s="15" t="s">
        <v>151</v>
      </c>
      <c r="T458" s="15" t="s">
        <v>228</v>
      </c>
      <c r="U458" s="17" t="s">
        <v>1953</v>
      </c>
      <c r="V458" s="15" t="s">
        <v>64</v>
      </c>
    </row>
    <row r="459" spans="1:22">
      <c r="A459" s="18" t="s">
        <v>1954</v>
      </c>
      <c r="B459" s="18" t="s">
        <v>327</v>
      </c>
      <c r="C459" s="18" t="s">
        <v>184</v>
      </c>
      <c r="D459" s="18" t="s">
        <v>351</v>
      </c>
      <c r="E459" s="18" t="s">
        <v>1537</v>
      </c>
      <c r="F459" s="18" t="s">
        <v>394</v>
      </c>
      <c r="G459" s="18" t="s">
        <v>76</v>
      </c>
      <c r="H459" s="18" t="s">
        <v>1955</v>
      </c>
      <c r="I459" s="18" t="s">
        <v>59</v>
      </c>
      <c r="J459" s="18" t="s">
        <v>31</v>
      </c>
      <c r="K459" s="18" t="s">
        <v>46</v>
      </c>
      <c r="L459" s="18" t="s">
        <v>189</v>
      </c>
      <c r="M459" s="18">
        <v>17</v>
      </c>
      <c r="N459" s="18">
        <v>700</v>
      </c>
      <c r="O459" s="18">
        <v>10</v>
      </c>
      <c r="P459" s="18">
        <v>10710</v>
      </c>
      <c r="Q459" s="18">
        <v>2</v>
      </c>
      <c r="R459" s="18" t="s">
        <v>34</v>
      </c>
      <c r="S459" s="18" t="s">
        <v>61</v>
      </c>
      <c r="T459" s="18" t="s">
        <v>332</v>
      </c>
      <c r="U459" s="19" t="s">
        <v>1956</v>
      </c>
      <c r="V459" s="18" t="s">
        <v>64</v>
      </c>
    </row>
    <row r="460" spans="1:22">
      <c r="A460" s="15" t="s">
        <v>1957</v>
      </c>
      <c r="B460" s="15" t="s">
        <v>327</v>
      </c>
      <c r="C460" s="15" t="s">
        <v>54</v>
      </c>
      <c r="D460" s="15" t="s">
        <v>1958</v>
      </c>
      <c r="E460" s="15" t="s">
        <v>1188</v>
      </c>
      <c r="F460" s="15" t="s">
        <v>394</v>
      </c>
      <c r="G460" s="15" t="s">
        <v>76</v>
      </c>
      <c r="H460" s="15" t="s">
        <v>1959</v>
      </c>
      <c r="I460" s="15" t="s">
        <v>44</v>
      </c>
      <c r="J460" s="15" t="s">
        <v>45</v>
      </c>
      <c r="K460" s="15" t="s">
        <v>46</v>
      </c>
      <c r="L460" s="15" t="s">
        <v>60</v>
      </c>
      <c r="M460" s="15">
        <v>19</v>
      </c>
      <c r="N460" s="15">
        <v>55000</v>
      </c>
      <c r="O460" s="15">
        <v>20</v>
      </c>
      <c r="P460" s="15">
        <v>836000</v>
      </c>
      <c r="Q460" s="15">
        <v>5</v>
      </c>
      <c r="R460" s="15" t="s">
        <v>48</v>
      </c>
      <c r="S460" s="15" t="s">
        <v>61</v>
      </c>
      <c r="T460" s="15" t="s">
        <v>332</v>
      </c>
      <c r="U460" s="17" t="s">
        <v>1960</v>
      </c>
      <c r="V460" s="15" t="s">
        <v>38</v>
      </c>
    </row>
    <row r="461" spans="1:22">
      <c r="A461" s="18" t="s">
        <v>1961</v>
      </c>
      <c r="B461" s="18" t="s">
        <v>127</v>
      </c>
      <c r="C461" s="18" t="s">
        <v>118</v>
      </c>
      <c r="D461" s="18" t="s">
        <v>1172</v>
      </c>
      <c r="E461" s="18" t="s">
        <v>128</v>
      </c>
      <c r="F461" s="18" t="s">
        <v>200</v>
      </c>
      <c r="G461" s="18" t="s">
        <v>76</v>
      </c>
      <c r="H461" s="18" t="s">
        <v>1962</v>
      </c>
      <c r="I461" s="18" t="s">
        <v>44</v>
      </c>
      <c r="J461" s="18" t="s">
        <v>45</v>
      </c>
      <c r="K461" s="18" t="s">
        <v>122</v>
      </c>
      <c r="L461" s="18" t="s">
        <v>123</v>
      </c>
      <c r="M461" s="18">
        <v>1</v>
      </c>
      <c r="N461" s="18">
        <v>60</v>
      </c>
      <c r="O461" s="18">
        <v>10</v>
      </c>
      <c r="P461" s="18">
        <v>54</v>
      </c>
      <c r="Q461" s="18">
        <v>4</v>
      </c>
      <c r="R461" s="18" t="s">
        <v>48</v>
      </c>
      <c r="S461" s="15" t="s">
        <v>2154</v>
      </c>
      <c r="T461" s="20" t="s">
        <v>1963</v>
      </c>
      <c r="U461" s="19" t="s">
        <v>1964</v>
      </c>
      <c r="V461" s="18" t="s">
        <v>69</v>
      </c>
    </row>
    <row r="462" spans="1:22">
      <c r="A462" s="15" t="s">
        <v>1965</v>
      </c>
      <c r="B462" s="15" t="s">
        <v>71</v>
      </c>
      <c r="C462" s="15" t="s">
        <v>92</v>
      </c>
      <c r="D462" s="15" t="s">
        <v>1142</v>
      </c>
      <c r="E462" s="15" t="s">
        <v>554</v>
      </c>
      <c r="F462" s="15" t="s">
        <v>217</v>
      </c>
      <c r="G462" s="15" t="s">
        <v>76</v>
      </c>
      <c r="H462" s="15" t="s">
        <v>1966</v>
      </c>
      <c r="I462" s="15" t="s">
        <v>30</v>
      </c>
      <c r="J462" s="15" t="s">
        <v>31</v>
      </c>
      <c r="K462" s="15" t="s">
        <v>32</v>
      </c>
      <c r="L462" s="15" t="s">
        <v>97</v>
      </c>
      <c r="M462" s="15">
        <v>16</v>
      </c>
      <c r="N462" s="15">
        <v>3500</v>
      </c>
      <c r="O462" s="15">
        <v>0</v>
      </c>
      <c r="P462" s="15">
        <v>56000</v>
      </c>
      <c r="Q462" s="15">
        <v>4</v>
      </c>
      <c r="R462" s="15" t="s">
        <v>48</v>
      </c>
      <c r="S462" s="15" t="s">
        <v>35</v>
      </c>
      <c r="T462" s="15" t="s">
        <v>80</v>
      </c>
      <c r="U462" s="17" t="s">
        <v>1967</v>
      </c>
      <c r="V462" s="15" t="s">
        <v>64</v>
      </c>
    </row>
    <row r="463" spans="1:22">
      <c r="A463" s="18" t="s">
        <v>1968</v>
      </c>
      <c r="B463" s="18" t="s">
        <v>127</v>
      </c>
      <c r="C463" s="18" t="s">
        <v>222</v>
      </c>
      <c r="D463" s="18" t="s">
        <v>957</v>
      </c>
      <c r="E463" s="18" t="s">
        <v>766</v>
      </c>
      <c r="F463" s="18" t="s">
        <v>200</v>
      </c>
      <c r="G463" s="18" t="s">
        <v>76</v>
      </c>
      <c r="H463" s="18" t="s">
        <v>1295</v>
      </c>
      <c r="I463" s="18" t="s">
        <v>114</v>
      </c>
      <c r="J463" s="18" t="s">
        <v>106</v>
      </c>
      <c r="K463" s="18" t="s">
        <v>122</v>
      </c>
      <c r="L463" s="18" t="s">
        <v>227</v>
      </c>
      <c r="M463" s="18">
        <v>14</v>
      </c>
      <c r="N463" s="18">
        <v>20</v>
      </c>
      <c r="O463" s="18">
        <v>10</v>
      </c>
      <c r="P463" s="18">
        <v>252</v>
      </c>
      <c r="Q463" s="18">
        <v>1</v>
      </c>
      <c r="R463" s="18" t="s">
        <v>48</v>
      </c>
      <c r="S463" s="18" t="s">
        <v>61</v>
      </c>
      <c r="T463" s="18" t="s">
        <v>132</v>
      </c>
      <c r="U463" s="19" t="s">
        <v>1969</v>
      </c>
      <c r="V463" s="18" t="s">
        <v>64</v>
      </c>
    </row>
    <row r="464" spans="1:22">
      <c r="A464" s="15" t="s">
        <v>1970</v>
      </c>
      <c r="B464" s="15" t="s">
        <v>71</v>
      </c>
      <c r="C464" s="15" t="s">
        <v>24</v>
      </c>
      <c r="D464" s="15" t="s">
        <v>473</v>
      </c>
      <c r="E464" s="15" t="s">
        <v>454</v>
      </c>
      <c r="F464" s="15" t="s">
        <v>217</v>
      </c>
      <c r="G464" s="15" t="s">
        <v>76</v>
      </c>
      <c r="H464" s="15" t="s">
        <v>1971</v>
      </c>
      <c r="I464" s="15" t="s">
        <v>59</v>
      </c>
      <c r="J464" s="15" t="s">
        <v>31</v>
      </c>
      <c r="K464" s="15" t="s">
        <v>32</v>
      </c>
      <c r="L464" s="15" t="s">
        <v>33</v>
      </c>
      <c r="M464" s="15">
        <v>11</v>
      </c>
      <c r="N464" s="15">
        <v>2200</v>
      </c>
      <c r="O464" s="15">
        <v>15</v>
      </c>
      <c r="P464" s="15">
        <v>20570</v>
      </c>
      <c r="Q464" s="15">
        <v>4</v>
      </c>
      <c r="R464" s="15" t="s">
        <v>48</v>
      </c>
      <c r="S464" s="15" t="s">
        <v>49</v>
      </c>
      <c r="T464" s="15" t="s">
        <v>80</v>
      </c>
      <c r="U464" s="17" t="s">
        <v>1972</v>
      </c>
      <c r="V464" s="15" t="s">
        <v>69</v>
      </c>
    </row>
    <row r="465" spans="1:22">
      <c r="A465" s="18" t="s">
        <v>1973</v>
      </c>
      <c r="B465" s="18" t="s">
        <v>83</v>
      </c>
      <c r="C465" s="18" t="s">
        <v>54</v>
      </c>
      <c r="D465" s="18" t="s">
        <v>756</v>
      </c>
      <c r="E465" s="18" t="s">
        <v>1282</v>
      </c>
      <c r="F465" s="18" t="s">
        <v>180</v>
      </c>
      <c r="G465" s="18" t="s">
        <v>76</v>
      </c>
      <c r="H465" s="18" t="s">
        <v>1974</v>
      </c>
      <c r="I465" s="18" t="s">
        <v>212</v>
      </c>
      <c r="J465" s="18" t="s">
        <v>45</v>
      </c>
      <c r="K465" s="18" t="s">
        <v>46</v>
      </c>
      <c r="L465" s="18" t="s">
        <v>60</v>
      </c>
      <c r="M465" s="18">
        <v>2</v>
      </c>
      <c r="N465" s="18">
        <v>55000</v>
      </c>
      <c r="O465" s="18">
        <v>0</v>
      </c>
      <c r="P465" s="18">
        <v>110000</v>
      </c>
      <c r="Q465" s="18">
        <v>4</v>
      </c>
      <c r="R465" s="18" t="s">
        <v>48</v>
      </c>
      <c r="S465" s="18" t="s">
        <v>49</v>
      </c>
      <c r="T465" s="18" t="s">
        <v>89</v>
      </c>
      <c r="U465" s="19" t="s">
        <v>1975</v>
      </c>
      <c r="V465" s="18" t="s">
        <v>69</v>
      </c>
    </row>
    <row r="466" spans="1:22">
      <c r="A466" s="15" t="s">
        <v>1976</v>
      </c>
      <c r="B466" s="15" t="s">
        <v>53</v>
      </c>
      <c r="C466" s="15" t="s">
        <v>24</v>
      </c>
      <c r="D466" s="15" t="s">
        <v>512</v>
      </c>
      <c r="E466" s="15" t="s">
        <v>513</v>
      </c>
      <c r="F466" s="15" t="s">
        <v>163</v>
      </c>
      <c r="G466" s="15" t="s">
        <v>28</v>
      </c>
      <c r="H466" s="15" t="s">
        <v>1977</v>
      </c>
      <c r="I466" s="15" t="s">
        <v>114</v>
      </c>
      <c r="J466" s="15" t="s">
        <v>106</v>
      </c>
      <c r="K466" s="15" t="s">
        <v>32</v>
      </c>
      <c r="L466" s="15" t="s">
        <v>33</v>
      </c>
      <c r="M466" s="15">
        <v>7</v>
      </c>
      <c r="N466" s="15">
        <v>2200</v>
      </c>
      <c r="O466" s="15">
        <v>5</v>
      </c>
      <c r="P466" s="15">
        <v>14630</v>
      </c>
      <c r="Q466" s="15">
        <v>4</v>
      </c>
      <c r="R466" s="15" t="s">
        <v>79</v>
      </c>
      <c r="S466" s="15" t="s">
        <v>115</v>
      </c>
      <c r="T466" s="15" t="s">
        <v>62</v>
      </c>
      <c r="U466" s="17" t="s">
        <v>1978</v>
      </c>
      <c r="V466" s="15" t="s">
        <v>69</v>
      </c>
    </row>
    <row r="467" spans="1:22">
      <c r="A467" s="18" t="s">
        <v>1979</v>
      </c>
      <c r="B467" s="18" t="s">
        <v>23</v>
      </c>
      <c r="C467" s="18" t="s">
        <v>259</v>
      </c>
      <c r="D467" s="18" t="s">
        <v>1507</v>
      </c>
      <c r="E467" s="18" t="s">
        <v>577</v>
      </c>
      <c r="F467" s="18" t="s">
        <v>27</v>
      </c>
      <c r="G467" s="18" t="s">
        <v>28</v>
      </c>
      <c r="H467" s="18" t="s">
        <v>1980</v>
      </c>
      <c r="I467" s="18" t="s">
        <v>138</v>
      </c>
      <c r="J467" s="18" t="s">
        <v>106</v>
      </c>
      <c r="K467" s="18" t="s">
        <v>122</v>
      </c>
      <c r="L467" s="18" t="s">
        <v>263</v>
      </c>
      <c r="M467" s="18">
        <v>11</v>
      </c>
      <c r="N467" s="18">
        <v>45</v>
      </c>
      <c r="O467" s="18">
        <v>15</v>
      </c>
      <c r="P467" s="18">
        <v>420.75</v>
      </c>
      <c r="Q467" s="18">
        <v>4</v>
      </c>
      <c r="R467" s="18" t="s">
        <v>79</v>
      </c>
      <c r="S467" s="18" t="s">
        <v>61</v>
      </c>
      <c r="T467" s="18" t="s">
        <v>50</v>
      </c>
      <c r="U467" s="19" t="s">
        <v>1981</v>
      </c>
      <c r="V467" s="18" t="s">
        <v>64</v>
      </c>
    </row>
    <row r="468" spans="1:22">
      <c r="A468" s="15" t="s">
        <v>1982</v>
      </c>
      <c r="B468" s="15" t="s">
        <v>100</v>
      </c>
      <c r="C468" s="15" t="s">
        <v>118</v>
      </c>
      <c r="D468" s="15" t="s">
        <v>1114</v>
      </c>
      <c r="E468" s="15" t="s">
        <v>210</v>
      </c>
      <c r="F468" s="15" t="s">
        <v>103</v>
      </c>
      <c r="G468" s="15" t="s">
        <v>28</v>
      </c>
      <c r="H468" s="15" t="s">
        <v>1983</v>
      </c>
      <c r="I468" s="15" t="s">
        <v>105</v>
      </c>
      <c r="J468" s="15" t="s">
        <v>106</v>
      </c>
      <c r="K468" s="15" t="s">
        <v>122</v>
      </c>
      <c r="L468" s="15" t="s">
        <v>123</v>
      </c>
      <c r="M468" s="15">
        <v>16</v>
      </c>
      <c r="N468" s="15">
        <v>60</v>
      </c>
      <c r="O468" s="15">
        <v>5</v>
      </c>
      <c r="P468" s="15">
        <v>912</v>
      </c>
      <c r="Q468" s="15">
        <v>2</v>
      </c>
      <c r="R468" s="15" t="s">
        <v>34</v>
      </c>
      <c r="S468" s="15" t="s">
        <v>115</v>
      </c>
      <c r="T468" s="15" t="s">
        <v>144</v>
      </c>
      <c r="U468" s="17" t="s">
        <v>1984</v>
      </c>
      <c r="V468" s="15" t="s">
        <v>69</v>
      </c>
    </row>
    <row r="469" spans="1:22">
      <c r="A469" s="18" t="s">
        <v>1985</v>
      </c>
      <c r="B469" s="18" t="s">
        <v>327</v>
      </c>
      <c r="C469" s="18" t="s">
        <v>54</v>
      </c>
      <c r="D469" s="18" t="s">
        <v>1102</v>
      </c>
      <c r="E469" s="18" t="s">
        <v>864</v>
      </c>
      <c r="F469" s="18" t="s">
        <v>394</v>
      </c>
      <c r="G469" s="18" t="s">
        <v>76</v>
      </c>
      <c r="H469" s="18" t="s">
        <v>1986</v>
      </c>
      <c r="I469" s="18" t="s">
        <v>114</v>
      </c>
      <c r="J469" s="18" t="s">
        <v>106</v>
      </c>
      <c r="K469" s="18" t="s">
        <v>46</v>
      </c>
      <c r="L469" s="18" t="s">
        <v>60</v>
      </c>
      <c r="M469" s="18">
        <v>18</v>
      </c>
      <c r="N469" s="18">
        <v>55000</v>
      </c>
      <c r="O469" s="18">
        <v>0</v>
      </c>
      <c r="P469" s="18">
        <v>990000</v>
      </c>
      <c r="Q469" s="18">
        <v>5</v>
      </c>
      <c r="R469" s="18" t="s">
        <v>48</v>
      </c>
      <c r="S469" s="18" t="s">
        <v>49</v>
      </c>
      <c r="T469" s="18" t="s">
        <v>332</v>
      </c>
      <c r="U469" s="19" t="s">
        <v>1987</v>
      </c>
      <c r="V469" s="18" t="s">
        <v>64</v>
      </c>
    </row>
    <row r="470" spans="1:22">
      <c r="A470" s="15" t="s">
        <v>1988</v>
      </c>
      <c r="B470" s="15" t="s">
        <v>23</v>
      </c>
      <c r="C470" s="15" t="s">
        <v>72</v>
      </c>
      <c r="D470" s="15" t="s">
        <v>1989</v>
      </c>
      <c r="E470" s="15" t="s">
        <v>1880</v>
      </c>
      <c r="F470" s="15" t="s">
        <v>27</v>
      </c>
      <c r="G470" s="15" t="s">
        <v>28</v>
      </c>
      <c r="H470" s="15" t="s">
        <v>1990</v>
      </c>
      <c r="I470" s="15" t="s">
        <v>59</v>
      </c>
      <c r="J470" s="15" t="s">
        <v>31</v>
      </c>
      <c r="K470" s="15" t="s">
        <v>46</v>
      </c>
      <c r="L470" s="15" t="s">
        <v>78</v>
      </c>
      <c r="M470" s="15">
        <v>17</v>
      </c>
      <c r="N470" s="15">
        <v>1200</v>
      </c>
      <c r="O470" s="15">
        <v>5</v>
      </c>
      <c r="P470" s="15">
        <v>19380</v>
      </c>
      <c r="Q470" s="15">
        <v>1</v>
      </c>
      <c r="R470" s="15" t="s">
        <v>48</v>
      </c>
      <c r="S470" s="15" t="s">
        <v>35</v>
      </c>
      <c r="T470" s="15" t="s">
        <v>50</v>
      </c>
      <c r="U470" s="17" t="s">
        <v>1991</v>
      </c>
      <c r="V470" s="15" t="s">
        <v>64</v>
      </c>
    </row>
    <row r="471" spans="1:22">
      <c r="A471" s="18" t="s">
        <v>1992</v>
      </c>
      <c r="B471" s="18" t="s">
        <v>53</v>
      </c>
      <c r="C471" s="18" t="s">
        <v>54</v>
      </c>
      <c r="D471" s="18" t="s">
        <v>41</v>
      </c>
      <c r="E471" s="18" t="s">
        <v>199</v>
      </c>
      <c r="F471" s="18" t="s">
        <v>163</v>
      </c>
      <c r="G471" s="18" t="s">
        <v>28</v>
      </c>
      <c r="H471" s="18" t="s">
        <v>1993</v>
      </c>
      <c r="I471" s="18" t="s">
        <v>114</v>
      </c>
      <c r="J471" s="18" t="s">
        <v>106</v>
      </c>
      <c r="K471" s="18" t="s">
        <v>46</v>
      </c>
      <c r="L471" s="18" t="s">
        <v>60</v>
      </c>
      <c r="M471" s="18">
        <v>11</v>
      </c>
      <c r="N471" s="18">
        <v>55000</v>
      </c>
      <c r="O471" s="18">
        <v>0</v>
      </c>
      <c r="P471" s="18">
        <v>605000</v>
      </c>
      <c r="Q471" s="18">
        <v>2</v>
      </c>
      <c r="R471" s="18" t="s">
        <v>34</v>
      </c>
      <c r="S471" s="18" t="s">
        <v>61</v>
      </c>
      <c r="T471" s="18" t="s">
        <v>62</v>
      </c>
      <c r="U471" s="19" t="s">
        <v>1994</v>
      </c>
      <c r="V471" s="18" t="s">
        <v>64</v>
      </c>
    </row>
    <row r="472" spans="1:22">
      <c r="A472" s="15" t="s">
        <v>1995</v>
      </c>
      <c r="B472" s="15" t="s">
        <v>251</v>
      </c>
      <c r="C472" s="15" t="s">
        <v>184</v>
      </c>
      <c r="D472" s="15" t="s">
        <v>236</v>
      </c>
      <c r="E472" s="15" t="s">
        <v>678</v>
      </c>
      <c r="F472" s="15" t="s">
        <v>254</v>
      </c>
      <c r="G472" s="15" t="s">
        <v>28</v>
      </c>
      <c r="H472" s="15" t="s">
        <v>1996</v>
      </c>
      <c r="I472" s="15" t="s">
        <v>44</v>
      </c>
      <c r="J472" s="15" t="s">
        <v>45</v>
      </c>
      <c r="K472" s="15" t="s">
        <v>46</v>
      </c>
      <c r="L472" s="15" t="s">
        <v>189</v>
      </c>
      <c r="M472" s="15">
        <v>20</v>
      </c>
      <c r="N472" s="15">
        <v>700</v>
      </c>
      <c r="O472" s="15">
        <v>20</v>
      </c>
      <c r="P472" s="15">
        <v>11200</v>
      </c>
      <c r="Q472" s="15">
        <v>5</v>
      </c>
      <c r="R472" s="15" t="s">
        <v>48</v>
      </c>
      <c r="S472" s="15" t="s">
        <v>61</v>
      </c>
      <c r="T472" s="15" t="s">
        <v>256</v>
      </c>
      <c r="U472" s="17" t="s">
        <v>1997</v>
      </c>
      <c r="V472" s="15" t="s">
        <v>38</v>
      </c>
    </row>
    <row r="473" spans="1:22">
      <c r="A473" s="18" t="s">
        <v>1998</v>
      </c>
      <c r="B473" s="18" t="s">
        <v>71</v>
      </c>
      <c r="C473" s="18" t="s">
        <v>222</v>
      </c>
      <c r="D473" s="18" t="s">
        <v>484</v>
      </c>
      <c r="E473" s="18" t="s">
        <v>322</v>
      </c>
      <c r="F473" s="18" t="s">
        <v>217</v>
      </c>
      <c r="G473" s="18" t="s">
        <v>76</v>
      </c>
      <c r="H473" s="18" t="s">
        <v>1999</v>
      </c>
      <c r="I473" s="18" t="s">
        <v>44</v>
      </c>
      <c r="J473" s="18" t="s">
        <v>45</v>
      </c>
      <c r="K473" s="18" t="s">
        <v>122</v>
      </c>
      <c r="L473" s="18" t="s">
        <v>227</v>
      </c>
      <c r="M473" s="18">
        <v>5</v>
      </c>
      <c r="N473" s="18">
        <v>20</v>
      </c>
      <c r="O473" s="18">
        <v>5</v>
      </c>
      <c r="P473" s="18">
        <v>95</v>
      </c>
      <c r="Q473" s="18">
        <v>4</v>
      </c>
      <c r="R473" s="18" t="s">
        <v>34</v>
      </c>
      <c r="S473" s="18" t="s">
        <v>49</v>
      </c>
      <c r="T473" s="18" t="s">
        <v>80</v>
      </c>
      <c r="U473" s="19" t="s">
        <v>2000</v>
      </c>
      <c r="V473" s="18" t="s">
        <v>69</v>
      </c>
    </row>
    <row r="474" spans="1:22">
      <c r="A474" s="15" t="s">
        <v>2001</v>
      </c>
      <c r="B474" s="15" t="s">
        <v>327</v>
      </c>
      <c r="C474" s="15" t="s">
        <v>54</v>
      </c>
      <c r="D474" s="15" t="s">
        <v>765</v>
      </c>
      <c r="E474" s="15" t="s">
        <v>1373</v>
      </c>
      <c r="F474" s="15" t="s">
        <v>394</v>
      </c>
      <c r="G474" s="15" t="s">
        <v>76</v>
      </c>
      <c r="H474" s="15" t="s">
        <v>2002</v>
      </c>
      <c r="I474" s="15" t="s">
        <v>105</v>
      </c>
      <c r="J474" s="15" t="s">
        <v>106</v>
      </c>
      <c r="K474" s="15" t="s">
        <v>46</v>
      </c>
      <c r="L474" s="15" t="s">
        <v>60</v>
      </c>
      <c r="M474" s="15">
        <v>13</v>
      </c>
      <c r="N474" s="15">
        <v>55000</v>
      </c>
      <c r="O474" s="15">
        <v>5</v>
      </c>
      <c r="P474" s="15">
        <v>679250</v>
      </c>
      <c r="Q474" s="15">
        <v>1</v>
      </c>
      <c r="R474" s="15" t="s">
        <v>48</v>
      </c>
      <c r="S474" s="15" t="s">
        <v>49</v>
      </c>
      <c r="T474" s="15" t="s">
        <v>332</v>
      </c>
      <c r="U474" s="17" t="s">
        <v>2003</v>
      </c>
      <c r="V474" s="15" t="s">
        <v>64</v>
      </c>
    </row>
    <row r="475" spans="1:22">
      <c r="A475" s="18" t="s">
        <v>2004</v>
      </c>
      <c r="B475" s="18" t="s">
        <v>127</v>
      </c>
      <c r="C475" s="18" t="s">
        <v>54</v>
      </c>
      <c r="D475" s="18" t="s">
        <v>102</v>
      </c>
      <c r="E475" s="18" t="s">
        <v>1114</v>
      </c>
      <c r="F475" s="18" t="s">
        <v>200</v>
      </c>
      <c r="G475" s="18" t="s">
        <v>76</v>
      </c>
      <c r="H475" s="18" t="s">
        <v>2005</v>
      </c>
      <c r="I475" s="18" t="s">
        <v>294</v>
      </c>
      <c r="J475" s="18" t="s">
        <v>295</v>
      </c>
      <c r="K475" s="18" t="s">
        <v>46</v>
      </c>
      <c r="L475" s="18" t="s">
        <v>60</v>
      </c>
      <c r="M475" s="18">
        <v>12</v>
      </c>
      <c r="N475" s="18">
        <v>55000</v>
      </c>
      <c r="O475" s="18">
        <v>5</v>
      </c>
      <c r="P475" s="18">
        <v>627000</v>
      </c>
      <c r="Q475" s="18">
        <v>1</v>
      </c>
      <c r="R475" s="18" t="s">
        <v>48</v>
      </c>
      <c r="S475" s="18" t="s">
        <v>115</v>
      </c>
      <c r="T475" s="18" t="s">
        <v>132</v>
      </c>
      <c r="U475" s="19" t="s">
        <v>2006</v>
      </c>
      <c r="V475" s="18" t="s">
        <v>69</v>
      </c>
    </row>
    <row r="476" spans="1:22">
      <c r="A476" s="15" t="s">
        <v>2007</v>
      </c>
      <c r="B476" s="15" t="s">
        <v>53</v>
      </c>
      <c r="C476" s="15" t="s">
        <v>259</v>
      </c>
      <c r="D476" s="15" t="s">
        <v>761</v>
      </c>
      <c r="E476" s="15" t="s">
        <v>1705</v>
      </c>
      <c r="F476" s="15" t="s">
        <v>163</v>
      </c>
      <c r="G476" s="15" t="s">
        <v>28</v>
      </c>
      <c r="H476" s="15" t="s">
        <v>2008</v>
      </c>
      <c r="I476" s="15" t="s">
        <v>105</v>
      </c>
      <c r="J476" s="15" t="s">
        <v>106</v>
      </c>
      <c r="K476" s="15" t="s">
        <v>122</v>
      </c>
      <c r="L476" s="15" t="s">
        <v>263</v>
      </c>
      <c r="M476" s="15">
        <v>16</v>
      </c>
      <c r="N476" s="15">
        <v>45</v>
      </c>
      <c r="O476" s="15">
        <v>20</v>
      </c>
      <c r="P476" s="15">
        <v>576</v>
      </c>
      <c r="Q476" s="15">
        <v>2</v>
      </c>
      <c r="R476" s="15" t="s">
        <v>34</v>
      </c>
      <c r="S476" s="15" t="s">
        <v>49</v>
      </c>
      <c r="T476" s="15" t="s">
        <v>62</v>
      </c>
      <c r="U476" s="17" t="s">
        <v>2009</v>
      </c>
      <c r="V476" s="15" t="s">
        <v>64</v>
      </c>
    </row>
    <row r="477" spans="1:22">
      <c r="A477" s="18" t="s">
        <v>2010</v>
      </c>
      <c r="B477" s="18" t="s">
        <v>23</v>
      </c>
      <c r="C477" s="18" t="s">
        <v>72</v>
      </c>
      <c r="D477" s="18" t="s">
        <v>25</v>
      </c>
      <c r="E477" s="18" t="s">
        <v>73</v>
      </c>
      <c r="F477" s="18" t="s">
        <v>27</v>
      </c>
      <c r="G477" s="18" t="s">
        <v>28</v>
      </c>
      <c r="H477" s="18" t="s">
        <v>2011</v>
      </c>
      <c r="I477" s="18" t="s">
        <v>59</v>
      </c>
      <c r="J477" s="18" t="s">
        <v>31</v>
      </c>
      <c r="K477" s="18" t="s">
        <v>46</v>
      </c>
      <c r="L477" s="18" t="s">
        <v>78</v>
      </c>
      <c r="M477" s="18">
        <v>5</v>
      </c>
      <c r="N477" s="18">
        <v>1200</v>
      </c>
      <c r="O477" s="18">
        <v>10</v>
      </c>
      <c r="P477" s="18">
        <v>5400</v>
      </c>
      <c r="Q477" s="18">
        <v>1</v>
      </c>
      <c r="R477" s="18" t="s">
        <v>34</v>
      </c>
      <c r="S477" s="15" t="s">
        <v>2154</v>
      </c>
      <c r="T477" s="20" t="s">
        <v>2012</v>
      </c>
      <c r="U477" s="19" t="s">
        <v>2013</v>
      </c>
      <c r="V477" s="18" t="s">
        <v>38</v>
      </c>
    </row>
    <row r="478" spans="1:22">
      <c r="A478" s="15" t="s">
        <v>2014</v>
      </c>
      <c r="B478" s="15" t="s">
        <v>168</v>
      </c>
      <c r="C478" s="15" t="s">
        <v>259</v>
      </c>
      <c r="D478" s="15" t="s">
        <v>282</v>
      </c>
      <c r="E478" s="15" t="s">
        <v>702</v>
      </c>
      <c r="F478" s="15" t="s">
        <v>361</v>
      </c>
      <c r="G478" s="15" t="s">
        <v>28</v>
      </c>
      <c r="H478" s="15" t="s">
        <v>2016</v>
      </c>
      <c r="I478" s="15" t="s">
        <v>294</v>
      </c>
      <c r="J478" s="15" t="s">
        <v>295</v>
      </c>
      <c r="K478" s="15" t="s">
        <v>122</v>
      </c>
      <c r="L478" s="15" t="s">
        <v>263</v>
      </c>
      <c r="M478" s="15">
        <v>2</v>
      </c>
      <c r="N478" s="15">
        <v>45</v>
      </c>
      <c r="O478" s="15">
        <v>10</v>
      </c>
      <c r="P478" s="15">
        <v>81</v>
      </c>
      <c r="Q478" s="15">
        <v>4</v>
      </c>
      <c r="R478" s="15" t="s">
        <v>88</v>
      </c>
      <c r="S478" s="15" t="s">
        <v>49</v>
      </c>
      <c r="T478" s="15" t="s">
        <v>175</v>
      </c>
      <c r="U478" s="17" t="s">
        <v>2017</v>
      </c>
      <c r="V478" s="15" t="s">
        <v>64</v>
      </c>
    </row>
    <row r="479" spans="1:22">
      <c r="A479" s="18" t="s">
        <v>2018</v>
      </c>
      <c r="B479" s="18" t="s">
        <v>127</v>
      </c>
      <c r="C479" s="18" t="s">
        <v>40</v>
      </c>
      <c r="D479" s="18" t="s">
        <v>85</v>
      </c>
      <c r="E479" s="18" t="s">
        <v>587</v>
      </c>
      <c r="F479" s="18" t="s">
        <v>200</v>
      </c>
      <c r="G479" s="18" t="s">
        <v>76</v>
      </c>
      <c r="H479" s="18" t="s">
        <v>2019</v>
      </c>
      <c r="I479" s="18" t="s">
        <v>138</v>
      </c>
      <c r="J479" s="18" t="s">
        <v>106</v>
      </c>
      <c r="K479" s="18" t="s">
        <v>46</v>
      </c>
      <c r="L479" s="18" t="s">
        <v>47</v>
      </c>
      <c r="M479" s="18">
        <v>3</v>
      </c>
      <c r="N479" s="18">
        <v>12000</v>
      </c>
      <c r="O479" s="18">
        <v>0</v>
      </c>
      <c r="P479" s="18">
        <v>36000</v>
      </c>
      <c r="Q479" s="18">
        <v>2</v>
      </c>
      <c r="R479" s="18" t="s">
        <v>88</v>
      </c>
      <c r="S479" s="18" t="s">
        <v>151</v>
      </c>
      <c r="T479" s="18" t="s">
        <v>132</v>
      </c>
      <c r="U479" s="19" t="s">
        <v>2020</v>
      </c>
      <c r="V479" s="18" t="s">
        <v>64</v>
      </c>
    </row>
    <row r="480" spans="1:22">
      <c r="A480" s="15" t="s">
        <v>2021</v>
      </c>
      <c r="B480" s="15" t="s">
        <v>23</v>
      </c>
      <c r="C480" s="15" t="s">
        <v>40</v>
      </c>
      <c r="D480" s="15" t="s">
        <v>2022</v>
      </c>
      <c r="E480" s="15" t="s">
        <v>1863</v>
      </c>
      <c r="F480" s="15" t="s">
        <v>27</v>
      </c>
      <c r="G480" s="15" t="s">
        <v>28</v>
      </c>
      <c r="H480" s="15" t="s">
        <v>2023</v>
      </c>
      <c r="I480" s="15" t="s">
        <v>59</v>
      </c>
      <c r="J480" s="15" t="s">
        <v>31</v>
      </c>
      <c r="K480" s="15" t="s">
        <v>46</v>
      </c>
      <c r="L480" s="15" t="s">
        <v>47</v>
      </c>
      <c r="M480" s="15">
        <v>3</v>
      </c>
      <c r="N480" s="15">
        <v>12000</v>
      </c>
      <c r="O480" s="15">
        <v>20</v>
      </c>
      <c r="P480" s="15">
        <v>28800</v>
      </c>
      <c r="Q480" s="15">
        <v>3</v>
      </c>
      <c r="R480" s="15" t="s">
        <v>88</v>
      </c>
      <c r="S480" s="15" t="s">
        <v>115</v>
      </c>
      <c r="T480" s="15" t="s">
        <v>50</v>
      </c>
      <c r="U480" s="17" t="s">
        <v>2024</v>
      </c>
      <c r="V480" s="15" t="s">
        <v>38</v>
      </c>
    </row>
    <row r="481" spans="1:22">
      <c r="A481" s="18" t="s">
        <v>2025</v>
      </c>
      <c r="B481" s="18" t="s">
        <v>127</v>
      </c>
      <c r="C481" s="18" t="s">
        <v>169</v>
      </c>
      <c r="D481" s="18" t="s">
        <v>892</v>
      </c>
      <c r="E481" s="18" t="s">
        <v>161</v>
      </c>
      <c r="F481" s="18" t="s">
        <v>200</v>
      </c>
      <c r="G481" s="18" t="s">
        <v>76</v>
      </c>
      <c r="H481" s="18" t="s">
        <v>2026</v>
      </c>
      <c r="I481" s="18" t="s">
        <v>294</v>
      </c>
      <c r="J481" s="18" t="s">
        <v>295</v>
      </c>
      <c r="K481" s="18" t="s">
        <v>32</v>
      </c>
      <c r="L481" s="18" t="s">
        <v>174</v>
      </c>
      <c r="M481" s="18">
        <v>9</v>
      </c>
      <c r="N481" s="18">
        <v>8500</v>
      </c>
      <c r="O481" s="18">
        <v>15</v>
      </c>
      <c r="P481" s="18">
        <v>65025</v>
      </c>
      <c r="Q481" s="18">
        <v>5</v>
      </c>
      <c r="R481" s="18" t="s">
        <v>34</v>
      </c>
      <c r="S481" s="18" t="s">
        <v>49</v>
      </c>
      <c r="T481" s="18" t="s">
        <v>132</v>
      </c>
      <c r="U481" s="19" t="s">
        <v>2027</v>
      </c>
      <c r="V481" s="18" t="s">
        <v>64</v>
      </c>
    </row>
    <row r="482" spans="1:22">
      <c r="A482" s="15" t="s">
        <v>2028</v>
      </c>
      <c r="B482" s="15" t="s">
        <v>71</v>
      </c>
      <c r="C482" s="15" t="s">
        <v>184</v>
      </c>
      <c r="D482" s="15" t="s">
        <v>261</v>
      </c>
      <c r="E482" s="15" t="s">
        <v>881</v>
      </c>
      <c r="F482" s="15" t="s">
        <v>217</v>
      </c>
      <c r="G482" s="15" t="s">
        <v>76</v>
      </c>
      <c r="H482" s="15" t="s">
        <v>2030</v>
      </c>
      <c r="I482" s="15" t="s">
        <v>294</v>
      </c>
      <c r="J482" s="15" t="s">
        <v>295</v>
      </c>
      <c r="K482" s="15" t="s">
        <v>46</v>
      </c>
      <c r="L482" s="15" t="s">
        <v>189</v>
      </c>
      <c r="M482" s="15">
        <v>17</v>
      </c>
      <c r="N482" s="15">
        <v>700</v>
      </c>
      <c r="O482" s="15">
        <v>0</v>
      </c>
      <c r="P482" s="15">
        <v>11900</v>
      </c>
      <c r="Q482" s="15">
        <v>2</v>
      </c>
      <c r="R482" s="15" t="s">
        <v>34</v>
      </c>
      <c r="S482" s="15" t="s">
        <v>61</v>
      </c>
      <c r="T482" s="15" t="s">
        <v>80</v>
      </c>
      <c r="U482" s="17" t="s">
        <v>2031</v>
      </c>
      <c r="V482" s="15" t="s">
        <v>69</v>
      </c>
    </row>
    <row r="483" spans="1:22">
      <c r="A483" s="18" t="s">
        <v>2032</v>
      </c>
      <c r="B483" s="18" t="s">
        <v>23</v>
      </c>
      <c r="C483" s="18" t="s">
        <v>184</v>
      </c>
      <c r="D483" s="18" t="s">
        <v>1249</v>
      </c>
      <c r="E483" s="18" t="s">
        <v>1572</v>
      </c>
      <c r="F483" s="18" t="s">
        <v>27</v>
      </c>
      <c r="G483" s="18" t="s">
        <v>28</v>
      </c>
      <c r="H483" s="18" t="s">
        <v>2033</v>
      </c>
      <c r="I483" s="18" t="s">
        <v>30</v>
      </c>
      <c r="J483" s="18" t="s">
        <v>31</v>
      </c>
      <c r="K483" s="18" t="s">
        <v>46</v>
      </c>
      <c r="L483" s="18" t="s">
        <v>189</v>
      </c>
      <c r="M483" s="18">
        <v>20</v>
      </c>
      <c r="N483" s="18">
        <v>700</v>
      </c>
      <c r="O483" s="18">
        <v>5</v>
      </c>
      <c r="P483" s="18">
        <v>13300</v>
      </c>
      <c r="Q483" s="18">
        <v>2</v>
      </c>
      <c r="R483" s="18" t="s">
        <v>88</v>
      </c>
      <c r="S483" s="18" t="s">
        <v>35</v>
      </c>
      <c r="T483" s="18" t="s">
        <v>50</v>
      </c>
      <c r="U483" s="19" t="s">
        <v>2034</v>
      </c>
      <c r="V483" s="18" t="s">
        <v>38</v>
      </c>
    </row>
    <row r="484" spans="1:22">
      <c r="A484" s="15" t="s">
        <v>2035</v>
      </c>
      <c r="B484" s="15" t="s">
        <v>327</v>
      </c>
      <c r="C484" s="15" t="s">
        <v>72</v>
      </c>
      <c r="D484" s="15" t="s">
        <v>554</v>
      </c>
      <c r="E484" s="15" t="s">
        <v>65</v>
      </c>
      <c r="F484" s="15" t="s">
        <v>394</v>
      </c>
      <c r="G484" s="15" t="s">
        <v>76</v>
      </c>
      <c r="H484" s="15" t="s">
        <v>2037</v>
      </c>
      <c r="I484" s="15" t="s">
        <v>138</v>
      </c>
      <c r="J484" s="15" t="s">
        <v>106</v>
      </c>
      <c r="K484" s="15" t="s">
        <v>46</v>
      </c>
      <c r="L484" s="15" t="s">
        <v>78</v>
      </c>
      <c r="M484" s="15">
        <v>13</v>
      </c>
      <c r="N484" s="15">
        <v>1200</v>
      </c>
      <c r="O484" s="15">
        <v>20</v>
      </c>
      <c r="P484" s="15">
        <v>12480</v>
      </c>
      <c r="Q484" s="15">
        <v>5</v>
      </c>
      <c r="R484" s="15" t="s">
        <v>79</v>
      </c>
      <c r="S484" s="15" t="s">
        <v>115</v>
      </c>
      <c r="T484" s="15" t="s">
        <v>332</v>
      </c>
      <c r="U484" s="17" t="s">
        <v>2038</v>
      </c>
      <c r="V484" s="15" t="s">
        <v>38</v>
      </c>
    </row>
    <row r="485" spans="1:22">
      <c r="A485" s="18" t="s">
        <v>2039</v>
      </c>
      <c r="B485" s="18" t="s">
        <v>100</v>
      </c>
      <c r="C485" s="18" t="s">
        <v>54</v>
      </c>
      <c r="D485" s="18" t="s">
        <v>2040</v>
      </c>
      <c r="E485" s="18" t="s">
        <v>1932</v>
      </c>
      <c r="F485" s="18" t="s">
        <v>103</v>
      </c>
      <c r="G485" s="18" t="s">
        <v>28</v>
      </c>
      <c r="H485" s="18" t="s">
        <v>1082</v>
      </c>
      <c r="I485" s="18" t="s">
        <v>212</v>
      </c>
      <c r="J485" s="18" t="s">
        <v>45</v>
      </c>
      <c r="K485" s="18" t="s">
        <v>46</v>
      </c>
      <c r="L485" s="18" t="s">
        <v>60</v>
      </c>
      <c r="M485" s="18">
        <v>20</v>
      </c>
      <c r="N485" s="18">
        <v>55000</v>
      </c>
      <c r="O485" s="18">
        <v>10</v>
      </c>
      <c r="P485" s="18">
        <v>990000</v>
      </c>
      <c r="Q485" s="18">
        <v>1</v>
      </c>
      <c r="R485" s="18" t="s">
        <v>88</v>
      </c>
      <c r="S485" s="18" t="s">
        <v>35</v>
      </c>
      <c r="T485" s="18" t="s">
        <v>144</v>
      </c>
      <c r="U485" s="19" t="s">
        <v>2041</v>
      </c>
      <c r="V485" s="18" t="s">
        <v>64</v>
      </c>
    </row>
    <row r="486" spans="1:22">
      <c r="A486" s="15" t="s">
        <v>2042</v>
      </c>
      <c r="B486" s="15" t="s">
        <v>251</v>
      </c>
      <c r="C486" s="15" t="s">
        <v>72</v>
      </c>
      <c r="D486" s="15" t="s">
        <v>531</v>
      </c>
      <c r="E486" s="15" t="s">
        <v>291</v>
      </c>
      <c r="F486" s="15" t="s">
        <v>254</v>
      </c>
      <c r="G486" s="15" t="s">
        <v>28</v>
      </c>
      <c r="H486" s="15" t="s">
        <v>2043</v>
      </c>
      <c r="I486" s="15" t="s">
        <v>294</v>
      </c>
      <c r="J486" s="15" t="s">
        <v>295</v>
      </c>
      <c r="K486" s="15" t="s">
        <v>46</v>
      </c>
      <c r="L486" s="15" t="s">
        <v>78</v>
      </c>
      <c r="M486" s="15">
        <v>8</v>
      </c>
      <c r="N486" s="15">
        <v>1200</v>
      </c>
      <c r="O486" s="15">
        <v>0</v>
      </c>
      <c r="P486" s="15">
        <v>9600</v>
      </c>
      <c r="Q486" s="15">
        <v>2</v>
      </c>
      <c r="R486" s="15" t="s">
        <v>48</v>
      </c>
      <c r="S486" s="15" t="s">
        <v>151</v>
      </c>
      <c r="T486" s="15" t="s">
        <v>256</v>
      </c>
      <c r="U486" s="17" t="s">
        <v>2044</v>
      </c>
      <c r="V486" s="15" t="s">
        <v>38</v>
      </c>
    </row>
    <row r="487" spans="1:22">
      <c r="A487" s="18" t="s">
        <v>2045</v>
      </c>
      <c r="B487" s="18" t="s">
        <v>53</v>
      </c>
      <c r="C487" s="18" t="s">
        <v>222</v>
      </c>
      <c r="D487" s="18" t="s">
        <v>2046</v>
      </c>
      <c r="E487" s="18" t="s">
        <v>1238</v>
      </c>
      <c r="F487" s="18" t="s">
        <v>163</v>
      </c>
      <c r="G487" s="18" t="s">
        <v>28</v>
      </c>
      <c r="H487" s="18" t="s">
        <v>2047</v>
      </c>
      <c r="I487" s="18" t="s">
        <v>294</v>
      </c>
      <c r="J487" s="18" t="s">
        <v>295</v>
      </c>
      <c r="K487" s="18" t="s">
        <v>122</v>
      </c>
      <c r="L487" s="18" t="s">
        <v>227</v>
      </c>
      <c r="M487" s="18">
        <v>18</v>
      </c>
      <c r="N487" s="18">
        <v>20</v>
      </c>
      <c r="O487" s="18">
        <v>10</v>
      </c>
      <c r="P487" s="18">
        <v>324</v>
      </c>
      <c r="Q487" s="18">
        <v>5</v>
      </c>
      <c r="R487" s="18" t="s">
        <v>79</v>
      </c>
      <c r="S487" s="15" t="s">
        <v>2154</v>
      </c>
      <c r="T487" s="20" t="s">
        <v>2048</v>
      </c>
      <c r="U487" s="19" t="s">
        <v>2049</v>
      </c>
      <c r="V487" s="18" t="s">
        <v>64</v>
      </c>
    </row>
    <row r="488" spans="1:22">
      <c r="A488" s="15" t="s">
        <v>2050</v>
      </c>
      <c r="B488" s="15" t="s">
        <v>168</v>
      </c>
      <c r="C488" s="15" t="s">
        <v>40</v>
      </c>
      <c r="D488" s="15" t="s">
        <v>2051</v>
      </c>
      <c r="E488" s="15" t="s">
        <v>272</v>
      </c>
      <c r="F488" s="15" t="s">
        <v>361</v>
      </c>
      <c r="G488" s="15" t="s">
        <v>28</v>
      </c>
      <c r="H488" s="15" t="s">
        <v>2052</v>
      </c>
      <c r="I488" s="15" t="s">
        <v>114</v>
      </c>
      <c r="J488" s="15" t="s">
        <v>106</v>
      </c>
      <c r="K488" s="15" t="s">
        <v>46</v>
      </c>
      <c r="L488" s="15" t="s">
        <v>47</v>
      </c>
      <c r="M488" s="15">
        <v>11</v>
      </c>
      <c r="N488" s="15">
        <v>12000</v>
      </c>
      <c r="O488" s="15">
        <v>10</v>
      </c>
      <c r="P488" s="15">
        <v>118800</v>
      </c>
      <c r="Q488" s="15">
        <v>1</v>
      </c>
      <c r="R488" s="15" t="s">
        <v>79</v>
      </c>
      <c r="S488" s="15" t="s">
        <v>49</v>
      </c>
      <c r="T488" s="15" t="s">
        <v>175</v>
      </c>
      <c r="U488" s="17" t="s">
        <v>2053</v>
      </c>
      <c r="V488" s="15" t="s">
        <v>69</v>
      </c>
    </row>
    <row r="489" spans="1:22">
      <c r="A489" s="18" t="s">
        <v>2054</v>
      </c>
      <c r="B489" s="18" t="s">
        <v>327</v>
      </c>
      <c r="C489" s="18" t="s">
        <v>169</v>
      </c>
      <c r="D489" s="18" t="s">
        <v>142</v>
      </c>
      <c r="E489" s="18" t="s">
        <v>1378</v>
      </c>
      <c r="F489" s="18" t="s">
        <v>394</v>
      </c>
      <c r="G489" s="18" t="s">
        <v>76</v>
      </c>
      <c r="H489" s="18" t="s">
        <v>2055</v>
      </c>
      <c r="I489" s="18" t="s">
        <v>30</v>
      </c>
      <c r="J489" s="18" t="s">
        <v>31</v>
      </c>
      <c r="K489" s="18" t="s">
        <v>32</v>
      </c>
      <c r="L489" s="18" t="s">
        <v>174</v>
      </c>
      <c r="M489" s="18">
        <v>2</v>
      </c>
      <c r="N489" s="18">
        <v>8500</v>
      </c>
      <c r="O489" s="18">
        <v>5</v>
      </c>
      <c r="P489" s="18">
        <v>16150</v>
      </c>
      <c r="Q489" s="18">
        <v>1</v>
      </c>
      <c r="R489" s="18" t="s">
        <v>79</v>
      </c>
      <c r="S489" s="18" t="s">
        <v>61</v>
      </c>
      <c r="T489" s="18" t="s">
        <v>332</v>
      </c>
      <c r="U489" s="19" t="s">
        <v>2056</v>
      </c>
      <c r="V489" s="18" t="s">
        <v>38</v>
      </c>
    </row>
    <row r="490" spans="1:22">
      <c r="A490" s="15" t="s">
        <v>2057</v>
      </c>
      <c r="B490" s="15" t="s">
        <v>100</v>
      </c>
      <c r="C490" s="15" t="s">
        <v>24</v>
      </c>
      <c r="D490" s="15" t="s">
        <v>328</v>
      </c>
      <c r="E490" s="15" t="s">
        <v>1507</v>
      </c>
      <c r="F490" s="15" t="s">
        <v>103</v>
      </c>
      <c r="G490" s="15" t="s">
        <v>28</v>
      </c>
      <c r="H490" s="15" t="s">
        <v>2059</v>
      </c>
      <c r="I490" s="15" t="s">
        <v>114</v>
      </c>
      <c r="J490" s="15" t="s">
        <v>106</v>
      </c>
      <c r="K490" s="15" t="s">
        <v>32</v>
      </c>
      <c r="L490" s="15" t="s">
        <v>33</v>
      </c>
      <c r="M490" s="15">
        <v>7</v>
      </c>
      <c r="N490" s="15">
        <v>2200</v>
      </c>
      <c r="O490" s="15">
        <v>0</v>
      </c>
      <c r="P490" s="15">
        <v>15400</v>
      </c>
      <c r="Q490" s="15">
        <v>5</v>
      </c>
      <c r="R490" s="15" t="s">
        <v>48</v>
      </c>
      <c r="S490" s="15" t="s">
        <v>35</v>
      </c>
      <c r="T490" s="15" t="s">
        <v>144</v>
      </c>
      <c r="U490" s="17" t="s">
        <v>2060</v>
      </c>
      <c r="V490" s="15" t="s">
        <v>64</v>
      </c>
    </row>
    <row r="491" spans="1:22">
      <c r="A491" s="18" t="s">
        <v>2061</v>
      </c>
      <c r="B491" s="18" t="s">
        <v>83</v>
      </c>
      <c r="C491" s="18" t="s">
        <v>169</v>
      </c>
      <c r="D491" s="18" t="s">
        <v>1916</v>
      </c>
      <c r="E491" s="18" t="s">
        <v>1098</v>
      </c>
      <c r="F491" s="18" t="s">
        <v>180</v>
      </c>
      <c r="G491" s="18" t="s">
        <v>76</v>
      </c>
      <c r="H491" s="18" t="s">
        <v>2062</v>
      </c>
      <c r="I491" s="18" t="s">
        <v>44</v>
      </c>
      <c r="J491" s="18" t="s">
        <v>45</v>
      </c>
      <c r="K491" s="18" t="s">
        <v>32</v>
      </c>
      <c r="L491" s="18" t="s">
        <v>174</v>
      </c>
      <c r="M491" s="18">
        <v>20</v>
      </c>
      <c r="N491" s="18">
        <v>8500</v>
      </c>
      <c r="O491" s="18">
        <v>0</v>
      </c>
      <c r="P491" s="18">
        <v>170000</v>
      </c>
      <c r="Q491" s="18">
        <v>3</v>
      </c>
      <c r="R491" s="18" t="s">
        <v>48</v>
      </c>
      <c r="S491" s="18" t="s">
        <v>49</v>
      </c>
      <c r="T491" s="18" t="s">
        <v>89</v>
      </c>
      <c r="U491" s="19" t="s">
        <v>2063</v>
      </c>
      <c r="V491" s="18" t="s">
        <v>38</v>
      </c>
    </row>
    <row r="492" spans="1:22">
      <c r="A492" s="15" t="s">
        <v>2064</v>
      </c>
      <c r="B492" s="15" t="s">
        <v>127</v>
      </c>
      <c r="C492" s="15" t="s">
        <v>72</v>
      </c>
      <c r="D492" s="15" t="s">
        <v>1106</v>
      </c>
      <c r="E492" s="15" t="s">
        <v>839</v>
      </c>
      <c r="F492" s="15" t="s">
        <v>200</v>
      </c>
      <c r="G492" s="15" t="s">
        <v>76</v>
      </c>
      <c r="H492" s="15" t="s">
        <v>2066</v>
      </c>
      <c r="I492" s="15" t="s">
        <v>30</v>
      </c>
      <c r="J492" s="15" t="s">
        <v>31</v>
      </c>
      <c r="K492" s="15" t="s">
        <v>46</v>
      </c>
      <c r="L492" s="15" t="s">
        <v>78</v>
      </c>
      <c r="M492" s="15">
        <v>11</v>
      </c>
      <c r="N492" s="15">
        <v>1200</v>
      </c>
      <c r="O492" s="15">
        <v>5</v>
      </c>
      <c r="P492" s="15">
        <v>12540</v>
      </c>
      <c r="Q492" s="15">
        <v>2</v>
      </c>
      <c r="R492" s="15" t="s">
        <v>34</v>
      </c>
      <c r="S492" s="15" t="s">
        <v>35</v>
      </c>
      <c r="T492" s="15" t="s">
        <v>132</v>
      </c>
      <c r="U492" s="17" t="s">
        <v>2067</v>
      </c>
      <c r="V492" s="15" t="s">
        <v>64</v>
      </c>
    </row>
    <row r="493" spans="1:22">
      <c r="A493" s="18" t="s">
        <v>2068</v>
      </c>
      <c r="B493" s="18" t="s">
        <v>83</v>
      </c>
      <c r="C493" s="18" t="s">
        <v>184</v>
      </c>
      <c r="D493" s="18" t="s">
        <v>839</v>
      </c>
      <c r="E493" s="18" t="s">
        <v>756</v>
      </c>
      <c r="F493" s="18" t="s">
        <v>180</v>
      </c>
      <c r="G493" s="18" t="s">
        <v>76</v>
      </c>
      <c r="H493" s="18" t="s">
        <v>2069</v>
      </c>
      <c r="I493" s="18" t="s">
        <v>138</v>
      </c>
      <c r="J493" s="18" t="s">
        <v>106</v>
      </c>
      <c r="K493" s="18" t="s">
        <v>46</v>
      </c>
      <c r="L493" s="18" t="s">
        <v>189</v>
      </c>
      <c r="M493" s="18">
        <v>14</v>
      </c>
      <c r="N493" s="18">
        <v>700</v>
      </c>
      <c r="O493" s="18">
        <v>0</v>
      </c>
      <c r="P493" s="18">
        <v>9800</v>
      </c>
      <c r="Q493" s="18">
        <v>2</v>
      </c>
      <c r="R493" s="18" t="s">
        <v>79</v>
      </c>
      <c r="S493" s="18" t="s">
        <v>151</v>
      </c>
      <c r="T493" s="18" t="s">
        <v>89</v>
      </c>
      <c r="U493" s="19" t="s">
        <v>2070</v>
      </c>
      <c r="V493" s="18" t="s">
        <v>69</v>
      </c>
    </row>
    <row r="494" spans="1:22">
      <c r="A494" s="15" t="s">
        <v>2071</v>
      </c>
      <c r="B494" s="15" t="s">
        <v>71</v>
      </c>
      <c r="C494" s="15" t="s">
        <v>72</v>
      </c>
      <c r="D494" s="15" t="s">
        <v>793</v>
      </c>
      <c r="E494" s="15" t="s">
        <v>1650</v>
      </c>
      <c r="F494" s="15" t="s">
        <v>217</v>
      </c>
      <c r="G494" s="15" t="s">
        <v>76</v>
      </c>
      <c r="H494" s="15" t="s">
        <v>2072</v>
      </c>
      <c r="I494" s="15" t="s">
        <v>114</v>
      </c>
      <c r="J494" s="15" t="s">
        <v>106</v>
      </c>
      <c r="K494" s="15" t="s">
        <v>46</v>
      </c>
      <c r="L494" s="15" t="s">
        <v>78</v>
      </c>
      <c r="M494" s="15">
        <v>16</v>
      </c>
      <c r="N494" s="15">
        <v>1200</v>
      </c>
      <c r="O494" s="15">
        <v>15</v>
      </c>
      <c r="P494" s="15">
        <v>16320</v>
      </c>
      <c r="Q494" s="15">
        <v>4</v>
      </c>
      <c r="R494" s="15" t="s">
        <v>34</v>
      </c>
      <c r="S494" s="15" t="s">
        <v>151</v>
      </c>
      <c r="T494" s="15" t="s">
        <v>80</v>
      </c>
      <c r="U494" s="17" t="s">
        <v>2073</v>
      </c>
      <c r="V494" s="15" t="s">
        <v>64</v>
      </c>
    </row>
    <row r="495" spans="1:22">
      <c r="A495" s="18" t="s">
        <v>2074</v>
      </c>
      <c r="B495" s="18" t="s">
        <v>168</v>
      </c>
      <c r="C495" s="18" t="s">
        <v>24</v>
      </c>
      <c r="D495" s="18" t="s">
        <v>493</v>
      </c>
      <c r="E495" s="18" t="s">
        <v>1932</v>
      </c>
      <c r="F495" s="18" t="s">
        <v>361</v>
      </c>
      <c r="G495" s="18" t="s">
        <v>28</v>
      </c>
      <c r="H495" s="18" t="s">
        <v>2076</v>
      </c>
      <c r="I495" s="18" t="s">
        <v>212</v>
      </c>
      <c r="J495" s="18" t="s">
        <v>45</v>
      </c>
      <c r="K495" s="18" t="s">
        <v>32</v>
      </c>
      <c r="L495" s="18" t="s">
        <v>33</v>
      </c>
      <c r="M495" s="18">
        <v>20</v>
      </c>
      <c r="N495" s="18">
        <v>2200</v>
      </c>
      <c r="O495" s="18">
        <v>0</v>
      </c>
      <c r="P495" s="18">
        <v>44000</v>
      </c>
      <c r="Q495" s="18">
        <v>5</v>
      </c>
      <c r="R495" s="18" t="s">
        <v>34</v>
      </c>
      <c r="S495" s="18" t="s">
        <v>35</v>
      </c>
      <c r="T495" s="18" t="s">
        <v>175</v>
      </c>
      <c r="U495" s="19" t="s">
        <v>2077</v>
      </c>
      <c r="V495" s="18" t="s">
        <v>69</v>
      </c>
    </row>
    <row r="496" spans="1:22">
      <c r="A496" s="15" t="s">
        <v>2078</v>
      </c>
      <c r="B496" s="15" t="s">
        <v>83</v>
      </c>
      <c r="C496" s="15" t="s">
        <v>40</v>
      </c>
      <c r="D496" s="15" t="s">
        <v>2051</v>
      </c>
      <c r="E496" s="15" t="s">
        <v>272</v>
      </c>
      <c r="F496" s="15" t="s">
        <v>180</v>
      </c>
      <c r="G496" s="15" t="s">
        <v>76</v>
      </c>
      <c r="H496" s="15" t="s">
        <v>2079</v>
      </c>
      <c r="I496" s="15" t="s">
        <v>212</v>
      </c>
      <c r="J496" s="15" t="s">
        <v>45</v>
      </c>
      <c r="K496" s="15" t="s">
        <v>46</v>
      </c>
      <c r="L496" s="15" t="s">
        <v>47</v>
      </c>
      <c r="M496" s="15">
        <v>12</v>
      </c>
      <c r="N496" s="15">
        <v>12000</v>
      </c>
      <c r="O496" s="15">
        <v>15</v>
      </c>
      <c r="P496" s="15">
        <v>122400</v>
      </c>
      <c r="Q496" s="15">
        <v>5</v>
      </c>
      <c r="R496" s="15" t="s">
        <v>34</v>
      </c>
      <c r="S496" s="15" t="s">
        <v>151</v>
      </c>
      <c r="T496" s="15" t="s">
        <v>89</v>
      </c>
      <c r="U496" s="17" t="s">
        <v>2080</v>
      </c>
      <c r="V496" s="15" t="s">
        <v>38</v>
      </c>
    </row>
    <row r="497" spans="1:22">
      <c r="A497" s="18" t="s">
        <v>2081</v>
      </c>
      <c r="B497" s="18" t="s">
        <v>221</v>
      </c>
      <c r="C497" s="18" t="s">
        <v>72</v>
      </c>
      <c r="D497" s="18" t="s">
        <v>610</v>
      </c>
      <c r="E497" s="18" t="s">
        <v>611</v>
      </c>
      <c r="F497" s="18" t="s">
        <v>225</v>
      </c>
      <c r="G497" s="18" t="s">
        <v>76</v>
      </c>
      <c r="H497" s="18" t="s">
        <v>2082</v>
      </c>
      <c r="I497" s="18" t="s">
        <v>44</v>
      </c>
      <c r="J497" s="18" t="s">
        <v>45</v>
      </c>
      <c r="K497" s="18" t="s">
        <v>46</v>
      </c>
      <c r="L497" s="18" t="s">
        <v>78</v>
      </c>
      <c r="M497" s="18">
        <v>3</v>
      </c>
      <c r="N497" s="18">
        <v>1200</v>
      </c>
      <c r="O497" s="18">
        <v>20</v>
      </c>
      <c r="P497" s="18">
        <v>2880</v>
      </c>
      <c r="Q497" s="18">
        <v>2</v>
      </c>
      <c r="R497" s="18" t="s">
        <v>48</v>
      </c>
      <c r="S497" s="18" t="s">
        <v>115</v>
      </c>
      <c r="T497" s="18" t="s">
        <v>907</v>
      </c>
      <c r="U497" s="19" t="s">
        <v>2083</v>
      </c>
      <c r="V497" s="18" t="s">
        <v>64</v>
      </c>
    </row>
    <row r="498" spans="1:22">
      <c r="A498" s="15" t="s">
        <v>2084</v>
      </c>
      <c r="B498" s="15" t="s">
        <v>100</v>
      </c>
      <c r="C498" s="15" t="s">
        <v>54</v>
      </c>
      <c r="D498" s="15" t="s">
        <v>276</v>
      </c>
      <c r="E498" s="15" t="s">
        <v>2085</v>
      </c>
      <c r="F498" s="15" t="s">
        <v>103</v>
      </c>
      <c r="G498" s="15" t="s">
        <v>28</v>
      </c>
      <c r="H498" s="15" t="s">
        <v>2086</v>
      </c>
      <c r="I498" s="15" t="s">
        <v>105</v>
      </c>
      <c r="J498" s="15" t="s">
        <v>106</v>
      </c>
      <c r="K498" s="15" t="s">
        <v>46</v>
      </c>
      <c r="L498" s="15" t="s">
        <v>2087</v>
      </c>
      <c r="M498" s="15">
        <v>6</v>
      </c>
      <c r="N498" s="15">
        <v>55000</v>
      </c>
      <c r="O498" s="15">
        <v>20</v>
      </c>
      <c r="P498" s="15">
        <v>264000</v>
      </c>
      <c r="Q498" s="15">
        <v>3</v>
      </c>
      <c r="R498" s="15" t="s">
        <v>34</v>
      </c>
      <c r="S498" s="15" t="s">
        <v>151</v>
      </c>
      <c r="T498" s="15" t="s">
        <v>144</v>
      </c>
      <c r="U498" s="17" t="s">
        <v>2088</v>
      </c>
      <c r="V498" s="15" t="s">
        <v>38</v>
      </c>
    </row>
    <row r="499" spans="1:22">
      <c r="A499" s="18" t="s">
        <v>2089</v>
      </c>
      <c r="B499" s="18" t="s">
        <v>100</v>
      </c>
      <c r="C499" s="18" t="s">
        <v>92</v>
      </c>
      <c r="D499" s="18" t="s">
        <v>2090</v>
      </c>
      <c r="E499" s="18" t="s">
        <v>129</v>
      </c>
      <c r="F499" s="18" t="s">
        <v>103</v>
      </c>
      <c r="G499" s="18" t="s">
        <v>28</v>
      </c>
      <c r="H499" s="18" t="s">
        <v>2091</v>
      </c>
      <c r="I499" s="18" t="s">
        <v>59</v>
      </c>
      <c r="J499" s="18" t="s">
        <v>31</v>
      </c>
      <c r="K499" s="18" t="s">
        <v>32</v>
      </c>
      <c r="L499" s="18" t="s">
        <v>97</v>
      </c>
      <c r="M499" s="18">
        <v>20</v>
      </c>
      <c r="N499" s="18">
        <v>3500</v>
      </c>
      <c r="O499" s="18">
        <v>0</v>
      </c>
      <c r="P499" s="18">
        <v>70000</v>
      </c>
      <c r="Q499" s="18">
        <v>1</v>
      </c>
      <c r="R499" s="18" t="s">
        <v>48</v>
      </c>
      <c r="S499" s="18" t="s">
        <v>151</v>
      </c>
      <c r="T499" s="18" t="s">
        <v>144</v>
      </c>
      <c r="U499" s="19" t="s">
        <v>2092</v>
      </c>
      <c r="V499" s="18" t="s">
        <v>64</v>
      </c>
    </row>
  </sheetData>
  <autoFilter ref="A1:V499" xr:uid="{16C20A61-E661-4D0C-B9D9-7CF66B2C9746}"/>
  <conditionalFormatting sqref="O2:O499">
    <cfRule type="cellIs" dxfId="3" priority="1" operator="greaterThan">
      <formula>20</formula>
    </cfRule>
    <cfRule type="cellIs" dxfId="2" priority="2" operator="greaterThan">
      <formula>20</formula>
    </cfRule>
  </conditionalFormatting>
  <dataValidations count="2">
    <dataValidation type="whole" allowBlank="1" showInputMessage="1" showErrorMessage="1" sqref="M2:M499" xr:uid="{E6B7AF48-3F1F-41A0-A85F-39F5D816C8E7}">
      <formula1>1</formula1>
      <formula2>20</formula2>
    </dataValidation>
    <dataValidation type="list" allowBlank="1" showInputMessage="1" showErrorMessage="1" sqref="R2:R499" xr:uid="{6EA936CF-C567-49A0-AB56-5E02602C782C}">
      <formula1>"UPI,Cash,Card,NetBanking"</formula1>
    </dataValidation>
  </dataValidations>
  <hyperlinks>
    <hyperlink ref="T2" r:id="rId1" xr:uid="{281D88CC-FABB-4FB6-AF4E-7C65EE80643C}"/>
    <hyperlink ref="T8" r:id="rId2" xr:uid="{21D7F7D8-5C68-44F5-8661-43AC4C279260}"/>
    <hyperlink ref="T10" r:id="rId3" xr:uid="{BACF45EA-02FF-4402-B103-DBC93CA14D77}"/>
    <hyperlink ref="T15" r:id="rId4" xr:uid="{E586CB5F-4BEB-461D-9442-125C299A214D}"/>
    <hyperlink ref="T14" r:id="rId5" xr:uid="{83C5D1EE-D0EB-4012-8A59-F63B32450B10}"/>
    <hyperlink ref="T19" r:id="rId6" xr:uid="{DCE6BE23-51A1-49BE-8268-27BC2DA345E7}"/>
    <hyperlink ref="T60" r:id="rId7" xr:uid="{B13FB35D-35AA-47B9-819B-0F66E3FC3EDB}"/>
    <hyperlink ref="T71" r:id="rId8" xr:uid="{4221730C-97EF-4FB2-B2C5-0167C7E37EE9}"/>
    <hyperlink ref="T292" r:id="rId9" xr:uid="{5E28A05B-5AD4-4241-8C7B-CFCF36B67CB8}"/>
    <hyperlink ref="T487" r:id="rId10" xr:uid="{E58F1CE5-1A8E-4AC5-8D3F-84E8D5957764}"/>
    <hyperlink ref="T477" r:id="rId11" xr:uid="{9B02D15E-7B70-4540-8141-0F8C40A8ADAA}"/>
    <hyperlink ref="T461" r:id="rId12" xr:uid="{58D7E8F4-79AE-4ACE-88F2-6BB02B3D7A63}"/>
    <hyperlink ref="T448" r:id="rId13" xr:uid="{B5443083-355F-4FDB-A198-5E12B9E34F81}"/>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E7C61-1E7F-4F3A-B5CA-7F00BDC0429A}">
  <dimension ref="A1:AN499"/>
  <sheetViews>
    <sheetView workbookViewId="0">
      <selection activeCell="C15" sqref="C15"/>
    </sheetView>
  </sheetViews>
  <sheetFormatPr defaultRowHeight="14.4"/>
  <cols>
    <col min="1" max="1" width="10.77734375" bestFit="1" customWidth="1"/>
    <col min="2" max="2" width="14.109375" bestFit="1" customWidth="1"/>
    <col min="3" max="3" width="12.6640625" bestFit="1" customWidth="1"/>
    <col min="4" max="4" width="12.88671875" bestFit="1" customWidth="1"/>
    <col min="5" max="5" width="14.88671875" bestFit="1" customWidth="1"/>
    <col min="6" max="6" width="17.44140625" bestFit="1" customWidth="1"/>
    <col min="7" max="7" width="9.33203125" bestFit="1" customWidth="1"/>
    <col min="8" max="8" width="10.5546875" bestFit="1" customWidth="1"/>
    <col min="9" max="9" width="10.6640625" bestFit="1" customWidth="1"/>
    <col min="10" max="10" width="9" bestFit="1" customWidth="1"/>
    <col min="11" max="11" width="15.109375" bestFit="1" customWidth="1"/>
    <col min="12" max="12" width="16" bestFit="1" customWidth="1"/>
    <col min="13" max="13" width="10.5546875" bestFit="1" customWidth="1"/>
    <col min="14" max="14" width="11.88671875" bestFit="1" customWidth="1"/>
    <col min="15" max="15" width="13" bestFit="1" customWidth="1"/>
    <col min="16" max="16" width="8" bestFit="1" customWidth="1"/>
    <col min="17" max="17" width="8.5546875" bestFit="1" customWidth="1"/>
    <col min="18" max="18" width="16.88671875" bestFit="1" customWidth="1"/>
    <col min="19" max="19" width="13.21875" bestFit="1" customWidth="1"/>
    <col min="20" max="20" width="25.21875" bestFit="1" customWidth="1"/>
    <col min="21" max="21" width="11" bestFit="1" customWidth="1"/>
    <col min="22" max="22" width="14.21875" bestFit="1" customWidth="1"/>
  </cols>
  <sheetData>
    <row r="1" spans="1:40">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4" t="s">
        <v>17</v>
      </c>
      <c r="S1" s="14" t="s">
        <v>18</v>
      </c>
      <c r="T1" s="14" t="s">
        <v>19</v>
      </c>
      <c r="U1" s="14" t="s">
        <v>20</v>
      </c>
      <c r="V1" s="14" t="s">
        <v>21</v>
      </c>
    </row>
    <row r="2" spans="1:40">
      <c r="A2" s="15" t="s">
        <v>22</v>
      </c>
      <c r="B2" s="15" t="s">
        <v>23</v>
      </c>
      <c r="C2" s="15" t="s">
        <v>24</v>
      </c>
      <c r="D2" s="15" t="s">
        <v>25</v>
      </c>
      <c r="E2" s="15" t="s">
        <v>26</v>
      </c>
      <c r="F2" s="15" t="s">
        <v>27</v>
      </c>
      <c r="G2" s="15" t="s">
        <v>28</v>
      </c>
      <c r="H2" s="15" t="s">
        <v>29</v>
      </c>
      <c r="I2" s="15" t="s">
        <v>30</v>
      </c>
      <c r="J2" s="15" t="s">
        <v>31</v>
      </c>
      <c r="K2" s="15" t="s">
        <v>32</v>
      </c>
      <c r="L2" s="15" t="s">
        <v>33</v>
      </c>
      <c r="M2" s="15">
        <v>4</v>
      </c>
      <c r="N2" s="15">
        <v>2200</v>
      </c>
      <c r="O2" s="15">
        <v>10</v>
      </c>
      <c r="P2" s="15">
        <v>7920</v>
      </c>
      <c r="Q2" s="15">
        <v>4</v>
      </c>
      <c r="R2" s="15" t="s">
        <v>34</v>
      </c>
      <c r="S2" s="15" t="s">
        <v>35</v>
      </c>
      <c r="T2" s="16" t="s">
        <v>36</v>
      </c>
      <c r="U2" s="17" t="s">
        <v>37</v>
      </c>
      <c r="V2" s="15" t="s">
        <v>38</v>
      </c>
    </row>
    <row r="3" spans="1:40">
      <c r="A3" s="18" t="s">
        <v>39</v>
      </c>
      <c r="B3" s="18" t="s">
        <v>23</v>
      </c>
      <c r="C3" s="18" t="s">
        <v>40</v>
      </c>
      <c r="D3" s="18" t="s">
        <v>41</v>
      </c>
      <c r="E3" s="18" t="s">
        <v>42</v>
      </c>
      <c r="F3" s="18" t="s">
        <v>27</v>
      </c>
      <c r="G3" s="18" t="s">
        <v>28</v>
      </c>
      <c r="H3" s="18" t="s">
        <v>43</v>
      </c>
      <c r="I3" s="18" t="s">
        <v>44</v>
      </c>
      <c r="J3" s="18" t="s">
        <v>45</v>
      </c>
      <c r="K3" s="18" t="s">
        <v>46</v>
      </c>
      <c r="L3" s="18" t="s">
        <v>47</v>
      </c>
      <c r="M3" s="18">
        <v>17</v>
      </c>
      <c r="N3" s="18">
        <v>12000</v>
      </c>
      <c r="O3" s="18">
        <v>10</v>
      </c>
      <c r="P3" s="18">
        <v>183600</v>
      </c>
      <c r="Q3" s="18">
        <v>1</v>
      </c>
      <c r="R3" s="18" t="s">
        <v>48</v>
      </c>
      <c r="S3" s="18" t="s">
        <v>49</v>
      </c>
      <c r="T3" s="18" t="s">
        <v>50</v>
      </c>
      <c r="U3" s="19" t="s">
        <v>51</v>
      </c>
      <c r="V3" s="18" t="s">
        <v>38</v>
      </c>
    </row>
    <row r="4" spans="1:40">
      <c r="A4" s="15" t="s">
        <v>52</v>
      </c>
      <c r="B4" s="15" t="s">
        <v>53</v>
      </c>
      <c r="C4" s="15" t="s">
        <v>54</v>
      </c>
      <c r="D4" s="15" t="s">
        <v>55</v>
      </c>
      <c r="E4" s="15" t="s">
        <v>56</v>
      </c>
      <c r="F4" s="15" t="s">
        <v>163</v>
      </c>
      <c r="G4" s="15" t="s">
        <v>28</v>
      </c>
      <c r="H4" s="15" t="s">
        <v>58</v>
      </c>
      <c r="I4" s="15" t="s">
        <v>59</v>
      </c>
      <c r="J4" s="15" t="s">
        <v>31</v>
      </c>
      <c r="K4" s="15" t="s">
        <v>46</v>
      </c>
      <c r="L4" s="15" t="s">
        <v>60</v>
      </c>
      <c r="M4" s="15">
        <v>5</v>
      </c>
      <c r="N4" s="15">
        <v>55000</v>
      </c>
      <c r="O4" s="15">
        <v>5</v>
      </c>
      <c r="P4" s="15">
        <v>261250</v>
      </c>
      <c r="Q4" s="15">
        <v>3</v>
      </c>
      <c r="R4" s="15" t="s">
        <v>48</v>
      </c>
      <c r="S4" s="15" t="s">
        <v>61</v>
      </c>
      <c r="T4" s="15" t="s">
        <v>62</v>
      </c>
      <c r="U4" s="17" t="s">
        <v>63</v>
      </c>
      <c r="V4" s="15" t="s">
        <v>64</v>
      </c>
    </row>
    <row r="5" spans="1:40">
      <c r="A5" s="15" t="s">
        <v>70</v>
      </c>
      <c r="B5" s="15" t="s">
        <v>71</v>
      </c>
      <c r="C5" s="15" t="s">
        <v>72</v>
      </c>
      <c r="D5" s="15" t="s">
        <v>73</v>
      </c>
      <c r="E5" s="15" t="s">
        <v>74</v>
      </c>
      <c r="F5" s="15" t="s">
        <v>217</v>
      </c>
      <c r="G5" s="15" t="s">
        <v>76</v>
      </c>
      <c r="H5" s="15" t="s">
        <v>77</v>
      </c>
      <c r="I5" s="15" t="s">
        <v>44</v>
      </c>
      <c r="J5" s="15" t="s">
        <v>45</v>
      </c>
      <c r="K5" s="15" t="s">
        <v>46</v>
      </c>
      <c r="L5" s="15" t="s">
        <v>78</v>
      </c>
      <c r="M5" s="15">
        <v>8</v>
      </c>
      <c r="N5" s="15">
        <v>1200</v>
      </c>
      <c r="O5" s="15">
        <v>5</v>
      </c>
      <c r="P5" s="15">
        <v>9120</v>
      </c>
      <c r="Q5" s="15">
        <v>2</v>
      </c>
      <c r="R5" s="15" t="s">
        <v>79</v>
      </c>
      <c r="S5" s="15" t="s">
        <v>61</v>
      </c>
      <c r="T5" s="15" t="s">
        <v>80</v>
      </c>
      <c r="U5" s="17" t="s">
        <v>81</v>
      </c>
      <c r="V5" s="15" t="s">
        <v>64</v>
      </c>
    </row>
    <row r="6" spans="1:40">
      <c r="A6" s="18" t="s">
        <v>82</v>
      </c>
      <c r="B6" s="18" t="s">
        <v>83</v>
      </c>
      <c r="C6" s="18" t="s">
        <v>24</v>
      </c>
      <c r="D6" s="18" t="s">
        <v>84</v>
      </c>
      <c r="E6" s="18" t="s">
        <v>85</v>
      </c>
      <c r="F6" s="18" t="s">
        <v>180</v>
      </c>
      <c r="G6" s="18" t="s">
        <v>76</v>
      </c>
      <c r="H6" s="18" t="s">
        <v>87</v>
      </c>
      <c r="I6" s="18" t="s">
        <v>30</v>
      </c>
      <c r="J6" s="18" t="s">
        <v>31</v>
      </c>
      <c r="K6" s="18" t="s">
        <v>32</v>
      </c>
      <c r="L6" s="18" t="s">
        <v>33</v>
      </c>
      <c r="M6" s="18">
        <v>4</v>
      </c>
      <c r="N6" s="18">
        <v>2200</v>
      </c>
      <c r="O6" s="18">
        <v>0</v>
      </c>
      <c r="P6" s="18">
        <v>8800</v>
      </c>
      <c r="Q6" s="18">
        <v>1</v>
      </c>
      <c r="R6" s="18" t="s">
        <v>88</v>
      </c>
      <c r="S6" s="18" t="s">
        <v>35</v>
      </c>
      <c r="T6" s="18" t="s">
        <v>89</v>
      </c>
      <c r="U6" s="19" t="s">
        <v>90</v>
      </c>
      <c r="V6" s="18" t="s">
        <v>38</v>
      </c>
    </row>
    <row r="7" spans="1:40">
      <c r="A7" s="15" t="s">
        <v>91</v>
      </c>
      <c r="B7" s="15" t="s">
        <v>23</v>
      </c>
      <c r="C7" s="15" t="s">
        <v>92</v>
      </c>
      <c r="D7" s="15" t="s">
        <v>93</v>
      </c>
      <c r="E7" s="15" t="s">
        <v>94</v>
      </c>
      <c r="F7" s="15" t="s">
        <v>27</v>
      </c>
      <c r="G7" s="15" t="s">
        <v>28</v>
      </c>
      <c r="H7" s="15" t="s">
        <v>96</v>
      </c>
      <c r="I7" s="15" t="s">
        <v>30</v>
      </c>
      <c r="J7" s="15" t="s">
        <v>31</v>
      </c>
      <c r="K7" s="15" t="s">
        <v>32</v>
      </c>
      <c r="L7" s="15" t="s">
        <v>97</v>
      </c>
      <c r="M7" s="15">
        <v>2</v>
      </c>
      <c r="N7" s="15">
        <v>3500</v>
      </c>
      <c r="O7" s="15">
        <v>5</v>
      </c>
      <c r="P7" s="15">
        <v>6650</v>
      </c>
      <c r="Q7" s="15">
        <v>1</v>
      </c>
      <c r="R7" s="15" t="s">
        <v>88</v>
      </c>
      <c r="S7" s="15" t="s">
        <v>35</v>
      </c>
      <c r="T7" s="15" t="s">
        <v>50</v>
      </c>
      <c r="U7" s="17" t="s">
        <v>98</v>
      </c>
      <c r="V7" s="15" t="s">
        <v>38</v>
      </c>
    </row>
    <row r="8" spans="1:40">
      <c r="A8" s="18" t="s">
        <v>99</v>
      </c>
      <c r="B8" s="18" t="s">
        <v>100</v>
      </c>
      <c r="C8" s="18" t="s">
        <v>40</v>
      </c>
      <c r="D8" s="18" t="s">
        <v>101</v>
      </c>
      <c r="E8" s="18" t="s">
        <v>102</v>
      </c>
      <c r="F8" s="18" t="s">
        <v>103</v>
      </c>
      <c r="G8" s="18" t="s">
        <v>28</v>
      </c>
      <c r="H8" s="18" t="s">
        <v>104</v>
      </c>
      <c r="I8" s="18" t="s">
        <v>105</v>
      </c>
      <c r="J8" s="18" t="s">
        <v>106</v>
      </c>
      <c r="K8" s="18" t="s">
        <v>46</v>
      </c>
      <c r="L8" s="18" t="s">
        <v>47</v>
      </c>
      <c r="M8" s="18">
        <v>14</v>
      </c>
      <c r="N8" s="18">
        <v>12000</v>
      </c>
      <c r="O8" s="18">
        <v>15</v>
      </c>
      <c r="P8" s="18">
        <v>142800</v>
      </c>
      <c r="Q8" s="18">
        <v>4</v>
      </c>
      <c r="R8" s="18" t="s">
        <v>48</v>
      </c>
      <c r="S8" s="18" t="s">
        <v>35</v>
      </c>
      <c r="T8" s="20" t="s">
        <v>107</v>
      </c>
      <c r="U8" s="19" t="s">
        <v>108</v>
      </c>
      <c r="V8" s="18" t="s">
        <v>38</v>
      </c>
    </row>
    <row r="9" spans="1:40">
      <c r="A9" s="15" t="s">
        <v>109</v>
      </c>
      <c r="B9" s="15" t="s">
        <v>23</v>
      </c>
      <c r="C9" s="15" t="s">
        <v>40</v>
      </c>
      <c r="D9" s="15" t="s">
        <v>110</v>
      </c>
      <c r="E9" s="15" t="s">
        <v>111</v>
      </c>
      <c r="F9" s="15" t="s">
        <v>27</v>
      </c>
      <c r="G9" s="15" t="s">
        <v>28</v>
      </c>
      <c r="H9" s="15" t="s">
        <v>113</v>
      </c>
      <c r="I9" s="15" t="s">
        <v>114</v>
      </c>
      <c r="J9" s="15" t="s">
        <v>106</v>
      </c>
      <c r="K9" s="15" t="s">
        <v>46</v>
      </c>
      <c r="L9" s="15" t="s">
        <v>47</v>
      </c>
      <c r="M9" s="15">
        <v>4</v>
      </c>
      <c r="N9" s="15">
        <v>12000</v>
      </c>
      <c r="O9" s="15">
        <v>15</v>
      </c>
      <c r="P9" s="15">
        <v>40800</v>
      </c>
      <c r="Q9" s="15">
        <v>4</v>
      </c>
      <c r="R9" s="15" t="s">
        <v>88</v>
      </c>
      <c r="S9" s="15" t="s">
        <v>115</v>
      </c>
      <c r="T9" s="15" t="s">
        <v>50</v>
      </c>
      <c r="U9" s="17" t="s">
        <v>116</v>
      </c>
      <c r="V9" s="15" t="s">
        <v>38</v>
      </c>
    </row>
    <row r="10" spans="1:40">
      <c r="A10" s="18" t="s">
        <v>117</v>
      </c>
      <c r="B10" s="18" t="s">
        <v>100</v>
      </c>
      <c r="C10" s="18" t="s">
        <v>118</v>
      </c>
      <c r="D10" s="18" t="s">
        <v>119</v>
      </c>
      <c r="E10" s="18" t="s">
        <v>120</v>
      </c>
      <c r="F10" s="18" t="s">
        <v>103</v>
      </c>
      <c r="G10" s="18" t="s">
        <v>28</v>
      </c>
      <c r="H10" s="18" t="s">
        <v>121</v>
      </c>
      <c r="I10" s="18" t="s">
        <v>105</v>
      </c>
      <c r="J10" s="18" t="s">
        <v>106</v>
      </c>
      <c r="K10" s="18" t="s">
        <v>122</v>
      </c>
      <c r="L10" s="18" t="s">
        <v>123</v>
      </c>
      <c r="M10" s="18">
        <v>6</v>
      </c>
      <c r="N10" s="18">
        <v>60</v>
      </c>
      <c r="O10" s="18">
        <v>0</v>
      </c>
      <c r="P10" s="18">
        <v>360</v>
      </c>
      <c r="Q10" s="18">
        <v>4</v>
      </c>
      <c r="R10" s="18" t="s">
        <v>79</v>
      </c>
      <c r="S10" s="18" t="s">
        <v>115</v>
      </c>
      <c r="T10" s="20" t="s">
        <v>124</v>
      </c>
      <c r="U10" s="19" t="s">
        <v>125</v>
      </c>
      <c r="V10" s="18" t="s">
        <v>38</v>
      </c>
      <c r="Z10" s="50"/>
      <c r="AA10" s="50"/>
      <c r="AB10" s="50"/>
      <c r="AC10" s="50"/>
      <c r="AD10" s="50"/>
      <c r="AE10" s="50"/>
      <c r="AF10" s="50"/>
      <c r="AG10" s="50"/>
      <c r="AH10" s="50"/>
      <c r="AI10" s="50"/>
      <c r="AJ10" s="50"/>
      <c r="AK10" s="50"/>
      <c r="AL10" s="50"/>
      <c r="AM10" s="50"/>
      <c r="AN10" s="50"/>
    </row>
    <row r="11" spans="1:40">
      <c r="A11" s="15" t="s">
        <v>126</v>
      </c>
      <c r="B11" s="15" t="s">
        <v>127</v>
      </c>
      <c r="C11" s="15" t="s">
        <v>24</v>
      </c>
      <c r="D11" s="15" t="s">
        <v>128</v>
      </c>
      <c r="E11" s="15" t="s">
        <v>129</v>
      </c>
      <c r="F11" s="15" t="s">
        <v>200</v>
      </c>
      <c r="G11" s="15" t="s">
        <v>76</v>
      </c>
      <c r="H11" s="15" t="s">
        <v>131</v>
      </c>
      <c r="I11" s="15" t="s">
        <v>44</v>
      </c>
      <c r="J11" s="15" t="s">
        <v>45</v>
      </c>
      <c r="K11" s="15" t="s">
        <v>32</v>
      </c>
      <c r="L11" s="15" t="s">
        <v>33</v>
      </c>
      <c r="M11" s="15">
        <v>-3</v>
      </c>
      <c r="N11" s="15">
        <v>2200</v>
      </c>
      <c r="O11" s="15">
        <v>0</v>
      </c>
      <c r="P11" s="15">
        <v>35200</v>
      </c>
      <c r="Q11" s="15">
        <v>2</v>
      </c>
      <c r="R11" s="15" t="s">
        <v>79</v>
      </c>
      <c r="S11" s="15" t="s">
        <v>49</v>
      </c>
      <c r="T11" s="15" t="s">
        <v>132</v>
      </c>
      <c r="U11" s="17" t="s">
        <v>133</v>
      </c>
      <c r="V11" s="15" t="s">
        <v>64</v>
      </c>
      <c r="Z11" s="48"/>
      <c r="AA11" s="48"/>
      <c r="AB11" s="48"/>
      <c r="AC11" s="48"/>
      <c r="AD11" s="50"/>
      <c r="AE11" s="48"/>
      <c r="AF11" s="48"/>
      <c r="AG11" s="48"/>
      <c r="AH11" s="48"/>
      <c r="AI11" s="48"/>
      <c r="AJ11" s="48"/>
      <c r="AK11" s="48"/>
      <c r="AL11" s="48"/>
      <c r="AM11" s="48"/>
      <c r="AN11" s="48"/>
    </row>
    <row r="12" spans="1:40">
      <c r="A12" s="18" t="s">
        <v>134</v>
      </c>
      <c r="B12" s="18" t="s">
        <v>23</v>
      </c>
      <c r="C12" s="18" t="s">
        <v>92</v>
      </c>
      <c r="D12" s="18" t="s">
        <v>135</v>
      </c>
      <c r="E12" s="18" t="s">
        <v>136</v>
      </c>
      <c r="F12" s="18" t="s">
        <v>27</v>
      </c>
      <c r="G12" s="18" t="s">
        <v>28</v>
      </c>
      <c r="H12" s="18" t="s">
        <v>137</v>
      </c>
      <c r="I12" s="18" t="s">
        <v>138</v>
      </c>
      <c r="J12" s="18" t="s">
        <v>106</v>
      </c>
      <c r="K12" s="18" t="s">
        <v>32</v>
      </c>
      <c r="L12" s="18" t="s">
        <v>97</v>
      </c>
      <c r="M12" s="18">
        <v>10</v>
      </c>
      <c r="N12" s="18">
        <v>3500</v>
      </c>
      <c r="O12" s="18">
        <v>5</v>
      </c>
      <c r="P12" s="18">
        <v>33250</v>
      </c>
      <c r="Q12" s="18">
        <v>5</v>
      </c>
      <c r="R12" s="18" t="s">
        <v>79</v>
      </c>
      <c r="S12" s="18" t="s">
        <v>61</v>
      </c>
      <c r="T12" s="18" t="s">
        <v>50</v>
      </c>
      <c r="U12" s="19" t="s">
        <v>139</v>
      </c>
      <c r="V12" s="18" t="s">
        <v>69</v>
      </c>
      <c r="Z12" s="48"/>
      <c r="AA12" s="48"/>
      <c r="AB12" s="48"/>
      <c r="AC12" s="48"/>
      <c r="AD12" s="48"/>
      <c r="AE12" s="48"/>
      <c r="AF12" s="48"/>
      <c r="AG12" s="48"/>
      <c r="AH12" s="48"/>
      <c r="AI12" s="48"/>
      <c r="AJ12" s="48"/>
      <c r="AK12" s="48"/>
      <c r="AL12" s="48"/>
      <c r="AM12" s="48"/>
      <c r="AN12" s="48"/>
    </row>
    <row r="13" spans="1:40">
      <c r="A13" s="15" t="s">
        <v>140</v>
      </c>
      <c r="B13" s="15" t="s">
        <v>100</v>
      </c>
      <c r="C13" s="15" t="s">
        <v>24</v>
      </c>
      <c r="D13" s="15" t="s">
        <v>141</v>
      </c>
      <c r="E13" s="15" t="s">
        <v>142</v>
      </c>
      <c r="F13" s="15" t="s">
        <v>103</v>
      </c>
      <c r="G13" s="15" t="s">
        <v>28</v>
      </c>
      <c r="H13" s="15" t="s">
        <v>143</v>
      </c>
      <c r="I13" s="15" t="s">
        <v>114</v>
      </c>
      <c r="J13" s="15" t="s">
        <v>106</v>
      </c>
      <c r="K13" s="15" t="s">
        <v>32</v>
      </c>
      <c r="L13" s="15" t="s">
        <v>33</v>
      </c>
      <c r="M13" s="15">
        <v>15</v>
      </c>
      <c r="N13" s="15">
        <v>2200</v>
      </c>
      <c r="O13" s="15">
        <v>10</v>
      </c>
      <c r="P13" s="15">
        <v>29700</v>
      </c>
      <c r="Q13" s="15">
        <v>1</v>
      </c>
      <c r="R13" s="15" t="s">
        <v>88</v>
      </c>
      <c r="S13" s="15" t="s">
        <v>115</v>
      </c>
      <c r="T13" s="15" t="s">
        <v>144</v>
      </c>
      <c r="U13" s="17" t="s">
        <v>145</v>
      </c>
      <c r="V13" s="15" t="s">
        <v>64</v>
      </c>
      <c r="Z13" s="48"/>
      <c r="AA13" s="48"/>
      <c r="AB13" s="48"/>
      <c r="AC13" s="48"/>
      <c r="AD13" s="48"/>
      <c r="AE13" s="48"/>
      <c r="AF13" s="48"/>
      <c r="AG13" s="48"/>
      <c r="AH13" s="48"/>
      <c r="AI13" s="48"/>
      <c r="AJ13" s="48"/>
      <c r="AK13" s="48"/>
      <c r="AL13" s="48"/>
      <c r="AM13" s="48"/>
      <c r="AN13" s="48"/>
    </row>
    <row r="14" spans="1:40">
      <c r="A14" s="18" t="s">
        <v>146</v>
      </c>
      <c r="B14" s="18" t="s">
        <v>127</v>
      </c>
      <c r="C14" s="18" t="s">
        <v>24</v>
      </c>
      <c r="D14" s="18" t="s">
        <v>147</v>
      </c>
      <c r="E14" s="18" t="s">
        <v>148</v>
      </c>
      <c r="F14" s="18" t="s">
        <v>200</v>
      </c>
      <c r="G14" s="18" t="s">
        <v>76</v>
      </c>
      <c r="H14" s="18" t="s">
        <v>150</v>
      </c>
      <c r="I14" s="18" t="s">
        <v>105</v>
      </c>
      <c r="J14" s="18" t="s">
        <v>106</v>
      </c>
      <c r="K14" s="18" t="s">
        <v>32</v>
      </c>
      <c r="L14" s="18" t="s">
        <v>33</v>
      </c>
      <c r="M14" s="18">
        <v>17</v>
      </c>
      <c r="N14" s="18">
        <v>2200</v>
      </c>
      <c r="O14" s="18">
        <v>5</v>
      </c>
      <c r="P14" s="18">
        <v>35530</v>
      </c>
      <c r="Q14" s="18">
        <v>1</v>
      </c>
      <c r="R14" s="18" t="s">
        <v>34</v>
      </c>
      <c r="S14" s="18" t="s">
        <v>151</v>
      </c>
      <c r="T14" s="20" t="s">
        <v>152</v>
      </c>
      <c r="U14" s="19" t="s">
        <v>153</v>
      </c>
      <c r="V14" s="18" t="s">
        <v>38</v>
      </c>
    </row>
    <row r="15" spans="1:40">
      <c r="A15" s="15" t="s">
        <v>154</v>
      </c>
      <c r="B15" s="15" t="s">
        <v>23</v>
      </c>
      <c r="C15" s="15" t="s">
        <v>92</v>
      </c>
      <c r="D15" s="15" t="s">
        <v>155</v>
      </c>
      <c r="E15" s="15" t="s">
        <v>156</v>
      </c>
      <c r="F15" s="15" t="s">
        <v>27</v>
      </c>
      <c r="G15" s="15" t="s">
        <v>28</v>
      </c>
      <c r="H15" s="15" t="s">
        <v>158</v>
      </c>
      <c r="I15" s="15" t="s">
        <v>105</v>
      </c>
      <c r="J15" s="15" t="s">
        <v>106</v>
      </c>
      <c r="K15" s="15" t="s">
        <v>32</v>
      </c>
      <c r="L15" s="15" t="s">
        <v>97</v>
      </c>
      <c r="M15" s="15">
        <v>15</v>
      </c>
      <c r="N15" s="15">
        <v>3500</v>
      </c>
      <c r="O15" s="15">
        <v>15</v>
      </c>
      <c r="P15" s="15">
        <v>44625</v>
      </c>
      <c r="Q15" s="15">
        <v>2</v>
      </c>
      <c r="R15" s="15" t="s">
        <v>34</v>
      </c>
      <c r="S15" s="15" t="s">
        <v>115</v>
      </c>
      <c r="T15" s="16" t="s">
        <v>50</v>
      </c>
      <c r="U15" s="17" t="s">
        <v>159</v>
      </c>
      <c r="V15" s="15" t="s">
        <v>69</v>
      </c>
    </row>
    <row r="16" spans="1:40">
      <c r="A16" s="18" t="s">
        <v>160</v>
      </c>
      <c r="B16" s="18" t="s">
        <v>53</v>
      </c>
      <c r="C16" s="18" t="s">
        <v>72</v>
      </c>
      <c r="D16" s="18" t="s">
        <v>161</v>
      </c>
      <c r="E16" s="18" t="s">
        <v>162</v>
      </c>
      <c r="F16" s="18" t="s">
        <v>163</v>
      </c>
      <c r="G16" s="18" t="s">
        <v>28</v>
      </c>
      <c r="H16" s="18" t="s">
        <v>164</v>
      </c>
      <c r="I16" s="18" t="s">
        <v>30</v>
      </c>
      <c r="J16" s="18" t="s">
        <v>31</v>
      </c>
      <c r="K16" s="18" t="s">
        <v>46</v>
      </c>
      <c r="L16" s="18" t="s">
        <v>78</v>
      </c>
      <c r="M16" s="18">
        <v>3</v>
      </c>
      <c r="N16" s="18">
        <v>1200</v>
      </c>
      <c r="O16" s="18">
        <v>5</v>
      </c>
      <c r="P16" s="18">
        <v>3420</v>
      </c>
      <c r="Q16" s="18">
        <v>5</v>
      </c>
      <c r="R16" s="18" t="s">
        <v>88</v>
      </c>
      <c r="S16" s="18" t="s">
        <v>35</v>
      </c>
      <c r="T16" s="18" t="s">
        <v>165</v>
      </c>
      <c r="U16" s="19" t="s">
        <v>166</v>
      </c>
      <c r="V16" s="18" t="s">
        <v>38</v>
      </c>
    </row>
    <row r="17" spans="1:22">
      <c r="A17" s="15" t="s">
        <v>167</v>
      </c>
      <c r="B17" s="15" t="s">
        <v>168</v>
      </c>
      <c r="C17" s="15" t="s">
        <v>169</v>
      </c>
      <c r="D17" s="15" t="s">
        <v>170</v>
      </c>
      <c r="E17" s="15" t="s">
        <v>171</v>
      </c>
      <c r="F17" s="15" t="s">
        <v>394</v>
      </c>
      <c r="G17" s="15" t="s">
        <v>28</v>
      </c>
      <c r="H17" s="15" t="s">
        <v>173</v>
      </c>
      <c r="I17" s="15" t="s">
        <v>114</v>
      </c>
      <c r="J17" s="15" t="s">
        <v>106</v>
      </c>
      <c r="K17" s="15" t="s">
        <v>32</v>
      </c>
      <c r="L17" s="15" t="s">
        <v>174</v>
      </c>
      <c r="M17" s="15">
        <v>13</v>
      </c>
      <c r="N17" s="15">
        <v>8500</v>
      </c>
      <c r="O17" s="15">
        <v>20</v>
      </c>
      <c r="P17" s="15">
        <v>88400</v>
      </c>
      <c r="Q17" s="15">
        <v>4</v>
      </c>
      <c r="R17" s="15" t="s">
        <v>79</v>
      </c>
      <c r="S17" s="15" t="s">
        <v>49</v>
      </c>
      <c r="T17" s="15" t="s">
        <v>175</v>
      </c>
      <c r="U17" s="17" t="s">
        <v>176</v>
      </c>
      <c r="V17" s="15" t="s">
        <v>64</v>
      </c>
    </row>
    <row r="18" spans="1:22">
      <c r="A18" s="18" t="s">
        <v>177</v>
      </c>
      <c r="B18" s="18" t="s">
        <v>83</v>
      </c>
      <c r="C18" s="18" t="s">
        <v>169</v>
      </c>
      <c r="D18" s="18" t="s">
        <v>178</v>
      </c>
      <c r="E18" s="18" t="s">
        <v>179</v>
      </c>
      <c r="F18" s="18" t="s">
        <v>180</v>
      </c>
      <c r="G18" s="18" t="s">
        <v>76</v>
      </c>
      <c r="H18" s="18" t="s">
        <v>181</v>
      </c>
      <c r="I18" s="18" t="s">
        <v>138</v>
      </c>
      <c r="J18" s="18" t="s">
        <v>106</v>
      </c>
      <c r="K18" s="18" t="s">
        <v>32</v>
      </c>
      <c r="L18" s="18" t="s">
        <v>174</v>
      </c>
      <c r="M18" s="18">
        <v>4</v>
      </c>
      <c r="N18" s="18">
        <v>8500</v>
      </c>
      <c r="O18" s="18">
        <v>20</v>
      </c>
      <c r="P18" s="18">
        <v>27200</v>
      </c>
      <c r="Q18" s="18">
        <v>5</v>
      </c>
      <c r="R18" s="18" t="s">
        <v>79</v>
      </c>
      <c r="S18" s="18" t="s">
        <v>61</v>
      </c>
      <c r="T18" s="18" t="s">
        <v>89</v>
      </c>
      <c r="U18" s="19" t="s">
        <v>182</v>
      </c>
      <c r="V18" s="18" t="s">
        <v>64</v>
      </c>
    </row>
    <row r="19" spans="1:22">
      <c r="A19" s="15" t="s">
        <v>183</v>
      </c>
      <c r="B19" s="15" t="s">
        <v>83</v>
      </c>
      <c r="C19" s="15" t="s">
        <v>184</v>
      </c>
      <c r="D19" s="15" t="s">
        <v>185</v>
      </c>
      <c r="E19" s="15" t="s">
        <v>186</v>
      </c>
      <c r="F19" s="15" t="s">
        <v>180</v>
      </c>
      <c r="G19" s="15" t="s">
        <v>76</v>
      </c>
      <c r="H19" s="15" t="s">
        <v>188</v>
      </c>
      <c r="I19" s="15" t="s">
        <v>105</v>
      </c>
      <c r="J19" s="15" t="s">
        <v>106</v>
      </c>
      <c r="K19" s="15" t="s">
        <v>46</v>
      </c>
      <c r="L19" s="15" t="s">
        <v>189</v>
      </c>
      <c r="M19" s="15">
        <v>9</v>
      </c>
      <c r="N19" s="15">
        <v>700</v>
      </c>
      <c r="O19" s="15">
        <v>5</v>
      </c>
      <c r="P19" s="15">
        <v>5985</v>
      </c>
      <c r="Q19" s="15">
        <v>3</v>
      </c>
      <c r="R19" s="15" t="s">
        <v>88</v>
      </c>
      <c r="S19" s="15" t="s">
        <v>35</v>
      </c>
      <c r="T19" s="16" t="s">
        <v>190</v>
      </c>
      <c r="U19" s="17" t="s">
        <v>191</v>
      </c>
      <c r="V19" s="15" t="s">
        <v>64</v>
      </c>
    </row>
    <row r="20" spans="1:22">
      <c r="A20" s="18" t="s">
        <v>192</v>
      </c>
      <c r="B20" s="18" t="s">
        <v>23</v>
      </c>
      <c r="C20" s="18" t="s">
        <v>54</v>
      </c>
      <c r="D20" s="18" t="s">
        <v>193</v>
      </c>
      <c r="E20" s="18" t="s">
        <v>194</v>
      </c>
      <c r="F20" s="18" t="s">
        <v>27</v>
      </c>
      <c r="G20" s="18" t="s">
        <v>28</v>
      </c>
      <c r="H20" s="18" t="s">
        <v>195</v>
      </c>
      <c r="I20" s="18" t="s">
        <v>138</v>
      </c>
      <c r="J20" s="18" t="s">
        <v>106</v>
      </c>
      <c r="K20" s="18" t="s">
        <v>46</v>
      </c>
      <c r="L20" s="18" t="s">
        <v>60</v>
      </c>
      <c r="M20" s="18">
        <v>8</v>
      </c>
      <c r="N20" s="18">
        <v>55000</v>
      </c>
      <c r="O20" s="18">
        <v>20</v>
      </c>
      <c r="P20" s="18">
        <v>352000</v>
      </c>
      <c r="Q20" s="18">
        <v>1</v>
      </c>
      <c r="R20" s="18" t="s">
        <v>34</v>
      </c>
      <c r="S20" s="18" t="s">
        <v>151</v>
      </c>
      <c r="T20" s="18" t="s">
        <v>50</v>
      </c>
      <c r="U20" s="19" t="s">
        <v>196</v>
      </c>
      <c r="V20" s="18" t="s">
        <v>38</v>
      </c>
    </row>
    <row r="21" spans="1:22">
      <c r="A21" s="15" t="s">
        <v>197</v>
      </c>
      <c r="B21" s="15" t="s">
        <v>127</v>
      </c>
      <c r="C21" s="15" t="s">
        <v>184</v>
      </c>
      <c r="D21" s="15" t="s">
        <v>198</v>
      </c>
      <c r="E21" s="15" t="s">
        <v>199</v>
      </c>
      <c r="F21" s="15" t="s">
        <v>200</v>
      </c>
      <c r="G21" s="15" t="s">
        <v>76</v>
      </c>
      <c r="H21" s="15" t="s">
        <v>201</v>
      </c>
      <c r="I21" s="15" t="s">
        <v>44</v>
      </c>
      <c r="J21" s="15" t="s">
        <v>45</v>
      </c>
      <c r="K21" s="15" t="s">
        <v>46</v>
      </c>
      <c r="L21" s="15" t="s">
        <v>189</v>
      </c>
      <c r="M21" s="15">
        <v>10</v>
      </c>
      <c r="N21" s="15">
        <v>700</v>
      </c>
      <c r="O21" s="15">
        <v>20</v>
      </c>
      <c r="P21" s="15">
        <v>5600</v>
      </c>
      <c r="Q21" s="15">
        <v>4</v>
      </c>
      <c r="R21" s="15" t="s">
        <v>79</v>
      </c>
      <c r="S21" s="15" t="s">
        <v>61</v>
      </c>
      <c r="T21" s="15" t="s">
        <v>132</v>
      </c>
      <c r="U21" s="17" t="s">
        <v>203</v>
      </c>
      <c r="V21" s="15" t="s">
        <v>69</v>
      </c>
    </row>
    <row r="22" spans="1:22">
      <c r="A22" s="18" t="s">
        <v>204</v>
      </c>
      <c r="B22" s="18" t="s">
        <v>23</v>
      </c>
      <c r="C22" s="18" t="s">
        <v>92</v>
      </c>
      <c r="D22" s="18" t="s">
        <v>205</v>
      </c>
      <c r="E22" s="18" t="s">
        <v>206</v>
      </c>
      <c r="F22" s="18" t="s">
        <v>27</v>
      </c>
      <c r="G22" s="18" t="s">
        <v>28</v>
      </c>
      <c r="H22" s="18" t="s">
        <v>207</v>
      </c>
      <c r="I22" s="18" t="s">
        <v>59</v>
      </c>
      <c r="J22" s="18" t="s">
        <v>31</v>
      </c>
      <c r="K22" s="18" t="s">
        <v>32</v>
      </c>
      <c r="L22" s="18" t="s">
        <v>97</v>
      </c>
      <c r="M22" s="18">
        <v>1</v>
      </c>
      <c r="N22" s="18">
        <v>3500</v>
      </c>
      <c r="O22" s="18">
        <v>5</v>
      </c>
      <c r="P22" s="18">
        <v>3325</v>
      </c>
      <c r="Q22" s="18">
        <v>3</v>
      </c>
      <c r="R22" s="18" t="s">
        <v>88</v>
      </c>
      <c r="S22" s="18" t="s">
        <v>115</v>
      </c>
      <c r="T22" s="18" t="s">
        <v>50</v>
      </c>
      <c r="U22" s="19" t="s">
        <v>208</v>
      </c>
      <c r="V22" s="18" t="s">
        <v>69</v>
      </c>
    </row>
    <row r="23" spans="1:22">
      <c r="A23" s="15" t="s">
        <v>209</v>
      </c>
      <c r="B23" s="15" t="s">
        <v>100</v>
      </c>
      <c r="C23" s="15" t="s">
        <v>184</v>
      </c>
      <c r="D23" s="15" t="s">
        <v>102</v>
      </c>
      <c r="E23" s="15" t="s">
        <v>210</v>
      </c>
      <c r="F23" s="15" t="s">
        <v>103</v>
      </c>
      <c r="G23" s="15" t="s">
        <v>28</v>
      </c>
      <c r="H23" s="15" t="s">
        <v>211</v>
      </c>
      <c r="I23" s="15" t="s">
        <v>212</v>
      </c>
      <c r="J23" s="15" t="s">
        <v>45</v>
      </c>
      <c r="K23" s="15" t="s">
        <v>46</v>
      </c>
      <c r="L23" s="15" t="s">
        <v>189</v>
      </c>
      <c r="M23" s="15">
        <v>19</v>
      </c>
      <c r="N23" s="15">
        <v>700</v>
      </c>
      <c r="O23" s="15">
        <v>15</v>
      </c>
      <c r="P23" s="15">
        <v>11305</v>
      </c>
      <c r="Q23" s="15">
        <v>3</v>
      </c>
      <c r="R23" s="15" t="s">
        <v>48</v>
      </c>
      <c r="S23" s="15" t="s">
        <v>151</v>
      </c>
      <c r="T23" s="15" t="s">
        <v>144</v>
      </c>
      <c r="U23" s="17" t="s">
        <v>213</v>
      </c>
      <c r="V23" s="15" t="s">
        <v>64</v>
      </c>
    </row>
    <row r="24" spans="1:22">
      <c r="A24" s="18" t="s">
        <v>214</v>
      </c>
      <c r="B24" s="18" t="s">
        <v>71</v>
      </c>
      <c r="C24" s="18" t="s">
        <v>54</v>
      </c>
      <c r="D24" s="18" t="s">
        <v>215</v>
      </c>
      <c r="E24" s="18" t="s">
        <v>216</v>
      </c>
      <c r="F24" s="18" t="s">
        <v>217</v>
      </c>
      <c r="G24" s="18" t="s">
        <v>76</v>
      </c>
      <c r="H24" s="18" t="s">
        <v>218</v>
      </c>
      <c r="I24" s="18" t="s">
        <v>59</v>
      </c>
      <c r="J24" s="18" t="s">
        <v>31</v>
      </c>
      <c r="K24" s="18" t="s">
        <v>46</v>
      </c>
      <c r="L24" s="18" t="s">
        <v>60</v>
      </c>
      <c r="M24" s="18">
        <v>12</v>
      </c>
      <c r="N24" s="18">
        <v>55000</v>
      </c>
      <c r="O24" s="18">
        <v>0</v>
      </c>
      <c r="P24" s="18">
        <v>660000</v>
      </c>
      <c r="Q24" s="18">
        <v>1</v>
      </c>
      <c r="R24" s="18" t="s">
        <v>79</v>
      </c>
      <c r="S24" s="18" t="s">
        <v>49</v>
      </c>
      <c r="T24" s="18" t="s">
        <v>80</v>
      </c>
      <c r="U24" s="19" t="s">
        <v>219</v>
      </c>
      <c r="V24" s="18" t="s">
        <v>64</v>
      </c>
    </row>
    <row r="25" spans="1:22">
      <c r="A25" s="15" t="s">
        <v>220</v>
      </c>
      <c r="B25" s="15" t="s">
        <v>221</v>
      </c>
      <c r="C25" s="15" t="s">
        <v>222</v>
      </c>
      <c r="D25" s="15" t="s">
        <v>223</v>
      </c>
      <c r="E25" s="15" t="s">
        <v>224</v>
      </c>
      <c r="F25" s="15" t="s">
        <v>225</v>
      </c>
      <c r="G25" s="15" t="s">
        <v>76</v>
      </c>
      <c r="H25" s="15" t="s">
        <v>226</v>
      </c>
      <c r="I25" s="15" t="s">
        <v>105</v>
      </c>
      <c r="J25" s="15" t="s">
        <v>106</v>
      </c>
      <c r="K25" s="15" t="s">
        <v>122</v>
      </c>
      <c r="L25" s="15" t="s">
        <v>227</v>
      </c>
      <c r="M25" s="15">
        <v>1</v>
      </c>
      <c r="N25" s="15">
        <v>20</v>
      </c>
      <c r="O25" s="15">
        <v>5</v>
      </c>
      <c r="P25" s="15">
        <v>19</v>
      </c>
      <c r="Q25" s="15">
        <v>5</v>
      </c>
      <c r="R25" s="15" t="s">
        <v>79</v>
      </c>
      <c r="S25" s="15" t="s">
        <v>35</v>
      </c>
      <c r="T25" s="15" t="s">
        <v>228</v>
      </c>
      <c r="U25" s="17" t="s">
        <v>229</v>
      </c>
      <c r="V25" s="15" t="s">
        <v>69</v>
      </c>
    </row>
    <row r="26" spans="1:22">
      <c r="A26" s="18" t="s">
        <v>230</v>
      </c>
      <c r="B26" s="18" t="s">
        <v>83</v>
      </c>
      <c r="C26" s="18" t="s">
        <v>222</v>
      </c>
      <c r="D26" s="18" t="s">
        <v>231</v>
      </c>
      <c r="E26" s="18" t="s">
        <v>232</v>
      </c>
      <c r="F26" s="18" t="s">
        <v>180</v>
      </c>
      <c r="G26" s="18" t="s">
        <v>76</v>
      </c>
      <c r="H26" s="18" t="s">
        <v>233</v>
      </c>
      <c r="I26" s="18" t="s">
        <v>105</v>
      </c>
      <c r="J26" s="18" t="s">
        <v>106</v>
      </c>
      <c r="K26" s="18" t="s">
        <v>122</v>
      </c>
      <c r="L26" s="18" t="s">
        <v>227</v>
      </c>
      <c r="M26" s="18">
        <v>2</v>
      </c>
      <c r="N26" s="18">
        <v>20</v>
      </c>
      <c r="O26" s="18">
        <v>15</v>
      </c>
      <c r="P26" s="18">
        <v>34</v>
      </c>
      <c r="Q26" s="18">
        <v>1</v>
      </c>
      <c r="R26" s="18" t="s">
        <v>88</v>
      </c>
      <c r="S26" s="18" t="s">
        <v>35</v>
      </c>
      <c r="T26" s="18" t="s">
        <v>89</v>
      </c>
      <c r="U26" s="19" t="s">
        <v>234</v>
      </c>
      <c r="V26" s="18" t="s">
        <v>64</v>
      </c>
    </row>
    <row r="27" spans="1:22">
      <c r="A27" s="15" t="s">
        <v>235</v>
      </c>
      <c r="B27" s="15" t="s">
        <v>71</v>
      </c>
      <c r="C27" s="15" t="s">
        <v>92</v>
      </c>
      <c r="D27" s="15" t="s">
        <v>236</v>
      </c>
      <c r="E27" s="15" t="s">
        <v>237</v>
      </c>
      <c r="F27" s="15" t="s">
        <v>217</v>
      </c>
      <c r="G27" s="15" t="s">
        <v>76</v>
      </c>
      <c r="H27" s="15" t="s">
        <v>238</v>
      </c>
      <c r="I27" s="15" t="s">
        <v>138</v>
      </c>
      <c r="J27" s="15" t="s">
        <v>106</v>
      </c>
      <c r="K27" s="15" t="s">
        <v>32</v>
      </c>
      <c r="L27" s="15" t="s">
        <v>97</v>
      </c>
      <c r="M27" s="15">
        <v>12</v>
      </c>
      <c r="N27" s="15">
        <v>3500</v>
      </c>
      <c r="O27" s="15">
        <v>15</v>
      </c>
      <c r="P27" s="15">
        <v>35700</v>
      </c>
      <c r="Q27" s="15">
        <v>4</v>
      </c>
      <c r="R27" s="15" t="s">
        <v>34</v>
      </c>
      <c r="S27" s="15" t="s">
        <v>49</v>
      </c>
      <c r="T27" s="15" t="s">
        <v>80</v>
      </c>
      <c r="U27" s="17" t="s">
        <v>239</v>
      </c>
      <c r="V27" s="15" t="s">
        <v>69</v>
      </c>
    </row>
    <row r="28" spans="1:22">
      <c r="A28" s="18" t="s">
        <v>240</v>
      </c>
      <c r="B28" s="18" t="s">
        <v>23</v>
      </c>
      <c r="C28" s="18" t="s">
        <v>72</v>
      </c>
      <c r="D28" s="18" t="s">
        <v>241</v>
      </c>
      <c r="E28" s="18" t="s">
        <v>242</v>
      </c>
      <c r="F28" s="18" t="s">
        <v>27</v>
      </c>
      <c r="G28" s="18" t="s">
        <v>28</v>
      </c>
      <c r="H28" s="18" t="s">
        <v>243</v>
      </c>
      <c r="I28" s="18" t="s">
        <v>138</v>
      </c>
      <c r="J28" s="18" t="s">
        <v>106</v>
      </c>
      <c r="K28" s="18" t="s">
        <v>46</v>
      </c>
      <c r="L28" s="18" t="s">
        <v>78</v>
      </c>
      <c r="M28" s="18">
        <v>11</v>
      </c>
      <c r="N28" s="18">
        <v>1200</v>
      </c>
      <c r="O28" s="18">
        <v>0</v>
      </c>
      <c r="P28" s="18">
        <v>13200</v>
      </c>
      <c r="Q28" s="18">
        <v>2</v>
      </c>
      <c r="R28" s="18" t="s">
        <v>88</v>
      </c>
      <c r="S28" s="18" t="s">
        <v>151</v>
      </c>
      <c r="T28" s="18" t="s">
        <v>50</v>
      </c>
      <c r="U28" s="19" t="s">
        <v>244</v>
      </c>
      <c r="V28" s="18" t="s">
        <v>38</v>
      </c>
    </row>
    <row r="29" spans="1:22">
      <c r="A29" s="15" t="s">
        <v>245</v>
      </c>
      <c r="B29" s="15" t="s">
        <v>127</v>
      </c>
      <c r="C29" s="15" t="s">
        <v>169</v>
      </c>
      <c r="D29" s="15" t="s">
        <v>246</v>
      </c>
      <c r="E29" s="15" t="s">
        <v>247</v>
      </c>
      <c r="F29" s="15" t="s">
        <v>200</v>
      </c>
      <c r="G29" s="15" t="s">
        <v>76</v>
      </c>
      <c r="H29" s="15" t="s">
        <v>248</v>
      </c>
      <c r="I29" s="15" t="s">
        <v>114</v>
      </c>
      <c r="J29" s="15" t="s">
        <v>106</v>
      </c>
      <c r="K29" s="15" t="s">
        <v>32</v>
      </c>
      <c r="L29" s="15" t="s">
        <v>174</v>
      </c>
      <c r="M29" s="15">
        <v>6</v>
      </c>
      <c r="N29" s="15">
        <v>8500</v>
      </c>
      <c r="O29" s="15">
        <v>65</v>
      </c>
      <c r="P29" s="15">
        <v>51000</v>
      </c>
      <c r="Q29" s="15">
        <v>1</v>
      </c>
      <c r="R29" s="15" t="s">
        <v>79</v>
      </c>
      <c r="S29" s="15" t="s">
        <v>61</v>
      </c>
      <c r="T29" s="15" t="s">
        <v>132</v>
      </c>
      <c r="U29" s="17" t="s">
        <v>249</v>
      </c>
      <c r="V29" s="15" t="s">
        <v>38</v>
      </c>
    </row>
    <row r="30" spans="1:22">
      <c r="A30" s="18" t="s">
        <v>250</v>
      </c>
      <c r="B30" s="18" t="s">
        <v>251</v>
      </c>
      <c r="C30" s="18" t="s">
        <v>118</v>
      </c>
      <c r="D30" s="18" t="s">
        <v>252</v>
      </c>
      <c r="E30" s="18" t="s">
        <v>253</v>
      </c>
      <c r="F30" s="18" t="s">
        <v>254</v>
      </c>
      <c r="G30" s="18" t="s">
        <v>28</v>
      </c>
      <c r="H30" s="18" t="s">
        <v>255</v>
      </c>
      <c r="I30" s="18" t="s">
        <v>114</v>
      </c>
      <c r="J30" s="18" t="s">
        <v>106</v>
      </c>
      <c r="K30" s="18" t="s">
        <v>122</v>
      </c>
      <c r="L30" s="18" t="s">
        <v>123</v>
      </c>
      <c r="M30" s="18">
        <v>2</v>
      </c>
      <c r="N30" s="18">
        <v>60</v>
      </c>
      <c r="O30" s="18">
        <v>5</v>
      </c>
      <c r="P30" s="18">
        <v>114</v>
      </c>
      <c r="Q30" s="18">
        <v>3</v>
      </c>
      <c r="R30" s="18" t="s">
        <v>34</v>
      </c>
      <c r="S30" s="18" t="s">
        <v>151</v>
      </c>
      <c r="T30" s="18" t="s">
        <v>256</v>
      </c>
      <c r="U30" s="19" t="s">
        <v>257</v>
      </c>
      <c r="V30" s="18" t="s">
        <v>69</v>
      </c>
    </row>
    <row r="31" spans="1:22">
      <c r="A31" s="15" t="s">
        <v>258</v>
      </c>
      <c r="B31" s="15" t="s">
        <v>23</v>
      </c>
      <c r="C31" s="15" t="s">
        <v>259</v>
      </c>
      <c r="D31" s="15" t="s">
        <v>260</v>
      </c>
      <c r="E31" s="15" t="s">
        <v>261</v>
      </c>
      <c r="F31" s="15" t="s">
        <v>27</v>
      </c>
      <c r="G31" s="15" t="s">
        <v>28</v>
      </c>
      <c r="H31" s="15" t="s">
        <v>262</v>
      </c>
      <c r="I31" s="15" t="s">
        <v>59</v>
      </c>
      <c r="J31" s="15" t="s">
        <v>31</v>
      </c>
      <c r="K31" s="15" t="s">
        <v>122</v>
      </c>
      <c r="L31" s="15" t="s">
        <v>263</v>
      </c>
      <c r="M31" s="15">
        <v>19</v>
      </c>
      <c r="N31" s="15">
        <v>45</v>
      </c>
      <c r="O31" s="15">
        <v>20</v>
      </c>
      <c r="P31" s="15">
        <v>684</v>
      </c>
      <c r="Q31" s="15">
        <v>4</v>
      </c>
      <c r="R31" s="15" t="s">
        <v>48</v>
      </c>
      <c r="S31" s="15" t="s">
        <v>61</v>
      </c>
      <c r="T31" s="15" t="s">
        <v>50</v>
      </c>
      <c r="U31" s="17" t="s">
        <v>264</v>
      </c>
      <c r="V31" s="15" t="s">
        <v>69</v>
      </c>
    </row>
    <row r="32" spans="1:22">
      <c r="A32" s="18" t="s">
        <v>265</v>
      </c>
      <c r="B32" s="18" t="s">
        <v>100</v>
      </c>
      <c r="C32" s="18" t="s">
        <v>40</v>
      </c>
      <c r="D32" s="18" t="s">
        <v>266</v>
      </c>
      <c r="E32" s="18" t="s">
        <v>267</v>
      </c>
      <c r="F32" s="18" t="s">
        <v>103</v>
      </c>
      <c r="G32" s="18" t="s">
        <v>28</v>
      </c>
      <c r="H32" s="18" t="s">
        <v>269</v>
      </c>
      <c r="I32" s="18" t="s">
        <v>138</v>
      </c>
      <c r="J32" s="18" t="s">
        <v>106</v>
      </c>
      <c r="K32" s="18" t="s">
        <v>46</v>
      </c>
      <c r="L32" s="18" t="s">
        <v>47</v>
      </c>
      <c r="M32" s="18">
        <v>11</v>
      </c>
      <c r="N32" s="18">
        <v>12000</v>
      </c>
      <c r="O32" s="18">
        <v>0</v>
      </c>
      <c r="P32" s="18">
        <v>132000</v>
      </c>
      <c r="Q32" s="18">
        <v>3</v>
      </c>
      <c r="R32" s="18" t="s">
        <v>88</v>
      </c>
      <c r="S32" s="18" t="s">
        <v>35</v>
      </c>
      <c r="T32" s="18" t="s">
        <v>144</v>
      </c>
      <c r="U32" s="19" t="s">
        <v>270</v>
      </c>
      <c r="V32" s="18" t="s">
        <v>64</v>
      </c>
    </row>
    <row r="33" spans="1:22">
      <c r="A33" s="15" t="s">
        <v>271</v>
      </c>
      <c r="B33" s="15" t="s">
        <v>251</v>
      </c>
      <c r="C33" s="15" t="s">
        <v>24</v>
      </c>
      <c r="D33" s="15" t="s">
        <v>272</v>
      </c>
      <c r="E33" s="15" t="s">
        <v>136</v>
      </c>
      <c r="F33" s="15" t="s">
        <v>254</v>
      </c>
      <c r="G33" s="15" t="s">
        <v>28</v>
      </c>
      <c r="H33" s="15" t="s">
        <v>273</v>
      </c>
      <c r="I33" s="15" t="s">
        <v>59</v>
      </c>
      <c r="J33" s="15" t="s">
        <v>31</v>
      </c>
      <c r="K33" s="15" t="s">
        <v>32</v>
      </c>
      <c r="L33" s="15" t="s">
        <v>33</v>
      </c>
      <c r="M33" s="15">
        <v>20</v>
      </c>
      <c r="N33" s="15">
        <v>2200</v>
      </c>
      <c r="O33" s="15">
        <v>5</v>
      </c>
      <c r="P33" s="15">
        <v>41800</v>
      </c>
      <c r="Q33" s="15">
        <v>1</v>
      </c>
      <c r="R33" s="15" t="s">
        <v>34</v>
      </c>
      <c r="S33" s="15" t="s">
        <v>49</v>
      </c>
      <c r="T33" s="15" t="s">
        <v>256</v>
      </c>
      <c r="U33" s="17" t="s">
        <v>274</v>
      </c>
      <c r="V33" s="15" t="s">
        <v>64</v>
      </c>
    </row>
    <row r="34" spans="1:22">
      <c r="A34" s="18" t="s">
        <v>275</v>
      </c>
      <c r="B34" s="18" t="s">
        <v>83</v>
      </c>
      <c r="C34" s="18" t="s">
        <v>222</v>
      </c>
      <c r="D34" s="18" t="s">
        <v>231</v>
      </c>
      <c r="E34" s="18" t="s">
        <v>276</v>
      </c>
      <c r="F34" s="18" t="s">
        <v>180</v>
      </c>
      <c r="G34" s="18" t="s">
        <v>76</v>
      </c>
      <c r="H34" s="18" t="s">
        <v>277</v>
      </c>
      <c r="I34" s="18" t="s">
        <v>138</v>
      </c>
      <c r="J34" s="18" t="s">
        <v>106</v>
      </c>
      <c r="K34" s="18" t="s">
        <v>122</v>
      </c>
      <c r="L34" s="18" t="s">
        <v>227</v>
      </c>
      <c r="M34" s="18">
        <v>3</v>
      </c>
      <c r="N34" s="18">
        <v>20</v>
      </c>
      <c r="O34" s="18">
        <v>0</v>
      </c>
      <c r="P34" s="18">
        <v>60</v>
      </c>
      <c r="Q34" s="18">
        <v>2</v>
      </c>
      <c r="R34" s="18" t="s">
        <v>79</v>
      </c>
      <c r="S34" s="18" t="s">
        <v>35</v>
      </c>
      <c r="T34" s="18" t="s">
        <v>278</v>
      </c>
      <c r="U34" s="19" t="s">
        <v>279</v>
      </c>
      <c r="V34" s="18" t="s">
        <v>69</v>
      </c>
    </row>
    <row r="35" spans="1:22">
      <c r="A35" s="15" t="s">
        <v>280</v>
      </c>
      <c r="B35" s="15" t="s">
        <v>127</v>
      </c>
      <c r="C35" s="15" t="s">
        <v>259</v>
      </c>
      <c r="D35" s="15" t="s">
        <v>281</v>
      </c>
      <c r="E35" s="15" t="s">
        <v>282</v>
      </c>
      <c r="F35" s="15" t="s">
        <v>200</v>
      </c>
      <c r="G35" s="15" t="s">
        <v>76</v>
      </c>
      <c r="H35" s="15" t="s">
        <v>283</v>
      </c>
      <c r="I35" s="15" t="s">
        <v>114</v>
      </c>
      <c r="J35" s="15" t="s">
        <v>106</v>
      </c>
      <c r="K35" s="15" t="s">
        <v>122</v>
      </c>
      <c r="L35" s="15" t="s">
        <v>263</v>
      </c>
      <c r="M35" s="15">
        <v>18</v>
      </c>
      <c r="N35" s="15">
        <v>45</v>
      </c>
      <c r="O35" s="15">
        <v>20</v>
      </c>
      <c r="P35" s="15">
        <v>648</v>
      </c>
      <c r="Q35" s="15">
        <v>4</v>
      </c>
      <c r="R35" s="15" t="s">
        <v>48</v>
      </c>
      <c r="S35" s="15" t="s">
        <v>35</v>
      </c>
      <c r="T35" s="15" t="s">
        <v>132</v>
      </c>
      <c r="U35" s="17" t="s">
        <v>284</v>
      </c>
      <c r="V35" s="15" t="s">
        <v>69</v>
      </c>
    </row>
    <row r="36" spans="1:22">
      <c r="A36" s="18" t="s">
        <v>285</v>
      </c>
      <c r="B36" s="18" t="s">
        <v>127</v>
      </c>
      <c r="C36" s="18" t="s">
        <v>72</v>
      </c>
      <c r="D36" s="18" t="s">
        <v>286</v>
      </c>
      <c r="E36" s="18" t="s">
        <v>287</v>
      </c>
      <c r="F36" s="18" t="s">
        <v>200</v>
      </c>
      <c r="G36" s="18" t="s">
        <v>76</v>
      </c>
      <c r="H36" s="18" t="s">
        <v>288</v>
      </c>
      <c r="I36" s="18" t="s">
        <v>59</v>
      </c>
      <c r="J36" s="18" t="s">
        <v>31</v>
      </c>
      <c r="K36" s="18" t="s">
        <v>46</v>
      </c>
      <c r="L36" s="18" t="s">
        <v>78</v>
      </c>
      <c r="M36" s="18">
        <v>4</v>
      </c>
      <c r="N36" s="18">
        <v>1200</v>
      </c>
      <c r="O36" s="18">
        <v>20</v>
      </c>
      <c r="P36" s="18">
        <v>3840</v>
      </c>
      <c r="Q36" s="18">
        <v>3</v>
      </c>
      <c r="R36" s="18" t="s">
        <v>48</v>
      </c>
      <c r="S36" s="18" t="s">
        <v>61</v>
      </c>
      <c r="T36" s="18" t="s">
        <v>132</v>
      </c>
      <c r="U36" s="19" t="s">
        <v>289</v>
      </c>
      <c r="V36" s="18" t="s">
        <v>38</v>
      </c>
    </row>
    <row r="37" spans="1:22">
      <c r="A37" s="15" t="s">
        <v>290</v>
      </c>
      <c r="B37" s="15" t="s">
        <v>71</v>
      </c>
      <c r="C37" s="15" t="s">
        <v>54</v>
      </c>
      <c r="D37" s="15" t="s">
        <v>291</v>
      </c>
      <c r="E37" s="15" t="s">
        <v>292</v>
      </c>
      <c r="F37" s="15" t="s">
        <v>217</v>
      </c>
      <c r="G37" s="15" t="s">
        <v>76</v>
      </c>
      <c r="H37" s="15" t="s">
        <v>293</v>
      </c>
      <c r="I37" s="15" t="s">
        <v>294</v>
      </c>
      <c r="J37" s="15" t="s">
        <v>295</v>
      </c>
      <c r="K37" s="15" t="s">
        <v>46</v>
      </c>
      <c r="L37" s="15" t="s">
        <v>60</v>
      </c>
      <c r="M37" s="15">
        <v>10</v>
      </c>
      <c r="N37" s="15">
        <v>55000</v>
      </c>
      <c r="O37" s="15">
        <v>0</v>
      </c>
      <c r="P37" s="15">
        <v>550000</v>
      </c>
      <c r="Q37" s="15">
        <v>1</v>
      </c>
      <c r="R37" s="15" t="s">
        <v>88</v>
      </c>
      <c r="S37" s="15" t="s">
        <v>49</v>
      </c>
      <c r="T37" s="15" t="s">
        <v>80</v>
      </c>
      <c r="U37" s="17" t="s">
        <v>296</v>
      </c>
      <c r="V37" s="15" t="s">
        <v>69</v>
      </c>
    </row>
    <row r="38" spans="1:22">
      <c r="A38" s="18" t="s">
        <v>297</v>
      </c>
      <c r="B38" s="18" t="s">
        <v>251</v>
      </c>
      <c r="C38" s="18" t="s">
        <v>92</v>
      </c>
      <c r="D38" s="18" t="s">
        <v>298</v>
      </c>
      <c r="E38" s="18" t="s">
        <v>242</v>
      </c>
      <c r="F38" s="18" t="s">
        <v>254</v>
      </c>
      <c r="G38" s="18" t="s">
        <v>28</v>
      </c>
      <c r="H38" s="18" t="s">
        <v>299</v>
      </c>
      <c r="I38" s="18" t="s">
        <v>44</v>
      </c>
      <c r="J38" s="18" t="s">
        <v>45</v>
      </c>
      <c r="K38" s="18" t="s">
        <v>32</v>
      </c>
      <c r="L38" s="18" t="s">
        <v>97</v>
      </c>
      <c r="M38" s="18">
        <v>20</v>
      </c>
      <c r="N38" s="18">
        <v>3500</v>
      </c>
      <c r="O38" s="18">
        <v>10</v>
      </c>
      <c r="P38" s="18">
        <v>63000</v>
      </c>
      <c r="Q38" s="18">
        <v>3</v>
      </c>
      <c r="R38" s="18" t="s">
        <v>79</v>
      </c>
      <c r="S38" s="18" t="s">
        <v>49</v>
      </c>
      <c r="T38" s="18" t="s">
        <v>256</v>
      </c>
      <c r="U38" s="19" t="s">
        <v>300</v>
      </c>
      <c r="V38" s="18" t="s">
        <v>69</v>
      </c>
    </row>
    <row r="39" spans="1:22">
      <c r="A39" s="15" t="s">
        <v>301</v>
      </c>
      <c r="B39" s="15" t="s">
        <v>23</v>
      </c>
      <c r="C39" s="15" t="s">
        <v>222</v>
      </c>
      <c r="D39" s="15" t="s">
        <v>302</v>
      </c>
      <c r="E39" s="15" t="s">
        <v>303</v>
      </c>
      <c r="F39" s="15" t="s">
        <v>27</v>
      </c>
      <c r="G39" s="15" t="s">
        <v>28</v>
      </c>
      <c r="H39" s="15" t="s">
        <v>304</v>
      </c>
      <c r="I39" s="15" t="s">
        <v>114</v>
      </c>
      <c r="J39" s="15" t="s">
        <v>106</v>
      </c>
      <c r="K39" s="15" t="s">
        <v>122</v>
      </c>
      <c r="L39" s="15" t="s">
        <v>227</v>
      </c>
      <c r="M39" s="15">
        <v>5</v>
      </c>
      <c r="N39" s="15" t="s">
        <v>305</v>
      </c>
      <c r="O39" s="15">
        <v>0</v>
      </c>
      <c r="P39" s="15">
        <v>100</v>
      </c>
      <c r="Q39" s="15">
        <v>1</v>
      </c>
      <c r="R39" s="15" t="s">
        <v>34</v>
      </c>
      <c r="S39" s="15" t="s">
        <v>49</v>
      </c>
      <c r="T39" s="15" t="s">
        <v>50</v>
      </c>
      <c r="U39" s="17" t="s">
        <v>306</v>
      </c>
      <c r="V39" s="15" t="s">
        <v>69</v>
      </c>
    </row>
    <row r="40" spans="1:22">
      <c r="A40" s="18" t="s">
        <v>307</v>
      </c>
      <c r="B40" s="18" t="s">
        <v>53</v>
      </c>
      <c r="C40" s="18" t="s">
        <v>169</v>
      </c>
      <c r="D40" s="18" t="s">
        <v>308</v>
      </c>
      <c r="E40" s="18" t="s">
        <v>309</v>
      </c>
      <c r="F40" s="18" t="s">
        <v>163</v>
      </c>
      <c r="G40" s="18" t="s">
        <v>28</v>
      </c>
      <c r="H40" s="18" t="s">
        <v>310</v>
      </c>
      <c r="I40" s="18" t="s">
        <v>105</v>
      </c>
      <c r="J40" s="18" t="s">
        <v>106</v>
      </c>
      <c r="K40" s="18" t="s">
        <v>32</v>
      </c>
      <c r="L40" s="18" t="s">
        <v>174</v>
      </c>
      <c r="M40" s="18">
        <v>20</v>
      </c>
      <c r="N40" s="18">
        <v>8500</v>
      </c>
      <c r="O40" s="18">
        <v>0</v>
      </c>
      <c r="P40" s="18">
        <v>170000</v>
      </c>
      <c r="Q40" s="18">
        <v>1</v>
      </c>
      <c r="R40" s="18" t="s">
        <v>88</v>
      </c>
      <c r="S40" s="18" t="s">
        <v>115</v>
      </c>
      <c r="T40" s="18" t="s">
        <v>62</v>
      </c>
      <c r="U40" s="19" t="s">
        <v>311</v>
      </c>
      <c r="V40" s="18" t="s">
        <v>69</v>
      </c>
    </row>
    <row r="41" spans="1:22">
      <c r="A41" s="15" t="s">
        <v>312</v>
      </c>
      <c r="B41" s="15" t="s">
        <v>83</v>
      </c>
      <c r="C41" s="15" t="s">
        <v>118</v>
      </c>
      <c r="D41" s="15" t="s">
        <v>313</v>
      </c>
      <c r="E41" s="15" t="s">
        <v>314</v>
      </c>
      <c r="F41" s="15" t="s">
        <v>180</v>
      </c>
      <c r="G41" s="15" t="s">
        <v>76</v>
      </c>
      <c r="H41" s="15" t="s">
        <v>315</v>
      </c>
      <c r="I41" s="15" t="s">
        <v>59</v>
      </c>
      <c r="J41" s="15" t="s">
        <v>31</v>
      </c>
      <c r="K41" s="15" t="s">
        <v>122</v>
      </c>
      <c r="L41" s="15" t="s">
        <v>123</v>
      </c>
      <c r="M41" s="15">
        <v>8</v>
      </c>
      <c r="N41" s="15">
        <v>60</v>
      </c>
      <c r="O41" s="15">
        <v>15</v>
      </c>
      <c r="P41" s="15">
        <v>408</v>
      </c>
      <c r="Q41" s="15">
        <v>5</v>
      </c>
      <c r="R41" s="15" t="s">
        <v>88</v>
      </c>
      <c r="S41" s="15" t="s">
        <v>49</v>
      </c>
      <c r="T41" s="15" t="s">
        <v>89</v>
      </c>
      <c r="U41" s="17" t="s">
        <v>316</v>
      </c>
      <c r="V41" s="15" t="s">
        <v>64</v>
      </c>
    </row>
    <row r="42" spans="1:22">
      <c r="A42" s="18" t="s">
        <v>317</v>
      </c>
      <c r="B42" s="18" t="s">
        <v>53</v>
      </c>
      <c r="C42" s="18" t="s">
        <v>92</v>
      </c>
      <c r="D42" s="18" t="s">
        <v>318</v>
      </c>
      <c r="E42" s="18" t="s">
        <v>260</v>
      </c>
      <c r="F42" s="18" t="s">
        <v>163</v>
      </c>
      <c r="G42" s="18" t="s">
        <v>28</v>
      </c>
      <c r="H42" s="18" t="s">
        <v>319</v>
      </c>
      <c r="I42" s="18" t="s">
        <v>114</v>
      </c>
      <c r="J42" s="18" t="s">
        <v>106</v>
      </c>
      <c r="K42" s="18" t="s">
        <v>32</v>
      </c>
      <c r="L42" s="18" t="s">
        <v>97</v>
      </c>
      <c r="M42" s="18">
        <v>8</v>
      </c>
      <c r="N42" s="18">
        <v>3500</v>
      </c>
      <c r="O42" s="18">
        <v>5</v>
      </c>
      <c r="P42" s="18">
        <v>26600</v>
      </c>
      <c r="Q42" s="18">
        <v>1</v>
      </c>
      <c r="R42" s="18" t="s">
        <v>79</v>
      </c>
      <c r="S42" s="18" t="s">
        <v>115</v>
      </c>
      <c r="T42" s="18" t="s">
        <v>62</v>
      </c>
      <c r="U42" s="19" t="s">
        <v>320</v>
      </c>
      <c r="V42" s="18" t="s">
        <v>64</v>
      </c>
    </row>
    <row r="43" spans="1:22">
      <c r="A43" s="15" t="s">
        <v>321</v>
      </c>
      <c r="B43" s="15" t="s">
        <v>71</v>
      </c>
      <c r="C43" s="15" t="s">
        <v>169</v>
      </c>
      <c r="D43" s="15" t="s">
        <v>322</v>
      </c>
      <c r="E43" s="15" t="s">
        <v>323</v>
      </c>
      <c r="F43" s="15" t="s">
        <v>217</v>
      </c>
      <c r="G43" s="15" t="s">
        <v>76</v>
      </c>
      <c r="H43" s="15" t="s">
        <v>324</v>
      </c>
      <c r="I43" s="15" t="s">
        <v>212</v>
      </c>
      <c r="J43" s="15" t="s">
        <v>45</v>
      </c>
      <c r="K43" s="15" t="s">
        <v>32</v>
      </c>
      <c r="L43" s="15" t="s">
        <v>174</v>
      </c>
      <c r="M43" s="15">
        <v>1</v>
      </c>
      <c r="N43" s="15">
        <v>8500</v>
      </c>
      <c r="O43" s="15">
        <v>0</v>
      </c>
      <c r="P43" s="15">
        <v>8500</v>
      </c>
      <c r="Q43" s="15">
        <v>2</v>
      </c>
      <c r="R43" s="15" t="s">
        <v>79</v>
      </c>
      <c r="S43" s="15" t="s">
        <v>115</v>
      </c>
      <c r="T43" s="15" t="s">
        <v>80</v>
      </c>
      <c r="U43" s="17" t="s">
        <v>325</v>
      </c>
      <c r="V43" s="15" t="s">
        <v>64</v>
      </c>
    </row>
    <row r="44" spans="1:22">
      <c r="A44" s="18" t="s">
        <v>326</v>
      </c>
      <c r="B44" s="18" t="s">
        <v>327</v>
      </c>
      <c r="C44" s="18" t="s">
        <v>259</v>
      </c>
      <c r="D44" s="18" t="s">
        <v>328</v>
      </c>
      <c r="E44" s="18" t="s">
        <v>329</v>
      </c>
      <c r="F44" s="18" t="s">
        <v>394</v>
      </c>
      <c r="G44" s="18" t="s">
        <v>76</v>
      </c>
      <c r="H44" s="18" t="s">
        <v>331</v>
      </c>
      <c r="I44" s="18" t="s">
        <v>114</v>
      </c>
      <c r="J44" s="18" t="s">
        <v>106</v>
      </c>
      <c r="K44" s="18" t="s">
        <v>122</v>
      </c>
      <c r="L44" s="18" t="s">
        <v>263</v>
      </c>
      <c r="M44" s="18">
        <v>8</v>
      </c>
      <c r="N44" s="18">
        <v>45</v>
      </c>
      <c r="O44" s="18">
        <v>15</v>
      </c>
      <c r="P44" s="18">
        <v>306</v>
      </c>
      <c r="Q44" s="18">
        <v>2</v>
      </c>
      <c r="R44" s="18" t="s">
        <v>79</v>
      </c>
      <c r="S44" s="18" t="s">
        <v>61</v>
      </c>
      <c r="T44" s="18" t="s">
        <v>332</v>
      </c>
      <c r="U44" s="19" t="s">
        <v>333</v>
      </c>
      <c r="V44" s="18" t="s">
        <v>38</v>
      </c>
    </row>
    <row r="45" spans="1:22">
      <c r="A45" s="15" t="s">
        <v>334</v>
      </c>
      <c r="B45" s="15" t="s">
        <v>251</v>
      </c>
      <c r="C45" s="15" t="s">
        <v>24</v>
      </c>
      <c r="D45" s="15" t="s">
        <v>335</v>
      </c>
      <c r="E45" s="15" t="s">
        <v>336</v>
      </c>
      <c r="F45" s="15" t="s">
        <v>254</v>
      </c>
      <c r="G45" s="15" t="s">
        <v>28</v>
      </c>
      <c r="H45" s="15" t="s">
        <v>337</v>
      </c>
      <c r="I45" s="15" t="s">
        <v>114</v>
      </c>
      <c r="J45" s="15" t="s">
        <v>106</v>
      </c>
      <c r="K45" s="15" t="s">
        <v>32</v>
      </c>
      <c r="L45" s="15" t="s">
        <v>33</v>
      </c>
      <c r="M45" s="15">
        <v>16</v>
      </c>
      <c r="N45" s="15">
        <v>2200</v>
      </c>
      <c r="O45" s="15">
        <v>5</v>
      </c>
      <c r="P45" s="15">
        <v>33440</v>
      </c>
      <c r="Q45" s="15">
        <v>5</v>
      </c>
      <c r="R45" s="15" t="s">
        <v>79</v>
      </c>
      <c r="S45" s="15" t="s">
        <v>61</v>
      </c>
      <c r="T45" s="15" t="s">
        <v>256</v>
      </c>
      <c r="U45" s="17" t="s">
        <v>338</v>
      </c>
      <c r="V45" s="15" t="s">
        <v>69</v>
      </c>
    </row>
    <row r="46" spans="1:22">
      <c r="A46" s="18" t="s">
        <v>339</v>
      </c>
      <c r="B46" s="18" t="s">
        <v>71</v>
      </c>
      <c r="C46" s="18" t="s">
        <v>92</v>
      </c>
      <c r="D46" s="18" t="s">
        <v>340</v>
      </c>
      <c r="E46" s="18" t="s">
        <v>341</v>
      </c>
      <c r="F46" s="18" t="s">
        <v>217</v>
      </c>
      <c r="G46" s="18" t="s">
        <v>76</v>
      </c>
      <c r="H46" s="18" t="s">
        <v>342</v>
      </c>
      <c r="I46" s="18" t="s">
        <v>59</v>
      </c>
      <c r="J46" s="18" t="s">
        <v>31</v>
      </c>
      <c r="K46" s="18" t="s">
        <v>32</v>
      </c>
      <c r="L46" s="18" t="s">
        <v>97</v>
      </c>
      <c r="M46" s="18">
        <v>19</v>
      </c>
      <c r="N46" s="18">
        <v>3500</v>
      </c>
      <c r="O46" s="18">
        <v>20</v>
      </c>
      <c r="P46" s="18">
        <v>53200</v>
      </c>
      <c r="Q46" s="18">
        <v>3</v>
      </c>
      <c r="R46" s="18" t="s">
        <v>34</v>
      </c>
      <c r="S46" s="18" t="s">
        <v>151</v>
      </c>
      <c r="T46" s="18" t="s">
        <v>80</v>
      </c>
      <c r="U46" s="19" t="s">
        <v>343</v>
      </c>
      <c r="V46" s="18" t="s">
        <v>69</v>
      </c>
    </row>
    <row r="47" spans="1:22">
      <c r="A47" s="15" t="s">
        <v>344</v>
      </c>
      <c r="B47" s="15" t="s">
        <v>251</v>
      </c>
      <c r="C47" s="15" t="s">
        <v>184</v>
      </c>
      <c r="D47" s="15" t="s">
        <v>345</v>
      </c>
      <c r="E47" s="15" t="s">
        <v>346</v>
      </c>
      <c r="F47" s="15" t="s">
        <v>254</v>
      </c>
      <c r="G47" s="15" t="s">
        <v>28</v>
      </c>
      <c r="H47" s="15" t="s">
        <v>347</v>
      </c>
      <c r="I47" s="15" t="s">
        <v>114</v>
      </c>
      <c r="J47" s="15" t="s">
        <v>106</v>
      </c>
      <c r="K47" s="15" t="s">
        <v>46</v>
      </c>
      <c r="L47" s="15" t="s">
        <v>189</v>
      </c>
      <c r="M47" s="15">
        <v>15</v>
      </c>
      <c r="N47" s="15">
        <v>700</v>
      </c>
      <c r="O47" s="15">
        <v>15</v>
      </c>
      <c r="P47" s="15">
        <v>8925</v>
      </c>
      <c r="Q47" s="15">
        <v>4</v>
      </c>
      <c r="R47" s="15" t="s">
        <v>88</v>
      </c>
      <c r="S47" s="15" t="s">
        <v>115</v>
      </c>
      <c r="T47" s="15" t="s">
        <v>348</v>
      </c>
      <c r="U47" s="17" t="s">
        <v>349</v>
      </c>
      <c r="V47" s="15" t="s">
        <v>38</v>
      </c>
    </row>
    <row r="48" spans="1:22">
      <c r="A48" s="18" t="s">
        <v>350</v>
      </c>
      <c r="B48" s="18" t="s">
        <v>251</v>
      </c>
      <c r="C48" s="18" t="s">
        <v>184</v>
      </c>
      <c r="D48" s="18" t="s">
        <v>351</v>
      </c>
      <c r="E48" s="18" t="s">
        <v>352</v>
      </c>
      <c r="F48" s="18" t="s">
        <v>254</v>
      </c>
      <c r="G48" s="18" t="s">
        <v>28</v>
      </c>
      <c r="H48" s="18" t="s">
        <v>353</v>
      </c>
      <c r="I48" s="18" t="s">
        <v>212</v>
      </c>
      <c r="J48" s="18" t="s">
        <v>45</v>
      </c>
      <c r="K48" s="18" t="s">
        <v>46</v>
      </c>
      <c r="L48" s="18" t="s">
        <v>189</v>
      </c>
      <c r="M48" s="18">
        <v>19</v>
      </c>
      <c r="N48" s="18">
        <v>700</v>
      </c>
      <c r="O48" s="18">
        <v>20</v>
      </c>
      <c r="P48" s="18">
        <v>10640</v>
      </c>
      <c r="Q48" s="18">
        <v>1</v>
      </c>
      <c r="R48" s="18" t="s">
        <v>34</v>
      </c>
      <c r="S48" s="18" t="s">
        <v>115</v>
      </c>
      <c r="T48" s="18" t="s">
        <v>256</v>
      </c>
      <c r="U48" s="19" t="s">
        <v>354</v>
      </c>
      <c r="V48" s="18" t="s">
        <v>38</v>
      </c>
    </row>
    <row r="49" spans="1:22">
      <c r="A49" s="15" t="s">
        <v>355</v>
      </c>
      <c r="B49" s="15" t="s">
        <v>71</v>
      </c>
      <c r="C49" s="15" t="s">
        <v>40</v>
      </c>
      <c r="D49" s="15" t="s">
        <v>356</v>
      </c>
      <c r="E49" s="15" t="s">
        <v>64</v>
      </c>
      <c r="F49" s="15" t="s">
        <v>217</v>
      </c>
      <c r="G49" s="15" t="s">
        <v>76</v>
      </c>
      <c r="H49" s="15" t="s">
        <v>357</v>
      </c>
      <c r="I49" s="15" t="s">
        <v>44</v>
      </c>
      <c r="J49" s="15" t="s">
        <v>45</v>
      </c>
      <c r="K49" s="15" t="s">
        <v>46</v>
      </c>
      <c r="L49" s="15" t="s">
        <v>47</v>
      </c>
      <c r="M49" s="15">
        <v>19</v>
      </c>
      <c r="N49" s="15">
        <v>12000</v>
      </c>
      <c r="O49" s="15">
        <v>0</v>
      </c>
      <c r="P49" s="15">
        <v>228000</v>
      </c>
      <c r="Q49" s="15">
        <v>1</v>
      </c>
      <c r="R49" s="15" t="s">
        <v>48</v>
      </c>
      <c r="S49" s="15" t="s">
        <v>61</v>
      </c>
      <c r="T49" s="15" t="s">
        <v>80</v>
      </c>
      <c r="U49" s="17" t="s">
        <v>358</v>
      </c>
      <c r="V49" s="15" t="s">
        <v>38</v>
      </c>
    </row>
    <row r="50" spans="1:22">
      <c r="A50" s="18" t="s">
        <v>359</v>
      </c>
      <c r="B50" s="18" t="s">
        <v>168</v>
      </c>
      <c r="C50" s="18" t="s">
        <v>72</v>
      </c>
      <c r="D50" s="18" t="s">
        <v>356</v>
      </c>
      <c r="E50" s="18" t="s">
        <v>360</v>
      </c>
      <c r="F50" s="18" t="s">
        <v>361</v>
      </c>
      <c r="G50" s="18" t="s">
        <v>28</v>
      </c>
      <c r="H50" s="18" t="s">
        <v>362</v>
      </c>
      <c r="I50" s="18" t="s">
        <v>114</v>
      </c>
      <c r="J50" s="18" t="s">
        <v>106</v>
      </c>
      <c r="K50" s="18" t="s">
        <v>46</v>
      </c>
      <c r="L50" s="18" t="s">
        <v>78</v>
      </c>
      <c r="M50" s="18">
        <v>6</v>
      </c>
      <c r="N50" s="18">
        <v>1200</v>
      </c>
      <c r="O50" s="18">
        <v>5</v>
      </c>
      <c r="P50" s="18">
        <v>6840</v>
      </c>
      <c r="Q50" s="18">
        <v>2</v>
      </c>
      <c r="R50" s="18" t="s">
        <v>34</v>
      </c>
      <c r="S50" s="18" t="s">
        <v>35</v>
      </c>
      <c r="T50" s="18" t="s">
        <v>175</v>
      </c>
      <c r="U50" s="19" t="s">
        <v>363</v>
      </c>
      <c r="V50" s="18" t="s">
        <v>64</v>
      </c>
    </row>
    <row r="51" spans="1:22">
      <c r="A51" s="15" t="s">
        <v>364</v>
      </c>
      <c r="B51" s="15" t="s">
        <v>53</v>
      </c>
      <c r="C51" s="15" t="s">
        <v>24</v>
      </c>
      <c r="D51" s="15" t="s">
        <v>365</v>
      </c>
      <c r="E51" s="15" t="s">
        <v>366</v>
      </c>
      <c r="F51" s="15" t="s">
        <v>163</v>
      </c>
      <c r="G51" s="15" t="s">
        <v>28</v>
      </c>
      <c r="H51" s="15" t="s">
        <v>368</v>
      </c>
      <c r="I51" s="15" t="s">
        <v>59</v>
      </c>
      <c r="J51" s="15" t="s">
        <v>31</v>
      </c>
      <c r="K51" s="15" t="s">
        <v>32</v>
      </c>
      <c r="L51" s="15" t="s">
        <v>33</v>
      </c>
      <c r="M51" s="15">
        <v>7</v>
      </c>
      <c r="N51" s="15">
        <v>2200</v>
      </c>
      <c r="O51" s="15">
        <v>15</v>
      </c>
      <c r="P51" s="15">
        <v>13090</v>
      </c>
      <c r="Q51" s="15">
        <v>1</v>
      </c>
      <c r="R51" s="15" t="s">
        <v>88</v>
      </c>
      <c r="S51" s="15" t="s">
        <v>61</v>
      </c>
      <c r="T51" s="15" t="s">
        <v>62</v>
      </c>
      <c r="U51" s="17" t="s">
        <v>369</v>
      </c>
      <c r="V51" s="15" t="s">
        <v>38</v>
      </c>
    </row>
    <row r="52" spans="1:22">
      <c r="A52" s="18" t="s">
        <v>370</v>
      </c>
      <c r="B52" s="18" t="s">
        <v>100</v>
      </c>
      <c r="C52" s="18" t="s">
        <v>118</v>
      </c>
      <c r="D52" s="18" t="s">
        <v>371</v>
      </c>
      <c r="E52" s="18" t="s">
        <v>372</v>
      </c>
      <c r="F52" s="18" t="s">
        <v>103</v>
      </c>
      <c r="G52" s="18" t="s">
        <v>28</v>
      </c>
      <c r="H52" s="18" t="s">
        <v>373</v>
      </c>
      <c r="I52" s="18" t="s">
        <v>212</v>
      </c>
      <c r="J52" s="18" t="s">
        <v>45</v>
      </c>
      <c r="K52" s="18" t="s">
        <v>122</v>
      </c>
      <c r="L52" s="18" t="s">
        <v>123</v>
      </c>
      <c r="M52" s="18">
        <v>8</v>
      </c>
      <c r="N52" s="18">
        <v>60</v>
      </c>
      <c r="O52" s="18">
        <v>10</v>
      </c>
      <c r="P52" s="18">
        <v>432</v>
      </c>
      <c r="Q52" s="18">
        <v>5</v>
      </c>
      <c r="R52" s="18" t="s">
        <v>79</v>
      </c>
      <c r="S52" s="18" t="s">
        <v>61</v>
      </c>
      <c r="T52" s="18" t="s">
        <v>144</v>
      </c>
      <c r="U52" s="19" t="s">
        <v>374</v>
      </c>
      <c r="V52" s="18" t="s">
        <v>69</v>
      </c>
    </row>
    <row r="53" spans="1:22">
      <c r="A53" s="15" t="s">
        <v>375</v>
      </c>
      <c r="B53" s="15" t="s">
        <v>221</v>
      </c>
      <c r="C53" s="15" t="s">
        <v>54</v>
      </c>
      <c r="D53" s="15" t="s">
        <v>376</v>
      </c>
      <c r="E53" s="15" t="s">
        <v>377</v>
      </c>
      <c r="F53" s="15" t="s">
        <v>225</v>
      </c>
      <c r="G53" s="15" t="s">
        <v>76</v>
      </c>
      <c r="H53" s="15" t="s">
        <v>378</v>
      </c>
      <c r="I53" s="15" t="s">
        <v>294</v>
      </c>
      <c r="J53" s="15" t="s">
        <v>295</v>
      </c>
      <c r="K53" s="15" t="s">
        <v>46</v>
      </c>
      <c r="L53" s="15" t="s">
        <v>60</v>
      </c>
      <c r="M53" s="15">
        <v>12</v>
      </c>
      <c r="N53" s="15">
        <v>55000</v>
      </c>
      <c r="O53" s="15">
        <v>5</v>
      </c>
      <c r="P53" s="15">
        <v>627000</v>
      </c>
      <c r="Q53" s="15">
        <v>2</v>
      </c>
      <c r="R53" s="15" t="s">
        <v>88</v>
      </c>
      <c r="S53" s="15" t="s">
        <v>49</v>
      </c>
      <c r="T53" s="15" t="s">
        <v>228</v>
      </c>
      <c r="U53" s="17" t="s">
        <v>379</v>
      </c>
      <c r="V53" s="15" t="s">
        <v>64</v>
      </c>
    </row>
    <row r="54" spans="1:22">
      <c r="A54" s="18" t="s">
        <v>380</v>
      </c>
      <c r="B54" s="18" t="s">
        <v>23</v>
      </c>
      <c r="C54" s="18" t="s">
        <v>184</v>
      </c>
      <c r="D54" s="18" t="s">
        <v>381</v>
      </c>
      <c r="E54" s="18" t="s">
        <v>382</v>
      </c>
      <c r="F54" s="18" t="s">
        <v>27</v>
      </c>
      <c r="G54" s="18" t="s">
        <v>28</v>
      </c>
      <c r="H54" s="18" t="s">
        <v>383</v>
      </c>
      <c r="I54" s="18" t="s">
        <v>212</v>
      </c>
      <c r="J54" s="18" t="s">
        <v>45</v>
      </c>
      <c r="K54" s="18" t="s">
        <v>46</v>
      </c>
      <c r="L54" s="18" t="s">
        <v>189</v>
      </c>
      <c r="M54" s="18">
        <v>3</v>
      </c>
      <c r="N54" s="18">
        <v>700</v>
      </c>
      <c r="O54" s="18">
        <v>0</v>
      </c>
      <c r="P54" s="18">
        <v>2100</v>
      </c>
      <c r="Q54" s="18">
        <v>3</v>
      </c>
      <c r="R54" s="18" t="s">
        <v>79</v>
      </c>
      <c r="S54" s="18" t="s">
        <v>151</v>
      </c>
      <c r="T54" s="18" t="s">
        <v>50</v>
      </c>
      <c r="U54" s="19" t="s">
        <v>384</v>
      </c>
      <c r="V54" s="18" t="s">
        <v>69</v>
      </c>
    </row>
    <row r="55" spans="1:22">
      <c r="A55" s="15" t="s">
        <v>385</v>
      </c>
      <c r="B55" s="15" t="s">
        <v>127</v>
      </c>
      <c r="C55" s="15" t="s">
        <v>118</v>
      </c>
      <c r="D55" s="15" t="s">
        <v>386</v>
      </c>
      <c r="E55" s="15" t="s">
        <v>387</v>
      </c>
      <c r="F55" s="15" t="s">
        <v>200</v>
      </c>
      <c r="G55" s="15" t="s">
        <v>76</v>
      </c>
      <c r="H55" s="15" t="s">
        <v>389</v>
      </c>
      <c r="I55" s="15" t="s">
        <v>138</v>
      </c>
      <c r="J55" s="15" t="s">
        <v>106</v>
      </c>
      <c r="K55" s="15" t="s">
        <v>122</v>
      </c>
      <c r="L55" s="15" t="s">
        <v>123</v>
      </c>
      <c r="M55" s="15">
        <v>19</v>
      </c>
      <c r="N55" s="15">
        <v>60</v>
      </c>
      <c r="O55" s="15">
        <v>15</v>
      </c>
      <c r="P55" s="15">
        <v>969</v>
      </c>
      <c r="Q55" s="15">
        <v>4</v>
      </c>
      <c r="R55" s="15" t="s">
        <v>79</v>
      </c>
      <c r="S55" s="15" t="s">
        <v>49</v>
      </c>
      <c r="T55" s="15" t="s">
        <v>132</v>
      </c>
      <c r="U55" s="17" t="s">
        <v>390</v>
      </c>
      <c r="V55" s="15" t="s">
        <v>69</v>
      </c>
    </row>
    <row r="56" spans="1:22">
      <c r="A56" s="18" t="s">
        <v>391</v>
      </c>
      <c r="B56" s="18" t="s">
        <v>327</v>
      </c>
      <c r="C56" s="18" t="s">
        <v>118</v>
      </c>
      <c r="D56" s="18" t="s">
        <v>392</v>
      </c>
      <c r="E56" s="18" t="s">
        <v>393</v>
      </c>
      <c r="F56" s="18" t="s">
        <v>394</v>
      </c>
      <c r="G56" s="18" t="s">
        <v>76</v>
      </c>
      <c r="H56" s="18" t="s">
        <v>395</v>
      </c>
      <c r="I56" s="18" t="s">
        <v>212</v>
      </c>
      <c r="J56" s="18" t="s">
        <v>45</v>
      </c>
      <c r="K56" s="18" t="s">
        <v>122</v>
      </c>
      <c r="L56" s="18" t="s">
        <v>123</v>
      </c>
      <c r="M56" s="18">
        <v>9</v>
      </c>
      <c r="N56" s="18">
        <v>60</v>
      </c>
      <c r="O56" s="18">
        <v>20</v>
      </c>
      <c r="P56" s="18">
        <v>432</v>
      </c>
      <c r="Q56" s="18">
        <v>1</v>
      </c>
      <c r="R56" s="18" t="s">
        <v>48</v>
      </c>
      <c r="S56" s="18" t="s">
        <v>115</v>
      </c>
      <c r="T56" s="18" t="s">
        <v>332</v>
      </c>
      <c r="U56" s="19" t="s">
        <v>396</v>
      </c>
      <c r="V56" s="18" t="s">
        <v>64</v>
      </c>
    </row>
    <row r="57" spans="1:22">
      <c r="A57" s="15" t="s">
        <v>397</v>
      </c>
      <c r="B57" s="15" t="s">
        <v>327</v>
      </c>
      <c r="C57" s="15" t="s">
        <v>184</v>
      </c>
      <c r="D57" s="15" t="s">
        <v>398</v>
      </c>
      <c r="E57" s="15" t="s">
        <v>399</v>
      </c>
      <c r="F57" s="15" t="s">
        <v>394</v>
      </c>
      <c r="G57" s="15" t="s">
        <v>76</v>
      </c>
      <c r="H57" s="15" t="s">
        <v>400</v>
      </c>
      <c r="I57" s="15" t="s">
        <v>59</v>
      </c>
      <c r="J57" s="15" t="s">
        <v>31</v>
      </c>
      <c r="K57" s="15" t="s">
        <v>46</v>
      </c>
      <c r="L57" s="15" t="s">
        <v>189</v>
      </c>
      <c r="M57" s="15">
        <v>6</v>
      </c>
      <c r="N57" s="15">
        <v>700</v>
      </c>
      <c r="O57" s="15">
        <v>0</v>
      </c>
      <c r="P57" s="15">
        <v>4200</v>
      </c>
      <c r="Q57" s="15">
        <v>4</v>
      </c>
      <c r="R57" s="15" t="s">
        <v>88</v>
      </c>
      <c r="S57" s="15" t="s">
        <v>49</v>
      </c>
      <c r="T57" s="15" t="s">
        <v>401</v>
      </c>
      <c r="U57" s="17" t="s">
        <v>402</v>
      </c>
      <c r="V57" s="15" t="s">
        <v>69</v>
      </c>
    </row>
    <row r="58" spans="1:22">
      <c r="A58" s="18" t="s">
        <v>403</v>
      </c>
      <c r="B58" s="18" t="s">
        <v>127</v>
      </c>
      <c r="C58" s="18" t="s">
        <v>259</v>
      </c>
      <c r="D58" s="18" t="s">
        <v>241</v>
      </c>
      <c r="E58" s="18" t="s">
        <v>404</v>
      </c>
      <c r="F58" s="18" t="s">
        <v>200</v>
      </c>
      <c r="G58" s="18" t="s">
        <v>76</v>
      </c>
      <c r="H58" s="18" t="s">
        <v>405</v>
      </c>
      <c r="I58" s="18" t="s">
        <v>44</v>
      </c>
      <c r="J58" s="18" t="s">
        <v>45</v>
      </c>
      <c r="K58" s="18" t="s">
        <v>122</v>
      </c>
      <c r="L58" s="18" t="s">
        <v>263</v>
      </c>
      <c r="M58" s="18">
        <v>18</v>
      </c>
      <c r="N58" s="18">
        <v>45</v>
      </c>
      <c r="O58" s="18">
        <v>5</v>
      </c>
      <c r="P58" s="18">
        <v>769.5</v>
      </c>
      <c r="Q58" s="18">
        <v>1</v>
      </c>
      <c r="R58" s="18" t="s">
        <v>79</v>
      </c>
      <c r="S58" s="18" t="s">
        <v>61</v>
      </c>
      <c r="T58" s="18" t="s">
        <v>132</v>
      </c>
      <c r="U58" s="19" t="s">
        <v>406</v>
      </c>
      <c r="V58" s="18" t="s">
        <v>64</v>
      </c>
    </row>
    <row r="59" spans="1:22">
      <c r="A59" s="15" t="s">
        <v>407</v>
      </c>
      <c r="B59" s="15" t="s">
        <v>83</v>
      </c>
      <c r="C59" s="15" t="s">
        <v>222</v>
      </c>
      <c r="D59" s="15" t="s">
        <v>408</v>
      </c>
      <c r="E59" s="15" t="s">
        <v>261</v>
      </c>
      <c r="F59" s="15" t="s">
        <v>180</v>
      </c>
      <c r="G59" s="15" t="s">
        <v>76</v>
      </c>
      <c r="H59" s="15" t="s">
        <v>409</v>
      </c>
      <c r="I59" s="15" t="s">
        <v>212</v>
      </c>
      <c r="J59" s="15" t="s">
        <v>45</v>
      </c>
      <c r="K59" s="15" t="s">
        <v>122</v>
      </c>
      <c r="L59" s="15" t="s">
        <v>227</v>
      </c>
      <c r="M59" s="15">
        <v>8</v>
      </c>
      <c r="N59" s="15">
        <v>20</v>
      </c>
      <c r="O59" s="15">
        <v>5</v>
      </c>
      <c r="P59" s="15">
        <v>152</v>
      </c>
      <c r="Q59" s="15">
        <v>1</v>
      </c>
      <c r="R59" s="15" t="s">
        <v>79</v>
      </c>
      <c r="S59" s="15" t="s">
        <v>35</v>
      </c>
      <c r="T59" s="15" t="s">
        <v>89</v>
      </c>
      <c r="U59" s="17" t="s">
        <v>410</v>
      </c>
      <c r="V59" s="15" t="s">
        <v>411</v>
      </c>
    </row>
    <row r="60" spans="1:22">
      <c r="A60" s="18" t="s">
        <v>412</v>
      </c>
      <c r="B60" s="18" t="s">
        <v>221</v>
      </c>
      <c r="C60" s="18" t="s">
        <v>184</v>
      </c>
      <c r="D60" s="18" t="s">
        <v>413</v>
      </c>
      <c r="E60" s="18" t="s">
        <v>414</v>
      </c>
      <c r="F60" s="18" t="s">
        <v>225</v>
      </c>
      <c r="G60" s="18" t="s">
        <v>76</v>
      </c>
      <c r="H60" s="18" t="s">
        <v>415</v>
      </c>
      <c r="I60" s="18" t="s">
        <v>212</v>
      </c>
      <c r="J60" s="18" t="s">
        <v>45</v>
      </c>
      <c r="K60" s="18" t="s">
        <v>46</v>
      </c>
      <c r="L60" s="18" t="s">
        <v>189</v>
      </c>
      <c r="M60" s="18">
        <v>8</v>
      </c>
      <c r="N60" s="18">
        <v>700</v>
      </c>
      <c r="O60" s="18">
        <v>10</v>
      </c>
      <c r="P60" s="18">
        <v>5040</v>
      </c>
      <c r="Q60" s="18">
        <v>1</v>
      </c>
      <c r="R60" s="18" t="s">
        <v>48</v>
      </c>
      <c r="S60" s="18" t="s">
        <v>61</v>
      </c>
      <c r="T60" s="20" t="s">
        <v>416</v>
      </c>
      <c r="U60" s="19" t="s">
        <v>417</v>
      </c>
      <c r="V60" s="18" t="s">
        <v>69</v>
      </c>
    </row>
    <row r="61" spans="1:22">
      <c r="A61" s="15" t="s">
        <v>418</v>
      </c>
      <c r="B61" s="15" t="s">
        <v>23</v>
      </c>
      <c r="C61" s="15" t="s">
        <v>222</v>
      </c>
      <c r="D61" s="15" t="s">
        <v>223</v>
      </c>
      <c r="E61" s="15" t="s">
        <v>356</v>
      </c>
      <c r="F61" s="15" t="s">
        <v>27</v>
      </c>
      <c r="G61" s="15" t="s">
        <v>28</v>
      </c>
      <c r="H61" s="15" t="s">
        <v>419</v>
      </c>
      <c r="I61" s="15" t="s">
        <v>44</v>
      </c>
      <c r="J61" s="15" t="s">
        <v>45</v>
      </c>
      <c r="K61" s="15" t="s">
        <v>122</v>
      </c>
      <c r="L61" s="15" t="s">
        <v>227</v>
      </c>
      <c r="M61" s="15">
        <v>7</v>
      </c>
      <c r="N61" s="15">
        <v>20</v>
      </c>
      <c r="O61" s="15">
        <v>15</v>
      </c>
      <c r="P61" s="15">
        <v>119</v>
      </c>
      <c r="Q61" s="15">
        <v>5</v>
      </c>
      <c r="R61" s="15" t="s">
        <v>79</v>
      </c>
      <c r="S61" s="15" t="s">
        <v>49</v>
      </c>
      <c r="T61" s="15" t="s">
        <v>50</v>
      </c>
      <c r="U61" s="17" t="s">
        <v>420</v>
      </c>
      <c r="V61" s="15" t="s">
        <v>38</v>
      </c>
    </row>
    <row r="62" spans="1:22">
      <c r="A62" s="18" t="s">
        <v>421</v>
      </c>
      <c r="B62" s="18" t="s">
        <v>100</v>
      </c>
      <c r="C62" s="18" t="s">
        <v>222</v>
      </c>
      <c r="D62" s="18" t="s">
        <v>422</v>
      </c>
      <c r="E62" s="18" t="s">
        <v>371</v>
      </c>
      <c r="F62" s="18" t="s">
        <v>103</v>
      </c>
      <c r="G62" s="18" t="s">
        <v>28</v>
      </c>
      <c r="H62" s="18" t="s">
        <v>423</v>
      </c>
      <c r="I62" s="18" t="s">
        <v>114</v>
      </c>
      <c r="J62" s="18" t="s">
        <v>106</v>
      </c>
      <c r="K62" s="18" t="s">
        <v>122</v>
      </c>
      <c r="L62" s="18" t="s">
        <v>227</v>
      </c>
      <c r="M62" s="18">
        <v>16</v>
      </c>
      <c r="N62" s="18">
        <v>20</v>
      </c>
      <c r="O62" s="18">
        <v>0</v>
      </c>
      <c r="P62" s="18">
        <v>320</v>
      </c>
      <c r="Q62" s="18">
        <v>5</v>
      </c>
      <c r="R62" s="18" t="s">
        <v>48</v>
      </c>
      <c r="S62" s="18" t="s">
        <v>61</v>
      </c>
      <c r="T62" s="18" t="s">
        <v>144</v>
      </c>
      <c r="U62" s="19" t="s">
        <v>424</v>
      </c>
      <c r="V62" s="18" t="s">
        <v>64</v>
      </c>
    </row>
    <row r="63" spans="1:22">
      <c r="A63" s="15" t="s">
        <v>425</v>
      </c>
      <c r="B63" s="15" t="s">
        <v>53</v>
      </c>
      <c r="C63" s="15" t="s">
        <v>259</v>
      </c>
      <c r="D63" s="15" t="s">
        <v>426</v>
      </c>
      <c r="E63" s="15" t="s">
        <v>427</v>
      </c>
      <c r="F63" s="15" t="s">
        <v>163</v>
      </c>
      <c r="G63" s="15" t="s">
        <v>28</v>
      </c>
      <c r="H63" s="15" t="s">
        <v>428</v>
      </c>
      <c r="I63" s="15" t="s">
        <v>105</v>
      </c>
      <c r="J63" s="15" t="s">
        <v>106</v>
      </c>
      <c r="K63" s="15" t="s">
        <v>122</v>
      </c>
      <c r="L63" s="15" t="s">
        <v>263</v>
      </c>
      <c r="M63" s="15">
        <v>15</v>
      </c>
      <c r="N63" s="15">
        <v>45</v>
      </c>
      <c r="O63" s="15">
        <v>0</v>
      </c>
      <c r="P63" s="15">
        <v>675</v>
      </c>
      <c r="Q63" s="15">
        <v>4</v>
      </c>
      <c r="R63" s="15" t="s">
        <v>34</v>
      </c>
      <c r="S63" s="15" t="s">
        <v>61</v>
      </c>
      <c r="T63" s="15" t="s">
        <v>62</v>
      </c>
      <c r="U63" s="17" t="s">
        <v>429</v>
      </c>
      <c r="V63" s="15" t="s">
        <v>69</v>
      </c>
    </row>
    <row r="64" spans="1:22">
      <c r="A64" s="18" t="s">
        <v>430</v>
      </c>
      <c r="B64" s="18" t="s">
        <v>251</v>
      </c>
      <c r="C64" s="18" t="s">
        <v>184</v>
      </c>
      <c r="D64" s="18" t="s">
        <v>431</v>
      </c>
      <c r="E64" s="18" t="s">
        <v>413</v>
      </c>
      <c r="F64" s="18" t="s">
        <v>254</v>
      </c>
      <c r="G64" s="18" t="s">
        <v>28</v>
      </c>
      <c r="H64" s="18" t="s">
        <v>432</v>
      </c>
      <c r="I64" s="18" t="s">
        <v>138</v>
      </c>
      <c r="J64" s="18" t="s">
        <v>106</v>
      </c>
      <c r="K64" s="18" t="s">
        <v>46</v>
      </c>
      <c r="L64" s="18" t="s">
        <v>189</v>
      </c>
      <c r="M64" s="18">
        <v>15</v>
      </c>
      <c r="N64" s="18">
        <v>700</v>
      </c>
      <c r="O64" s="18">
        <v>10</v>
      </c>
      <c r="P64" s="18">
        <v>9450</v>
      </c>
      <c r="Q64" s="18">
        <v>3</v>
      </c>
      <c r="R64" s="18" t="s">
        <v>48</v>
      </c>
      <c r="S64" s="18" t="s">
        <v>151</v>
      </c>
      <c r="T64" s="18" t="s">
        <v>256</v>
      </c>
      <c r="U64" s="19" t="s">
        <v>433</v>
      </c>
      <c r="V64" s="18" t="s">
        <v>38</v>
      </c>
    </row>
    <row r="65" spans="1:22">
      <c r="A65" s="15" t="s">
        <v>434</v>
      </c>
      <c r="B65" s="15" t="s">
        <v>53</v>
      </c>
      <c r="C65" s="15" t="s">
        <v>259</v>
      </c>
      <c r="D65" s="15" t="s">
        <v>435</v>
      </c>
      <c r="E65" s="15" t="s">
        <v>436</v>
      </c>
      <c r="F65" s="15" t="s">
        <v>163</v>
      </c>
      <c r="G65" s="15" t="s">
        <v>28</v>
      </c>
      <c r="H65" s="15" t="s">
        <v>437</v>
      </c>
      <c r="I65" s="15" t="s">
        <v>294</v>
      </c>
      <c r="J65" s="15" t="s">
        <v>295</v>
      </c>
      <c r="K65" s="15" t="s">
        <v>122</v>
      </c>
      <c r="L65" s="15" t="s">
        <v>263</v>
      </c>
      <c r="M65" s="15">
        <v>3</v>
      </c>
      <c r="N65" s="15">
        <v>45</v>
      </c>
      <c r="O65" s="15">
        <v>15</v>
      </c>
      <c r="P65" s="15">
        <v>114.75</v>
      </c>
      <c r="Q65" s="15">
        <v>2</v>
      </c>
      <c r="R65" s="15" t="s">
        <v>88</v>
      </c>
      <c r="S65" s="15" t="s">
        <v>115</v>
      </c>
      <c r="T65" s="15" t="s">
        <v>62</v>
      </c>
      <c r="U65" s="17" t="s">
        <v>438</v>
      </c>
      <c r="V65" s="15" t="s">
        <v>64</v>
      </c>
    </row>
    <row r="66" spans="1:22">
      <c r="A66" s="18" t="s">
        <v>439</v>
      </c>
      <c r="B66" s="18" t="s">
        <v>100</v>
      </c>
      <c r="C66" s="18" t="s">
        <v>24</v>
      </c>
      <c r="D66" s="18" t="s">
        <v>440</v>
      </c>
      <c r="E66" s="18" t="s">
        <v>441</v>
      </c>
      <c r="F66" s="18" t="s">
        <v>103</v>
      </c>
      <c r="G66" s="18" t="s">
        <v>28</v>
      </c>
      <c r="H66" s="18" t="s">
        <v>442</v>
      </c>
      <c r="I66" s="18" t="s">
        <v>294</v>
      </c>
      <c r="J66" s="18" t="s">
        <v>295</v>
      </c>
      <c r="K66" s="18" t="s">
        <v>32</v>
      </c>
      <c r="L66" s="18" t="s">
        <v>33</v>
      </c>
      <c r="M66" s="18">
        <v>7</v>
      </c>
      <c r="N66" s="18">
        <v>2200</v>
      </c>
      <c r="O66" s="18">
        <v>15</v>
      </c>
      <c r="P66" s="18">
        <v>13090</v>
      </c>
      <c r="Q66" s="18">
        <v>5</v>
      </c>
      <c r="R66" s="18" t="s">
        <v>88</v>
      </c>
      <c r="S66" s="18" t="s">
        <v>115</v>
      </c>
      <c r="T66" s="18" t="s">
        <v>144</v>
      </c>
      <c r="U66" s="19" t="s">
        <v>443</v>
      </c>
      <c r="V66" s="18" t="s">
        <v>38</v>
      </c>
    </row>
    <row r="67" spans="1:22">
      <c r="A67" s="15" t="s">
        <v>444</v>
      </c>
      <c r="B67" s="15" t="s">
        <v>23</v>
      </c>
      <c r="C67" s="15" t="s">
        <v>259</v>
      </c>
      <c r="D67" s="15" t="s">
        <v>445</v>
      </c>
      <c r="E67" s="15" t="s">
        <v>446</v>
      </c>
      <c r="F67" s="15" t="s">
        <v>27</v>
      </c>
      <c r="G67" s="15" t="s">
        <v>28</v>
      </c>
      <c r="H67" s="15" t="s">
        <v>447</v>
      </c>
      <c r="I67" s="15" t="s">
        <v>44</v>
      </c>
      <c r="J67" s="15" t="s">
        <v>45</v>
      </c>
      <c r="K67" s="15" t="s">
        <v>122</v>
      </c>
      <c r="L67" s="15" t="s">
        <v>263</v>
      </c>
      <c r="M67" s="15">
        <v>19</v>
      </c>
      <c r="N67" s="15">
        <v>45</v>
      </c>
      <c r="O67" s="15">
        <v>10</v>
      </c>
      <c r="P67" s="15">
        <v>769.5</v>
      </c>
      <c r="Q67" s="15">
        <v>5</v>
      </c>
      <c r="R67" s="15" t="s">
        <v>79</v>
      </c>
      <c r="S67" s="15" t="s">
        <v>115</v>
      </c>
      <c r="T67" s="15" t="s">
        <v>50</v>
      </c>
      <c r="U67" s="17" t="s">
        <v>448</v>
      </c>
      <c r="V67" s="15" t="s">
        <v>69</v>
      </c>
    </row>
    <row r="68" spans="1:22">
      <c r="A68" s="18" t="s">
        <v>449</v>
      </c>
      <c r="B68" s="18" t="s">
        <v>251</v>
      </c>
      <c r="C68" s="18" t="s">
        <v>92</v>
      </c>
      <c r="D68" s="18" t="s">
        <v>450</v>
      </c>
      <c r="E68" s="18" t="s">
        <v>323</v>
      </c>
      <c r="F68" s="18" t="s">
        <v>254</v>
      </c>
      <c r="G68" s="18" t="s">
        <v>28</v>
      </c>
      <c r="H68" s="18" t="s">
        <v>451</v>
      </c>
      <c r="I68" s="18" t="s">
        <v>30</v>
      </c>
      <c r="J68" s="18" t="s">
        <v>31</v>
      </c>
      <c r="K68" s="18" t="s">
        <v>32</v>
      </c>
      <c r="L68" s="18" t="s">
        <v>97</v>
      </c>
      <c r="M68" s="18">
        <v>7</v>
      </c>
      <c r="N68" s="18">
        <v>3500</v>
      </c>
      <c r="O68" s="18">
        <v>15</v>
      </c>
      <c r="P68" s="18">
        <v>20825</v>
      </c>
      <c r="Q68" s="18">
        <v>1</v>
      </c>
      <c r="R68" s="18" t="s">
        <v>34</v>
      </c>
      <c r="S68" s="18" t="s">
        <v>151</v>
      </c>
      <c r="T68" s="18" t="s">
        <v>256</v>
      </c>
      <c r="U68" s="19" t="s">
        <v>452</v>
      </c>
      <c r="V68" s="18" t="s">
        <v>64</v>
      </c>
    </row>
    <row r="69" spans="1:22">
      <c r="A69" s="15" t="s">
        <v>453</v>
      </c>
      <c r="B69" s="15" t="s">
        <v>53</v>
      </c>
      <c r="C69" s="15" t="s">
        <v>169</v>
      </c>
      <c r="D69" s="15" t="s">
        <v>454</v>
      </c>
      <c r="E69" s="15" t="s">
        <v>455</v>
      </c>
      <c r="F69" s="15" t="s">
        <v>163</v>
      </c>
      <c r="G69" s="15" t="s">
        <v>28</v>
      </c>
      <c r="H69" s="15" t="s">
        <v>456</v>
      </c>
      <c r="I69" s="15" t="s">
        <v>212</v>
      </c>
      <c r="J69" s="15" t="s">
        <v>45</v>
      </c>
      <c r="K69" s="15" t="s">
        <v>32</v>
      </c>
      <c r="L69" s="15" t="s">
        <v>174</v>
      </c>
      <c r="M69" s="15">
        <v>7</v>
      </c>
      <c r="N69" s="15">
        <v>8500</v>
      </c>
      <c r="O69" s="15">
        <v>20</v>
      </c>
      <c r="P69" s="15">
        <v>47600</v>
      </c>
      <c r="Q69" s="15">
        <v>4</v>
      </c>
      <c r="R69" s="15" t="s">
        <v>48</v>
      </c>
      <c r="S69" s="15" t="s">
        <v>115</v>
      </c>
      <c r="T69" s="15" t="s">
        <v>62</v>
      </c>
      <c r="U69" s="17" t="s">
        <v>457</v>
      </c>
      <c r="V69" s="15" t="s">
        <v>38</v>
      </c>
    </row>
    <row r="70" spans="1:22">
      <c r="A70" s="18" t="s">
        <v>458</v>
      </c>
      <c r="B70" s="18" t="s">
        <v>23</v>
      </c>
      <c r="C70" s="18" t="s">
        <v>54</v>
      </c>
      <c r="D70" s="18" t="s">
        <v>366</v>
      </c>
      <c r="E70" s="18" t="s">
        <v>459</v>
      </c>
      <c r="F70" s="18" t="s">
        <v>27</v>
      </c>
      <c r="G70" s="18" t="s">
        <v>28</v>
      </c>
      <c r="H70" s="18" t="s">
        <v>460</v>
      </c>
      <c r="I70" s="18" t="s">
        <v>59</v>
      </c>
      <c r="J70" s="18" t="s">
        <v>31</v>
      </c>
      <c r="K70" s="18" t="s">
        <v>46</v>
      </c>
      <c r="L70" s="18" t="s">
        <v>60</v>
      </c>
      <c r="M70" s="18">
        <v>16</v>
      </c>
      <c r="N70" s="18">
        <v>55000</v>
      </c>
      <c r="O70" s="18">
        <v>10</v>
      </c>
      <c r="P70" s="18">
        <v>792000</v>
      </c>
      <c r="Q70" s="18">
        <v>1</v>
      </c>
      <c r="R70" s="18" t="s">
        <v>79</v>
      </c>
      <c r="S70" s="18" t="s">
        <v>61</v>
      </c>
      <c r="T70" s="18" t="s">
        <v>50</v>
      </c>
      <c r="U70" s="19" t="s">
        <v>461</v>
      </c>
      <c r="V70" s="18" t="s">
        <v>38</v>
      </c>
    </row>
    <row r="71" spans="1:22">
      <c r="A71" s="15" t="s">
        <v>462</v>
      </c>
      <c r="B71" s="15" t="s">
        <v>168</v>
      </c>
      <c r="C71" s="15" t="s">
        <v>40</v>
      </c>
      <c r="D71" s="15" t="s">
        <v>463</v>
      </c>
      <c r="E71" s="15" t="s">
        <v>464</v>
      </c>
      <c r="F71" s="15" t="s">
        <v>361</v>
      </c>
      <c r="G71" s="15" t="s">
        <v>28</v>
      </c>
      <c r="H71" s="15" t="s">
        <v>465</v>
      </c>
      <c r="I71" s="15" t="s">
        <v>105</v>
      </c>
      <c r="J71" s="15" t="s">
        <v>106</v>
      </c>
      <c r="K71" s="15" t="s">
        <v>46</v>
      </c>
      <c r="L71" s="15" t="s">
        <v>47</v>
      </c>
      <c r="M71" s="15">
        <v>2</v>
      </c>
      <c r="N71" s="15">
        <v>12000</v>
      </c>
      <c r="O71" s="15">
        <v>20</v>
      </c>
      <c r="P71" s="15">
        <v>19200</v>
      </c>
      <c r="Q71" s="15">
        <v>1</v>
      </c>
      <c r="R71" s="15" t="s">
        <v>34</v>
      </c>
      <c r="S71" s="15" t="s">
        <v>151</v>
      </c>
      <c r="T71" s="16" t="s">
        <v>466</v>
      </c>
      <c r="U71" s="17" t="s">
        <v>467</v>
      </c>
      <c r="V71" s="15" t="s">
        <v>64</v>
      </c>
    </row>
    <row r="72" spans="1:22">
      <c r="A72" s="18" t="s">
        <v>468</v>
      </c>
      <c r="B72" s="18" t="s">
        <v>127</v>
      </c>
      <c r="C72" s="18" t="s">
        <v>259</v>
      </c>
      <c r="D72" s="18" t="s">
        <v>469</v>
      </c>
      <c r="E72" s="18" t="s">
        <v>446</v>
      </c>
      <c r="F72" s="18" t="s">
        <v>200</v>
      </c>
      <c r="G72" s="18" t="s">
        <v>76</v>
      </c>
      <c r="H72" s="18" t="s">
        <v>470</v>
      </c>
      <c r="I72" s="18" t="s">
        <v>59</v>
      </c>
      <c r="J72" s="18" t="s">
        <v>31</v>
      </c>
      <c r="K72" s="18" t="s">
        <v>122</v>
      </c>
      <c r="L72" s="18" t="s">
        <v>263</v>
      </c>
      <c r="M72" s="18">
        <v>4</v>
      </c>
      <c r="N72" s="18">
        <v>45</v>
      </c>
      <c r="O72" s="18">
        <v>5</v>
      </c>
      <c r="P72" s="18">
        <v>171</v>
      </c>
      <c r="Q72" s="18">
        <v>1</v>
      </c>
      <c r="R72" s="18" t="s">
        <v>79</v>
      </c>
      <c r="S72" s="18" t="s">
        <v>49</v>
      </c>
      <c r="T72" s="18" t="s">
        <v>132</v>
      </c>
      <c r="U72" s="19" t="s">
        <v>471</v>
      </c>
      <c r="V72" s="18" t="s">
        <v>64</v>
      </c>
    </row>
    <row r="73" spans="1:22">
      <c r="A73" s="15" t="s">
        <v>472</v>
      </c>
      <c r="B73" s="15" t="s">
        <v>23</v>
      </c>
      <c r="C73" s="15" t="s">
        <v>72</v>
      </c>
      <c r="D73" s="15" t="s">
        <v>473</v>
      </c>
      <c r="E73" s="15" t="s">
        <v>474</v>
      </c>
      <c r="F73" s="15" t="s">
        <v>27</v>
      </c>
      <c r="G73" s="15" t="s">
        <v>28</v>
      </c>
      <c r="H73" s="15" t="s">
        <v>475</v>
      </c>
      <c r="I73" s="15" t="s">
        <v>212</v>
      </c>
      <c r="J73" s="15" t="s">
        <v>45</v>
      </c>
      <c r="K73" s="15" t="s">
        <v>46</v>
      </c>
      <c r="L73" s="15" t="s">
        <v>78</v>
      </c>
      <c r="M73" s="15">
        <v>1</v>
      </c>
      <c r="N73" s="15">
        <v>1200</v>
      </c>
      <c r="O73" s="15">
        <v>5</v>
      </c>
      <c r="P73" s="15">
        <v>1140</v>
      </c>
      <c r="Q73" s="15">
        <v>3</v>
      </c>
      <c r="R73" s="15" t="s">
        <v>88</v>
      </c>
      <c r="S73" s="15" t="s">
        <v>61</v>
      </c>
      <c r="T73" s="15" t="s">
        <v>50</v>
      </c>
      <c r="U73" s="17" t="s">
        <v>476</v>
      </c>
      <c r="V73" s="15" t="s">
        <v>69</v>
      </c>
    </row>
    <row r="74" spans="1:22">
      <c r="A74" s="18" t="s">
        <v>477</v>
      </c>
      <c r="B74" s="18" t="s">
        <v>53</v>
      </c>
      <c r="C74" s="18" t="s">
        <v>24</v>
      </c>
      <c r="D74" s="18" t="s">
        <v>478</v>
      </c>
      <c r="E74" s="18" t="s">
        <v>479</v>
      </c>
      <c r="F74" s="18" t="s">
        <v>163</v>
      </c>
      <c r="G74" s="18" t="s">
        <v>28</v>
      </c>
      <c r="H74" s="18" t="s">
        <v>480</v>
      </c>
      <c r="I74" s="18"/>
      <c r="J74" s="18" t="s">
        <v>31</v>
      </c>
      <c r="K74" s="18" t="s">
        <v>32</v>
      </c>
      <c r="L74" s="18" t="s">
        <v>33</v>
      </c>
      <c r="M74" s="18">
        <v>1</v>
      </c>
      <c r="N74" s="18">
        <v>2200</v>
      </c>
      <c r="O74" s="18">
        <v>15</v>
      </c>
      <c r="P74" s="18">
        <v>1870</v>
      </c>
      <c r="Q74" s="18">
        <v>4</v>
      </c>
      <c r="R74" s="18" t="s">
        <v>79</v>
      </c>
      <c r="S74" s="18" t="s">
        <v>61</v>
      </c>
      <c r="T74" s="18" t="s">
        <v>62</v>
      </c>
      <c r="U74" s="19" t="s">
        <v>481</v>
      </c>
      <c r="V74" s="18" t="s">
        <v>38</v>
      </c>
    </row>
    <row r="75" spans="1:22">
      <c r="A75" s="15" t="s">
        <v>482</v>
      </c>
      <c r="B75" s="15" t="s">
        <v>127</v>
      </c>
      <c r="C75" s="15" t="s">
        <v>72</v>
      </c>
      <c r="D75" s="15" t="s">
        <v>483</v>
      </c>
      <c r="E75" s="15" t="s">
        <v>484</v>
      </c>
      <c r="F75" s="15" t="s">
        <v>200</v>
      </c>
      <c r="G75" s="15" t="s">
        <v>76</v>
      </c>
      <c r="H75" s="15" t="s">
        <v>485</v>
      </c>
      <c r="I75" s="15" t="s">
        <v>114</v>
      </c>
      <c r="J75" s="15" t="s">
        <v>106</v>
      </c>
      <c r="K75" s="15" t="s">
        <v>46</v>
      </c>
      <c r="L75" s="15" t="s">
        <v>78</v>
      </c>
      <c r="M75" s="15">
        <v>3</v>
      </c>
      <c r="N75" s="15">
        <v>1200</v>
      </c>
      <c r="O75" s="15">
        <v>10</v>
      </c>
      <c r="P75" s="15">
        <v>3240</v>
      </c>
      <c r="Q75" s="15">
        <v>5</v>
      </c>
      <c r="R75" s="15" t="s">
        <v>34</v>
      </c>
      <c r="S75" s="15" t="s">
        <v>49</v>
      </c>
      <c r="T75" s="15" t="s">
        <v>132</v>
      </c>
      <c r="U75" s="17" t="s">
        <v>486</v>
      </c>
      <c r="V75" s="15" t="s">
        <v>38</v>
      </c>
    </row>
    <row r="76" spans="1:22">
      <c r="A76" s="18" t="s">
        <v>487</v>
      </c>
      <c r="B76" s="18" t="s">
        <v>23</v>
      </c>
      <c r="C76" s="18" t="s">
        <v>92</v>
      </c>
      <c r="D76" s="18" t="s">
        <v>488</v>
      </c>
      <c r="E76" s="18" t="s">
        <v>489</v>
      </c>
      <c r="F76" s="18" t="s">
        <v>27</v>
      </c>
      <c r="G76" s="18" t="s">
        <v>28</v>
      </c>
      <c r="H76" s="18" t="s">
        <v>490</v>
      </c>
      <c r="I76" s="18" t="s">
        <v>59</v>
      </c>
      <c r="J76" s="18" t="s">
        <v>31</v>
      </c>
      <c r="K76" s="18" t="s">
        <v>32</v>
      </c>
      <c r="L76" s="18" t="s">
        <v>97</v>
      </c>
      <c r="M76" s="18">
        <v>10</v>
      </c>
      <c r="N76" s="18">
        <v>3500</v>
      </c>
      <c r="O76" s="18">
        <v>20</v>
      </c>
      <c r="P76" s="18">
        <v>28000</v>
      </c>
      <c r="Q76" s="18">
        <v>5</v>
      </c>
      <c r="R76" s="18" t="s">
        <v>79</v>
      </c>
      <c r="S76" s="18" t="s">
        <v>35</v>
      </c>
      <c r="T76" s="18" t="s">
        <v>50</v>
      </c>
      <c r="U76" s="19" t="s">
        <v>491</v>
      </c>
      <c r="V76" s="18" t="s">
        <v>38</v>
      </c>
    </row>
    <row r="77" spans="1:22">
      <c r="A77" s="15" t="s">
        <v>492</v>
      </c>
      <c r="B77" s="15" t="s">
        <v>83</v>
      </c>
      <c r="C77" s="15" t="s">
        <v>184</v>
      </c>
      <c r="D77" s="15" t="s">
        <v>493</v>
      </c>
      <c r="E77" s="15" t="s">
        <v>404</v>
      </c>
      <c r="F77" s="15" t="s">
        <v>180</v>
      </c>
      <c r="G77" s="15" t="s">
        <v>76</v>
      </c>
      <c r="H77" s="15" t="s">
        <v>494</v>
      </c>
      <c r="I77" s="15" t="s">
        <v>44</v>
      </c>
      <c r="J77" s="15" t="s">
        <v>45</v>
      </c>
      <c r="K77" s="15" t="s">
        <v>46</v>
      </c>
      <c r="L77" s="15" t="s">
        <v>189</v>
      </c>
      <c r="M77" s="15">
        <v>18</v>
      </c>
      <c r="N77" s="15">
        <v>700</v>
      </c>
      <c r="O77" s="15">
        <v>5</v>
      </c>
      <c r="P77" s="15">
        <v>11970</v>
      </c>
      <c r="Q77" s="15">
        <v>3</v>
      </c>
      <c r="R77" s="15" t="s">
        <v>79</v>
      </c>
      <c r="S77" s="15" t="s">
        <v>115</v>
      </c>
      <c r="T77" s="15" t="s">
        <v>89</v>
      </c>
      <c r="U77" s="17" t="s">
        <v>495</v>
      </c>
      <c r="V77" s="15" t="s">
        <v>69</v>
      </c>
    </row>
    <row r="78" spans="1:22">
      <c r="A78" s="18" t="s">
        <v>496</v>
      </c>
      <c r="B78" s="18" t="s">
        <v>221</v>
      </c>
      <c r="C78" s="18" t="s">
        <v>184</v>
      </c>
      <c r="D78" s="18" t="s">
        <v>497</v>
      </c>
      <c r="E78" s="18" t="s">
        <v>498</v>
      </c>
      <c r="F78" s="18" t="s">
        <v>225</v>
      </c>
      <c r="G78" s="18" t="s">
        <v>76</v>
      </c>
      <c r="H78" s="18" t="s">
        <v>499</v>
      </c>
      <c r="I78" s="18" t="s">
        <v>59</v>
      </c>
      <c r="J78" s="18" t="s">
        <v>31</v>
      </c>
      <c r="K78" s="18" t="s">
        <v>46</v>
      </c>
      <c r="L78" s="18" t="s">
        <v>189</v>
      </c>
      <c r="M78" s="18">
        <v>12</v>
      </c>
      <c r="N78" s="18">
        <v>700</v>
      </c>
      <c r="O78" s="18">
        <v>15</v>
      </c>
      <c r="P78" s="18">
        <v>7140</v>
      </c>
      <c r="Q78" s="18">
        <v>2</v>
      </c>
      <c r="R78" s="18" t="s">
        <v>88</v>
      </c>
      <c r="S78" s="18" t="s">
        <v>49</v>
      </c>
      <c r="T78" s="18" t="s">
        <v>228</v>
      </c>
      <c r="U78" s="19" t="s">
        <v>500</v>
      </c>
      <c r="V78" s="18" t="s">
        <v>38</v>
      </c>
    </row>
    <row r="79" spans="1:22">
      <c r="A79" s="15" t="s">
        <v>501</v>
      </c>
      <c r="B79" s="15" t="s">
        <v>71</v>
      </c>
      <c r="C79" s="15" t="s">
        <v>72</v>
      </c>
      <c r="D79" s="15" t="s">
        <v>502</v>
      </c>
      <c r="E79" s="15" t="s">
        <v>503</v>
      </c>
      <c r="F79" s="15" t="s">
        <v>217</v>
      </c>
      <c r="G79" s="15" t="s">
        <v>76</v>
      </c>
      <c r="H79" s="15" t="s">
        <v>504</v>
      </c>
      <c r="I79" s="15" t="s">
        <v>105</v>
      </c>
      <c r="J79" s="15" t="s">
        <v>106</v>
      </c>
      <c r="K79" s="15" t="s">
        <v>46</v>
      </c>
      <c r="L79" s="15" t="s">
        <v>78</v>
      </c>
      <c r="M79" s="15">
        <v>8</v>
      </c>
      <c r="N79" s="15">
        <v>1200</v>
      </c>
      <c r="O79" s="15">
        <v>0</v>
      </c>
      <c r="P79" s="15">
        <v>9600</v>
      </c>
      <c r="Q79" s="15">
        <v>4</v>
      </c>
      <c r="R79" s="15" t="s">
        <v>79</v>
      </c>
      <c r="S79" s="15" t="s">
        <v>49</v>
      </c>
      <c r="T79" s="15" t="s">
        <v>80</v>
      </c>
      <c r="U79" s="17" t="s">
        <v>505</v>
      </c>
      <c r="V79" s="15" t="s">
        <v>64</v>
      </c>
    </row>
    <row r="80" spans="1:22">
      <c r="A80" s="18" t="s">
        <v>506</v>
      </c>
      <c r="B80" s="18" t="s">
        <v>127</v>
      </c>
      <c r="C80" s="18" t="s">
        <v>118</v>
      </c>
      <c r="D80" s="18" t="s">
        <v>507</v>
      </c>
      <c r="E80" s="18" t="s">
        <v>508</v>
      </c>
      <c r="F80" s="18" t="s">
        <v>200</v>
      </c>
      <c r="G80" s="18" t="s">
        <v>76</v>
      </c>
      <c r="H80" s="18" t="s">
        <v>509</v>
      </c>
      <c r="I80" s="18" t="s">
        <v>114</v>
      </c>
      <c r="J80" s="18" t="s">
        <v>106</v>
      </c>
      <c r="K80" s="18" t="s">
        <v>122</v>
      </c>
      <c r="L80" s="18" t="s">
        <v>123</v>
      </c>
      <c r="M80" s="18">
        <v>2</v>
      </c>
      <c r="N80" s="18">
        <v>60</v>
      </c>
      <c r="O80" s="18">
        <v>0</v>
      </c>
      <c r="P80" s="18">
        <v>120</v>
      </c>
      <c r="Q80" s="18">
        <v>2</v>
      </c>
      <c r="R80" s="18" t="s">
        <v>88</v>
      </c>
      <c r="S80" s="18" t="s">
        <v>49</v>
      </c>
      <c r="T80" s="18" t="s">
        <v>132</v>
      </c>
      <c r="U80" s="19" t="s">
        <v>510</v>
      </c>
      <c r="V80" s="18" t="s">
        <v>38</v>
      </c>
    </row>
    <row r="81" spans="1:22">
      <c r="A81" s="15" t="s">
        <v>511</v>
      </c>
      <c r="B81" s="15" t="s">
        <v>327</v>
      </c>
      <c r="C81" s="15" t="s">
        <v>259</v>
      </c>
      <c r="D81" s="15" t="s">
        <v>512</v>
      </c>
      <c r="E81" s="15" t="s">
        <v>513</v>
      </c>
      <c r="F81" s="15" t="s">
        <v>394</v>
      </c>
      <c r="G81" s="15" t="s">
        <v>76</v>
      </c>
      <c r="H81" s="15" t="s">
        <v>514</v>
      </c>
      <c r="I81" s="15" t="s">
        <v>114</v>
      </c>
      <c r="J81" s="15" t="s">
        <v>106</v>
      </c>
      <c r="K81" s="15" t="s">
        <v>122</v>
      </c>
      <c r="L81" s="15" t="s">
        <v>263</v>
      </c>
      <c r="M81" s="15">
        <v>10</v>
      </c>
      <c r="N81" s="15">
        <v>45</v>
      </c>
      <c r="O81" s="15">
        <v>15</v>
      </c>
      <c r="P81" s="15">
        <v>382.5</v>
      </c>
      <c r="Q81" s="15">
        <v>3</v>
      </c>
      <c r="R81" s="15" t="s">
        <v>48</v>
      </c>
      <c r="S81" s="15" t="s">
        <v>35</v>
      </c>
      <c r="T81" s="15" t="s">
        <v>332</v>
      </c>
      <c r="U81" s="17" t="s">
        <v>515</v>
      </c>
      <c r="V81" s="15" t="s">
        <v>69</v>
      </c>
    </row>
    <row r="82" spans="1:22">
      <c r="A82" s="18" t="s">
        <v>516</v>
      </c>
      <c r="B82" s="18" t="s">
        <v>221</v>
      </c>
      <c r="C82" s="18" t="s">
        <v>92</v>
      </c>
      <c r="D82" s="18" t="s">
        <v>517</v>
      </c>
      <c r="E82" s="18" t="s">
        <v>518</v>
      </c>
      <c r="F82" s="18" t="s">
        <v>225</v>
      </c>
      <c r="G82" s="18" t="s">
        <v>76</v>
      </c>
      <c r="H82" s="18" t="s">
        <v>519</v>
      </c>
      <c r="I82" s="18" t="s">
        <v>294</v>
      </c>
      <c r="J82" s="18" t="s">
        <v>295</v>
      </c>
      <c r="K82" s="18" t="s">
        <v>32</v>
      </c>
      <c r="L82" s="18" t="s">
        <v>97</v>
      </c>
      <c r="M82" s="18">
        <v>12</v>
      </c>
      <c r="N82" s="18">
        <v>3500</v>
      </c>
      <c r="O82" s="18">
        <v>5</v>
      </c>
      <c r="P82" s="18">
        <v>39900</v>
      </c>
      <c r="Q82" s="18">
        <v>3</v>
      </c>
      <c r="R82" s="18" t="s">
        <v>48</v>
      </c>
      <c r="S82" s="18" t="s">
        <v>61</v>
      </c>
      <c r="T82" s="18" t="s">
        <v>228</v>
      </c>
      <c r="U82" s="19" t="s">
        <v>520</v>
      </c>
      <c r="V82" s="18" t="s">
        <v>64</v>
      </c>
    </row>
    <row r="83" spans="1:22">
      <c r="A83" s="15" t="s">
        <v>521</v>
      </c>
      <c r="B83" s="15" t="s">
        <v>127</v>
      </c>
      <c r="C83" s="15" t="s">
        <v>118</v>
      </c>
      <c r="D83" s="15" t="s">
        <v>128</v>
      </c>
      <c r="E83" s="15" t="s">
        <v>73</v>
      </c>
      <c r="F83" s="15" t="s">
        <v>200</v>
      </c>
      <c r="G83" s="15" t="s">
        <v>76</v>
      </c>
      <c r="H83" s="15" t="s">
        <v>522</v>
      </c>
      <c r="I83" s="15" t="s">
        <v>105</v>
      </c>
      <c r="J83" s="15" t="s">
        <v>106</v>
      </c>
      <c r="K83" s="15" t="s">
        <v>122</v>
      </c>
      <c r="L83" s="15" t="s">
        <v>123</v>
      </c>
      <c r="M83" s="15">
        <v>2</v>
      </c>
      <c r="N83" s="15">
        <v>60</v>
      </c>
      <c r="O83" s="15">
        <v>15</v>
      </c>
      <c r="P83" s="15">
        <v>102</v>
      </c>
      <c r="Q83" s="15">
        <v>1</v>
      </c>
      <c r="R83" s="15" t="s">
        <v>88</v>
      </c>
      <c r="S83" s="15" t="s">
        <v>115</v>
      </c>
      <c r="T83" s="15" t="s">
        <v>132</v>
      </c>
      <c r="U83" s="17" t="s">
        <v>523</v>
      </c>
      <c r="V83" s="15" t="s">
        <v>38</v>
      </c>
    </row>
    <row r="84" spans="1:22">
      <c r="A84" s="18" t="s">
        <v>524</v>
      </c>
      <c r="B84" s="18" t="s">
        <v>127</v>
      </c>
      <c r="C84" s="18" t="s">
        <v>72</v>
      </c>
      <c r="D84" s="18" t="s">
        <v>525</v>
      </c>
      <c r="E84" s="18" t="s">
        <v>526</v>
      </c>
      <c r="F84" s="18" t="s">
        <v>200</v>
      </c>
      <c r="G84" s="18" t="s">
        <v>76</v>
      </c>
      <c r="H84" s="18" t="s">
        <v>527</v>
      </c>
      <c r="I84" s="18" t="s">
        <v>30</v>
      </c>
      <c r="J84" s="18" t="s">
        <v>31</v>
      </c>
      <c r="K84" s="18" t="s">
        <v>46</v>
      </c>
      <c r="L84" s="18" t="s">
        <v>78</v>
      </c>
      <c r="M84" s="18">
        <v>18</v>
      </c>
      <c r="N84" s="18">
        <v>1200</v>
      </c>
      <c r="O84" s="18">
        <v>15</v>
      </c>
      <c r="P84" s="18">
        <v>18360</v>
      </c>
      <c r="Q84" s="18">
        <v>3</v>
      </c>
      <c r="R84" s="18" t="s">
        <v>79</v>
      </c>
      <c r="S84" s="18" t="s">
        <v>115</v>
      </c>
      <c r="T84" s="18" t="s">
        <v>132</v>
      </c>
      <c r="U84" s="19" t="s">
        <v>528</v>
      </c>
      <c r="V84" s="18" t="s">
        <v>64</v>
      </c>
    </row>
    <row r="85" spans="1:22">
      <c r="A85" s="15" t="s">
        <v>529</v>
      </c>
      <c r="B85" s="15" t="s">
        <v>23</v>
      </c>
      <c r="C85" s="15" t="s">
        <v>40</v>
      </c>
      <c r="D85" s="15" t="s">
        <v>530</v>
      </c>
      <c r="E85" s="15" t="s">
        <v>531</v>
      </c>
      <c r="F85" s="15" t="s">
        <v>27</v>
      </c>
      <c r="G85" s="15" t="s">
        <v>28</v>
      </c>
      <c r="H85" s="15" t="s">
        <v>532</v>
      </c>
      <c r="I85" s="15" t="s">
        <v>105</v>
      </c>
      <c r="J85" s="15" t="s">
        <v>106</v>
      </c>
      <c r="K85" s="15" t="s">
        <v>46</v>
      </c>
      <c r="L85" s="15" t="s">
        <v>47</v>
      </c>
      <c r="M85" s="15">
        <v>18</v>
      </c>
      <c r="N85" s="15">
        <v>12000</v>
      </c>
      <c r="O85" s="15">
        <v>15</v>
      </c>
      <c r="P85" s="15">
        <v>183600</v>
      </c>
      <c r="Q85" s="15">
        <v>2</v>
      </c>
      <c r="R85" s="15" t="s">
        <v>34</v>
      </c>
      <c r="S85" s="15" t="s">
        <v>49</v>
      </c>
      <c r="T85" s="15" t="s">
        <v>50</v>
      </c>
      <c r="U85" s="17" t="s">
        <v>533</v>
      </c>
      <c r="V85" s="15" t="s">
        <v>38</v>
      </c>
    </row>
    <row r="86" spans="1:22">
      <c r="A86" s="18" t="s">
        <v>534</v>
      </c>
      <c r="B86" s="18" t="s">
        <v>83</v>
      </c>
      <c r="C86" s="18" t="s">
        <v>222</v>
      </c>
      <c r="D86" s="18" t="s">
        <v>531</v>
      </c>
      <c r="E86" s="18" t="s">
        <v>535</v>
      </c>
      <c r="F86" s="18" t="s">
        <v>180</v>
      </c>
      <c r="G86" s="18" t="s">
        <v>76</v>
      </c>
      <c r="H86" s="18" t="s">
        <v>536</v>
      </c>
      <c r="I86" s="18" t="s">
        <v>138</v>
      </c>
      <c r="J86" s="18" t="s">
        <v>106</v>
      </c>
      <c r="K86" s="18" t="s">
        <v>122</v>
      </c>
      <c r="L86" s="18" t="s">
        <v>227</v>
      </c>
      <c r="M86" s="18">
        <v>7</v>
      </c>
      <c r="N86" s="18">
        <v>20</v>
      </c>
      <c r="O86" s="18">
        <v>0</v>
      </c>
      <c r="P86" s="18">
        <v>140</v>
      </c>
      <c r="Q86" s="18">
        <v>2</v>
      </c>
      <c r="R86" s="18" t="s">
        <v>79</v>
      </c>
      <c r="S86" s="18" t="s">
        <v>35</v>
      </c>
      <c r="T86" s="18" t="s">
        <v>89</v>
      </c>
      <c r="U86" s="19" t="s">
        <v>537</v>
      </c>
      <c r="V86" s="18" t="s">
        <v>69</v>
      </c>
    </row>
    <row r="87" spans="1:22">
      <c r="A87" s="15" t="s">
        <v>538</v>
      </c>
      <c r="B87" s="15" t="s">
        <v>251</v>
      </c>
      <c r="C87" s="15" t="s">
        <v>92</v>
      </c>
      <c r="D87" s="15" t="s">
        <v>459</v>
      </c>
      <c r="E87" s="15" t="s">
        <v>539</v>
      </c>
      <c r="F87" s="15" t="s">
        <v>254</v>
      </c>
      <c r="G87" s="15" t="s">
        <v>28</v>
      </c>
      <c r="H87" s="15" t="s">
        <v>540</v>
      </c>
      <c r="I87" s="15" t="s">
        <v>114</v>
      </c>
      <c r="J87" s="15" t="s">
        <v>106</v>
      </c>
      <c r="K87" s="15" t="s">
        <v>32</v>
      </c>
      <c r="L87" s="15" t="s">
        <v>97</v>
      </c>
      <c r="M87" s="15">
        <v>20</v>
      </c>
      <c r="N87" s="15">
        <v>3500</v>
      </c>
      <c r="O87" s="15">
        <v>20</v>
      </c>
      <c r="P87" s="15">
        <v>56000</v>
      </c>
      <c r="Q87" s="15">
        <v>4</v>
      </c>
      <c r="R87" s="15" t="s">
        <v>79</v>
      </c>
      <c r="S87" s="15" t="s">
        <v>115</v>
      </c>
      <c r="T87" s="15" t="s">
        <v>256</v>
      </c>
      <c r="U87" s="17" t="s">
        <v>541</v>
      </c>
      <c r="V87" s="15" t="s">
        <v>64</v>
      </c>
    </row>
    <row r="88" spans="1:22">
      <c r="A88" s="18" t="s">
        <v>542</v>
      </c>
      <c r="B88" s="18" t="s">
        <v>100</v>
      </c>
      <c r="C88" s="18" t="s">
        <v>169</v>
      </c>
      <c r="D88" s="18" t="s">
        <v>543</v>
      </c>
      <c r="E88" s="18" t="s">
        <v>544</v>
      </c>
      <c r="F88" s="18" t="s">
        <v>103</v>
      </c>
      <c r="G88" s="18" t="s">
        <v>28</v>
      </c>
      <c r="H88" s="18" t="s">
        <v>545</v>
      </c>
      <c r="I88" s="18" t="s">
        <v>138</v>
      </c>
      <c r="J88" s="18" t="s">
        <v>106</v>
      </c>
      <c r="K88" s="18" t="s">
        <v>32</v>
      </c>
      <c r="L88" s="18" t="s">
        <v>174</v>
      </c>
      <c r="M88" s="18">
        <v>8</v>
      </c>
      <c r="N88" s="18">
        <v>8500</v>
      </c>
      <c r="O88" s="18">
        <v>20</v>
      </c>
      <c r="P88" s="18">
        <v>54400</v>
      </c>
      <c r="Q88" s="18">
        <v>3</v>
      </c>
      <c r="R88" s="18" t="s">
        <v>79</v>
      </c>
      <c r="S88" s="18" t="s">
        <v>115</v>
      </c>
      <c r="T88" s="18" t="s">
        <v>144</v>
      </c>
      <c r="U88" s="19" t="s">
        <v>546</v>
      </c>
      <c r="V88" s="18" t="s">
        <v>64</v>
      </c>
    </row>
    <row r="89" spans="1:22">
      <c r="A89" s="15" t="s">
        <v>547</v>
      </c>
      <c r="B89" s="15" t="s">
        <v>327</v>
      </c>
      <c r="C89" s="15" t="s">
        <v>40</v>
      </c>
      <c r="D89" s="15" t="s">
        <v>548</v>
      </c>
      <c r="E89" s="15" t="s">
        <v>549</v>
      </c>
      <c r="F89" s="15" t="s">
        <v>394</v>
      </c>
      <c r="G89" s="15" t="s">
        <v>76</v>
      </c>
      <c r="H89" s="15" t="s">
        <v>550</v>
      </c>
      <c r="I89" s="15" t="s">
        <v>138</v>
      </c>
      <c r="J89" s="15" t="s">
        <v>45</v>
      </c>
      <c r="K89" s="15" t="s">
        <v>46</v>
      </c>
      <c r="L89" s="15" t="s">
        <v>47</v>
      </c>
      <c r="M89" s="15">
        <v>6</v>
      </c>
      <c r="N89" s="15">
        <v>12000</v>
      </c>
      <c r="O89" s="15">
        <v>5</v>
      </c>
      <c r="P89" s="15">
        <v>68400</v>
      </c>
      <c r="Q89" s="15">
        <v>4</v>
      </c>
      <c r="R89" s="15" t="s">
        <v>48</v>
      </c>
      <c r="S89" s="15" t="s">
        <v>35</v>
      </c>
      <c r="T89" s="15" t="s">
        <v>332</v>
      </c>
      <c r="U89" s="17" t="s">
        <v>552</v>
      </c>
      <c r="V89" s="15" t="s">
        <v>38</v>
      </c>
    </row>
    <row r="90" spans="1:22">
      <c r="A90" s="18" t="s">
        <v>553</v>
      </c>
      <c r="B90" s="18" t="s">
        <v>23</v>
      </c>
      <c r="C90" s="18" t="s">
        <v>169</v>
      </c>
      <c r="D90" s="18" t="s">
        <v>554</v>
      </c>
      <c r="E90" s="18" t="s">
        <v>404</v>
      </c>
      <c r="F90" s="18" t="s">
        <v>27</v>
      </c>
      <c r="G90" s="18" t="s">
        <v>28</v>
      </c>
      <c r="H90" s="18" t="s">
        <v>555</v>
      </c>
      <c r="I90" s="18" t="s">
        <v>114</v>
      </c>
      <c r="J90" s="18" t="s">
        <v>106</v>
      </c>
      <c r="K90" s="18" t="s">
        <v>32</v>
      </c>
      <c r="L90" s="18" t="s">
        <v>174</v>
      </c>
      <c r="M90" s="18">
        <v>15</v>
      </c>
      <c r="N90" s="18">
        <v>8500</v>
      </c>
      <c r="O90" s="18">
        <v>0</v>
      </c>
      <c r="P90" s="18">
        <v>127500</v>
      </c>
      <c r="Q90" s="18">
        <v>4</v>
      </c>
      <c r="R90" s="18" t="s">
        <v>48</v>
      </c>
      <c r="S90" s="18" t="s">
        <v>35</v>
      </c>
      <c r="T90" s="18" t="s">
        <v>50</v>
      </c>
      <c r="U90" s="19" t="s">
        <v>556</v>
      </c>
      <c r="V90" s="18" t="s">
        <v>69</v>
      </c>
    </row>
    <row r="91" spans="1:22">
      <c r="A91" s="15" t="s">
        <v>557</v>
      </c>
      <c r="B91" s="15" t="s">
        <v>53</v>
      </c>
      <c r="C91" s="15" t="s">
        <v>72</v>
      </c>
      <c r="D91" s="15" t="s">
        <v>558</v>
      </c>
      <c r="E91" s="15" t="s">
        <v>377</v>
      </c>
      <c r="F91" s="15" t="s">
        <v>163</v>
      </c>
      <c r="G91" s="15" t="s">
        <v>28</v>
      </c>
      <c r="H91" s="15" t="s">
        <v>559</v>
      </c>
      <c r="I91" s="15" t="s">
        <v>212</v>
      </c>
      <c r="J91" s="15" t="s">
        <v>45</v>
      </c>
      <c r="K91" s="15" t="s">
        <v>46</v>
      </c>
      <c r="L91" s="15" t="s">
        <v>78</v>
      </c>
      <c r="M91" s="15">
        <v>5</v>
      </c>
      <c r="N91" s="15">
        <v>1200</v>
      </c>
      <c r="O91" s="15">
        <v>15</v>
      </c>
      <c r="P91" s="15">
        <v>5100</v>
      </c>
      <c r="Q91" s="15">
        <v>1</v>
      </c>
      <c r="R91" s="15" t="s">
        <v>48</v>
      </c>
      <c r="S91" s="15" t="s">
        <v>35</v>
      </c>
      <c r="T91" s="15" t="s">
        <v>62</v>
      </c>
      <c r="U91" s="17" t="s">
        <v>560</v>
      </c>
      <c r="V91" s="15" t="s">
        <v>69</v>
      </c>
    </row>
    <row r="92" spans="1:22">
      <c r="A92" s="18" t="s">
        <v>561</v>
      </c>
      <c r="B92" s="18" t="s">
        <v>53</v>
      </c>
      <c r="C92" s="18" t="s">
        <v>222</v>
      </c>
      <c r="D92" s="18" t="s">
        <v>562</v>
      </c>
      <c r="E92" s="18" t="s">
        <v>563</v>
      </c>
      <c r="F92" s="18" t="s">
        <v>163</v>
      </c>
      <c r="G92" s="18" t="s">
        <v>28</v>
      </c>
      <c r="H92" s="18" t="s">
        <v>564</v>
      </c>
      <c r="I92" s="18" t="s">
        <v>30</v>
      </c>
      <c r="J92" s="18" t="s">
        <v>31</v>
      </c>
      <c r="K92" s="18" t="s">
        <v>122</v>
      </c>
      <c r="L92" s="18" t="s">
        <v>227</v>
      </c>
      <c r="M92" s="18">
        <v>4</v>
      </c>
      <c r="N92" s="18">
        <v>20</v>
      </c>
      <c r="O92" s="18">
        <v>0</v>
      </c>
      <c r="P92" s="18">
        <v>80</v>
      </c>
      <c r="Q92" s="18">
        <v>4</v>
      </c>
      <c r="R92" s="18" t="s">
        <v>48</v>
      </c>
      <c r="S92" s="18" t="s">
        <v>49</v>
      </c>
      <c r="T92" s="18" t="s">
        <v>62</v>
      </c>
      <c r="U92" s="19" t="s">
        <v>565</v>
      </c>
      <c r="V92" s="18" t="s">
        <v>38</v>
      </c>
    </row>
    <row r="93" spans="1:22">
      <c r="A93" s="15" t="s">
        <v>566</v>
      </c>
      <c r="B93" s="15" t="s">
        <v>23</v>
      </c>
      <c r="C93" s="15" t="s">
        <v>222</v>
      </c>
      <c r="D93" s="15" t="s">
        <v>567</v>
      </c>
      <c r="E93" s="15" t="s">
        <v>568</v>
      </c>
      <c r="F93" s="15" t="s">
        <v>27</v>
      </c>
      <c r="G93" s="15" t="s">
        <v>28</v>
      </c>
      <c r="H93" s="15" t="s">
        <v>569</v>
      </c>
      <c r="I93" s="15" t="s">
        <v>59</v>
      </c>
      <c r="J93" s="15" t="s">
        <v>31</v>
      </c>
      <c r="K93" s="15" t="s">
        <v>122</v>
      </c>
      <c r="L93" s="15" t="s">
        <v>227</v>
      </c>
      <c r="M93" s="15">
        <v>10</v>
      </c>
      <c r="N93" s="15">
        <v>20</v>
      </c>
      <c r="O93" s="15">
        <v>0</v>
      </c>
      <c r="P93" s="15">
        <v>200</v>
      </c>
      <c r="Q93" s="15">
        <v>3</v>
      </c>
      <c r="R93" s="15" t="s">
        <v>34</v>
      </c>
      <c r="S93" s="15" t="s">
        <v>151</v>
      </c>
      <c r="T93" s="15" t="s">
        <v>50</v>
      </c>
      <c r="U93" s="17" t="s">
        <v>570</v>
      </c>
      <c r="V93" s="15" t="s">
        <v>64</v>
      </c>
    </row>
    <row r="94" spans="1:22">
      <c r="A94" s="18" t="s">
        <v>571</v>
      </c>
      <c r="B94" s="18" t="s">
        <v>168</v>
      </c>
      <c r="C94" s="18" t="s">
        <v>24</v>
      </c>
      <c r="D94" s="18" t="s">
        <v>572</v>
      </c>
      <c r="E94" s="18" t="s">
        <v>573</v>
      </c>
      <c r="F94" s="18" t="s">
        <v>361</v>
      </c>
      <c r="G94" s="18" t="s">
        <v>28</v>
      </c>
      <c r="H94" s="18" t="s">
        <v>574</v>
      </c>
      <c r="I94" s="18" t="s">
        <v>44</v>
      </c>
      <c r="J94" s="18" t="s">
        <v>45</v>
      </c>
      <c r="K94" s="18" t="s">
        <v>32</v>
      </c>
      <c r="L94" s="18" t="s">
        <v>33</v>
      </c>
      <c r="M94" s="18">
        <v>18</v>
      </c>
      <c r="N94" s="18">
        <v>2200</v>
      </c>
      <c r="O94" s="18">
        <v>10</v>
      </c>
      <c r="P94" s="18">
        <v>35640</v>
      </c>
      <c r="Q94" s="18">
        <v>3</v>
      </c>
      <c r="R94" s="18" t="s">
        <v>34</v>
      </c>
      <c r="S94" s="18" t="s">
        <v>35</v>
      </c>
      <c r="T94" s="18" t="s">
        <v>175</v>
      </c>
      <c r="U94" s="19" t="s">
        <v>575</v>
      </c>
      <c r="V94" s="18" t="s">
        <v>69</v>
      </c>
    </row>
    <row r="95" spans="1:22">
      <c r="A95" s="15" t="s">
        <v>576</v>
      </c>
      <c r="B95" s="15" t="s">
        <v>327</v>
      </c>
      <c r="C95" s="15" t="s">
        <v>92</v>
      </c>
      <c r="D95" s="15" t="s">
        <v>577</v>
      </c>
      <c r="E95" s="15" t="s">
        <v>578</v>
      </c>
      <c r="F95" s="15" t="s">
        <v>394</v>
      </c>
      <c r="G95" s="15" t="s">
        <v>76</v>
      </c>
      <c r="H95" s="15" t="s">
        <v>579</v>
      </c>
      <c r="I95" s="15" t="s">
        <v>44</v>
      </c>
      <c r="J95" s="15" t="s">
        <v>45</v>
      </c>
      <c r="K95" s="15" t="s">
        <v>32</v>
      </c>
      <c r="L95" s="15" t="s">
        <v>97</v>
      </c>
      <c r="M95" s="15">
        <v>7</v>
      </c>
      <c r="N95" s="15">
        <v>3500</v>
      </c>
      <c r="O95" s="15">
        <v>15</v>
      </c>
      <c r="P95" s="15">
        <v>20825</v>
      </c>
      <c r="Q95" s="15">
        <v>3</v>
      </c>
      <c r="R95" s="15" t="s">
        <v>48</v>
      </c>
      <c r="S95" s="15" t="s">
        <v>49</v>
      </c>
      <c r="T95" s="15" t="s">
        <v>332</v>
      </c>
      <c r="U95" s="17" t="s">
        <v>580</v>
      </c>
      <c r="V95" s="15" t="s">
        <v>38</v>
      </c>
    </row>
    <row r="96" spans="1:22">
      <c r="A96" s="18" t="s">
        <v>581</v>
      </c>
      <c r="B96" s="18" t="s">
        <v>100</v>
      </c>
      <c r="C96" s="18" t="s">
        <v>169</v>
      </c>
      <c r="D96" s="18" t="s">
        <v>582</v>
      </c>
      <c r="E96" s="18" t="s">
        <v>583</v>
      </c>
      <c r="F96" s="18" t="s">
        <v>103</v>
      </c>
      <c r="G96" s="18" t="s">
        <v>28</v>
      </c>
      <c r="H96" s="18" t="s">
        <v>584</v>
      </c>
      <c r="I96" s="18" t="s">
        <v>294</v>
      </c>
      <c r="J96" s="18" t="s">
        <v>295</v>
      </c>
      <c r="K96" s="18" t="s">
        <v>32</v>
      </c>
      <c r="L96" s="18" t="s">
        <v>174</v>
      </c>
      <c r="M96" s="18">
        <v>19</v>
      </c>
      <c r="N96" s="18">
        <v>8500</v>
      </c>
      <c r="O96" s="18">
        <v>15</v>
      </c>
      <c r="P96" s="18">
        <v>137275</v>
      </c>
      <c r="Q96" s="18">
        <v>4</v>
      </c>
      <c r="R96" s="18" t="s">
        <v>79</v>
      </c>
      <c r="S96" s="18" t="s">
        <v>151</v>
      </c>
      <c r="T96" s="18" t="s">
        <v>144</v>
      </c>
      <c r="U96" s="19" t="s">
        <v>585</v>
      </c>
      <c r="V96" s="18" t="s">
        <v>64</v>
      </c>
    </row>
    <row r="97" spans="1:22">
      <c r="A97" s="15" t="s">
        <v>586</v>
      </c>
      <c r="B97" s="15" t="s">
        <v>251</v>
      </c>
      <c r="C97" s="15" t="s">
        <v>40</v>
      </c>
      <c r="D97" s="15" t="s">
        <v>587</v>
      </c>
      <c r="E97" s="15" t="s">
        <v>588</v>
      </c>
      <c r="F97" s="15" t="s">
        <v>254</v>
      </c>
      <c r="G97" s="15" t="s">
        <v>28</v>
      </c>
      <c r="H97" s="15" t="s">
        <v>589</v>
      </c>
      <c r="I97" s="15" t="s">
        <v>138</v>
      </c>
      <c r="J97" s="15" t="s">
        <v>106</v>
      </c>
      <c r="K97" s="15" t="s">
        <v>46</v>
      </c>
      <c r="L97" s="15" t="s">
        <v>47</v>
      </c>
      <c r="M97" s="15">
        <v>13</v>
      </c>
      <c r="N97" s="15">
        <v>12000</v>
      </c>
      <c r="O97" s="15">
        <v>15</v>
      </c>
      <c r="P97" s="15">
        <v>132600</v>
      </c>
      <c r="Q97" s="15">
        <v>4</v>
      </c>
      <c r="R97" s="15" t="s">
        <v>34</v>
      </c>
      <c r="S97" s="15" t="s">
        <v>49</v>
      </c>
      <c r="T97" s="15" t="s">
        <v>256</v>
      </c>
      <c r="U97" s="17" t="s">
        <v>590</v>
      </c>
      <c r="V97" s="15" t="s">
        <v>38</v>
      </c>
    </row>
    <row r="98" spans="1:22">
      <c r="A98" s="18" t="s">
        <v>591</v>
      </c>
      <c r="B98" s="18" t="s">
        <v>327</v>
      </c>
      <c r="C98" s="18" t="s">
        <v>222</v>
      </c>
      <c r="D98" s="18" t="s">
        <v>592</v>
      </c>
      <c r="E98" s="18" t="s">
        <v>398</v>
      </c>
      <c r="F98" s="18" t="s">
        <v>394</v>
      </c>
      <c r="G98" s="18" t="s">
        <v>76</v>
      </c>
      <c r="H98" s="18" t="s">
        <v>593</v>
      </c>
      <c r="I98" s="18" t="s">
        <v>114</v>
      </c>
      <c r="J98" s="18" t="s">
        <v>106</v>
      </c>
      <c r="K98" s="18" t="s">
        <v>122</v>
      </c>
      <c r="L98" s="18" t="s">
        <v>227</v>
      </c>
      <c r="M98" s="18">
        <v>7</v>
      </c>
      <c r="N98" s="18">
        <v>20</v>
      </c>
      <c r="O98" s="18">
        <v>0</v>
      </c>
      <c r="P98" s="18">
        <v>140</v>
      </c>
      <c r="Q98" s="18">
        <v>1</v>
      </c>
      <c r="R98" s="18" t="s">
        <v>79</v>
      </c>
      <c r="S98" s="18" t="s">
        <v>151</v>
      </c>
      <c r="T98" s="18" t="s">
        <v>332</v>
      </c>
      <c r="U98" s="19" t="s">
        <v>594</v>
      </c>
      <c r="V98" s="18" t="s">
        <v>69</v>
      </c>
    </row>
    <row r="99" spans="1:22">
      <c r="A99" s="15" t="s">
        <v>595</v>
      </c>
      <c r="B99" s="15" t="s">
        <v>168</v>
      </c>
      <c r="C99" s="15" t="s">
        <v>184</v>
      </c>
      <c r="D99" s="15" t="s">
        <v>596</v>
      </c>
      <c r="E99" s="15" t="s">
        <v>597</v>
      </c>
      <c r="F99" s="15" t="s">
        <v>361</v>
      </c>
      <c r="G99" s="15" t="s">
        <v>28</v>
      </c>
      <c r="H99" s="15" t="s">
        <v>598</v>
      </c>
      <c r="I99" s="15" t="s">
        <v>44</v>
      </c>
      <c r="J99" s="15" t="s">
        <v>45</v>
      </c>
      <c r="K99" s="15" t="s">
        <v>46</v>
      </c>
      <c r="L99" s="15" t="s">
        <v>189</v>
      </c>
      <c r="M99" s="15">
        <v>5</v>
      </c>
      <c r="N99" s="15">
        <v>700</v>
      </c>
      <c r="O99" s="15">
        <v>15</v>
      </c>
      <c r="P99" s="15">
        <v>999999</v>
      </c>
      <c r="Q99" s="15">
        <v>4</v>
      </c>
      <c r="R99" s="15" t="s">
        <v>79</v>
      </c>
      <c r="S99" s="15" t="s">
        <v>35</v>
      </c>
      <c r="T99" s="15" t="s">
        <v>175</v>
      </c>
      <c r="U99" s="17" t="s">
        <v>599</v>
      </c>
      <c r="V99" s="15" t="s">
        <v>64</v>
      </c>
    </row>
    <row r="100" spans="1:22">
      <c r="A100" s="18" t="s">
        <v>600</v>
      </c>
      <c r="B100" s="18" t="s">
        <v>83</v>
      </c>
      <c r="C100" s="18" t="s">
        <v>259</v>
      </c>
      <c r="D100" s="18" t="s">
        <v>583</v>
      </c>
      <c r="E100" s="18" t="s">
        <v>601</v>
      </c>
      <c r="F100" s="18" t="s">
        <v>180</v>
      </c>
      <c r="G100" s="18" t="s">
        <v>76</v>
      </c>
      <c r="H100" s="18" t="s">
        <v>602</v>
      </c>
      <c r="I100" s="18" t="s">
        <v>59</v>
      </c>
      <c r="J100" s="18" t="s">
        <v>31</v>
      </c>
      <c r="K100" s="18" t="s">
        <v>122</v>
      </c>
      <c r="L100" s="18" t="s">
        <v>263</v>
      </c>
      <c r="M100" s="18">
        <v>9</v>
      </c>
      <c r="N100" s="18">
        <v>45</v>
      </c>
      <c r="O100" s="18">
        <v>5</v>
      </c>
      <c r="P100" s="18">
        <v>384.75</v>
      </c>
      <c r="Q100" s="18">
        <v>3</v>
      </c>
      <c r="R100" s="18" t="s">
        <v>34</v>
      </c>
      <c r="S100" s="18" t="s">
        <v>35</v>
      </c>
      <c r="T100" s="18" t="s">
        <v>89</v>
      </c>
      <c r="U100" s="19" t="s">
        <v>603</v>
      </c>
      <c r="V100" s="18" t="s">
        <v>38</v>
      </c>
    </row>
    <row r="101" spans="1:22">
      <c r="A101" s="15" t="s">
        <v>604</v>
      </c>
      <c r="B101" s="15" t="s">
        <v>127</v>
      </c>
      <c r="C101" s="15" t="s">
        <v>118</v>
      </c>
      <c r="D101" s="15" t="s">
        <v>605</v>
      </c>
      <c r="E101" s="15" t="s">
        <v>606</v>
      </c>
      <c r="F101" s="15" t="s">
        <v>200</v>
      </c>
      <c r="G101" s="15" t="s">
        <v>76</v>
      </c>
      <c r="H101" s="15" t="s">
        <v>607</v>
      </c>
      <c r="I101" s="15" t="s">
        <v>294</v>
      </c>
      <c r="J101" s="15" t="s">
        <v>295</v>
      </c>
      <c r="K101" s="15" t="s">
        <v>122</v>
      </c>
      <c r="L101" s="15" t="s">
        <v>123</v>
      </c>
      <c r="M101" s="15">
        <v>19</v>
      </c>
      <c r="N101" s="15">
        <v>60</v>
      </c>
      <c r="O101" s="15">
        <v>10</v>
      </c>
      <c r="P101" s="15">
        <v>1026</v>
      </c>
      <c r="Q101" s="15">
        <v>5</v>
      </c>
      <c r="R101" s="15" t="s">
        <v>48</v>
      </c>
      <c r="S101" s="15" t="s">
        <v>115</v>
      </c>
      <c r="T101" s="15" t="s">
        <v>132</v>
      </c>
      <c r="U101" s="17" t="s">
        <v>608</v>
      </c>
      <c r="V101" s="15" t="s">
        <v>38</v>
      </c>
    </row>
    <row r="102" spans="1:22">
      <c r="A102" s="18" t="s">
        <v>609</v>
      </c>
      <c r="B102" s="18" t="s">
        <v>327</v>
      </c>
      <c r="C102" s="18" t="s">
        <v>184</v>
      </c>
      <c r="D102" s="18" t="s">
        <v>610</v>
      </c>
      <c r="E102" s="18" t="s">
        <v>611</v>
      </c>
      <c r="F102" s="18" t="s">
        <v>394</v>
      </c>
      <c r="G102" s="18" t="s">
        <v>76</v>
      </c>
      <c r="H102" s="18" t="s">
        <v>612</v>
      </c>
      <c r="I102" s="18" t="s">
        <v>138</v>
      </c>
      <c r="J102" s="18" t="s">
        <v>106</v>
      </c>
      <c r="K102" s="18" t="s">
        <v>46</v>
      </c>
      <c r="L102" s="18" t="s">
        <v>189</v>
      </c>
      <c r="M102" s="18">
        <v>4</v>
      </c>
      <c r="N102" s="18">
        <v>700</v>
      </c>
      <c r="O102" s="18">
        <v>5</v>
      </c>
      <c r="P102" s="18">
        <v>2660</v>
      </c>
      <c r="Q102" s="18">
        <v>3</v>
      </c>
      <c r="R102" s="18" t="s">
        <v>48</v>
      </c>
      <c r="S102" s="18" t="s">
        <v>61</v>
      </c>
      <c r="T102" s="18" t="s">
        <v>332</v>
      </c>
      <c r="U102" s="19" t="s">
        <v>613</v>
      </c>
      <c r="V102" s="18" t="s">
        <v>38</v>
      </c>
    </row>
    <row r="103" spans="1:22">
      <c r="A103" s="15" t="s">
        <v>614</v>
      </c>
      <c r="B103" s="15" t="s">
        <v>327</v>
      </c>
      <c r="C103" s="15" t="s">
        <v>92</v>
      </c>
      <c r="D103" s="15" t="s">
        <v>583</v>
      </c>
      <c r="E103" s="15" t="s">
        <v>615</v>
      </c>
      <c r="F103" s="15" t="s">
        <v>394</v>
      </c>
      <c r="G103" s="15" t="s">
        <v>76</v>
      </c>
      <c r="H103" s="15" t="s">
        <v>616</v>
      </c>
      <c r="I103" s="15" t="s">
        <v>114</v>
      </c>
      <c r="J103" s="15" t="s">
        <v>106</v>
      </c>
      <c r="K103" s="15" t="s">
        <v>32</v>
      </c>
      <c r="L103" s="15" t="s">
        <v>97</v>
      </c>
      <c r="M103" s="15">
        <v>16</v>
      </c>
      <c r="N103" s="15">
        <v>3500</v>
      </c>
      <c r="O103" s="15">
        <v>0</v>
      </c>
      <c r="P103" s="15">
        <v>56000</v>
      </c>
      <c r="Q103" s="15">
        <v>2</v>
      </c>
      <c r="R103" s="15" t="s">
        <v>79</v>
      </c>
      <c r="S103" s="15" t="s">
        <v>49</v>
      </c>
      <c r="T103" s="15" t="s">
        <v>332</v>
      </c>
      <c r="U103" s="17" t="s">
        <v>617</v>
      </c>
      <c r="V103" s="15" t="s">
        <v>38</v>
      </c>
    </row>
    <row r="104" spans="1:22">
      <c r="A104" s="18" t="s">
        <v>618</v>
      </c>
      <c r="B104" s="18" t="s">
        <v>251</v>
      </c>
      <c r="C104" s="18" t="s">
        <v>259</v>
      </c>
      <c r="D104" s="18" t="s">
        <v>619</v>
      </c>
      <c r="E104" s="18" t="s">
        <v>620</v>
      </c>
      <c r="F104" s="18" t="s">
        <v>254</v>
      </c>
      <c r="G104" s="18" t="s">
        <v>28</v>
      </c>
      <c r="H104" s="18" t="s">
        <v>621</v>
      </c>
      <c r="I104" s="18" t="s">
        <v>59</v>
      </c>
      <c r="J104" s="18" t="s">
        <v>31</v>
      </c>
      <c r="K104" s="18" t="s">
        <v>122</v>
      </c>
      <c r="L104" s="18" t="s">
        <v>263</v>
      </c>
      <c r="M104" s="18">
        <v>5</v>
      </c>
      <c r="N104" s="18">
        <v>45</v>
      </c>
      <c r="O104" s="18">
        <v>20</v>
      </c>
      <c r="P104" s="18">
        <v>180</v>
      </c>
      <c r="Q104" s="18">
        <v>3</v>
      </c>
      <c r="R104" s="18" t="s">
        <v>79</v>
      </c>
      <c r="S104" s="18" t="s">
        <v>35</v>
      </c>
      <c r="T104" s="18" t="s">
        <v>256</v>
      </c>
      <c r="U104" s="19" t="s">
        <v>622</v>
      </c>
      <c r="V104" s="18" t="s">
        <v>38</v>
      </c>
    </row>
    <row r="105" spans="1:22">
      <c r="A105" s="15" t="s">
        <v>623</v>
      </c>
      <c r="B105" s="15" t="s">
        <v>83</v>
      </c>
      <c r="C105" s="15" t="s">
        <v>222</v>
      </c>
      <c r="D105" s="15" t="s">
        <v>624</v>
      </c>
      <c r="E105" s="15" t="s">
        <v>525</v>
      </c>
      <c r="F105" s="15" t="s">
        <v>180</v>
      </c>
      <c r="G105" s="15" t="s">
        <v>76</v>
      </c>
      <c r="H105" s="15" t="s">
        <v>625</v>
      </c>
      <c r="I105" s="15" t="s">
        <v>105</v>
      </c>
      <c r="J105" s="15" t="s">
        <v>106</v>
      </c>
      <c r="K105" s="15" t="s">
        <v>122</v>
      </c>
      <c r="L105" s="15" t="s">
        <v>227</v>
      </c>
      <c r="M105" s="15">
        <v>9</v>
      </c>
      <c r="N105" s="15">
        <v>20</v>
      </c>
      <c r="O105" s="15">
        <v>10</v>
      </c>
      <c r="P105" s="15">
        <v>162</v>
      </c>
      <c r="Q105" s="15">
        <v>4</v>
      </c>
      <c r="R105" s="15" t="s">
        <v>79</v>
      </c>
      <c r="S105" s="15" t="s">
        <v>35</v>
      </c>
      <c r="T105" s="15" t="s">
        <v>89</v>
      </c>
      <c r="U105" s="17" t="s">
        <v>626</v>
      </c>
      <c r="V105" s="15" t="s">
        <v>64</v>
      </c>
    </row>
    <row r="106" spans="1:22">
      <c r="A106" s="18" t="s">
        <v>627</v>
      </c>
      <c r="B106" s="18" t="s">
        <v>53</v>
      </c>
      <c r="C106" s="18" t="s">
        <v>72</v>
      </c>
      <c r="D106" s="18" t="s">
        <v>628</v>
      </c>
      <c r="E106" s="18" t="s">
        <v>431</v>
      </c>
      <c r="F106" s="18" t="s">
        <v>163</v>
      </c>
      <c r="G106" s="18" t="s">
        <v>28</v>
      </c>
      <c r="H106" s="18" t="s">
        <v>629</v>
      </c>
      <c r="I106" s="18" t="s">
        <v>44</v>
      </c>
      <c r="J106" s="18" t="s">
        <v>45</v>
      </c>
      <c r="K106" s="18" t="s">
        <v>46</v>
      </c>
      <c r="L106" s="18" t="s">
        <v>78</v>
      </c>
      <c r="M106" s="18">
        <v>9</v>
      </c>
      <c r="N106" s="18">
        <v>1200</v>
      </c>
      <c r="O106" s="18">
        <v>5</v>
      </c>
      <c r="P106" s="18">
        <v>10260</v>
      </c>
      <c r="Q106" s="18">
        <v>3</v>
      </c>
      <c r="R106" s="18" t="s">
        <v>88</v>
      </c>
      <c r="S106" s="18" t="s">
        <v>35</v>
      </c>
      <c r="T106" s="18" t="s">
        <v>62</v>
      </c>
      <c r="U106" s="19" t="s">
        <v>630</v>
      </c>
      <c r="V106" s="18" t="s">
        <v>64</v>
      </c>
    </row>
    <row r="107" spans="1:22">
      <c r="A107" s="15" t="s">
        <v>631</v>
      </c>
      <c r="B107" s="15" t="s">
        <v>100</v>
      </c>
      <c r="C107" s="15" t="s">
        <v>92</v>
      </c>
      <c r="D107" s="15" t="s">
        <v>387</v>
      </c>
      <c r="E107" s="15" t="s">
        <v>632</v>
      </c>
      <c r="F107" s="15" t="s">
        <v>103</v>
      </c>
      <c r="G107" s="15" t="s">
        <v>28</v>
      </c>
      <c r="H107" s="15" t="s">
        <v>633</v>
      </c>
      <c r="I107" s="15" t="s">
        <v>44</v>
      </c>
      <c r="J107" s="15" t="s">
        <v>45</v>
      </c>
      <c r="K107" s="15" t="s">
        <v>32</v>
      </c>
      <c r="L107" s="15" t="s">
        <v>97</v>
      </c>
      <c r="M107" s="15">
        <v>3</v>
      </c>
      <c r="N107" s="15">
        <v>3500</v>
      </c>
      <c r="O107" s="15">
        <v>10</v>
      </c>
      <c r="P107" s="15">
        <v>9450</v>
      </c>
      <c r="Q107" s="15">
        <v>2</v>
      </c>
      <c r="R107" s="15" t="s">
        <v>79</v>
      </c>
      <c r="S107" s="15" t="s">
        <v>151</v>
      </c>
      <c r="T107" s="15" t="s">
        <v>144</v>
      </c>
      <c r="U107" s="17" t="s">
        <v>634</v>
      </c>
      <c r="V107" s="15" t="s">
        <v>69</v>
      </c>
    </row>
    <row r="108" spans="1:22">
      <c r="A108" s="18" t="s">
        <v>635</v>
      </c>
      <c r="B108" s="18" t="s">
        <v>221</v>
      </c>
      <c r="C108" s="18" t="s">
        <v>72</v>
      </c>
      <c r="D108" s="18" t="s">
        <v>241</v>
      </c>
      <c r="E108" s="18" t="s">
        <v>636</v>
      </c>
      <c r="F108" s="18" t="s">
        <v>225</v>
      </c>
      <c r="G108" s="18" t="s">
        <v>76</v>
      </c>
      <c r="H108" s="18" t="s">
        <v>637</v>
      </c>
      <c r="I108" s="18" t="s">
        <v>105</v>
      </c>
      <c r="J108" s="18" t="s">
        <v>106</v>
      </c>
      <c r="K108" s="18" t="s">
        <v>46</v>
      </c>
      <c r="L108" s="18" t="s">
        <v>78</v>
      </c>
      <c r="M108" s="18">
        <v>6</v>
      </c>
      <c r="N108" s="18">
        <v>1200</v>
      </c>
      <c r="O108" s="18">
        <v>15</v>
      </c>
      <c r="P108" s="18">
        <v>6120</v>
      </c>
      <c r="Q108" s="18">
        <v>4</v>
      </c>
      <c r="R108" s="18" t="s">
        <v>88</v>
      </c>
      <c r="S108" s="18" t="s">
        <v>35</v>
      </c>
      <c r="T108" s="18" t="s">
        <v>228</v>
      </c>
      <c r="U108" s="19" t="s">
        <v>638</v>
      </c>
      <c r="V108" s="18" t="s">
        <v>69</v>
      </c>
    </row>
    <row r="109" spans="1:22">
      <c r="A109" s="15" t="s">
        <v>639</v>
      </c>
      <c r="B109" s="15" t="s">
        <v>83</v>
      </c>
      <c r="C109" s="15" t="s">
        <v>72</v>
      </c>
      <c r="D109" s="15" t="s">
        <v>640</v>
      </c>
      <c r="E109" s="15" t="s">
        <v>641</v>
      </c>
      <c r="F109" s="15" t="s">
        <v>180</v>
      </c>
      <c r="G109" s="15" t="s">
        <v>76</v>
      </c>
      <c r="H109" s="15" t="s">
        <v>642</v>
      </c>
      <c r="I109" s="15" t="s">
        <v>212</v>
      </c>
      <c r="J109" s="15" t="s">
        <v>45</v>
      </c>
      <c r="K109" s="15" t="s">
        <v>46</v>
      </c>
      <c r="L109" s="15" t="s">
        <v>78</v>
      </c>
      <c r="M109" s="15">
        <v>17</v>
      </c>
      <c r="N109" s="15">
        <v>1200</v>
      </c>
      <c r="O109" s="15">
        <v>15</v>
      </c>
      <c r="P109" s="15">
        <v>17340</v>
      </c>
      <c r="Q109" s="15">
        <v>1</v>
      </c>
      <c r="R109" s="15" t="s">
        <v>34</v>
      </c>
      <c r="S109" s="15" t="s">
        <v>61</v>
      </c>
      <c r="T109" s="15" t="s">
        <v>89</v>
      </c>
      <c r="U109" s="17" t="s">
        <v>643</v>
      </c>
      <c r="V109" s="15" t="s">
        <v>38</v>
      </c>
    </row>
    <row r="110" spans="1:22">
      <c r="A110" s="18" t="s">
        <v>644</v>
      </c>
      <c r="B110" s="18" t="s">
        <v>221</v>
      </c>
      <c r="C110" s="18" t="s">
        <v>169</v>
      </c>
      <c r="D110" s="18" t="s">
        <v>645</v>
      </c>
      <c r="E110" s="18" t="s">
        <v>287</v>
      </c>
      <c r="F110" s="18" t="s">
        <v>225</v>
      </c>
      <c r="G110" s="18" t="s">
        <v>76</v>
      </c>
      <c r="H110" s="18" t="s">
        <v>646</v>
      </c>
      <c r="I110" s="18" t="s">
        <v>59</v>
      </c>
      <c r="J110" s="18" t="s">
        <v>31</v>
      </c>
      <c r="K110" s="18" t="s">
        <v>32</v>
      </c>
      <c r="L110" s="18" t="s">
        <v>174</v>
      </c>
      <c r="M110" s="18">
        <v>15</v>
      </c>
      <c r="N110" s="18">
        <v>8500</v>
      </c>
      <c r="O110" s="18">
        <v>0</v>
      </c>
      <c r="P110" s="18">
        <v>127500</v>
      </c>
      <c r="Q110" s="18">
        <v>3</v>
      </c>
      <c r="R110" s="18" t="s">
        <v>34</v>
      </c>
      <c r="S110" s="18" t="s">
        <v>115</v>
      </c>
      <c r="T110" s="18" t="s">
        <v>228</v>
      </c>
      <c r="U110" s="19" t="s">
        <v>647</v>
      </c>
      <c r="V110" s="18" t="s">
        <v>64</v>
      </c>
    </row>
    <row r="111" spans="1:22">
      <c r="A111" s="15" t="s">
        <v>648</v>
      </c>
      <c r="B111" s="15" t="s">
        <v>127</v>
      </c>
      <c r="C111" s="15" t="s">
        <v>72</v>
      </c>
      <c r="D111" s="15" t="s">
        <v>101</v>
      </c>
      <c r="E111" s="15" t="s">
        <v>102</v>
      </c>
      <c r="F111" s="15" t="s">
        <v>200</v>
      </c>
      <c r="G111" s="15" t="s">
        <v>76</v>
      </c>
      <c r="H111" s="15" t="s">
        <v>649</v>
      </c>
      <c r="I111" s="15" t="s">
        <v>30</v>
      </c>
      <c r="J111" s="15" t="s">
        <v>31</v>
      </c>
      <c r="K111" s="15" t="s">
        <v>46</v>
      </c>
      <c r="L111" s="15" t="s">
        <v>78</v>
      </c>
      <c r="M111" s="15">
        <v>1</v>
      </c>
      <c r="N111" s="15">
        <v>1200</v>
      </c>
      <c r="O111" s="15">
        <v>20</v>
      </c>
      <c r="P111" s="15">
        <v>960</v>
      </c>
      <c r="Q111" s="15">
        <v>1</v>
      </c>
      <c r="R111" s="15" t="s">
        <v>88</v>
      </c>
      <c r="S111" s="15" t="s">
        <v>115</v>
      </c>
      <c r="T111" s="15" t="s">
        <v>132</v>
      </c>
      <c r="U111" s="17" t="s">
        <v>650</v>
      </c>
      <c r="V111" s="15" t="s">
        <v>64</v>
      </c>
    </row>
    <row r="112" spans="1:22">
      <c r="A112" s="18" t="s">
        <v>651</v>
      </c>
      <c r="B112" s="18" t="s">
        <v>127</v>
      </c>
      <c r="C112" s="18" t="s">
        <v>169</v>
      </c>
      <c r="D112" s="18" t="s">
        <v>652</v>
      </c>
      <c r="E112" s="18" t="s">
        <v>539</v>
      </c>
      <c r="F112" s="18" t="s">
        <v>200</v>
      </c>
      <c r="G112" s="18" t="s">
        <v>76</v>
      </c>
      <c r="H112" s="18" t="s">
        <v>653</v>
      </c>
      <c r="I112" s="18" t="s">
        <v>294</v>
      </c>
      <c r="J112" s="18" t="s">
        <v>295</v>
      </c>
      <c r="K112" s="18" t="s">
        <v>32</v>
      </c>
      <c r="L112" s="18" t="s">
        <v>174</v>
      </c>
      <c r="M112" s="18">
        <v>5</v>
      </c>
      <c r="N112" s="18">
        <v>8500</v>
      </c>
      <c r="O112" s="18">
        <v>10</v>
      </c>
      <c r="P112" s="18">
        <v>38250</v>
      </c>
      <c r="Q112" s="18">
        <v>1</v>
      </c>
      <c r="R112" s="18" t="s">
        <v>79</v>
      </c>
      <c r="S112" s="18" t="s">
        <v>61</v>
      </c>
      <c r="T112" s="18" t="s">
        <v>132</v>
      </c>
      <c r="U112" s="19" t="s">
        <v>654</v>
      </c>
      <c r="V112" s="18" t="s">
        <v>38</v>
      </c>
    </row>
    <row r="113" spans="1:22">
      <c r="A113" s="15" t="s">
        <v>655</v>
      </c>
      <c r="B113" s="15" t="s">
        <v>53</v>
      </c>
      <c r="C113" s="15" t="s">
        <v>259</v>
      </c>
      <c r="D113" s="15" t="s">
        <v>656</v>
      </c>
      <c r="E113" s="15" t="s">
        <v>657</v>
      </c>
      <c r="F113" s="15" t="s">
        <v>163</v>
      </c>
      <c r="G113" s="15" t="s">
        <v>28</v>
      </c>
      <c r="H113" s="15" t="s">
        <v>658</v>
      </c>
      <c r="I113" s="15" t="s">
        <v>30</v>
      </c>
      <c r="J113" s="15" t="s">
        <v>31</v>
      </c>
      <c r="K113" s="15" t="s">
        <v>122</v>
      </c>
      <c r="L113" s="15" t="s">
        <v>263</v>
      </c>
      <c r="M113" s="15">
        <v>12</v>
      </c>
      <c r="N113" s="15">
        <v>45</v>
      </c>
      <c r="O113" s="15">
        <v>5</v>
      </c>
      <c r="P113" s="15">
        <v>513</v>
      </c>
      <c r="Q113" s="15">
        <v>2</v>
      </c>
      <c r="R113" s="15" t="s">
        <v>48</v>
      </c>
      <c r="S113" s="15" t="s">
        <v>35</v>
      </c>
      <c r="T113" s="15" t="s">
        <v>62</v>
      </c>
      <c r="U113" s="17" t="s">
        <v>659</v>
      </c>
      <c r="V113" s="15" t="s">
        <v>69</v>
      </c>
    </row>
    <row r="114" spans="1:22">
      <c r="A114" s="18" t="s">
        <v>660</v>
      </c>
      <c r="B114" s="18" t="s">
        <v>221</v>
      </c>
      <c r="C114" s="18" t="s">
        <v>118</v>
      </c>
      <c r="D114" s="18" t="s">
        <v>341</v>
      </c>
      <c r="E114" s="18" t="s">
        <v>661</v>
      </c>
      <c r="F114" s="18" t="s">
        <v>225</v>
      </c>
      <c r="G114" s="18" t="s">
        <v>76</v>
      </c>
      <c r="H114" s="18" t="s">
        <v>662</v>
      </c>
      <c r="I114" s="18" t="s">
        <v>114</v>
      </c>
      <c r="J114" s="18" t="s">
        <v>106</v>
      </c>
      <c r="K114" s="18" t="s">
        <v>122</v>
      </c>
      <c r="L114" s="18" t="s">
        <v>123</v>
      </c>
      <c r="M114" s="18">
        <v>5</v>
      </c>
      <c r="N114" s="18">
        <v>60</v>
      </c>
      <c r="O114" s="18">
        <v>5</v>
      </c>
      <c r="P114" s="18">
        <v>285</v>
      </c>
      <c r="Q114" s="18">
        <v>2</v>
      </c>
      <c r="R114" s="18" t="s">
        <v>34</v>
      </c>
      <c r="S114" s="18" t="s">
        <v>61</v>
      </c>
      <c r="T114" s="18" t="s">
        <v>228</v>
      </c>
      <c r="U114" s="19" t="s">
        <v>663</v>
      </c>
      <c r="V114" s="18" t="s">
        <v>38</v>
      </c>
    </row>
    <row r="115" spans="1:22">
      <c r="A115" s="15" t="s">
        <v>664</v>
      </c>
      <c r="B115" s="15" t="s">
        <v>53</v>
      </c>
      <c r="C115" s="15" t="s">
        <v>184</v>
      </c>
      <c r="D115" s="15" t="s">
        <v>665</v>
      </c>
      <c r="E115" s="15" t="s">
        <v>666</v>
      </c>
      <c r="F115" s="15" t="s">
        <v>163</v>
      </c>
      <c r="G115" s="15" t="s">
        <v>28</v>
      </c>
      <c r="H115" s="15" t="s">
        <v>667</v>
      </c>
      <c r="I115" s="15" t="s">
        <v>294</v>
      </c>
      <c r="J115" s="15" t="s">
        <v>295</v>
      </c>
      <c r="K115" s="15" t="s">
        <v>46</v>
      </c>
      <c r="L115" s="15" t="s">
        <v>189</v>
      </c>
      <c r="M115" s="15">
        <v>3</v>
      </c>
      <c r="N115" s="15">
        <v>700</v>
      </c>
      <c r="O115" s="15">
        <v>0</v>
      </c>
      <c r="P115" s="15">
        <v>2100</v>
      </c>
      <c r="Q115" s="15">
        <v>4</v>
      </c>
      <c r="R115" s="15" t="s">
        <v>79</v>
      </c>
      <c r="S115" s="15" t="s">
        <v>61</v>
      </c>
      <c r="T115" s="15" t="s">
        <v>62</v>
      </c>
      <c r="U115" s="17" t="s">
        <v>668</v>
      </c>
      <c r="V115" s="15" t="s">
        <v>38</v>
      </c>
    </row>
    <row r="116" spans="1:22">
      <c r="A116" s="18" t="s">
        <v>669</v>
      </c>
      <c r="B116" s="18" t="s">
        <v>168</v>
      </c>
      <c r="C116" s="18" t="s">
        <v>222</v>
      </c>
      <c r="D116" s="18" t="s">
        <v>335</v>
      </c>
      <c r="E116" s="18" t="s">
        <v>606</v>
      </c>
      <c r="F116" s="18" t="s">
        <v>361</v>
      </c>
      <c r="G116" s="18" t="s">
        <v>28</v>
      </c>
      <c r="H116" s="18" t="s">
        <v>670</v>
      </c>
      <c r="I116" s="18" t="s">
        <v>44</v>
      </c>
      <c r="J116" s="18" t="s">
        <v>45</v>
      </c>
      <c r="K116" s="18" t="s">
        <v>122</v>
      </c>
      <c r="L116" s="18" t="s">
        <v>227</v>
      </c>
      <c r="M116" s="18">
        <v>6</v>
      </c>
      <c r="N116" s="18">
        <v>20</v>
      </c>
      <c r="O116" s="18">
        <v>15</v>
      </c>
      <c r="P116" s="18">
        <v>102</v>
      </c>
      <c r="Q116" s="18">
        <v>5</v>
      </c>
      <c r="R116" s="18" t="s">
        <v>79</v>
      </c>
      <c r="S116" s="18" t="s">
        <v>151</v>
      </c>
      <c r="T116" s="18" t="s">
        <v>175</v>
      </c>
      <c r="U116" s="19" t="s">
        <v>671</v>
      </c>
      <c r="V116" s="18" t="s">
        <v>38</v>
      </c>
    </row>
    <row r="117" spans="1:22">
      <c r="A117" s="15" t="s">
        <v>672</v>
      </c>
      <c r="B117" s="15" t="s">
        <v>100</v>
      </c>
      <c r="C117" s="15" t="s">
        <v>184</v>
      </c>
      <c r="D117" s="15" t="s">
        <v>673</v>
      </c>
      <c r="E117" s="15" t="s">
        <v>674</v>
      </c>
      <c r="F117" s="15" t="s">
        <v>103</v>
      </c>
      <c r="G117" s="15" t="s">
        <v>28</v>
      </c>
      <c r="H117" s="15" t="s">
        <v>675</v>
      </c>
      <c r="I117" s="15" t="s">
        <v>59</v>
      </c>
      <c r="J117" s="15" t="s">
        <v>31</v>
      </c>
      <c r="K117" s="15" t="s">
        <v>46</v>
      </c>
      <c r="L117" s="15" t="s">
        <v>189</v>
      </c>
      <c r="M117" s="15">
        <v>2</v>
      </c>
      <c r="N117" s="15">
        <v>700</v>
      </c>
      <c r="O117" s="15">
        <v>15</v>
      </c>
      <c r="P117" s="15">
        <v>1190</v>
      </c>
      <c r="Q117" s="15">
        <v>4</v>
      </c>
      <c r="R117" s="15" t="s">
        <v>34</v>
      </c>
      <c r="S117" s="15" t="s">
        <v>151</v>
      </c>
      <c r="T117" s="15" t="s">
        <v>144</v>
      </c>
      <c r="U117" s="17" t="s">
        <v>676</v>
      </c>
      <c r="V117" s="15" t="s">
        <v>64</v>
      </c>
    </row>
    <row r="118" spans="1:22">
      <c r="A118" s="18" t="s">
        <v>677</v>
      </c>
      <c r="B118" s="18" t="s">
        <v>327</v>
      </c>
      <c r="C118" s="18" t="s">
        <v>259</v>
      </c>
      <c r="D118" s="18" t="s">
        <v>678</v>
      </c>
      <c r="E118" s="18" t="s">
        <v>679</v>
      </c>
      <c r="F118" s="18" t="s">
        <v>394</v>
      </c>
      <c r="G118" s="18" t="s">
        <v>76</v>
      </c>
      <c r="H118" s="18" t="s">
        <v>680</v>
      </c>
      <c r="I118" s="18" t="s">
        <v>114</v>
      </c>
      <c r="J118" s="18" t="s">
        <v>106</v>
      </c>
      <c r="K118" s="18" t="s">
        <v>122</v>
      </c>
      <c r="L118" s="18" t="s">
        <v>263</v>
      </c>
      <c r="M118" s="18">
        <v>16</v>
      </c>
      <c r="N118" s="18">
        <v>45</v>
      </c>
      <c r="O118" s="18">
        <v>0</v>
      </c>
      <c r="P118" s="18">
        <v>720</v>
      </c>
      <c r="Q118" s="18">
        <v>1</v>
      </c>
      <c r="R118" s="18" t="s">
        <v>48</v>
      </c>
      <c r="S118" s="18" t="s">
        <v>61</v>
      </c>
      <c r="T118" s="18" t="s">
        <v>332</v>
      </c>
      <c r="U118" s="19" t="s">
        <v>681</v>
      </c>
      <c r="V118" s="18" t="s">
        <v>38</v>
      </c>
    </row>
    <row r="119" spans="1:22">
      <c r="A119" s="15" t="s">
        <v>682</v>
      </c>
      <c r="B119" s="15" t="s">
        <v>71</v>
      </c>
      <c r="C119" s="15" t="s">
        <v>72</v>
      </c>
      <c r="D119" s="15" t="s">
        <v>683</v>
      </c>
      <c r="E119" s="15" t="s">
        <v>684</v>
      </c>
      <c r="F119" s="15" t="s">
        <v>217</v>
      </c>
      <c r="G119" s="15" t="s">
        <v>76</v>
      </c>
      <c r="H119" s="15" t="s">
        <v>685</v>
      </c>
      <c r="I119" s="15" t="s">
        <v>138</v>
      </c>
      <c r="J119" s="15" t="s">
        <v>106</v>
      </c>
      <c r="K119" s="15" t="s">
        <v>46</v>
      </c>
      <c r="L119" s="15" t="s">
        <v>78</v>
      </c>
      <c r="M119" s="15" t="s">
        <v>686</v>
      </c>
      <c r="N119" s="15">
        <v>1200</v>
      </c>
      <c r="O119" s="15">
        <v>15</v>
      </c>
      <c r="P119" s="15">
        <v>7140</v>
      </c>
      <c r="Q119" s="15">
        <v>4</v>
      </c>
      <c r="R119" s="15" t="s">
        <v>88</v>
      </c>
      <c r="S119" s="15" t="s">
        <v>151</v>
      </c>
      <c r="T119" s="15" t="s">
        <v>80</v>
      </c>
      <c r="U119" s="17" t="s">
        <v>687</v>
      </c>
      <c r="V119" s="15" t="s">
        <v>64</v>
      </c>
    </row>
    <row r="120" spans="1:22">
      <c r="A120" s="18" t="s">
        <v>688</v>
      </c>
      <c r="B120" s="18" t="s">
        <v>100</v>
      </c>
      <c r="C120" s="18" t="s">
        <v>40</v>
      </c>
      <c r="D120" s="18" t="s">
        <v>376</v>
      </c>
      <c r="E120" s="18" t="s">
        <v>469</v>
      </c>
      <c r="F120" s="18" t="s">
        <v>103</v>
      </c>
      <c r="G120" s="18" t="s">
        <v>28</v>
      </c>
      <c r="H120" s="18" t="s">
        <v>689</v>
      </c>
      <c r="I120" s="18" t="s">
        <v>212</v>
      </c>
      <c r="J120" s="18" t="s">
        <v>45</v>
      </c>
      <c r="K120" s="18" t="s">
        <v>46</v>
      </c>
      <c r="L120" s="18" t="s">
        <v>47</v>
      </c>
      <c r="M120" s="18">
        <v>14</v>
      </c>
      <c r="N120" s="18">
        <v>12000</v>
      </c>
      <c r="O120" s="18">
        <v>15</v>
      </c>
      <c r="P120" s="18">
        <v>142800</v>
      </c>
      <c r="Q120" s="18">
        <v>2</v>
      </c>
      <c r="R120" s="18" t="s">
        <v>48</v>
      </c>
      <c r="S120" s="18" t="s">
        <v>61</v>
      </c>
      <c r="T120" s="18" t="s">
        <v>144</v>
      </c>
      <c r="U120" s="19" t="s">
        <v>690</v>
      </c>
      <c r="V120" s="18" t="s">
        <v>64</v>
      </c>
    </row>
    <row r="121" spans="1:22">
      <c r="A121" s="15" t="s">
        <v>691</v>
      </c>
      <c r="B121" s="15" t="s">
        <v>127</v>
      </c>
      <c r="C121" s="15" t="s">
        <v>169</v>
      </c>
      <c r="D121" s="15" t="s">
        <v>454</v>
      </c>
      <c r="E121" s="15" t="s">
        <v>692</v>
      </c>
      <c r="F121" s="15" t="s">
        <v>200</v>
      </c>
      <c r="G121" s="15" t="s">
        <v>76</v>
      </c>
      <c r="H121" s="15" t="s">
        <v>693</v>
      </c>
      <c r="I121" s="15" t="s">
        <v>114</v>
      </c>
      <c r="J121" s="15" t="s">
        <v>106</v>
      </c>
      <c r="K121" s="15" t="s">
        <v>32</v>
      </c>
      <c r="L121" s="15" t="s">
        <v>174</v>
      </c>
      <c r="M121" s="15">
        <v>8</v>
      </c>
      <c r="N121" s="15">
        <v>8500</v>
      </c>
      <c r="O121" s="15">
        <v>20</v>
      </c>
      <c r="P121" s="15">
        <v>54400</v>
      </c>
      <c r="Q121" s="15">
        <v>3</v>
      </c>
      <c r="R121" s="15" t="s">
        <v>79</v>
      </c>
      <c r="S121" s="15" t="s">
        <v>49</v>
      </c>
      <c r="T121" s="15" t="s">
        <v>132</v>
      </c>
      <c r="U121" s="17" t="s">
        <v>694</v>
      </c>
      <c r="V121" s="15" t="s">
        <v>38</v>
      </c>
    </row>
    <row r="122" spans="1:22">
      <c r="A122" s="18" t="s">
        <v>695</v>
      </c>
      <c r="B122" s="18" t="s">
        <v>83</v>
      </c>
      <c r="C122" s="18" t="s">
        <v>259</v>
      </c>
      <c r="D122" s="18" t="s">
        <v>110</v>
      </c>
      <c r="E122" s="18" t="s">
        <v>313</v>
      </c>
      <c r="F122" s="18" t="s">
        <v>180</v>
      </c>
      <c r="G122" s="18" t="s">
        <v>76</v>
      </c>
      <c r="H122" s="18" t="s">
        <v>696</v>
      </c>
      <c r="I122" s="18" t="s">
        <v>59</v>
      </c>
      <c r="J122" s="18" t="s">
        <v>31</v>
      </c>
      <c r="K122" s="18" t="s">
        <v>122</v>
      </c>
      <c r="L122" s="18" t="s">
        <v>263</v>
      </c>
      <c r="M122" s="18">
        <v>3</v>
      </c>
      <c r="N122" s="18">
        <v>45</v>
      </c>
      <c r="O122" s="18">
        <v>0</v>
      </c>
      <c r="P122" s="18">
        <v>135</v>
      </c>
      <c r="Q122" s="18">
        <v>4</v>
      </c>
      <c r="R122" s="18" t="s">
        <v>88</v>
      </c>
      <c r="S122" s="18" t="s">
        <v>61</v>
      </c>
      <c r="T122" s="18" t="s">
        <v>89</v>
      </c>
      <c r="U122" s="19" t="s">
        <v>697</v>
      </c>
      <c r="V122" s="18" t="s">
        <v>69</v>
      </c>
    </row>
    <row r="123" spans="1:22">
      <c r="A123" s="15" t="s">
        <v>698</v>
      </c>
      <c r="B123" s="15" t="s">
        <v>327</v>
      </c>
      <c r="C123" s="15" t="s">
        <v>184</v>
      </c>
      <c r="D123" s="15" t="s">
        <v>464</v>
      </c>
      <c r="E123" s="15" t="s">
        <v>84</v>
      </c>
      <c r="F123" s="15" t="s">
        <v>394</v>
      </c>
      <c r="G123" s="15" t="s">
        <v>76</v>
      </c>
      <c r="H123" s="15" t="s">
        <v>699</v>
      </c>
      <c r="I123" s="15" t="s">
        <v>212</v>
      </c>
      <c r="J123" s="15" t="s">
        <v>45</v>
      </c>
      <c r="K123" s="15" t="s">
        <v>46</v>
      </c>
      <c r="L123" s="15" t="s">
        <v>189</v>
      </c>
      <c r="M123" s="15">
        <v>13</v>
      </c>
      <c r="N123" s="15">
        <v>700</v>
      </c>
      <c r="O123" s="15">
        <v>5</v>
      </c>
      <c r="P123" s="15">
        <v>8645</v>
      </c>
      <c r="Q123" s="15">
        <v>3</v>
      </c>
      <c r="R123" s="15" t="s">
        <v>79</v>
      </c>
      <c r="S123" s="15" t="s">
        <v>115</v>
      </c>
      <c r="T123" s="15" t="s">
        <v>332</v>
      </c>
      <c r="U123" s="17" t="s">
        <v>700</v>
      </c>
      <c r="V123" s="15" t="s">
        <v>64</v>
      </c>
    </row>
    <row r="124" spans="1:22">
      <c r="A124" s="18" t="s">
        <v>701</v>
      </c>
      <c r="B124" s="18" t="s">
        <v>168</v>
      </c>
      <c r="C124" s="18" t="s">
        <v>72</v>
      </c>
      <c r="D124" s="18" t="s">
        <v>702</v>
      </c>
      <c r="E124" s="18" t="s">
        <v>703</v>
      </c>
      <c r="F124" s="18" t="s">
        <v>361</v>
      </c>
      <c r="G124" s="18" t="s">
        <v>28</v>
      </c>
      <c r="H124" s="18" t="s">
        <v>704</v>
      </c>
      <c r="I124" s="18" t="s">
        <v>105</v>
      </c>
      <c r="J124" s="18" t="s">
        <v>106</v>
      </c>
      <c r="K124" s="18" t="s">
        <v>46</v>
      </c>
      <c r="L124" s="18" t="s">
        <v>78</v>
      </c>
      <c r="M124" s="18">
        <v>14</v>
      </c>
      <c r="N124" s="18">
        <v>1200</v>
      </c>
      <c r="O124" s="18">
        <v>20</v>
      </c>
      <c r="P124" s="18">
        <v>13440</v>
      </c>
      <c r="Q124" s="18">
        <v>5</v>
      </c>
      <c r="R124" s="18" t="s">
        <v>48</v>
      </c>
      <c r="S124" s="18" t="s">
        <v>61</v>
      </c>
      <c r="T124" s="18" t="s">
        <v>175</v>
      </c>
      <c r="U124" s="19" t="s">
        <v>705</v>
      </c>
      <c r="V124" s="18" t="s">
        <v>38</v>
      </c>
    </row>
    <row r="125" spans="1:22">
      <c r="A125" s="15" t="s">
        <v>706</v>
      </c>
      <c r="B125" s="15" t="s">
        <v>100</v>
      </c>
      <c r="C125" s="15" t="s">
        <v>259</v>
      </c>
      <c r="D125" s="15" t="s">
        <v>597</v>
      </c>
      <c r="E125" s="15" t="s">
        <v>707</v>
      </c>
      <c r="F125" s="15" t="s">
        <v>103</v>
      </c>
      <c r="G125" s="15" t="s">
        <v>28</v>
      </c>
      <c r="H125" s="15" t="s">
        <v>708</v>
      </c>
      <c r="I125" s="15" t="s">
        <v>44</v>
      </c>
      <c r="J125" s="15" t="s">
        <v>45</v>
      </c>
      <c r="K125" s="15" t="s">
        <v>122</v>
      </c>
      <c r="L125" s="15" t="s">
        <v>263</v>
      </c>
      <c r="M125" s="15">
        <v>2</v>
      </c>
      <c r="N125" s="15">
        <v>45</v>
      </c>
      <c r="O125" s="15">
        <v>5</v>
      </c>
      <c r="P125" s="15">
        <v>85.5</v>
      </c>
      <c r="Q125" s="15">
        <v>3</v>
      </c>
      <c r="R125" s="15" t="s">
        <v>88</v>
      </c>
      <c r="S125" s="15" t="s">
        <v>35</v>
      </c>
      <c r="T125" s="15" t="s">
        <v>144</v>
      </c>
      <c r="U125" s="17" t="s">
        <v>709</v>
      </c>
      <c r="V125" s="15" t="s">
        <v>69</v>
      </c>
    </row>
    <row r="126" spans="1:22">
      <c r="A126" s="18" t="s">
        <v>710</v>
      </c>
      <c r="B126" s="18" t="s">
        <v>168</v>
      </c>
      <c r="C126" s="18" t="s">
        <v>72</v>
      </c>
      <c r="D126" s="18" t="s">
        <v>711</v>
      </c>
      <c r="E126" s="18" t="s">
        <v>712</v>
      </c>
      <c r="F126" s="18" t="s">
        <v>361</v>
      </c>
      <c r="G126" s="18" t="s">
        <v>28</v>
      </c>
      <c r="H126" s="18" t="s">
        <v>713</v>
      </c>
      <c r="I126" s="18" t="s">
        <v>59</v>
      </c>
      <c r="J126" s="18" t="s">
        <v>31</v>
      </c>
      <c r="K126" s="18" t="s">
        <v>46</v>
      </c>
      <c r="L126" s="18" t="s">
        <v>78</v>
      </c>
      <c r="M126" s="18">
        <v>2</v>
      </c>
      <c r="N126" s="18">
        <v>1200</v>
      </c>
      <c r="O126" s="18">
        <v>20</v>
      </c>
      <c r="P126" s="18">
        <v>1920</v>
      </c>
      <c r="Q126" s="18">
        <v>3</v>
      </c>
      <c r="R126" s="18" t="s">
        <v>79</v>
      </c>
      <c r="S126" s="18" t="s">
        <v>115</v>
      </c>
      <c r="T126" s="18" t="s">
        <v>175</v>
      </c>
      <c r="U126" s="19" t="s">
        <v>714</v>
      </c>
      <c r="V126" s="18" t="s">
        <v>38</v>
      </c>
    </row>
    <row r="127" spans="1:22">
      <c r="A127" s="15" t="s">
        <v>715</v>
      </c>
      <c r="B127" s="15" t="s">
        <v>127</v>
      </c>
      <c r="C127" s="15" t="s">
        <v>54</v>
      </c>
      <c r="D127" s="15" t="s">
        <v>224</v>
      </c>
      <c r="E127" s="15" t="s">
        <v>716</v>
      </c>
      <c r="F127" s="15" t="s">
        <v>200</v>
      </c>
      <c r="G127" s="15" t="s">
        <v>76</v>
      </c>
      <c r="H127" s="15" t="s">
        <v>717</v>
      </c>
      <c r="I127" s="15" t="s">
        <v>59</v>
      </c>
      <c r="J127" s="15" t="s">
        <v>31</v>
      </c>
      <c r="K127" s="15" t="s">
        <v>46</v>
      </c>
      <c r="L127" s="15" t="s">
        <v>60</v>
      </c>
      <c r="M127" s="15">
        <v>10</v>
      </c>
      <c r="N127" s="15">
        <v>55000</v>
      </c>
      <c r="O127" s="15">
        <v>5</v>
      </c>
      <c r="P127" s="15">
        <v>522500</v>
      </c>
      <c r="Q127" s="15">
        <v>5</v>
      </c>
      <c r="R127" s="15" t="s">
        <v>88</v>
      </c>
      <c r="S127" s="15" t="s">
        <v>61</v>
      </c>
      <c r="T127" s="15" t="s">
        <v>132</v>
      </c>
      <c r="U127" s="17" t="s">
        <v>718</v>
      </c>
      <c r="V127" s="15" t="s">
        <v>64</v>
      </c>
    </row>
    <row r="128" spans="1:22">
      <c r="A128" s="18" t="s">
        <v>719</v>
      </c>
      <c r="B128" s="18" t="s">
        <v>251</v>
      </c>
      <c r="C128" s="18" t="s">
        <v>92</v>
      </c>
      <c r="D128" s="18" t="s">
        <v>720</v>
      </c>
      <c r="E128" s="18" t="s">
        <v>382</v>
      </c>
      <c r="F128" s="18" t="s">
        <v>254</v>
      </c>
      <c r="G128" s="18" t="s">
        <v>28</v>
      </c>
      <c r="H128" s="18" t="s">
        <v>721</v>
      </c>
      <c r="I128" s="18" t="s">
        <v>212</v>
      </c>
      <c r="J128" s="18" t="s">
        <v>45</v>
      </c>
      <c r="K128" s="18" t="s">
        <v>32</v>
      </c>
      <c r="L128" s="18" t="s">
        <v>97</v>
      </c>
      <c r="M128" s="18">
        <v>15</v>
      </c>
      <c r="N128" s="18">
        <v>3500</v>
      </c>
      <c r="O128" s="18">
        <v>10</v>
      </c>
      <c r="P128" s="18">
        <v>47250</v>
      </c>
      <c r="Q128" s="18">
        <v>3</v>
      </c>
      <c r="R128" s="18" t="s">
        <v>48</v>
      </c>
      <c r="S128" s="18" t="s">
        <v>115</v>
      </c>
      <c r="T128" s="18" t="s">
        <v>256</v>
      </c>
      <c r="U128" s="19" t="s">
        <v>722</v>
      </c>
      <c r="V128" s="18" t="s">
        <v>38</v>
      </c>
    </row>
    <row r="129" spans="1:22">
      <c r="A129" s="15" t="s">
        <v>723</v>
      </c>
      <c r="B129" s="15" t="s">
        <v>100</v>
      </c>
      <c r="C129" s="15" t="s">
        <v>24</v>
      </c>
      <c r="D129" s="15" t="s">
        <v>562</v>
      </c>
      <c r="E129" s="15" t="s">
        <v>724</v>
      </c>
      <c r="F129" s="15" t="s">
        <v>103</v>
      </c>
      <c r="G129" s="15" t="s">
        <v>28</v>
      </c>
      <c r="H129" s="15" t="s">
        <v>725</v>
      </c>
      <c r="I129" s="15" t="s">
        <v>59</v>
      </c>
      <c r="J129" s="15" t="s">
        <v>31</v>
      </c>
      <c r="K129" s="15" t="s">
        <v>32</v>
      </c>
      <c r="L129" s="15" t="s">
        <v>33</v>
      </c>
      <c r="M129" s="15">
        <v>10</v>
      </c>
      <c r="N129" s="15">
        <v>2200</v>
      </c>
      <c r="O129" s="15">
        <v>15</v>
      </c>
      <c r="P129" s="15">
        <v>18700</v>
      </c>
      <c r="Q129" s="15">
        <v>4</v>
      </c>
      <c r="R129" s="15" t="s">
        <v>79</v>
      </c>
      <c r="S129" s="15" t="s">
        <v>49</v>
      </c>
      <c r="T129" s="15" t="s">
        <v>144</v>
      </c>
      <c r="U129" s="17" t="s">
        <v>726</v>
      </c>
      <c r="V129" s="15" t="s">
        <v>64</v>
      </c>
    </row>
    <row r="130" spans="1:22">
      <c r="A130" s="18" t="s">
        <v>727</v>
      </c>
      <c r="B130" s="18" t="s">
        <v>251</v>
      </c>
      <c r="C130" s="18" t="s">
        <v>92</v>
      </c>
      <c r="D130" s="18" t="s">
        <v>260</v>
      </c>
      <c r="E130" s="18" t="s">
        <v>231</v>
      </c>
      <c r="F130" s="18" t="s">
        <v>254</v>
      </c>
      <c r="G130" s="18" t="s">
        <v>28</v>
      </c>
      <c r="H130" s="18" t="s">
        <v>728</v>
      </c>
      <c r="I130" s="18" t="s">
        <v>114</v>
      </c>
      <c r="J130" s="18" t="s">
        <v>106</v>
      </c>
      <c r="K130" s="18" t="s">
        <v>32</v>
      </c>
      <c r="L130" s="18" t="s">
        <v>97</v>
      </c>
      <c r="M130" s="18">
        <v>11</v>
      </c>
      <c r="N130" s="18">
        <v>3500</v>
      </c>
      <c r="O130" s="18">
        <v>5</v>
      </c>
      <c r="P130" s="18">
        <v>36575</v>
      </c>
      <c r="Q130" s="18">
        <v>5</v>
      </c>
      <c r="R130" s="18" t="s">
        <v>34</v>
      </c>
      <c r="S130" s="18" t="s">
        <v>35</v>
      </c>
      <c r="T130" s="18" t="s">
        <v>256</v>
      </c>
      <c r="U130" s="19" t="s">
        <v>729</v>
      </c>
      <c r="V130" s="18" t="s">
        <v>69</v>
      </c>
    </row>
    <row r="131" spans="1:22">
      <c r="A131" s="15" t="s">
        <v>730</v>
      </c>
      <c r="B131" s="15" t="s">
        <v>168</v>
      </c>
      <c r="C131" s="15" t="s">
        <v>72</v>
      </c>
      <c r="D131" s="15" t="s">
        <v>731</v>
      </c>
      <c r="E131" s="15" t="s">
        <v>732</v>
      </c>
      <c r="F131" s="15" t="s">
        <v>361</v>
      </c>
      <c r="G131" s="15" t="s">
        <v>28</v>
      </c>
      <c r="H131" s="15" t="s">
        <v>733</v>
      </c>
      <c r="I131" s="15" t="s">
        <v>59</v>
      </c>
      <c r="J131" s="15" t="s">
        <v>31</v>
      </c>
      <c r="K131" s="15" t="s">
        <v>46</v>
      </c>
      <c r="L131" s="15" t="s">
        <v>78</v>
      </c>
      <c r="M131" s="15">
        <v>14</v>
      </c>
      <c r="N131" s="15">
        <v>1200</v>
      </c>
      <c r="O131" s="15">
        <v>0</v>
      </c>
      <c r="P131" s="15">
        <v>16800</v>
      </c>
      <c r="Q131" s="15">
        <v>5</v>
      </c>
      <c r="R131" s="15" t="s">
        <v>34</v>
      </c>
      <c r="S131" s="15" t="s">
        <v>49</v>
      </c>
      <c r="T131" s="15" t="s">
        <v>175</v>
      </c>
      <c r="U131" s="17" t="s">
        <v>734</v>
      </c>
      <c r="V131" s="15" t="s">
        <v>69</v>
      </c>
    </row>
    <row r="132" spans="1:22">
      <c r="A132" s="18" t="s">
        <v>735</v>
      </c>
      <c r="B132" s="18" t="s">
        <v>100</v>
      </c>
      <c r="C132" s="18" t="s">
        <v>222</v>
      </c>
      <c r="D132" s="18" t="s">
        <v>736</v>
      </c>
      <c r="E132" s="18" t="s">
        <v>170</v>
      </c>
      <c r="F132" s="18" t="s">
        <v>103</v>
      </c>
      <c r="G132" s="18" t="s">
        <v>28</v>
      </c>
      <c r="H132" s="18" t="s">
        <v>737</v>
      </c>
      <c r="I132" s="18" t="s">
        <v>44</v>
      </c>
      <c r="J132" s="18" t="s">
        <v>45</v>
      </c>
      <c r="K132" s="18" t="s">
        <v>122</v>
      </c>
      <c r="L132" s="18" t="s">
        <v>227</v>
      </c>
      <c r="M132" s="18">
        <v>11</v>
      </c>
      <c r="N132" s="18">
        <v>20</v>
      </c>
      <c r="O132" s="18">
        <v>20</v>
      </c>
      <c r="P132" s="18">
        <v>176</v>
      </c>
      <c r="Q132" s="18">
        <v>4</v>
      </c>
      <c r="R132" s="18" t="s">
        <v>48</v>
      </c>
      <c r="S132" s="18" t="s">
        <v>35</v>
      </c>
      <c r="T132" s="18" t="s">
        <v>144</v>
      </c>
      <c r="U132" s="19" t="s">
        <v>738</v>
      </c>
      <c r="V132" s="18" t="s">
        <v>38</v>
      </c>
    </row>
    <row r="133" spans="1:22">
      <c r="A133" s="15" t="s">
        <v>739</v>
      </c>
      <c r="B133" s="15" t="s">
        <v>71</v>
      </c>
      <c r="C133" s="15" t="s">
        <v>40</v>
      </c>
      <c r="D133" s="15" t="s">
        <v>740</v>
      </c>
      <c r="E133" s="15" t="s">
        <v>657</v>
      </c>
      <c r="F133" s="15" t="s">
        <v>217</v>
      </c>
      <c r="G133" s="15" t="s">
        <v>76</v>
      </c>
      <c r="H133" s="15" t="s">
        <v>741</v>
      </c>
      <c r="I133" s="15" t="s">
        <v>114</v>
      </c>
      <c r="J133" s="15" t="s">
        <v>106</v>
      </c>
      <c r="K133" s="15" t="s">
        <v>46</v>
      </c>
      <c r="L133" s="15" t="s">
        <v>47</v>
      </c>
      <c r="M133" s="15">
        <v>6</v>
      </c>
      <c r="N133" s="15">
        <v>12000</v>
      </c>
      <c r="O133" s="15">
        <v>10</v>
      </c>
      <c r="P133" s="15">
        <v>64800</v>
      </c>
      <c r="Q133" s="15">
        <v>5</v>
      </c>
      <c r="R133" s="15" t="s">
        <v>88</v>
      </c>
      <c r="S133" s="15" t="s">
        <v>151</v>
      </c>
      <c r="T133" s="15" t="s">
        <v>80</v>
      </c>
      <c r="U133" s="17" t="s">
        <v>742</v>
      </c>
      <c r="V133" s="15" t="s">
        <v>38</v>
      </c>
    </row>
    <row r="134" spans="1:22">
      <c r="A134" s="18" t="s">
        <v>743</v>
      </c>
      <c r="B134" s="18" t="s">
        <v>71</v>
      </c>
      <c r="C134" s="18" t="s">
        <v>24</v>
      </c>
      <c r="D134" s="18" t="s">
        <v>652</v>
      </c>
      <c r="E134" s="18" t="s">
        <v>539</v>
      </c>
      <c r="F134" s="18" t="s">
        <v>217</v>
      </c>
      <c r="G134" s="18" t="s">
        <v>76</v>
      </c>
      <c r="H134" s="18" t="s">
        <v>744</v>
      </c>
      <c r="I134" s="18" t="s">
        <v>30</v>
      </c>
      <c r="J134" s="18" t="s">
        <v>31</v>
      </c>
      <c r="K134" s="18" t="s">
        <v>32</v>
      </c>
      <c r="L134" s="18" t="s">
        <v>33</v>
      </c>
      <c r="M134" s="18">
        <v>6</v>
      </c>
      <c r="N134" s="18">
        <v>2200</v>
      </c>
      <c r="O134" s="18">
        <v>5</v>
      </c>
      <c r="P134" s="18">
        <v>12540</v>
      </c>
      <c r="Q134" s="18">
        <v>4</v>
      </c>
      <c r="R134" s="18" t="s">
        <v>34</v>
      </c>
      <c r="S134" s="18" t="s">
        <v>49</v>
      </c>
      <c r="T134" s="18" t="s">
        <v>80</v>
      </c>
      <c r="U134" s="19" t="s">
        <v>745</v>
      </c>
      <c r="V134" s="18" t="s">
        <v>38</v>
      </c>
    </row>
    <row r="135" spans="1:22">
      <c r="A135" s="15" t="s">
        <v>746</v>
      </c>
      <c r="B135" s="15" t="s">
        <v>53</v>
      </c>
      <c r="C135" s="15" t="s">
        <v>92</v>
      </c>
      <c r="D135" s="15" t="s">
        <v>408</v>
      </c>
      <c r="E135" s="15" t="s">
        <v>488</v>
      </c>
      <c r="F135" s="15" t="s">
        <v>163</v>
      </c>
      <c r="G135" s="15" t="s">
        <v>28</v>
      </c>
      <c r="H135" s="15" t="s">
        <v>747</v>
      </c>
      <c r="I135" s="15" t="s">
        <v>44</v>
      </c>
      <c r="J135" s="15" t="s">
        <v>45</v>
      </c>
      <c r="K135" s="15" t="s">
        <v>32</v>
      </c>
      <c r="L135" s="15" t="s">
        <v>97</v>
      </c>
      <c r="M135" s="15">
        <v>3</v>
      </c>
      <c r="N135" s="15">
        <v>3500</v>
      </c>
      <c r="O135" s="15">
        <v>5</v>
      </c>
      <c r="P135" s="15">
        <v>9975</v>
      </c>
      <c r="Q135" s="15">
        <v>4</v>
      </c>
      <c r="R135" s="15" t="s">
        <v>48</v>
      </c>
      <c r="S135" s="15" t="s">
        <v>49</v>
      </c>
      <c r="T135" s="15" t="s">
        <v>62</v>
      </c>
      <c r="U135" s="17" t="s">
        <v>748</v>
      </c>
      <c r="V135" s="15" t="s">
        <v>64</v>
      </c>
    </row>
    <row r="136" spans="1:22">
      <c r="A136" s="18" t="s">
        <v>749</v>
      </c>
      <c r="B136" s="18" t="s">
        <v>71</v>
      </c>
      <c r="C136" s="18" t="s">
        <v>169</v>
      </c>
      <c r="D136" s="18" t="s">
        <v>750</v>
      </c>
      <c r="E136" s="18" t="s">
        <v>751</v>
      </c>
      <c r="F136" s="18" t="s">
        <v>217</v>
      </c>
      <c r="G136" s="18" t="s">
        <v>76</v>
      </c>
      <c r="H136" s="18" t="s">
        <v>752</v>
      </c>
      <c r="I136" s="18" t="s">
        <v>30</v>
      </c>
      <c r="J136" s="18" t="s">
        <v>31</v>
      </c>
      <c r="K136" s="18" t="s">
        <v>32</v>
      </c>
      <c r="L136" s="18" t="s">
        <v>174</v>
      </c>
      <c r="M136" s="18">
        <v>5</v>
      </c>
      <c r="N136" s="18">
        <v>8500</v>
      </c>
      <c r="O136" s="18">
        <v>20</v>
      </c>
      <c r="P136" s="18">
        <v>34000</v>
      </c>
      <c r="Q136" s="18">
        <v>5</v>
      </c>
      <c r="R136" s="18" t="s">
        <v>34</v>
      </c>
      <c r="S136" s="18" t="s">
        <v>61</v>
      </c>
      <c r="T136" s="18" t="s">
        <v>80</v>
      </c>
      <c r="U136" s="19" t="s">
        <v>753</v>
      </c>
      <c r="V136" s="18" t="s">
        <v>64</v>
      </c>
    </row>
    <row r="137" spans="1:22">
      <c r="A137" s="15" t="s">
        <v>754</v>
      </c>
      <c r="B137" s="15" t="s">
        <v>23</v>
      </c>
      <c r="C137" s="15" t="s">
        <v>92</v>
      </c>
      <c r="D137" s="15" t="s">
        <v>755</v>
      </c>
      <c r="E137" s="15" t="s">
        <v>756</v>
      </c>
      <c r="F137" s="15" t="s">
        <v>27</v>
      </c>
      <c r="G137" s="15" t="s">
        <v>28</v>
      </c>
      <c r="H137" s="15" t="s">
        <v>757</v>
      </c>
      <c r="I137" s="15" t="s">
        <v>59</v>
      </c>
      <c r="J137" s="15" t="s">
        <v>31</v>
      </c>
      <c r="K137" s="15" t="s">
        <v>32</v>
      </c>
      <c r="L137" s="15" t="s">
        <v>97</v>
      </c>
      <c r="M137" s="15">
        <v>14</v>
      </c>
      <c r="N137" s="15">
        <v>3500</v>
      </c>
      <c r="O137" s="15">
        <v>10</v>
      </c>
      <c r="P137" s="15">
        <v>44100</v>
      </c>
      <c r="Q137" s="15">
        <v>4</v>
      </c>
      <c r="R137" s="15" t="s">
        <v>88</v>
      </c>
      <c r="S137" s="15" t="s">
        <v>35</v>
      </c>
      <c r="T137" s="15" t="s">
        <v>50</v>
      </c>
      <c r="U137" s="17" t="s">
        <v>758</v>
      </c>
      <c r="V137" s="15" t="s">
        <v>69</v>
      </c>
    </row>
    <row r="138" spans="1:22">
      <c r="A138" s="18" t="s">
        <v>759</v>
      </c>
      <c r="B138" s="18" t="s">
        <v>327</v>
      </c>
      <c r="C138" s="18" t="s">
        <v>259</v>
      </c>
      <c r="D138" s="18" t="s">
        <v>760</v>
      </c>
      <c r="E138" s="18" t="s">
        <v>761</v>
      </c>
      <c r="F138" s="18" t="s">
        <v>394</v>
      </c>
      <c r="G138" s="18" t="s">
        <v>76</v>
      </c>
      <c r="H138" s="18" t="s">
        <v>762</v>
      </c>
      <c r="I138" s="18" t="s">
        <v>138</v>
      </c>
      <c r="J138" s="18" t="s">
        <v>106</v>
      </c>
      <c r="K138" s="18" t="s">
        <v>122</v>
      </c>
      <c r="L138" s="18" t="s">
        <v>263</v>
      </c>
      <c r="M138" s="18">
        <v>8</v>
      </c>
      <c r="N138" s="18">
        <v>45</v>
      </c>
      <c r="O138" s="18">
        <v>0</v>
      </c>
      <c r="P138" s="18">
        <v>360</v>
      </c>
      <c r="Q138" s="18">
        <v>1</v>
      </c>
      <c r="R138" s="18" t="s">
        <v>79</v>
      </c>
      <c r="S138" s="18" t="s">
        <v>151</v>
      </c>
      <c r="T138" s="18" t="s">
        <v>332</v>
      </c>
      <c r="U138" s="19" t="s">
        <v>763</v>
      </c>
      <c r="V138" s="18" t="s">
        <v>69</v>
      </c>
    </row>
    <row r="139" spans="1:22">
      <c r="A139" s="15" t="s">
        <v>764</v>
      </c>
      <c r="B139" s="15" t="s">
        <v>221</v>
      </c>
      <c r="C139" s="15" t="s">
        <v>259</v>
      </c>
      <c r="D139" s="15" t="s">
        <v>765</v>
      </c>
      <c r="E139" s="15" t="s">
        <v>766</v>
      </c>
      <c r="F139" s="15" t="s">
        <v>225</v>
      </c>
      <c r="G139" s="15" t="s">
        <v>76</v>
      </c>
      <c r="H139" s="15" t="s">
        <v>767</v>
      </c>
      <c r="I139" s="15" t="s">
        <v>44</v>
      </c>
      <c r="J139" s="15" t="s">
        <v>45</v>
      </c>
      <c r="K139" s="15" t="s">
        <v>122</v>
      </c>
      <c r="L139" s="15" t="s">
        <v>263</v>
      </c>
      <c r="M139" s="15">
        <v>11</v>
      </c>
      <c r="N139" s="15">
        <v>45</v>
      </c>
      <c r="O139" s="15">
        <v>5</v>
      </c>
      <c r="P139" s="15">
        <v>470.25</v>
      </c>
      <c r="Q139" s="15">
        <v>3</v>
      </c>
      <c r="R139" s="15" t="s">
        <v>79</v>
      </c>
      <c r="S139" s="15" t="s">
        <v>49</v>
      </c>
      <c r="T139" s="15" t="s">
        <v>228</v>
      </c>
      <c r="U139" s="17" t="s">
        <v>768</v>
      </c>
      <c r="V139" s="15" t="s">
        <v>38</v>
      </c>
    </row>
    <row r="140" spans="1:22">
      <c r="A140" s="18" t="s">
        <v>769</v>
      </c>
      <c r="B140" s="18" t="s">
        <v>83</v>
      </c>
      <c r="C140" s="18" t="s">
        <v>54</v>
      </c>
      <c r="D140" s="18" t="s">
        <v>770</v>
      </c>
      <c r="E140" s="18" t="s">
        <v>771</v>
      </c>
      <c r="F140" s="18" t="s">
        <v>180</v>
      </c>
      <c r="G140" s="18" t="s">
        <v>76</v>
      </c>
      <c r="H140" s="18" t="s">
        <v>772</v>
      </c>
      <c r="I140" s="18" t="s">
        <v>138</v>
      </c>
      <c r="J140" s="18" t="s">
        <v>106</v>
      </c>
      <c r="K140" s="18" t="s">
        <v>46</v>
      </c>
      <c r="L140" s="18" t="s">
        <v>60</v>
      </c>
      <c r="M140" s="18">
        <v>19</v>
      </c>
      <c r="N140" s="18">
        <v>55000</v>
      </c>
      <c r="O140" s="18">
        <v>0</v>
      </c>
      <c r="P140" s="18">
        <v>1045000</v>
      </c>
      <c r="Q140" s="18">
        <v>2</v>
      </c>
      <c r="R140" s="18" t="s">
        <v>79</v>
      </c>
      <c r="S140" s="18" t="s">
        <v>35</v>
      </c>
      <c r="T140" s="18" t="s">
        <v>89</v>
      </c>
      <c r="U140" s="19" t="s">
        <v>773</v>
      </c>
      <c r="V140" s="18" t="s">
        <v>69</v>
      </c>
    </row>
    <row r="141" spans="1:22">
      <c r="A141" s="15" t="s">
        <v>774</v>
      </c>
      <c r="B141" s="15" t="s">
        <v>53</v>
      </c>
      <c r="C141" s="15" t="s">
        <v>92</v>
      </c>
      <c r="D141" s="15" t="s">
        <v>775</v>
      </c>
      <c r="E141" s="15" t="s">
        <v>539</v>
      </c>
      <c r="F141" s="15" t="s">
        <v>163</v>
      </c>
      <c r="G141" s="15" t="s">
        <v>28</v>
      </c>
      <c r="H141" s="15" t="s">
        <v>776</v>
      </c>
      <c r="I141" s="15" t="s">
        <v>114</v>
      </c>
      <c r="J141" s="15" t="s">
        <v>106</v>
      </c>
      <c r="K141" s="15" t="s">
        <v>32</v>
      </c>
      <c r="L141" s="15" t="s">
        <v>97</v>
      </c>
      <c r="M141" s="15">
        <v>20</v>
      </c>
      <c r="N141" s="15">
        <v>3500</v>
      </c>
      <c r="O141" s="15">
        <v>20</v>
      </c>
      <c r="P141" s="15">
        <v>56000</v>
      </c>
      <c r="Q141" s="15">
        <v>4</v>
      </c>
      <c r="R141" s="15" t="s">
        <v>48</v>
      </c>
      <c r="S141" s="15" t="s">
        <v>49</v>
      </c>
      <c r="T141" s="15" t="s">
        <v>62</v>
      </c>
      <c r="U141" s="17" t="s">
        <v>777</v>
      </c>
      <c r="V141" s="15" t="s">
        <v>38</v>
      </c>
    </row>
    <row r="142" spans="1:22">
      <c r="A142" s="18" t="s">
        <v>778</v>
      </c>
      <c r="B142" s="18" t="s">
        <v>83</v>
      </c>
      <c r="C142" s="18" t="s">
        <v>24</v>
      </c>
      <c r="D142" s="18" t="s">
        <v>276</v>
      </c>
      <c r="E142" s="18" t="s">
        <v>779</v>
      </c>
      <c r="F142" s="18" t="s">
        <v>180</v>
      </c>
      <c r="G142" s="18" t="s">
        <v>76</v>
      </c>
      <c r="H142" s="18" t="s">
        <v>780</v>
      </c>
      <c r="I142" s="18" t="s">
        <v>114</v>
      </c>
      <c r="J142" s="18" t="s">
        <v>106</v>
      </c>
      <c r="K142" s="18" t="s">
        <v>32</v>
      </c>
      <c r="L142" s="18" t="s">
        <v>33</v>
      </c>
      <c r="M142" s="18">
        <v>17</v>
      </c>
      <c r="N142" s="18">
        <v>2200</v>
      </c>
      <c r="O142" s="18">
        <v>0</v>
      </c>
      <c r="P142" s="18">
        <v>37400</v>
      </c>
      <c r="Q142" s="18">
        <v>5</v>
      </c>
      <c r="R142" s="18" t="s">
        <v>48</v>
      </c>
      <c r="S142" s="18" t="s">
        <v>35</v>
      </c>
      <c r="T142" s="18" t="s">
        <v>89</v>
      </c>
      <c r="U142" s="19" t="s">
        <v>781</v>
      </c>
      <c r="V142" s="18" t="s">
        <v>64</v>
      </c>
    </row>
    <row r="143" spans="1:22">
      <c r="A143" s="15" t="s">
        <v>782</v>
      </c>
      <c r="B143" s="15" t="s">
        <v>83</v>
      </c>
      <c r="C143" s="15" t="s">
        <v>72</v>
      </c>
      <c r="D143" s="15" t="s">
        <v>770</v>
      </c>
      <c r="E143" s="15" t="s">
        <v>783</v>
      </c>
      <c r="F143" s="15" t="s">
        <v>180</v>
      </c>
      <c r="G143" s="15" t="s">
        <v>76</v>
      </c>
      <c r="H143" s="15" t="s">
        <v>784</v>
      </c>
      <c r="I143" s="15" t="s">
        <v>114</v>
      </c>
      <c r="J143" s="15" t="s">
        <v>106</v>
      </c>
      <c r="K143" s="15" t="s">
        <v>46</v>
      </c>
      <c r="L143" s="15" t="s">
        <v>78</v>
      </c>
      <c r="M143" s="15">
        <v>10</v>
      </c>
      <c r="N143" s="15">
        <v>1200</v>
      </c>
      <c r="O143" s="15">
        <v>5</v>
      </c>
      <c r="P143" s="15">
        <v>11400</v>
      </c>
      <c r="Q143" s="15">
        <v>2</v>
      </c>
      <c r="R143" s="15" t="s">
        <v>34</v>
      </c>
      <c r="S143" s="15" t="s">
        <v>49</v>
      </c>
      <c r="T143" s="15" t="s">
        <v>89</v>
      </c>
      <c r="U143" s="17" t="s">
        <v>785</v>
      </c>
      <c r="V143" s="15" t="s">
        <v>69</v>
      </c>
    </row>
    <row r="144" spans="1:22">
      <c r="A144" s="18" t="s">
        <v>786</v>
      </c>
      <c r="B144" s="18" t="s">
        <v>221</v>
      </c>
      <c r="C144" s="18" t="s">
        <v>118</v>
      </c>
      <c r="D144" s="18" t="s">
        <v>787</v>
      </c>
      <c r="E144" s="18" t="s">
        <v>788</v>
      </c>
      <c r="F144" s="18" t="s">
        <v>225</v>
      </c>
      <c r="G144" s="18" t="s">
        <v>76</v>
      </c>
      <c r="H144" s="18" t="s">
        <v>789</v>
      </c>
      <c r="I144" s="18" t="s">
        <v>30</v>
      </c>
      <c r="J144" s="18" t="s">
        <v>31</v>
      </c>
      <c r="K144" s="18" t="s">
        <v>122</v>
      </c>
      <c r="L144" s="18" t="s">
        <v>123</v>
      </c>
      <c r="M144" s="18">
        <v>3</v>
      </c>
      <c r="N144" s="18">
        <v>60</v>
      </c>
      <c r="O144" s="18">
        <v>0</v>
      </c>
      <c r="P144" s="18">
        <v>180</v>
      </c>
      <c r="Q144" s="18">
        <v>4</v>
      </c>
      <c r="R144" s="18" t="s">
        <v>48</v>
      </c>
      <c r="S144" s="18" t="s">
        <v>151</v>
      </c>
      <c r="T144" s="18" t="s">
        <v>228</v>
      </c>
      <c r="U144" s="19" t="s">
        <v>790</v>
      </c>
      <c r="V144" s="18" t="s">
        <v>38</v>
      </c>
    </row>
    <row r="145" spans="1:22">
      <c r="A145" s="15" t="s">
        <v>791</v>
      </c>
      <c r="B145" s="15" t="s">
        <v>53</v>
      </c>
      <c r="C145" s="15" t="s">
        <v>24</v>
      </c>
      <c r="D145" s="15" t="s">
        <v>792</v>
      </c>
      <c r="E145" s="15" t="s">
        <v>793</v>
      </c>
      <c r="F145" s="15" t="s">
        <v>163</v>
      </c>
      <c r="G145" s="15" t="s">
        <v>28</v>
      </c>
      <c r="H145" s="15" t="s">
        <v>794</v>
      </c>
      <c r="I145" s="15" t="s">
        <v>105</v>
      </c>
      <c r="J145" s="15" t="s">
        <v>106</v>
      </c>
      <c r="K145" s="15" t="s">
        <v>32</v>
      </c>
      <c r="L145" s="15" t="s">
        <v>33</v>
      </c>
      <c r="M145" s="15">
        <v>18</v>
      </c>
      <c r="N145" s="15">
        <v>2200</v>
      </c>
      <c r="O145" s="15">
        <v>10</v>
      </c>
      <c r="P145" s="15">
        <v>35640</v>
      </c>
      <c r="Q145" s="15">
        <v>1</v>
      </c>
      <c r="R145" s="15" t="s">
        <v>79</v>
      </c>
      <c r="S145" s="15" t="s">
        <v>151</v>
      </c>
      <c r="T145" s="15" t="s">
        <v>62</v>
      </c>
      <c r="U145" s="17" t="s">
        <v>795</v>
      </c>
      <c r="V145" s="15" t="s">
        <v>69</v>
      </c>
    </row>
    <row r="146" spans="1:22">
      <c r="A146" s="18" t="s">
        <v>796</v>
      </c>
      <c r="B146" s="18" t="s">
        <v>71</v>
      </c>
      <c r="C146" s="18" t="s">
        <v>118</v>
      </c>
      <c r="D146" s="18" t="s">
        <v>797</v>
      </c>
      <c r="E146" s="18" t="s">
        <v>798</v>
      </c>
      <c r="F146" s="18" t="s">
        <v>217</v>
      </c>
      <c r="G146" s="18" t="s">
        <v>76</v>
      </c>
      <c r="H146" s="18" t="s">
        <v>799</v>
      </c>
      <c r="I146" s="18" t="s">
        <v>44</v>
      </c>
      <c r="J146" s="18" t="s">
        <v>45</v>
      </c>
      <c r="K146" s="18" t="s">
        <v>122</v>
      </c>
      <c r="L146" s="18" t="s">
        <v>123</v>
      </c>
      <c r="M146" s="18">
        <v>18</v>
      </c>
      <c r="N146" s="18">
        <v>60</v>
      </c>
      <c r="O146" s="18">
        <v>5</v>
      </c>
      <c r="P146" s="18">
        <v>1026</v>
      </c>
      <c r="Q146" s="18">
        <v>3</v>
      </c>
      <c r="R146" s="18" t="s">
        <v>79</v>
      </c>
      <c r="S146" s="18" t="s">
        <v>49</v>
      </c>
      <c r="T146" s="18" t="s">
        <v>80</v>
      </c>
      <c r="U146" s="19" t="s">
        <v>800</v>
      </c>
      <c r="V146" s="18" t="s">
        <v>64</v>
      </c>
    </row>
    <row r="147" spans="1:22">
      <c r="A147" s="15" t="s">
        <v>801</v>
      </c>
      <c r="B147" s="15" t="s">
        <v>127</v>
      </c>
      <c r="C147" s="15" t="s">
        <v>54</v>
      </c>
      <c r="D147" s="15" t="s">
        <v>422</v>
      </c>
      <c r="E147" s="15" t="s">
        <v>377</v>
      </c>
      <c r="F147" s="15" t="s">
        <v>200</v>
      </c>
      <c r="G147" s="15" t="s">
        <v>76</v>
      </c>
      <c r="H147" s="15" t="s">
        <v>802</v>
      </c>
      <c r="I147" s="15" t="s">
        <v>114</v>
      </c>
      <c r="J147" s="15" t="s">
        <v>106</v>
      </c>
      <c r="K147" s="15" t="s">
        <v>46</v>
      </c>
      <c r="L147" s="15" t="s">
        <v>60</v>
      </c>
      <c r="M147" s="15">
        <v>11</v>
      </c>
      <c r="N147" s="15">
        <v>55000</v>
      </c>
      <c r="O147" s="15">
        <v>15</v>
      </c>
      <c r="P147" s="15">
        <v>514250</v>
      </c>
      <c r="Q147" s="15">
        <v>4</v>
      </c>
      <c r="R147" s="15" t="s">
        <v>88</v>
      </c>
      <c r="S147" s="15" t="s">
        <v>115</v>
      </c>
      <c r="T147" s="15" t="s">
        <v>132</v>
      </c>
      <c r="U147" s="17" t="s">
        <v>803</v>
      </c>
      <c r="V147" s="15" t="s">
        <v>69</v>
      </c>
    </row>
    <row r="148" spans="1:22">
      <c r="A148" s="18" t="s">
        <v>804</v>
      </c>
      <c r="B148" s="18" t="s">
        <v>251</v>
      </c>
      <c r="C148" s="18" t="s">
        <v>169</v>
      </c>
      <c r="D148" s="18" t="s">
        <v>474</v>
      </c>
      <c r="E148" s="18" t="s">
        <v>464</v>
      </c>
      <c r="F148" s="18" t="s">
        <v>254</v>
      </c>
      <c r="G148" s="18" t="s">
        <v>28</v>
      </c>
      <c r="H148" s="18" t="s">
        <v>805</v>
      </c>
      <c r="I148" s="18" t="s">
        <v>294</v>
      </c>
      <c r="J148" s="18" t="s">
        <v>295</v>
      </c>
      <c r="K148" s="18" t="s">
        <v>32</v>
      </c>
      <c r="L148" s="18" t="s">
        <v>174</v>
      </c>
      <c r="M148" s="18">
        <v>5</v>
      </c>
      <c r="N148" s="18">
        <v>8500</v>
      </c>
      <c r="O148" s="18">
        <v>5</v>
      </c>
      <c r="P148" s="18">
        <v>40375</v>
      </c>
      <c r="Q148" s="18">
        <v>4</v>
      </c>
      <c r="R148" s="18" t="s">
        <v>34</v>
      </c>
      <c r="S148" s="18" t="s">
        <v>151</v>
      </c>
      <c r="T148" s="18" t="s">
        <v>256</v>
      </c>
      <c r="U148" s="19" t="s">
        <v>806</v>
      </c>
      <c r="V148" s="18" t="s">
        <v>38</v>
      </c>
    </row>
    <row r="149" spans="1:22">
      <c r="A149" s="18" t="s">
        <v>809</v>
      </c>
      <c r="B149" s="18" t="s">
        <v>127</v>
      </c>
      <c r="C149" s="18" t="s">
        <v>184</v>
      </c>
      <c r="D149" s="18" t="s">
        <v>489</v>
      </c>
      <c r="E149" s="18" t="s">
        <v>267</v>
      </c>
      <c r="F149" s="18" t="s">
        <v>200</v>
      </c>
      <c r="G149" s="18" t="s">
        <v>76</v>
      </c>
      <c r="H149" s="18" t="s">
        <v>810</v>
      </c>
      <c r="I149" s="18" t="s">
        <v>114</v>
      </c>
      <c r="J149" s="18" t="s">
        <v>106</v>
      </c>
      <c r="K149" s="18" t="s">
        <v>46</v>
      </c>
      <c r="L149" s="18" t="s">
        <v>189</v>
      </c>
      <c r="M149" s="18">
        <v>6</v>
      </c>
      <c r="N149" s="18">
        <v>700</v>
      </c>
      <c r="O149" s="18">
        <v>10</v>
      </c>
      <c r="P149" s="18">
        <v>3780</v>
      </c>
      <c r="Q149" s="18">
        <v>4</v>
      </c>
      <c r="R149" s="18" t="s">
        <v>34</v>
      </c>
      <c r="S149" s="18" t="s">
        <v>49</v>
      </c>
      <c r="T149" s="18" t="s">
        <v>132</v>
      </c>
      <c r="U149" s="19" t="s">
        <v>811</v>
      </c>
      <c r="V149" s="18" t="s">
        <v>69</v>
      </c>
    </row>
    <row r="150" spans="1:22">
      <c r="A150" s="15" t="s">
        <v>812</v>
      </c>
      <c r="B150" s="15" t="s">
        <v>53</v>
      </c>
      <c r="C150" s="15" t="s">
        <v>92</v>
      </c>
      <c r="D150" s="15" t="s">
        <v>518</v>
      </c>
      <c r="E150" s="15" t="s">
        <v>615</v>
      </c>
      <c r="F150" s="15" t="s">
        <v>163</v>
      </c>
      <c r="G150" s="15" t="s">
        <v>28</v>
      </c>
      <c r="H150" s="15" t="s">
        <v>813</v>
      </c>
      <c r="I150" s="15" t="s">
        <v>44</v>
      </c>
      <c r="J150" s="15" t="s">
        <v>45</v>
      </c>
      <c r="K150" s="15" t="s">
        <v>32</v>
      </c>
      <c r="L150" s="15" t="s">
        <v>97</v>
      </c>
      <c r="M150" s="15">
        <v>20</v>
      </c>
      <c r="N150" s="15">
        <v>3500</v>
      </c>
      <c r="O150" s="15">
        <v>10</v>
      </c>
      <c r="P150" s="15">
        <v>63000</v>
      </c>
      <c r="Q150" s="15">
        <v>4</v>
      </c>
      <c r="R150" s="15" t="s">
        <v>88</v>
      </c>
      <c r="S150" s="15" t="s">
        <v>49</v>
      </c>
      <c r="T150" s="15" t="s">
        <v>62</v>
      </c>
      <c r="U150" s="17" t="s">
        <v>814</v>
      </c>
      <c r="V150" s="15" t="s">
        <v>64</v>
      </c>
    </row>
    <row r="151" spans="1:22">
      <c r="A151" s="18" t="s">
        <v>815</v>
      </c>
      <c r="B151" s="18" t="s">
        <v>23</v>
      </c>
      <c r="C151" s="18" t="s">
        <v>222</v>
      </c>
      <c r="D151" s="18" t="s">
        <v>816</v>
      </c>
      <c r="E151" s="18" t="s">
        <v>817</v>
      </c>
      <c r="F151" s="18" t="s">
        <v>27</v>
      </c>
      <c r="G151" s="18" t="s">
        <v>28</v>
      </c>
      <c r="H151" s="18" t="s">
        <v>818</v>
      </c>
      <c r="I151" s="18" t="s">
        <v>59</v>
      </c>
      <c r="J151" s="18" t="s">
        <v>31</v>
      </c>
      <c r="K151" s="18" t="s">
        <v>122</v>
      </c>
      <c r="L151" s="18" t="s">
        <v>227</v>
      </c>
      <c r="M151" s="18">
        <v>2</v>
      </c>
      <c r="N151" s="18">
        <v>20</v>
      </c>
      <c r="O151" s="18">
        <v>10</v>
      </c>
      <c r="P151" s="18">
        <v>36</v>
      </c>
      <c r="Q151" s="18">
        <v>1</v>
      </c>
      <c r="R151" s="18" t="s">
        <v>48</v>
      </c>
      <c r="S151" s="18" t="s">
        <v>115</v>
      </c>
      <c r="T151" s="18" t="s">
        <v>50</v>
      </c>
      <c r="U151" s="19" t="s">
        <v>819</v>
      </c>
      <c r="V151" s="18" t="s">
        <v>64</v>
      </c>
    </row>
    <row r="152" spans="1:22">
      <c r="A152" s="15" t="s">
        <v>820</v>
      </c>
      <c r="B152" s="15" t="s">
        <v>100</v>
      </c>
      <c r="C152" s="15" t="s">
        <v>24</v>
      </c>
      <c r="D152" s="15" t="s">
        <v>779</v>
      </c>
      <c r="E152" s="15" t="s">
        <v>821</v>
      </c>
      <c r="F152" s="15" t="s">
        <v>103</v>
      </c>
      <c r="G152" s="15" t="s">
        <v>28</v>
      </c>
      <c r="H152" s="15" t="s">
        <v>822</v>
      </c>
      <c r="I152" s="15" t="s">
        <v>114</v>
      </c>
      <c r="J152" s="15" t="s">
        <v>106</v>
      </c>
      <c r="K152" s="15" t="s">
        <v>32</v>
      </c>
      <c r="L152" s="15" t="s">
        <v>33</v>
      </c>
      <c r="M152" s="15">
        <v>16</v>
      </c>
      <c r="N152" s="15">
        <v>2200</v>
      </c>
      <c r="O152" s="15">
        <v>20</v>
      </c>
      <c r="P152" s="15">
        <v>28160</v>
      </c>
      <c r="Q152" s="15">
        <v>2</v>
      </c>
      <c r="R152" s="15" t="s">
        <v>88</v>
      </c>
      <c r="S152" s="15" t="s">
        <v>151</v>
      </c>
      <c r="T152" s="15" t="s">
        <v>144</v>
      </c>
      <c r="U152" s="17" t="s">
        <v>823</v>
      </c>
      <c r="V152" s="15" t="s">
        <v>64</v>
      </c>
    </row>
    <row r="153" spans="1:22">
      <c r="A153" s="18" t="s">
        <v>824</v>
      </c>
      <c r="B153" s="18" t="s">
        <v>221</v>
      </c>
      <c r="C153" s="18" t="s">
        <v>40</v>
      </c>
      <c r="D153" s="18" t="s">
        <v>148</v>
      </c>
      <c r="E153" s="18" t="s">
        <v>825</v>
      </c>
      <c r="F153" s="18" t="s">
        <v>225</v>
      </c>
      <c r="G153" s="18" t="s">
        <v>76</v>
      </c>
      <c r="H153" s="18" t="s">
        <v>826</v>
      </c>
      <c r="I153" s="18" t="s">
        <v>114</v>
      </c>
      <c r="J153" s="18" t="s">
        <v>106</v>
      </c>
      <c r="K153" s="18" t="s">
        <v>46</v>
      </c>
      <c r="L153" s="18" t="s">
        <v>47</v>
      </c>
      <c r="M153" s="18">
        <v>15</v>
      </c>
      <c r="N153" s="18">
        <v>12000</v>
      </c>
      <c r="O153" s="18">
        <v>0</v>
      </c>
      <c r="P153" s="18">
        <v>180000</v>
      </c>
      <c r="Q153" s="18">
        <v>1</v>
      </c>
      <c r="R153" s="18" t="s">
        <v>79</v>
      </c>
      <c r="S153" s="18" t="s">
        <v>61</v>
      </c>
      <c r="T153" s="18" t="s">
        <v>228</v>
      </c>
      <c r="U153" s="19" t="s">
        <v>827</v>
      </c>
      <c r="V153" s="18" t="s">
        <v>64</v>
      </c>
    </row>
    <row r="154" spans="1:22">
      <c r="A154" s="15" t="s">
        <v>828</v>
      </c>
      <c r="B154" s="15" t="s">
        <v>23</v>
      </c>
      <c r="C154" s="15" t="s">
        <v>118</v>
      </c>
      <c r="D154" s="15" t="s">
        <v>829</v>
      </c>
      <c r="E154" s="15" t="s">
        <v>830</v>
      </c>
      <c r="F154" s="15" t="s">
        <v>27</v>
      </c>
      <c r="G154" s="15" t="s">
        <v>28</v>
      </c>
      <c r="H154" s="15" t="s">
        <v>831</v>
      </c>
      <c r="I154" s="15" t="s">
        <v>44</v>
      </c>
      <c r="J154" s="15" t="s">
        <v>45</v>
      </c>
      <c r="K154" s="15" t="s">
        <v>122</v>
      </c>
      <c r="L154" s="15" t="s">
        <v>123</v>
      </c>
      <c r="M154" s="15">
        <v>14</v>
      </c>
      <c r="N154" s="15">
        <v>60</v>
      </c>
      <c r="O154" s="15">
        <v>15</v>
      </c>
      <c r="P154" s="15">
        <v>714</v>
      </c>
      <c r="Q154" s="15">
        <v>4</v>
      </c>
      <c r="R154" s="15" t="s">
        <v>88</v>
      </c>
      <c r="S154" s="15" t="s">
        <v>49</v>
      </c>
      <c r="T154" s="15" t="s">
        <v>50</v>
      </c>
      <c r="U154" s="17" t="s">
        <v>832</v>
      </c>
      <c r="V154" s="15" t="s">
        <v>38</v>
      </c>
    </row>
    <row r="155" spans="1:22">
      <c r="A155" s="18" t="s">
        <v>833</v>
      </c>
      <c r="B155" s="18" t="s">
        <v>53</v>
      </c>
      <c r="C155" s="18" t="s">
        <v>72</v>
      </c>
      <c r="D155" s="18" t="s">
        <v>834</v>
      </c>
      <c r="E155" s="18" t="s">
        <v>835</v>
      </c>
      <c r="F155" s="18" t="s">
        <v>163</v>
      </c>
      <c r="G155" s="18" t="s">
        <v>28</v>
      </c>
      <c r="H155" s="18" t="s">
        <v>836</v>
      </c>
      <c r="I155" s="18" t="s">
        <v>30</v>
      </c>
      <c r="J155" s="18" t="s">
        <v>31</v>
      </c>
      <c r="K155" s="18" t="s">
        <v>46</v>
      </c>
      <c r="L155" s="18" t="s">
        <v>78</v>
      </c>
      <c r="M155" s="18">
        <v>9</v>
      </c>
      <c r="N155" s="18">
        <v>1200</v>
      </c>
      <c r="O155" s="18">
        <v>5</v>
      </c>
      <c r="P155" s="18">
        <v>10260</v>
      </c>
      <c r="Q155" s="18">
        <v>5</v>
      </c>
      <c r="R155" s="18" t="s">
        <v>48</v>
      </c>
      <c r="S155" s="18" t="s">
        <v>61</v>
      </c>
      <c r="T155" s="18" t="s">
        <v>62</v>
      </c>
      <c r="U155" s="19" t="s">
        <v>837</v>
      </c>
      <c r="V155" s="18" t="s">
        <v>64</v>
      </c>
    </row>
    <row r="156" spans="1:22">
      <c r="A156" s="15" t="s">
        <v>838</v>
      </c>
      <c r="B156" s="15" t="s">
        <v>221</v>
      </c>
      <c r="C156" s="15" t="s">
        <v>72</v>
      </c>
      <c r="D156" s="15" t="s">
        <v>821</v>
      </c>
      <c r="E156" s="15" t="s">
        <v>839</v>
      </c>
      <c r="F156" s="15" t="s">
        <v>225</v>
      </c>
      <c r="G156" s="15" t="s">
        <v>76</v>
      </c>
      <c r="H156" s="15" t="s">
        <v>840</v>
      </c>
      <c r="I156" s="15" t="s">
        <v>294</v>
      </c>
      <c r="J156" s="15" t="s">
        <v>295</v>
      </c>
      <c r="K156" s="15" t="s">
        <v>46</v>
      </c>
      <c r="L156" s="15" t="s">
        <v>78</v>
      </c>
      <c r="M156" s="15">
        <v>3</v>
      </c>
      <c r="N156" s="15">
        <v>1200</v>
      </c>
      <c r="O156" s="15">
        <v>10</v>
      </c>
      <c r="P156" s="15">
        <v>3240</v>
      </c>
      <c r="Q156" s="15">
        <v>2</v>
      </c>
      <c r="R156" s="15" t="s">
        <v>79</v>
      </c>
      <c r="S156" s="15" t="s">
        <v>151</v>
      </c>
      <c r="T156" s="15" t="s">
        <v>228</v>
      </c>
      <c r="U156" s="17" t="s">
        <v>841</v>
      </c>
      <c r="V156" s="15" t="s">
        <v>69</v>
      </c>
    </row>
    <row r="157" spans="1:22">
      <c r="A157" s="18" t="s">
        <v>842</v>
      </c>
      <c r="B157" s="18" t="s">
        <v>327</v>
      </c>
      <c r="C157" s="18" t="s">
        <v>118</v>
      </c>
      <c r="D157" s="18" t="s">
        <v>459</v>
      </c>
      <c r="E157" s="18" t="s">
        <v>577</v>
      </c>
      <c r="F157" s="18" t="s">
        <v>394</v>
      </c>
      <c r="G157" s="18" t="s">
        <v>76</v>
      </c>
      <c r="H157" s="18" t="s">
        <v>843</v>
      </c>
      <c r="I157" s="18" t="s">
        <v>30</v>
      </c>
      <c r="J157" s="18" t="s">
        <v>31</v>
      </c>
      <c r="K157" s="18" t="s">
        <v>122</v>
      </c>
      <c r="L157" s="18" t="s">
        <v>123</v>
      </c>
      <c r="M157" s="18">
        <v>2</v>
      </c>
      <c r="N157" s="18">
        <v>60</v>
      </c>
      <c r="O157" s="18">
        <v>10</v>
      </c>
      <c r="P157" s="18">
        <v>108</v>
      </c>
      <c r="Q157" s="18">
        <v>2</v>
      </c>
      <c r="R157" s="18" t="s">
        <v>88</v>
      </c>
      <c r="S157" s="18" t="s">
        <v>61</v>
      </c>
      <c r="T157" s="18" t="s">
        <v>332</v>
      </c>
      <c r="U157" s="19" t="s">
        <v>844</v>
      </c>
      <c r="V157" s="18" t="s">
        <v>38</v>
      </c>
    </row>
    <row r="158" spans="1:22">
      <c r="A158" s="15" t="s">
        <v>845</v>
      </c>
      <c r="B158" s="15" t="s">
        <v>71</v>
      </c>
      <c r="C158" s="15" t="s">
        <v>92</v>
      </c>
      <c r="D158" s="15" t="s">
        <v>426</v>
      </c>
      <c r="E158" s="15" t="s">
        <v>846</v>
      </c>
      <c r="F158" s="15" t="s">
        <v>217</v>
      </c>
      <c r="G158" s="15" t="s">
        <v>76</v>
      </c>
      <c r="H158" s="15" t="s">
        <v>847</v>
      </c>
      <c r="I158" s="15" t="s">
        <v>44</v>
      </c>
      <c r="J158" s="15" t="s">
        <v>45</v>
      </c>
      <c r="K158" s="15" t="s">
        <v>32</v>
      </c>
      <c r="L158" s="15" t="s">
        <v>97</v>
      </c>
      <c r="M158" s="15">
        <v>9</v>
      </c>
      <c r="N158" s="15">
        <v>3500</v>
      </c>
      <c r="O158" s="15">
        <v>20</v>
      </c>
      <c r="P158" s="15">
        <v>25200</v>
      </c>
      <c r="Q158" s="15">
        <v>1</v>
      </c>
      <c r="R158" s="15" t="s">
        <v>48</v>
      </c>
      <c r="S158" s="15" t="s">
        <v>35</v>
      </c>
      <c r="T158" s="15" t="s">
        <v>80</v>
      </c>
      <c r="U158" s="17" t="s">
        <v>848</v>
      </c>
      <c r="V158" s="15" t="s">
        <v>38</v>
      </c>
    </row>
    <row r="159" spans="1:22">
      <c r="A159" s="18" t="s">
        <v>849</v>
      </c>
      <c r="B159" s="18" t="s">
        <v>221</v>
      </c>
      <c r="C159" s="18" t="s">
        <v>54</v>
      </c>
      <c r="D159" s="18" t="s">
        <v>241</v>
      </c>
      <c r="E159" s="18" t="s">
        <v>543</v>
      </c>
      <c r="F159" s="18" t="s">
        <v>225</v>
      </c>
      <c r="G159" s="18" t="s">
        <v>76</v>
      </c>
      <c r="H159" s="18" t="s">
        <v>850</v>
      </c>
      <c r="I159" s="18" t="s">
        <v>212</v>
      </c>
      <c r="J159" s="18" t="s">
        <v>45</v>
      </c>
      <c r="K159" s="18" t="s">
        <v>46</v>
      </c>
      <c r="L159" s="18" t="s">
        <v>60</v>
      </c>
      <c r="M159" s="18">
        <v>4</v>
      </c>
      <c r="N159" s="18">
        <v>55000</v>
      </c>
      <c r="O159" s="18">
        <v>5</v>
      </c>
      <c r="P159" s="18">
        <v>209000</v>
      </c>
      <c r="Q159" s="18">
        <v>2</v>
      </c>
      <c r="R159" s="18" t="s">
        <v>34</v>
      </c>
      <c r="S159" s="18" t="s">
        <v>151</v>
      </c>
      <c r="T159" s="18" t="s">
        <v>228</v>
      </c>
      <c r="U159" s="19" t="s">
        <v>851</v>
      </c>
      <c r="V159" s="18" t="s">
        <v>64</v>
      </c>
    </row>
    <row r="160" spans="1:22">
      <c r="A160" s="15" t="s">
        <v>852</v>
      </c>
      <c r="B160" s="15" t="s">
        <v>327</v>
      </c>
      <c r="C160" s="15" t="s">
        <v>184</v>
      </c>
      <c r="D160" s="15" t="s">
        <v>488</v>
      </c>
      <c r="E160" s="15" t="s">
        <v>266</v>
      </c>
      <c r="F160" s="15" t="s">
        <v>394</v>
      </c>
      <c r="G160" s="15" t="s">
        <v>76</v>
      </c>
      <c r="H160" s="15" t="s">
        <v>854</v>
      </c>
      <c r="I160" s="15" t="s">
        <v>44</v>
      </c>
      <c r="J160" s="15" t="s">
        <v>45</v>
      </c>
      <c r="K160" s="15" t="s">
        <v>46</v>
      </c>
      <c r="L160" s="15" t="s">
        <v>189</v>
      </c>
      <c r="M160" s="15">
        <v>11</v>
      </c>
      <c r="N160" s="15">
        <v>700</v>
      </c>
      <c r="O160" s="15">
        <v>20</v>
      </c>
      <c r="P160" s="15">
        <v>6160</v>
      </c>
      <c r="Q160" s="15">
        <v>4</v>
      </c>
      <c r="R160" s="15" t="s">
        <v>34</v>
      </c>
      <c r="S160" s="15" t="s">
        <v>151</v>
      </c>
      <c r="T160" s="15" t="s">
        <v>332</v>
      </c>
      <c r="U160" s="17" t="s">
        <v>855</v>
      </c>
      <c r="V160" s="15" t="s">
        <v>69</v>
      </c>
    </row>
    <row r="161" spans="1:22">
      <c r="A161" s="18" t="s">
        <v>856</v>
      </c>
      <c r="B161" s="18" t="s">
        <v>168</v>
      </c>
      <c r="C161" s="18" t="s">
        <v>72</v>
      </c>
      <c r="D161" s="18" t="s">
        <v>286</v>
      </c>
      <c r="E161" s="18" t="s">
        <v>816</v>
      </c>
      <c r="F161" s="18" t="s">
        <v>361</v>
      </c>
      <c r="G161" s="18" t="s">
        <v>28</v>
      </c>
      <c r="H161" s="18" t="s">
        <v>857</v>
      </c>
      <c r="I161" s="18" t="s">
        <v>294</v>
      </c>
      <c r="J161" s="18" t="s">
        <v>295</v>
      </c>
      <c r="K161" s="18" t="s">
        <v>46</v>
      </c>
      <c r="L161" s="18" t="s">
        <v>78</v>
      </c>
      <c r="M161" s="18">
        <v>16</v>
      </c>
      <c r="N161" s="18">
        <v>1200</v>
      </c>
      <c r="O161" s="18">
        <v>5</v>
      </c>
      <c r="P161" s="18">
        <v>18240</v>
      </c>
      <c r="Q161" s="18">
        <v>1</v>
      </c>
      <c r="R161" s="18" t="s">
        <v>79</v>
      </c>
      <c r="S161" s="18" t="s">
        <v>35</v>
      </c>
      <c r="T161" s="18" t="s">
        <v>175</v>
      </c>
      <c r="U161" s="19" t="s">
        <v>858</v>
      </c>
      <c r="V161" s="18" t="s">
        <v>64</v>
      </c>
    </row>
    <row r="162" spans="1:22">
      <c r="A162" s="15" t="s">
        <v>859</v>
      </c>
      <c r="B162" s="15" t="s">
        <v>168</v>
      </c>
      <c r="C162" s="15" t="s">
        <v>72</v>
      </c>
      <c r="D162" s="15" t="s">
        <v>548</v>
      </c>
      <c r="E162" s="15" t="s">
        <v>860</v>
      </c>
      <c r="F162" s="15" t="s">
        <v>361</v>
      </c>
      <c r="G162" s="15" t="s">
        <v>28</v>
      </c>
      <c r="H162" s="15" t="s">
        <v>861</v>
      </c>
      <c r="I162" s="15" t="s">
        <v>114</v>
      </c>
      <c r="J162" s="15" t="s">
        <v>106</v>
      </c>
      <c r="K162" s="15" t="s">
        <v>46</v>
      </c>
      <c r="L162" s="15" t="s">
        <v>78</v>
      </c>
      <c r="M162" s="15">
        <v>1</v>
      </c>
      <c r="N162" s="15">
        <v>1200</v>
      </c>
      <c r="O162" s="15">
        <v>5</v>
      </c>
      <c r="P162" s="15">
        <v>1140</v>
      </c>
      <c r="Q162" s="15">
        <v>4</v>
      </c>
      <c r="R162" s="15" t="s">
        <v>79</v>
      </c>
      <c r="S162" s="15" t="s">
        <v>35</v>
      </c>
      <c r="T162" s="15" t="s">
        <v>175</v>
      </c>
      <c r="U162" s="17" t="s">
        <v>862</v>
      </c>
      <c r="V162" s="15" t="s">
        <v>38</v>
      </c>
    </row>
    <row r="163" spans="1:22">
      <c r="A163" s="18" t="s">
        <v>863</v>
      </c>
      <c r="B163" s="18" t="s">
        <v>327</v>
      </c>
      <c r="C163" s="18" t="s">
        <v>118</v>
      </c>
      <c r="D163" s="18" t="s">
        <v>864</v>
      </c>
      <c r="E163" s="18" t="s">
        <v>865</v>
      </c>
      <c r="F163" s="18" t="s">
        <v>394</v>
      </c>
      <c r="G163" s="18" t="s">
        <v>76</v>
      </c>
      <c r="H163" s="18" t="s">
        <v>866</v>
      </c>
      <c r="I163" s="18" t="s">
        <v>212</v>
      </c>
      <c r="J163" s="18" t="s">
        <v>45</v>
      </c>
      <c r="K163" s="18" t="s">
        <v>122</v>
      </c>
      <c r="L163" s="18" t="s">
        <v>123</v>
      </c>
      <c r="M163" s="18">
        <v>7</v>
      </c>
      <c r="N163" s="18">
        <v>60</v>
      </c>
      <c r="O163" s="18">
        <v>0</v>
      </c>
      <c r="P163" s="18">
        <v>420</v>
      </c>
      <c r="Q163" s="18">
        <v>2</v>
      </c>
      <c r="R163" s="18" t="s">
        <v>88</v>
      </c>
      <c r="S163" s="18" t="s">
        <v>151</v>
      </c>
      <c r="T163" s="18" t="s">
        <v>332</v>
      </c>
      <c r="U163" s="19" t="s">
        <v>867</v>
      </c>
      <c r="V163" s="18" t="s">
        <v>38</v>
      </c>
    </row>
    <row r="164" spans="1:22">
      <c r="A164" s="15" t="s">
        <v>868</v>
      </c>
      <c r="B164" s="15" t="s">
        <v>168</v>
      </c>
      <c r="C164" s="15" t="s">
        <v>24</v>
      </c>
      <c r="D164" s="15" t="s">
        <v>205</v>
      </c>
      <c r="E164" s="15" t="s">
        <v>513</v>
      </c>
      <c r="F164" s="15" t="s">
        <v>361</v>
      </c>
      <c r="G164" s="15" t="s">
        <v>28</v>
      </c>
      <c r="H164" s="15" t="s">
        <v>869</v>
      </c>
      <c r="I164" s="15" t="s">
        <v>114</v>
      </c>
      <c r="J164" s="15" t="s">
        <v>106</v>
      </c>
      <c r="K164" s="15" t="s">
        <v>32</v>
      </c>
      <c r="L164" s="15" t="s">
        <v>33</v>
      </c>
      <c r="M164" s="15">
        <v>14</v>
      </c>
      <c r="N164" s="15">
        <v>2200</v>
      </c>
      <c r="O164" s="15">
        <v>0</v>
      </c>
      <c r="P164" s="15">
        <v>30800</v>
      </c>
      <c r="Q164" s="15">
        <v>2</v>
      </c>
      <c r="R164" s="15" t="s">
        <v>88</v>
      </c>
      <c r="S164" s="15" t="s">
        <v>35</v>
      </c>
      <c r="T164" s="15" t="s">
        <v>175</v>
      </c>
      <c r="U164" s="17" t="s">
        <v>870</v>
      </c>
      <c r="V164" s="15" t="s">
        <v>69</v>
      </c>
    </row>
    <row r="165" spans="1:22">
      <c r="A165" s="18" t="s">
        <v>871</v>
      </c>
      <c r="B165" s="18" t="s">
        <v>168</v>
      </c>
      <c r="C165" s="18" t="s">
        <v>92</v>
      </c>
      <c r="D165" s="18" t="s">
        <v>872</v>
      </c>
      <c r="E165" s="18" t="s">
        <v>488</v>
      </c>
      <c r="F165" s="18" t="s">
        <v>361</v>
      </c>
      <c r="G165" s="18" t="s">
        <v>28</v>
      </c>
      <c r="H165" s="18" t="s">
        <v>873</v>
      </c>
      <c r="I165" s="18" t="s">
        <v>138</v>
      </c>
      <c r="J165" s="18" t="s">
        <v>106</v>
      </c>
      <c r="K165" s="18" t="s">
        <v>32</v>
      </c>
      <c r="L165" s="18" t="s">
        <v>97</v>
      </c>
      <c r="M165" s="18">
        <v>15</v>
      </c>
      <c r="N165" s="18">
        <v>3500</v>
      </c>
      <c r="O165" s="18">
        <v>15</v>
      </c>
      <c r="P165" s="18">
        <v>44625</v>
      </c>
      <c r="Q165" s="18">
        <v>2</v>
      </c>
      <c r="R165" s="18" t="s">
        <v>88</v>
      </c>
      <c r="S165" s="18" t="s">
        <v>61</v>
      </c>
      <c r="T165" s="18" t="s">
        <v>175</v>
      </c>
      <c r="U165" s="19" t="s">
        <v>874</v>
      </c>
      <c r="V165" s="18" t="s">
        <v>64</v>
      </c>
    </row>
    <row r="166" spans="1:22">
      <c r="A166" s="15" t="s">
        <v>875</v>
      </c>
      <c r="B166" s="15" t="s">
        <v>127</v>
      </c>
      <c r="C166" s="15" t="s">
        <v>92</v>
      </c>
      <c r="D166" s="15" t="s">
        <v>876</v>
      </c>
      <c r="E166" s="15" t="s">
        <v>877</v>
      </c>
      <c r="F166" s="15" t="s">
        <v>200</v>
      </c>
      <c r="G166" s="15" t="s">
        <v>76</v>
      </c>
      <c r="H166" s="15" t="s">
        <v>878</v>
      </c>
      <c r="I166" s="15" t="s">
        <v>294</v>
      </c>
      <c r="J166" s="15" t="s">
        <v>295</v>
      </c>
      <c r="K166" s="15" t="s">
        <v>32</v>
      </c>
      <c r="L166" s="15" t="s">
        <v>97</v>
      </c>
      <c r="M166" s="15">
        <v>19</v>
      </c>
      <c r="N166" s="15">
        <v>3500</v>
      </c>
      <c r="O166" s="15">
        <v>5</v>
      </c>
      <c r="P166" s="15">
        <v>63175</v>
      </c>
      <c r="Q166" s="15">
        <v>2</v>
      </c>
      <c r="R166" s="15" t="s">
        <v>34</v>
      </c>
      <c r="S166" s="15" t="s">
        <v>115</v>
      </c>
      <c r="T166" s="15" t="s">
        <v>132</v>
      </c>
      <c r="U166" s="17" t="s">
        <v>879</v>
      </c>
      <c r="V166" s="15" t="s">
        <v>69</v>
      </c>
    </row>
    <row r="167" spans="1:22">
      <c r="A167" s="18" t="s">
        <v>880</v>
      </c>
      <c r="B167" s="18" t="s">
        <v>327</v>
      </c>
      <c r="C167" s="18" t="s">
        <v>54</v>
      </c>
      <c r="D167" s="18" t="s">
        <v>881</v>
      </c>
      <c r="E167" s="18" t="s">
        <v>640</v>
      </c>
      <c r="F167" s="18" t="s">
        <v>394</v>
      </c>
      <c r="G167" s="18" t="s">
        <v>76</v>
      </c>
      <c r="H167" s="18" t="s">
        <v>882</v>
      </c>
      <c r="I167" s="18" t="s">
        <v>59</v>
      </c>
      <c r="J167" s="18" t="s">
        <v>31</v>
      </c>
      <c r="K167" s="18" t="s">
        <v>46</v>
      </c>
      <c r="L167" s="18" t="s">
        <v>60</v>
      </c>
      <c r="M167" s="18">
        <v>12</v>
      </c>
      <c r="N167" s="18">
        <v>55000</v>
      </c>
      <c r="O167" s="18">
        <v>5</v>
      </c>
      <c r="P167" s="18">
        <v>627000</v>
      </c>
      <c r="Q167" s="18">
        <v>4</v>
      </c>
      <c r="R167" s="18" t="s">
        <v>79</v>
      </c>
      <c r="S167" s="18" t="s">
        <v>61</v>
      </c>
      <c r="T167" s="18" t="s">
        <v>332</v>
      </c>
      <c r="U167" s="19" t="s">
        <v>883</v>
      </c>
      <c r="V167" s="18" t="s">
        <v>69</v>
      </c>
    </row>
    <row r="168" spans="1:22">
      <c r="A168" s="15" t="s">
        <v>884</v>
      </c>
      <c r="B168" s="15" t="s">
        <v>53</v>
      </c>
      <c r="C168" s="15" t="s">
        <v>72</v>
      </c>
      <c r="D168" s="15" t="s">
        <v>587</v>
      </c>
      <c r="E168" s="15" t="s">
        <v>483</v>
      </c>
      <c r="F168" s="15" t="s">
        <v>163</v>
      </c>
      <c r="G168" s="15" t="s">
        <v>28</v>
      </c>
      <c r="H168" s="15" t="s">
        <v>885</v>
      </c>
      <c r="I168" s="15" t="s">
        <v>105</v>
      </c>
      <c r="J168" s="15" t="s">
        <v>106</v>
      </c>
      <c r="K168" s="15" t="s">
        <v>46</v>
      </c>
      <c r="L168" s="15" t="s">
        <v>78</v>
      </c>
      <c r="M168" s="15">
        <v>6</v>
      </c>
      <c r="N168" s="15">
        <v>1200</v>
      </c>
      <c r="O168" s="15">
        <v>10</v>
      </c>
      <c r="P168" s="15">
        <v>6480</v>
      </c>
      <c r="Q168" s="15">
        <v>5</v>
      </c>
      <c r="R168" s="15" t="s">
        <v>48</v>
      </c>
      <c r="S168" s="15" t="s">
        <v>115</v>
      </c>
      <c r="T168" s="15" t="s">
        <v>62</v>
      </c>
      <c r="U168" s="17" t="s">
        <v>886</v>
      </c>
      <c r="V168" s="15" t="s">
        <v>69</v>
      </c>
    </row>
    <row r="169" spans="1:22">
      <c r="A169" s="18" t="s">
        <v>887</v>
      </c>
      <c r="B169" s="18" t="s">
        <v>251</v>
      </c>
      <c r="C169" s="18" t="s">
        <v>169</v>
      </c>
      <c r="D169" s="18" t="s">
        <v>128</v>
      </c>
      <c r="E169" s="18" t="s">
        <v>247</v>
      </c>
      <c r="F169" s="18" t="s">
        <v>254</v>
      </c>
      <c r="G169" s="18" t="s">
        <v>28</v>
      </c>
      <c r="H169" s="18" t="s">
        <v>888</v>
      </c>
      <c r="I169" s="18" t="s">
        <v>30</v>
      </c>
      <c r="J169" s="18" t="s">
        <v>31</v>
      </c>
      <c r="K169" s="18" t="s">
        <v>32</v>
      </c>
      <c r="L169" s="18" t="s">
        <v>174</v>
      </c>
      <c r="M169" s="18">
        <v>1</v>
      </c>
      <c r="N169" s="18">
        <v>8500</v>
      </c>
      <c r="O169" s="18">
        <v>0</v>
      </c>
      <c r="P169" s="18">
        <v>8500</v>
      </c>
      <c r="Q169" s="18">
        <v>1</v>
      </c>
      <c r="R169" s="18" t="s">
        <v>88</v>
      </c>
      <c r="S169" s="18" t="s">
        <v>151</v>
      </c>
      <c r="T169" s="18" t="s">
        <v>256</v>
      </c>
      <c r="U169" s="19" t="s">
        <v>889</v>
      </c>
      <c r="V169" s="18" t="s">
        <v>69</v>
      </c>
    </row>
    <row r="170" spans="1:22">
      <c r="A170" s="15" t="s">
        <v>890</v>
      </c>
      <c r="B170" s="15" t="s">
        <v>127</v>
      </c>
      <c r="C170" s="15" t="s">
        <v>54</v>
      </c>
      <c r="D170" s="15" t="s">
        <v>891</v>
      </c>
      <c r="E170" s="15" t="s">
        <v>892</v>
      </c>
      <c r="F170" s="15" t="s">
        <v>200</v>
      </c>
      <c r="G170" s="15" t="s">
        <v>76</v>
      </c>
      <c r="H170" s="15" t="s">
        <v>893</v>
      </c>
      <c r="I170" s="15" t="s">
        <v>138</v>
      </c>
      <c r="J170" s="15" t="s">
        <v>106</v>
      </c>
      <c r="K170" s="15" t="s">
        <v>46</v>
      </c>
      <c r="L170" s="15" t="s">
        <v>60</v>
      </c>
      <c r="M170" s="15">
        <v>20</v>
      </c>
      <c r="N170" s="15">
        <v>55000</v>
      </c>
      <c r="O170" s="15">
        <v>10</v>
      </c>
      <c r="P170" s="15">
        <v>990000</v>
      </c>
      <c r="Q170" s="15">
        <v>5</v>
      </c>
      <c r="R170" s="15" t="s">
        <v>48</v>
      </c>
      <c r="S170" s="15" t="s">
        <v>151</v>
      </c>
      <c r="T170" s="15" t="s">
        <v>132</v>
      </c>
      <c r="U170" s="17" t="s">
        <v>894</v>
      </c>
      <c r="V170" s="15" t="s">
        <v>38</v>
      </c>
    </row>
    <row r="171" spans="1:22">
      <c r="A171" s="18" t="s">
        <v>895</v>
      </c>
      <c r="B171" s="18" t="s">
        <v>221</v>
      </c>
      <c r="C171" s="18" t="s">
        <v>72</v>
      </c>
      <c r="D171" s="18" t="s">
        <v>661</v>
      </c>
      <c r="E171" s="18" t="s">
        <v>896</v>
      </c>
      <c r="F171" s="18" t="s">
        <v>225</v>
      </c>
      <c r="G171" s="18" t="s">
        <v>76</v>
      </c>
      <c r="H171" s="18" t="s">
        <v>897</v>
      </c>
      <c r="I171" s="18" t="s">
        <v>138</v>
      </c>
      <c r="J171" s="18" t="s">
        <v>106</v>
      </c>
      <c r="K171" s="18" t="s">
        <v>46</v>
      </c>
      <c r="L171" s="18" t="s">
        <v>78</v>
      </c>
      <c r="M171" s="18">
        <v>8</v>
      </c>
      <c r="N171" s="18">
        <v>1200</v>
      </c>
      <c r="O171" s="18">
        <v>15</v>
      </c>
      <c r="P171" s="18">
        <v>8160</v>
      </c>
      <c r="Q171" s="18">
        <v>2</v>
      </c>
      <c r="R171" s="18" t="s">
        <v>88</v>
      </c>
      <c r="S171" s="18" t="s">
        <v>115</v>
      </c>
      <c r="T171" s="18" t="s">
        <v>228</v>
      </c>
      <c r="U171" s="19" t="s">
        <v>898</v>
      </c>
      <c r="V171" s="18" t="s">
        <v>69</v>
      </c>
    </row>
    <row r="172" spans="1:22">
      <c r="A172" s="15" t="s">
        <v>899</v>
      </c>
      <c r="B172" s="15" t="s">
        <v>23</v>
      </c>
      <c r="C172" s="15" t="s">
        <v>92</v>
      </c>
      <c r="D172" s="15" t="s">
        <v>900</v>
      </c>
      <c r="E172" s="15" t="s">
        <v>901</v>
      </c>
      <c r="F172" s="15" t="s">
        <v>27</v>
      </c>
      <c r="G172" s="15" t="s">
        <v>28</v>
      </c>
      <c r="H172" s="15" t="s">
        <v>902</v>
      </c>
      <c r="I172" s="15" t="s">
        <v>212</v>
      </c>
      <c r="J172" s="15" t="s">
        <v>45</v>
      </c>
      <c r="K172" s="15" t="s">
        <v>32</v>
      </c>
      <c r="L172" s="15" t="s">
        <v>97</v>
      </c>
      <c r="M172" s="15">
        <v>19</v>
      </c>
      <c r="N172" s="15">
        <v>3500</v>
      </c>
      <c r="O172" s="15">
        <v>5</v>
      </c>
      <c r="P172" s="15">
        <v>63175</v>
      </c>
      <c r="Q172" s="15">
        <v>4</v>
      </c>
      <c r="R172" s="15" t="s">
        <v>88</v>
      </c>
      <c r="S172" s="15" t="s">
        <v>49</v>
      </c>
      <c r="T172" s="15" t="s">
        <v>50</v>
      </c>
      <c r="U172" s="17" t="s">
        <v>903</v>
      </c>
      <c r="V172" s="15" t="s">
        <v>64</v>
      </c>
    </row>
    <row r="173" spans="1:22">
      <c r="A173" s="18" t="s">
        <v>904</v>
      </c>
      <c r="B173" s="18" t="s">
        <v>221</v>
      </c>
      <c r="C173" s="18" t="s">
        <v>259</v>
      </c>
      <c r="D173" s="18" t="s">
        <v>41</v>
      </c>
      <c r="E173" s="18" t="s">
        <v>606</v>
      </c>
      <c r="F173" s="18" t="s">
        <v>225</v>
      </c>
      <c r="G173" s="18" t="s">
        <v>76</v>
      </c>
      <c r="H173" s="18" t="s">
        <v>906</v>
      </c>
      <c r="I173" s="18" t="s">
        <v>212</v>
      </c>
      <c r="J173" s="18" t="s">
        <v>45</v>
      </c>
      <c r="K173" s="18" t="s">
        <v>122</v>
      </c>
      <c r="L173" s="18" t="s">
        <v>263</v>
      </c>
      <c r="M173" s="18">
        <v>6</v>
      </c>
      <c r="N173" s="18">
        <v>45</v>
      </c>
      <c r="O173" s="18">
        <v>20</v>
      </c>
      <c r="P173" s="18">
        <v>216</v>
      </c>
      <c r="Q173" s="18">
        <v>1</v>
      </c>
      <c r="R173" s="18" t="s">
        <v>79</v>
      </c>
      <c r="S173" s="18" t="s">
        <v>49</v>
      </c>
      <c r="T173" s="18" t="s">
        <v>907</v>
      </c>
      <c r="U173" s="19" t="s">
        <v>908</v>
      </c>
      <c r="V173" s="18" t="s">
        <v>64</v>
      </c>
    </row>
    <row r="174" spans="1:22">
      <c r="A174" s="15" t="s">
        <v>909</v>
      </c>
      <c r="B174" s="15" t="s">
        <v>251</v>
      </c>
      <c r="C174" s="15" t="s">
        <v>259</v>
      </c>
      <c r="D174" s="15" t="s">
        <v>910</v>
      </c>
      <c r="E174" s="15" t="s">
        <v>119</v>
      </c>
      <c r="F174" s="15" t="s">
        <v>254</v>
      </c>
      <c r="G174" s="15" t="s">
        <v>28</v>
      </c>
      <c r="H174" s="15" t="s">
        <v>911</v>
      </c>
      <c r="I174" s="15" t="s">
        <v>114</v>
      </c>
      <c r="J174" s="15" t="s">
        <v>106</v>
      </c>
      <c r="K174" s="15" t="s">
        <v>122</v>
      </c>
      <c r="L174" s="15" t="s">
        <v>263</v>
      </c>
      <c r="M174" s="15">
        <v>17</v>
      </c>
      <c r="N174" s="15">
        <v>45</v>
      </c>
      <c r="O174" s="15">
        <v>15</v>
      </c>
      <c r="P174" s="15">
        <v>650.25</v>
      </c>
      <c r="Q174" s="15">
        <v>5</v>
      </c>
      <c r="R174" s="15" t="s">
        <v>34</v>
      </c>
      <c r="S174" s="15" t="s">
        <v>115</v>
      </c>
      <c r="T174" s="15" t="s">
        <v>256</v>
      </c>
      <c r="U174" s="17" t="s">
        <v>912</v>
      </c>
      <c r="V174" s="15" t="s">
        <v>64</v>
      </c>
    </row>
    <row r="175" spans="1:22">
      <c r="A175" s="18" t="s">
        <v>913</v>
      </c>
      <c r="B175" s="18" t="s">
        <v>23</v>
      </c>
      <c r="C175" s="18" t="s">
        <v>222</v>
      </c>
      <c r="D175" s="18" t="s">
        <v>276</v>
      </c>
      <c r="E175" s="18" t="s">
        <v>914</v>
      </c>
      <c r="F175" s="18" t="s">
        <v>27</v>
      </c>
      <c r="G175" s="18" t="s">
        <v>28</v>
      </c>
      <c r="H175" s="18" t="s">
        <v>915</v>
      </c>
      <c r="I175" s="18" t="s">
        <v>114</v>
      </c>
      <c r="J175" s="18" t="s">
        <v>106</v>
      </c>
      <c r="K175" s="18" t="s">
        <v>122</v>
      </c>
      <c r="L175" s="18" t="s">
        <v>227</v>
      </c>
      <c r="M175" s="18">
        <v>19</v>
      </c>
      <c r="N175" s="18">
        <v>20</v>
      </c>
      <c r="O175" s="18">
        <v>5</v>
      </c>
      <c r="P175" s="18">
        <v>361</v>
      </c>
      <c r="Q175" s="18">
        <v>4</v>
      </c>
      <c r="R175" s="18" t="s">
        <v>34</v>
      </c>
      <c r="S175" s="18" t="s">
        <v>35</v>
      </c>
      <c r="T175" s="18" t="s">
        <v>50</v>
      </c>
      <c r="U175" s="19" t="s">
        <v>916</v>
      </c>
      <c r="V175" s="18" t="s">
        <v>64</v>
      </c>
    </row>
    <row r="176" spans="1:22">
      <c r="A176" s="15" t="s">
        <v>917</v>
      </c>
      <c r="B176" s="15" t="s">
        <v>251</v>
      </c>
      <c r="C176" s="15" t="s">
        <v>222</v>
      </c>
      <c r="D176" s="15" t="s">
        <v>918</v>
      </c>
      <c r="E176" s="15" t="s">
        <v>352</v>
      </c>
      <c r="F176" s="15" t="s">
        <v>254</v>
      </c>
      <c r="G176" s="15" t="s">
        <v>28</v>
      </c>
      <c r="H176" s="15" t="s">
        <v>920</v>
      </c>
      <c r="I176" s="15" t="s">
        <v>138</v>
      </c>
      <c r="J176" s="15" t="s">
        <v>106</v>
      </c>
      <c r="K176" s="15" t="s">
        <v>122</v>
      </c>
      <c r="L176" s="15" t="s">
        <v>227</v>
      </c>
      <c r="M176" s="15">
        <v>11</v>
      </c>
      <c r="N176" s="15">
        <v>20</v>
      </c>
      <c r="O176" s="15">
        <v>0</v>
      </c>
      <c r="P176" s="15">
        <v>220</v>
      </c>
      <c r="Q176" s="15">
        <v>3</v>
      </c>
      <c r="R176" s="15" t="s">
        <v>48</v>
      </c>
      <c r="S176" s="15" t="s">
        <v>49</v>
      </c>
      <c r="T176" s="15" t="s">
        <v>256</v>
      </c>
      <c r="U176" s="17" t="s">
        <v>921</v>
      </c>
      <c r="V176" s="15" t="s">
        <v>38</v>
      </c>
    </row>
    <row r="177" spans="1:22">
      <c r="A177" s="18" t="s">
        <v>922</v>
      </c>
      <c r="B177" s="18" t="s">
        <v>168</v>
      </c>
      <c r="C177" s="18" t="s">
        <v>118</v>
      </c>
      <c r="D177" s="18" t="s">
        <v>323</v>
      </c>
      <c r="E177" s="18" t="s">
        <v>923</v>
      </c>
      <c r="F177" s="18" t="s">
        <v>361</v>
      </c>
      <c r="G177" s="18" t="s">
        <v>28</v>
      </c>
      <c r="H177" s="18" t="s">
        <v>924</v>
      </c>
      <c r="I177" s="18" t="s">
        <v>44</v>
      </c>
      <c r="J177" s="18" t="s">
        <v>45</v>
      </c>
      <c r="K177" s="18" t="s">
        <v>122</v>
      </c>
      <c r="L177" s="18" t="s">
        <v>123</v>
      </c>
      <c r="M177" s="18">
        <v>12</v>
      </c>
      <c r="N177" s="18">
        <v>60</v>
      </c>
      <c r="O177" s="18">
        <v>0</v>
      </c>
      <c r="P177" s="18">
        <v>720</v>
      </c>
      <c r="Q177" s="18">
        <v>2</v>
      </c>
      <c r="R177" s="18" t="s">
        <v>48</v>
      </c>
      <c r="S177" s="18" t="s">
        <v>49</v>
      </c>
      <c r="T177" s="18" t="s">
        <v>175</v>
      </c>
      <c r="U177" s="19" t="s">
        <v>925</v>
      </c>
      <c r="V177" s="18" t="s">
        <v>38</v>
      </c>
    </row>
    <row r="178" spans="1:22">
      <c r="A178" s="15" t="s">
        <v>926</v>
      </c>
      <c r="B178" s="15" t="s">
        <v>221</v>
      </c>
      <c r="C178" s="15" t="s">
        <v>259</v>
      </c>
      <c r="D178" s="15" t="s">
        <v>927</v>
      </c>
      <c r="E178" s="15" t="s">
        <v>865</v>
      </c>
      <c r="F178" s="15" t="s">
        <v>103</v>
      </c>
      <c r="G178" s="15" t="s">
        <v>76</v>
      </c>
      <c r="H178" s="15" t="s">
        <v>929</v>
      </c>
      <c r="I178" s="15" t="s">
        <v>294</v>
      </c>
      <c r="J178" s="15" t="s">
        <v>295</v>
      </c>
      <c r="K178" s="15" t="s">
        <v>122</v>
      </c>
      <c r="L178" s="15" t="s">
        <v>263</v>
      </c>
      <c r="M178" s="15">
        <v>14</v>
      </c>
      <c r="N178" s="15">
        <v>45</v>
      </c>
      <c r="O178" s="15">
        <v>15</v>
      </c>
      <c r="P178" s="15">
        <v>535.5</v>
      </c>
      <c r="Q178" s="15">
        <v>5</v>
      </c>
      <c r="R178" s="15" t="s">
        <v>88</v>
      </c>
      <c r="S178" s="15" t="s">
        <v>115</v>
      </c>
      <c r="T178" s="15" t="s">
        <v>228</v>
      </c>
      <c r="U178" s="17" t="s">
        <v>930</v>
      </c>
      <c r="V178" s="15" t="s">
        <v>64</v>
      </c>
    </row>
    <row r="179" spans="1:22">
      <c r="A179" s="18" t="s">
        <v>931</v>
      </c>
      <c r="B179" s="18" t="s">
        <v>23</v>
      </c>
      <c r="C179" s="18" t="s">
        <v>184</v>
      </c>
      <c r="D179" s="18" t="s">
        <v>932</v>
      </c>
      <c r="E179" s="18" t="s">
        <v>303</v>
      </c>
      <c r="F179" s="18" t="s">
        <v>27</v>
      </c>
      <c r="G179" s="18" t="s">
        <v>28</v>
      </c>
      <c r="H179" s="18" t="s">
        <v>933</v>
      </c>
      <c r="I179" s="18" t="s">
        <v>30</v>
      </c>
      <c r="J179" s="18" t="s">
        <v>31</v>
      </c>
      <c r="K179" s="18" t="s">
        <v>46</v>
      </c>
      <c r="L179" s="18" t="s">
        <v>189</v>
      </c>
      <c r="M179" s="18">
        <v>15</v>
      </c>
      <c r="N179" s="18">
        <v>700</v>
      </c>
      <c r="O179" s="18">
        <v>10</v>
      </c>
      <c r="P179" s="18">
        <v>9450</v>
      </c>
      <c r="Q179" s="18">
        <v>3</v>
      </c>
      <c r="R179" s="18" t="s">
        <v>48</v>
      </c>
      <c r="S179" s="18" t="s">
        <v>49</v>
      </c>
      <c r="T179" s="18" t="s">
        <v>50</v>
      </c>
      <c r="U179" s="19" t="s">
        <v>934</v>
      </c>
      <c r="V179" s="18" t="s">
        <v>64</v>
      </c>
    </row>
    <row r="180" spans="1:22">
      <c r="A180" s="15" t="s">
        <v>935</v>
      </c>
      <c r="B180" s="15" t="s">
        <v>100</v>
      </c>
      <c r="C180" s="15" t="s">
        <v>169</v>
      </c>
      <c r="D180" s="15" t="s">
        <v>936</v>
      </c>
      <c r="E180" s="15" t="s">
        <v>683</v>
      </c>
      <c r="F180" s="15" t="s">
        <v>103</v>
      </c>
      <c r="G180" s="15" t="s">
        <v>28</v>
      </c>
      <c r="H180" s="15" t="s">
        <v>937</v>
      </c>
      <c r="I180" s="15" t="s">
        <v>138</v>
      </c>
      <c r="J180" s="15" t="s">
        <v>106</v>
      </c>
      <c r="K180" s="15" t="s">
        <v>32</v>
      </c>
      <c r="L180" s="15" t="s">
        <v>174</v>
      </c>
      <c r="M180" s="15">
        <v>19</v>
      </c>
      <c r="N180" s="15">
        <v>8500</v>
      </c>
      <c r="O180" s="15">
        <v>15</v>
      </c>
      <c r="P180" s="15">
        <v>137275</v>
      </c>
      <c r="Q180" s="15">
        <v>2</v>
      </c>
      <c r="R180" s="15" t="s">
        <v>34</v>
      </c>
      <c r="S180" s="15" t="s">
        <v>35</v>
      </c>
      <c r="T180" s="15" t="s">
        <v>144</v>
      </c>
      <c r="U180" s="17" t="s">
        <v>938</v>
      </c>
      <c r="V180" s="15" t="s">
        <v>69</v>
      </c>
    </row>
    <row r="181" spans="1:22">
      <c r="A181" s="18" t="s">
        <v>939</v>
      </c>
      <c r="B181" s="18" t="s">
        <v>251</v>
      </c>
      <c r="C181" s="18" t="s">
        <v>118</v>
      </c>
      <c r="D181" s="18" t="s">
        <v>940</v>
      </c>
      <c r="E181" s="18" t="s">
        <v>941</v>
      </c>
      <c r="F181" s="18" t="s">
        <v>254</v>
      </c>
      <c r="G181" s="18" t="s">
        <v>28</v>
      </c>
      <c r="H181" s="18" t="s">
        <v>911</v>
      </c>
      <c r="I181" s="18" t="s">
        <v>212</v>
      </c>
      <c r="J181" s="18" t="s">
        <v>45</v>
      </c>
      <c r="K181" s="18" t="s">
        <v>122</v>
      </c>
      <c r="L181" s="18" t="s">
        <v>123</v>
      </c>
      <c r="M181" s="18">
        <v>19</v>
      </c>
      <c r="N181" s="18">
        <v>60</v>
      </c>
      <c r="O181" s="18">
        <v>20</v>
      </c>
      <c r="P181" s="18">
        <v>912</v>
      </c>
      <c r="Q181" s="18">
        <v>4</v>
      </c>
      <c r="R181" s="18" t="s">
        <v>79</v>
      </c>
      <c r="S181" s="18" t="s">
        <v>49</v>
      </c>
      <c r="T181" s="18" t="s">
        <v>256</v>
      </c>
      <c r="U181" s="19" t="s">
        <v>942</v>
      </c>
      <c r="V181" s="18" t="s">
        <v>64</v>
      </c>
    </row>
    <row r="182" spans="1:22">
      <c r="A182" s="15" t="s">
        <v>943</v>
      </c>
      <c r="B182" s="15" t="s">
        <v>100</v>
      </c>
      <c r="C182" s="15" t="s">
        <v>259</v>
      </c>
      <c r="D182" s="15" t="s">
        <v>944</v>
      </c>
      <c r="E182" s="15" t="s">
        <v>936</v>
      </c>
      <c r="F182" s="15" t="s">
        <v>103</v>
      </c>
      <c r="G182" s="15" t="s">
        <v>28</v>
      </c>
      <c r="H182" s="15" t="s">
        <v>945</v>
      </c>
      <c r="I182" s="15" t="s">
        <v>59</v>
      </c>
      <c r="J182" s="15" t="s">
        <v>31</v>
      </c>
      <c r="K182" s="15" t="s">
        <v>122</v>
      </c>
      <c r="L182" s="15" t="s">
        <v>263</v>
      </c>
      <c r="M182" s="15">
        <v>10</v>
      </c>
      <c r="N182" s="15">
        <v>45</v>
      </c>
      <c r="O182" s="15">
        <v>15</v>
      </c>
      <c r="P182" s="15">
        <v>382.5</v>
      </c>
      <c r="Q182" s="15">
        <v>4</v>
      </c>
      <c r="R182" s="15" t="s">
        <v>34</v>
      </c>
      <c r="S182" s="15" t="s">
        <v>151</v>
      </c>
      <c r="T182" s="15" t="s">
        <v>144</v>
      </c>
      <c r="U182" s="17" t="s">
        <v>946</v>
      </c>
      <c r="V182" s="15" t="s">
        <v>38</v>
      </c>
    </row>
    <row r="183" spans="1:22">
      <c r="A183" s="18" t="s">
        <v>947</v>
      </c>
      <c r="B183" s="18" t="s">
        <v>71</v>
      </c>
      <c r="C183" s="18" t="s">
        <v>24</v>
      </c>
      <c r="D183" s="18" t="s">
        <v>948</v>
      </c>
      <c r="E183" s="18" t="s">
        <v>949</v>
      </c>
      <c r="F183" s="18" t="s">
        <v>217</v>
      </c>
      <c r="G183" s="18" t="s">
        <v>76</v>
      </c>
      <c r="H183" s="18" t="s">
        <v>950</v>
      </c>
      <c r="I183" s="18" t="s">
        <v>44</v>
      </c>
      <c r="J183" s="18" t="s">
        <v>45</v>
      </c>
      <c r="K183" s="18" t="s">
        <v>32</v>
      </c>
      <c r="L183" s="18" t="s">
        <v>33</v>
      </c>
      <c r="M183" s="18">
        <v>7</v>
      </c>
      <c r="N183" s="18">
        <v>2200</v>
      </c>
      <c r="O183" s="18">
        <v>20</v>
      </c>
      <c r="P183" s="18">
        <v>12320</v>
      </c>
      <c r="Q183" s="18">
        <v>5</v>
      </c>
      <c r="R183" s="18" t="s">
        <v>88</v>
      </c>
      <c r="S183" s="18" t="s">
        <v>49</v>
      </c>
      <c r="T183" s="18" t="s">
        <v>80</v>
      </c>
      <c r="U183" s="19" t="s">
        <v>951</v>
      </c>
      <c r="V183" s="18" t="s">
        <v>64</v>
      </c>
    </row>
    <row r="184" spans="1:22">
      <c r="A184" s="15" t="s">
        <v>952</v>
      </c>
      <c r="B184" s="15" t="s">
        <v>100</v>
      </c>
      <c r="C184" s="15" t="s">
        <v>169</v>
      </c>
      <c r="D184" s="15" t="s">
        <v>953</v>
      </c>
      <c r="E184" s="15" t="s">
        <v>42</v>
      </c>
      <c r="F184" s="15" t="s">
        <v>103</v>
      </c>
      <c r="G184" s="15" t="s">
        <v>28</v>
      </c>
      <c r="H184" s="15" t="s">
        <v>954</v>
      </c>
      <c r="I184" s="15" t="s">
        <v>294</v>
      </c>
      <c r="J184" s="15" t="s">
        <v>295</v>
      </c>
      <c r="K184" s="15" t="s">
        <v>32</v>
      </c>
      <c r="L184" s="15" t="s">
        <v>174</v>
      </c>
      <c r="M184" s="15">
        <v>20</v>
      </c>
      <c r="N184" s="15">
        <v>8500</v>
      </c>
      <c r="O184" s="15">
        <v>20</v>
      </c>
      <c r="P184" s="15">
        <v>136000</v>
      </c>
      <c r="Q184" s="15">
        <v>4</v>
      </c>
      <c r="R184" s="15" t="s">
        <v>48</v>
      </c>
      <c r="S184" s="15" t="s">
        <v>35</v>
      </c>
      <c r="T184" s="15" t="s">
        <v>144</v>
      </c>
      <c r="U184" s="17" t="s">
        <v>955</v>
      </c>
      <c r="V184" s="15" t="s">
        <v>38</v>
      </c>
    </row>
    <row r="185" spans="1:22">
      <c r="A185" s="18" t="s">
        <v>956</v>
      </c>
      <c r="B185" s="18" t="s">
        <v>251</v>
      </c>
      <c r="C185" s="18" t="s">
        <v>24</v>
      </c>
      <c r="D185" s="18" t="s">
        <v>770</v>
      </c>
      <c r="E185" s="18" t="s">
        <v>957</v>
      </c>
      <c r="F185" s="18" t="s">
        <v>254</v>
      </c>
      <c r="G185" s="18" t="s">
        <v>28</v>
      </c>
      <c r="H185" s="18" t="s">
        <v>958</v>
      </c>
      <c r="I185" s="18" t="s">
        <v>30</v>
      </c>
      <c r="J185" s="18" t="s">
        <v>31</v>
      </c>
      <c r="K185" s="18" t="s">
        <v>32</v>
      </c>
      <c r="L185" s="18" t="s">
        <v>33</v>
      </c>
      <c r="M185" s="18">
        <v>10</v>
      </c>
      <c r="N185" s="18">
        <v>2200</v>
      </c>
      <c r="O185" s="18">
        <v>5</v>
      </c>
      <c r="P185" s="18">
        <v>20900</v>
      </c>
      <c r="Q185" s="18">
        <v>2</v>
      </c>
      <c r="R185" s="18" t="s">
        <v>48</v>
      </c>
      <c r="S185" s="18" t="s">
        <v>49</v>
      </c>
      <c r="T185" s="18" t="s">
        <v>256</v>
      </c>
      <c r="U185" s="19" t="s">
        <v>959</v>
      </c>
      <c r="V185" s="18" t="s">
        <v>38</v>
      </c>
    </row>
    <row r="186" spans="1:22">
      <c r="A186" s="15" t="s">
        <v>960</v>
      </c>
      <c r="B186" s="15" t="s">
        <v>127</v>
      </c>
      <c r="C186" s="15" t="s">
        <v>118</v>
      </c>
      <c r="D186" s="15" t="s">
        <v>692</v>
      </c>
      <c r="E186" s="15" t="s">
        <v>961</v>
      </c>
      <c r="F186" s="15" t="s">
        <v>200</v>
      </c>
      <c r="G186" s="15" t="s">
        <v>76</v>
      </c>
      <c r="H186" s="15" t="s">
        <v>962</v>
      </c>
      <c r="I186" s="15" t="s">
        <v>114</v>
      </c>
      <c r="J186" s="15" t="s">
        <v>106</v>
      </c>
      <c r="K186" s="15" t="s">
        <v>122</v>
      </c>
      <c r="L186" s="15" t="s">
        <v>123</v>
      </c>
      <c r="M186" s="15">
        <v>15</v>
      </c>
      <c r="N186" s="15">
        <v>60</v>
      </c>
      <c r="O186" s="15">
        <v>20</v>
      </c>
      <c r="P186" s="15">
        <v>720</v>
      </c>
      <c r="Q186" s="15">
        <v>1</v>
      </c>
      <c r="R186" s="15" t="s">
        <v>79</v>
      </c>
      <c r="S186" s="15" t="s">
        <v>35</v>
      </c>
      <c r="T186" s="15" t="s">
        <v>132</v>
      </c>
      <c r="U186" s="17" t="s">
        <v>963</v>
      </c>
      <c r="V186" s="15" t="s">
        <v>38</v>
      </c>
    </row>
    <row r="187" spans="1:22">
      <c r="A187" s="18" t="s">
        <v>964</v>
      </c>
      <c r="B187" s="18" t="s">
        <v>221</v>
      </c>
      <c r="C187" s="18" t="s">
        <v>92</v>
      </c>
      <c r="D187" s="18" t="s">
        <v>231</v>
      </c>
      <c r="E187" s="18" t="s">
        <v>965</v>
      </c>
      <c r="F187" s="18" t="s">
        <v>225</v>
      </c>
      <c r="G187" s="18" t="s">
        <v>76</v>
      </c>
      <c r="H187" s="18" t="s">
        <v>966</v>
      </c>
      <c r="I187" s="18" t="s">
        <v>30</v>
      </c>
      <c r="J187" s="18" t="s">
        <v>31</v>
      </c>
      <c r="K187" s="18" t="s">
        <v>32</v>
      </c>
      <c r="L187" s="18" t="s">
        <v>97</v>
      </c>
      <c r="M187" s="18">
        <v>18</v>
      </c>
      <c r="N187" s="18">
        <v>3500</v>
      </c>
      <c r="O187" s="18">
        <v>5</v>
      </c>
      <c r="P187" s="18">
        <v>59850</v>
      </c>
      <c r="Q187" s="18">
        <v>1</v>
      </c>
      <c r="R187" s="18" t="s">
        <v>79</v>
      </c>
      <c r="S187" s="18" t="s">
        <v>49</v>
      </c>
      <c r="T187" s="18" t="s">
        <v>228</v>
      </c>
      <c r="U187" s="19" t="s">
        <v>967</v>
      </c>
      <c r="V187" s="18" t="s">
        <v>69</v>
      </c>
    </row>
    <row r="188" spans="1:22">
      <c r="A188" s="15" t="s">
        <v>968</v>
      </c>
      <c r="B188" s="15" t="s">
        <v>327</v>
      </c>
      <c r="C188" s="15" t="s">
        <v>40</v>
      </c>
      <c r="D188" s="15" t="s">
        <v>969</v>
      </c>
      <c r="E188" s="15" t="s">
        <v>970</v>
      </c>
      <c r="F188" s="15" t="s">
        <v>394</v>
      </c>
      <c r="G188" s="15" t="s">
        <v>76</v>
      </c>
      <c r="H188" s="15" t="s">
        <v>971</v>
      </c>
      <c r="I188" s="15" t="s">
        <v>114</v>
      </c>
      <c r="J188" s="15" t="s">
        <v>106</v>
      </c>
      <c r="K188" s="15" t="s">
        <v>46</v>
      </c>
      <c r="L188" s="15" t="s">
        <v>47</v>
      </c>
      <c r="M188" s="15">
        <v>6</v>
      </c>
      <c r="N188" s="15">
        <v>12000</v>
      </c>
      <c r="O188" s="15">
        <v>5</v>
      </c>
      <c r="P188" s="15">
        <v>68400</v>
      </c>
      <c r="Q188" s="15">
        <v>1</v>
      </c>
      <c r="R188" s="15" t="s">
        <v>48</v>
      </c>
      <c r="S188" s="15" t="s">
        <v>49</v>
      </c>
      <c r="T188" s="15" t="s">
        <v>332</v>
      </c>
      <c r="U188" s="17" t="s">
        <v>972</v>
      </c>
      <c r="V188" s="15" t="s">
        <v>69</v>
      </c>
    </row>
    <row r="189" spans="1:22">
      <c r="A189" s="18" t="s">
        <v>973</v>
      </c>
      <c r="B189" s="18" t="s">
        <v>327</v>
      </c>
      <c r="C189" s="18" t="s">
        <v>222</v>
      </c>
      <c r="D189" s="18" t="s">
        <v>323</v>
      </c>
      <c r="E189" s="18" t="s">
        <v>479</v>
      </c>
      <c r="F189" s="18" t="s">
        <v>394</v>
      </c>
      <c r="G189" s="18" t="s">
        <v>76</v>
      </c>
      <c r="H189" s="18" t="s">
        <v>974</v>
      </c>
      <c r="I189" s="18" t="s">
        <v>59</v>
      </c>
      <c r="J189" s="18" t="s">
        <v>31</v>
      </c>
      <c r="K189" s="18" t="s">
        <v>122</v>
      </c>
      <c r="L189" s="18" t="s">
        <v>227</v>
      </c>
      <c r="M189" s="18">
        <v>19</v>
      </c>
      <c r="N189" s="18">
        <v>20</v>
      </c>
      <c r="O189" s="18">
        <v>10</v>
      </c>
      <c r="P189" s="18">
        <v>342</v>
      </c>
      <c r="Q189" s="18">
        <v>2</v>
      </c>
      <c r="R189" s="18" t="s">
        <v>48</v>
      </c>
      <c r="S189" s="18" t="s">
        <v>35</v>
      </c>
      <c r="T189" s="18" t="s">
        <v>332</v>
      </c>
      <c r="U189" s="19" t="s">
        <v>975</v>
      </c>
      <c r="V189" s="18" t="s">
        <v>64</v>
      </c>
    </row>
    <row r="190" spans="1:22">
      <c r="A190" s="15" t="s">
        <v>976</v>
      </c>
      <c r="B190" s="15" t="s">
        <v>221</v>
      </c>
      <c r="C190" s="15" t="s">
        <v>24</v>
      </c>
      <c r="D190" s="15" t="s">
        <v>426</v>
      </c>
      <c r="E190" s="15" t="s">
        <v>427</v>
      </c>
      <c r="F190" s="15" t="s">
        <v>225</v>
      </c>
      <c r="G190" s="15" t="s">
        <v>76</v>
      </c>
      <c r="H190" s="15" t="s">
        <v>977</v>
      </c>
      <c r="I190" s="15" t="s">
        <v>114</v>
      </c>
      <c r="J190" s="15" t="s">
        <v>106</v>
      </c>
      <c r="K190" s="15" t="s">
        <v>32</v>
      </c>
      <c r="L190" s="15" t="s">
        <v>33</v>
      </c>
      <c r="M190" s="15">
        <v>7</v>
      </c>
      <c r="N190" s="15">
        <v>2200</v>
      </c>
      <c r="O190" s="15">
        <v>0</v>
      </c>
      <c r="P190" s="15">
        <v>15400</v>
      </c>
      <c r="Q190" s="15">
        <v>1</v>
      </c>
      <c r="R190" s="15" t="s">
        <v>79</v>
      </c>
      <c r="S190" s="15" t="s">
        <v>115</v>
      </c>
      <c r="T190" s="15" t="s">
        <v>228</v>
      </c>
      <c r="U190" s="17" t="s">
        <v>978</v>
      </c>
      <c r="V190" s="15" t="s">
        <v>69</v>
      </c>
    </row>
    <row r="191" spans="1:22">
      <c r="A191" s="18" t="s">
        <v>979</v>
      </c>
      <c r="B191" s="18" t="s">
        <v>327</v>
      </c>
      <c r="C191" s="18" t="s">
        <v>40</v>
      </c>
      <c r="D191" s="18" t="s">
        <v>503</v>
      </c>
      <c r="E191" s="18" t="s">
        <v>980</v>
      </c>
      <c r="F191" s="18" t="s">
        <v>394</v>
      </c>
      <c r="G191" s="18" t="s">
        <v>76</v>
      </c>
      <c r="H191" s="18" t="s">
        <v>981</v>
      </c>
      <c r="I191" s="18" t="s">
        <v>212</v>
      </c>
      <c r="J191" s="18" t="s">
        <v>45</v>
      </c>
      <c r="K191" s="18" t="s">
        <v>46</v>
      </c>
      <c r="L191" s="18" t="s">
        <v>47</v>
      </c>
      <c r="M191" s="18">
        <v>3</v>
      </c>
      <c r="N191" s="18">
        <v>12000</v>
      </c>
      <c r="O191" s="18">
        <v>5</v>
      </c>
      <c r="P191" s="18">
        <v>34200</v>
      </c>
      <c r="Q191" s="18">
        <v>3</v>
      </c>
      <c r="R191" s="18" t="s">
        <v>79</v>
      </c>
      <c r="S191" s="18" t="s">
        <v>61</v>
      </c>
      <c r="T191" s="18" t="s">
        <v>332</v>
      </c>
      <c r="U191" s="19" t="s">
        <v>982</v>
      </c>
      <c r="V191" s="18" t="s">
        <v>69</v>
      </c>
    </row>
    <row r="192" spans="1:22">
      <c r="A192" s="15" t="s">
        <v>983</v>
      </c>
      <c r="B192" s="15" t="s">
        <v>168</v>
      </c>
      <c r="C192" s="15" t="s">
        <v>24</v>
      </c>
      <c r="D192" s="15" t="s">
        <v>341</v>
      </c>
      <c r="E192" s="15" t="s">
        <v>864</v>
      </c>
      <c r="F192" s="15" t="s">
        <v>361</v>
      </c>
      <c r="G192" s="15" t="s">
        <v>28</v>
      </c>
      <c r="H192" s="15" t="s">
        <v>984</v>
      </c>
      <c r="I192" s="15" t="s">
        <v>212</v>
      </c>
      <c r="J192" s="15" t="s">
        <v>45</v>
      </c>
      <c r="K192" s="15" t="s">
        <v>32</v>
      </c>
      <c r="L192" s="15" t="s">
        <v>33</v>
      </c>
      <c r="M192" s="15">
        <v>16</v>
      </c>
      <c r="N192" s="15">
        <v>2200</v>
      </c>
      <c r="O192" s="15">
        <v>0</v>
      </c>
      <c r="P192" s="15">
        <v>35200</v>
      </c>
      <c r="Q192" s="15">
        <v>5</v>
      </c>
      <c r="R192" s="15" t="s">
        <v>79</v>
      </c>
      <c r="S192" s="15" t="s">
        <v>35</v>
      </c>
      <c r="T192" s="15" t="s">
        <v>175</v>
      </c>
      <c r="U192" s="17" t="s">
        <v>985</v>
      </c>
      <c r="V192" s="15" t="s">
        <v>64</v>
      </c>
    </row>
    <row r="193" spans="1:22">
      <c r="A193" s="18" t="s">
        <v>986</v>
      </c>
      <c r="B193" s="18" t="s">
        <v>251</v>
      </c>
      <c r="C193" s="18" t="s">
        <v>24</v>
      </c>
      <c r="D193" s="18" t="s">
        <v>987</v>
      </c>
      <c r="E193" s="18" t="s">
        <v>988</v>
      </c>
      <c r="F193" s="18" t="s">
        <v>254</v>
      </c>
      <c r="G193" s="18" t="s">
        <v>28</v>
      </c>
      <c r="H193" s="18" t="s">
        <v>989</v>
      </c>
      <c r="I193" s="18" t="s">
        <v>44</v>
      </c>
      <c r="J193" s="18" t="s">
        <v>45</v>
      </c>
      <c r="K193" s="18" t="s">
        <v>32</v>
      </c>
      <c r="L193" s="18" t="s">
        <v>33</v>
      </c>
      <c r="M193" s="18">
        <v>8</v>
      </c>
      <c r="N193" s="18">
        <v>2200</v>
      </c>
      <c r="O193" s="18">
        <v>5</v>
      </c>
      <c r="P193" s="18">
        <v>16720</v>
      </c>
      <c r="Q193" s="18">
        <v>2</v>
      </c>
      <c r="R193" s="18" t="s">
        <v>88</v>
      </c>
      <c r="S193" s="18" t="s">
        <v>151</v>
      </c>
      <c r="T193" s="18" t="s">
        <v>256</v>
      </c>
      <c r="U193" s="19" t="s">
        <v>990</v>
      </c>
      <c r="V193" s="18" t="s">
        <v>38</v>
      </c>
    </row>
    <row r="194" spans="1:22">
      <c r="A194" s="15" t="s">
        <v>991</v>
      </c>
      <c r="B194" s="15" t="s">
        <v>251</v>
      </c>
      <c r="C194" s="15" t="s">
        <v>24</v>
      </c>
      <c r="D194" s="15" t="s">
        <v>610</v>
      </c>
      <c r="E194" s="15" t="s">
        <v>454</v>
      </c>
      <c r="F194" s="15" t="s">
        <v>254</v>
      </c>
      <c r="G194" s="15" t="s">
        <v>28</v>
      </c>
      <c r="H194" s="15" t="s">
        <v>992</v>
      </c>
      <c r="I194" s="15" t="s">
        <v>138</v>
      </c>
      <c r="J194" s="15" t="s">
        <v>106</v>
      </c>
      <c r="K194" s="15" t="s">
        <v>32</v>
      </c>
      <c r="L194" s="15" t="s">
        <v>33</v>
      </c>
      <c r="M194" s="15">
        <v>10</v>
      </c>
      <c r="N194" s="15">
        <v>2200</v>
      </c>
      <c r="O194" s="15">
        <v>10</v>
      </c>
      <c r="P194" s="15">
        <v>19800</v>
      </c>
      <c r="Q194" s="15">
        <v>5</v>
      </c>
      <c r="R194" s="15" t="s">
        <v>48</v>
      </c>
      <c r="S194" s="15" t="s">
        <v>115</v>
      </c>
      <c r="T194" s="15" t="s">
        <v>256</v>
      </c>
      <c r="U194" s="17" t="s">
        <v>993</v>
      </c>
      <c r="V194" s="15" t="s">
        <v>64</v>
      </c>
    </row>
    <row r="195" spans="1:22">
      <c r="A195" s="18" t="s">
        <v>994</v>
      </c>
      <c r="B195" s="18" t="s">
        <v>83</v>
      </c>
      <c r="C195" s="18" t="s">
        <v>222</v>
      </c>
      <c r="D195" s="18" t="s">
        <v>336</v>
      </c>
      <c r="E195" s="18" t="s">
        <v>596</v>
      </c>
      <c r="F195" s="18" t="s">
        <v>180</v>
      </c>
      <c r="G195" s="18" t="s">
        <v>76</v>
      </c>
      <c r="H195" s="18" t="s">
        <v>995</v>
      </c>
      <c r="I195" s="18" t="s">
        <v>44</v>
      </c>
      <c r="J195" s="18" t="s">
        <v>45</v>
      </c>
      <c r="K195" s="18" t="s">
        <v>122</v>
      </c>
      <c r="L195" s="18" t="s">
        <v>227</v>
      </c>
      <c r="M195" s="18">
        <v>7</v>
      </c>
      <c r="N195" s="18">
        <v>20</v>
      </c>
      <c r="O195" s="18">
        <v>10</v>
      </c>
      <c r="P195" s="18">
        <v>126</v>
      </c>
      <c r="Q195" s="18">
        <v>4</v>
      </c>
      <c r="R195" s="18" t="s">
        <v>79</v>
      </c>
      <c r="S195" s="18" t="s">
        <v>61</v>
      </c>
      <c r="T195" s="18" t="s">
        <v>89</v>
      </c>
      <c r="U195" s="19" t="s">
        <v>996</v>
      </c>
      <c r="V195" s="18" t="s">
        <v>38</v>
      </c>
    </row>
    <row r="196" spans="1:22">
      <c r="A196" s="15" t="s">
        <v>997</v>
      </c>
      <c r="B196" s="15" t="s">
        <v>221</v>
      </c>
      <c r="C196" s="15" t="s">
        <v>169</v>
      </c>
      <c r="D196" s="15" t="s">
        <v>252</v>
      </c>
      <c r="E196" s="15" t="s">
        <v>998</v>
      </c>
      <c r="F196" s="15" t="s">
        <v>225</v>
      </c>
      <c r="G196" s="15" t="s">
        <v>76</v>
      </c>
      <c r="H196" s="15" t="s">
        <v>999</v>
      </c>
      <c r="I196" s="15" t="s">
        <v>30</v>
      </c>
      <c r="J196" s="15" t="s">
        <v>31</v>
      </c>
      <c r="K196" s="15" t="s">
        <v>32</v>
      </c>
      <c r="L196" s="15" t="s">
        <v>174</v>
      </c>
      <c r="M196" s="15">
        <v>19</v>
      </c>
      <c r="N196" s="15">
        <v>8500</v>
      </c>
      <c r="O196" s="15">
        <v>20</v>
      </c>
      <c r="P196" s="15">
        <v>129200</v>
      </c>
      <c r="Q196" s="15">
        <v>3</v>
      </c>
      <c r="R196" s="15" t="s">
        <v>48</v>
      </c>
      <c r="S196" s="15" t="s">
        <v>61</v>
      </c>
      <c r="T196" s="15" t="s">
        <v>228</v>
      </c>
      <c r="U196" s="17" t="s">
        <v>1000</v>
      </c>
      <c r="V196" s="15" t="s">
        <v>64</v>
      </c>
    </row>
    <row r="197" spans="1:22">
      <c r="A197" s="18" t="s">
        <v>1001</v>
      </c>
      <c r="B197" s="18" t="s">
        <v>100</v>
      </c>
      <c r="C197" s="18" t="s">
        <v>118</v>
      </c>
      <c r="D197" s="18" t="s">
        <v>431</v>
      </c>
      <c r="E197" s="18" t="s">
        <v>414</v>
      </c>
      <c r="F197" s="18" t="s">
        <v>103</v>
      </c>
      <c r="G197" s="18" t="s">
        <v>28</v>
      </c>
      <c r="H197" s="18" t="s">
        <v>1002</v>
      </c>
      <c r="I197" s="18" t="s">
        <v>114</v>
      </c>
      <c r="J197" s="18" t="s">
        <v>106</v>
      </c>
      <c r="K197" s="18" t="s">
        <v>122</v>
      </c>
      <c r="L197" s="18" t="s">
        <v>123</v>
      </c>
      <c r="M197" s="18">
        <v>16</v>
      </c>
      <c r="N197" s="18">
        <v>60</v>
      </c>
      <c r="O197" s="18">
        <v>0</v>
      </c>
      <c r="P197" s="18">
        <v>960</v>
      </c>
      <c r="Q197" s="18">
        <v>2</v>
      </c>
      <c r="R197" s="18" t="s">
        <v>48</v>
      </c>
      <c r="S197" s="18" t="s">
        <v>115</v>
      </c>
      <c r="T197" s="18" t="s">
        <v>144</v>
      </c>
      <c r="U197" s="19" t="s">
        <v>1003</v>
      </c>
      <c r="V197" s="18" t="s">
        <v>38</v>
      </c>
    </row>
    <row r="198" spans="1:22">
      <c r="A198" s="15" t="s">
        <v>1004</v>
      </c>
      <c r="B198" s="15" t="s">
        <v>221</v>
      </c>
      <c r="C198" s="15" t="s">
        <v>92</v>
      </c>
      <c r="D198" s="15" t="s">
        <v>1005</v>
      </c>
      <c r="E198" s="15" t="s">
        <v>731</v>
      </c>
      <c r="F198" s="15" t="s">
        <v>225</v>
      </c>
      <c r="G198" s="15" t="s">
        <v>76</v>
      </c>
      <c r="H198" s="15" t="s">
        <v>1006</v>
      </c>
      <c r="I198" s="15" t="s">
        <v>59</v>
      </c>
      <c r="J198" s="15" t="s">
        <v>31</v>
      </c>
      <c r="K198" s="15" t="s">
        <v>1007</v>
      </c>
      <c r="L198" s="15" t="s">
        <v>97</v>
      </c>
      <c r="M198" s="15">
        <v>18</v>
      </c>
      <c r="N198" s="15">
        <v>3500</v>
      </c>
      <c r="O198" s="15">
        <v>5</v>
      </c>
      <c r="P198" s="15">
        <v>59850</v>
      </c>
      <c r="Q198" s="15">
        <v>1</v>
      </c>
      <c r="R198" s="15" t="s">
        <v>88</v>
      </c>
      <c r="S198" s="15" t="s">
        <v>115</v>
      </c>
      <c r="T198" s="15" t="s">
        <v>228</v>
      </c>
      <c r="U198" s="17" t="s">
        <v>1008</v>
      </c>
      <c r="V198" s="15" t="s">
        <v>64</v>
      </c>
    </row>
    <row r="199" spans="1:22">
      <c r="A199" s="18" t="s">
        <v>1009</v>
      </c>
      <c r="B199" s="18" t="s">
        <v>100</v>
      </c>
      <c r="C199" s="18" t="s">
        <v>54</v>
      </c>
      <c r="D199" s="18" t="s">
        <v>1010</v>
      </c>
      <c r="E199" s="18" t="s">
        <v>431</v>
      </c>
      <c r="F199" s="18" t="s">
        <v>103</v>
      </c>
      <c r="G199" s="18" t="s">
        <v>28</v>
      </c>
      <c r="H199" s="18" t="s">
        <v>1011</v>
      </c>
      <c r="I199" s="18" t="s">
        <v>212</v>
      </c>
      <c r="J199" s="18" t="s">
        <v>45</v>
      </c>
      <c r="K199" s="18" t="s">
        <v>46</v>
      </c>
      <c r="L199" s="18" t="s">
        <v>60</v>
      </c>
      <c r="M199" s="18">
        <v>16</v>
      </c>
      <c r="N199" s="18">
        <v>55000</v>
      </c>
      <c r="O199" s="18">
        <v>0</v>
      </c>
      <c r="P199" s="18">
        <v>880000</v>
      </c>
      <c r="Q199" s="18">
        <v>1</v>
      </c>
      <c r="R199" s="18" t="s">
        <v>79</v>
      </c>
      <c r="S199" s="18" t="s">
        <v>61</v>
      </c>
      <c r="T199" s="18" t="s">
        <v>144</v>
      </c>
      <c r="U199" s="19" t="s">
        <v>1012</v>
      </c>
      <c r="V199" s="18" t="s">
        <v>69</v>
      </c>
    </row>
    <row r="200" spans="1:22">
      <c r="A200" s="15" t="s">
        <v>1013</v>
      </c>
      <c r="B200" s="15" t="s">
        <v>221</v>
      </c>
      <c r="C200" s="15" t="s">
        <v>72</v>
      </c>
      <c r="D200" s="15" t="s">
        <v>900</v>
      </c>
      <c r="E200" s="15" t="s">
        <v>435</v>
      </c>
      <c r="F200" s="15" t="s">
        <v>225</v>
      </c>
      <c r="G200" s="15" t="s">
        <v>76</v>
      </c>
      <c r="H200" s="15" t="s">
        <v>1014</v>
      </c>
      <c r="I200" s="15" t="s">
        <v>138</v>
      </c>
      <c r="J200" s="15" t="s">
        <v>106</v>
      </c>
      <c r="K200" s="15" t="s">
        <v>46</v>
      </c>
      <c r="L200" s="15" t="s">
        <v>78</v>
      </c>
      <c r="M200" s="15">
        <v>18</v>
      </c>
      <c r="N200" s="15">
        <v>1200</v>
      </c>
      <c r="O200" s="15">
        <v>15</v>
      </c>
      <c r="P200" s="15">
        <v>18360</v>
      </c>
      <c r="Q200" s="15">
        <v>2</v>
      </c>
      <c r="R200" s="15" t="s">
        <v>48</v>
      </c>
      <c r="S200" s="15" t="s">
        <v>35</v>
      </c>
      <c r="T200" s="15" t="s">
        <v>228</v>
      </c>
      <c r="U200" s="17" t="s">
        <v>1015</v>
      </c>
      <c r="V200" s="15" t="s">
        <v>69</v>
      </c>
    </row>
    <row r="201" spans="1:22">
      <c r="A201" s="18" t="s">
        <v>1016</v>
      </c>
      <c r="B201" s="18" t="s">
        <v>71</v>
      </c>
      <c r="C201" s="18" t="s">
        <v>259</v>
      </c>
      <c r="D201" s="18" t="s">
        <v>1017</v>
      </c>
      <c r="E201" s="18" t="s">
        <v>1018</v>
      </c>
      <c r="F201" s="18" t="s">
        <v>217</v>
      </c>
      <c r="G201" s="18" t="s">
        <v>76</v>
      </c>
      <c r="H201" s="18" t="s">
        <v>1019</v>
      </c>
      <c r="I201" s="18" t="s">
        <v>30</v>
      </c>
      <c r="J201" s="18" t="s">
        <v>31</v>
      </c>
      <c r="K201" s="18" t="s">
        <v>122</v>
      </c>
      <c r="L201" s="18" t="s">
        <v>263</v>
      </c>
      <c r="M201" s="18">
        <v>2</v>
      </c>
      <c r="N201" s="18">
        <v>45</v>
      </c>
      <c r="O201" s="18">
        <v>15</v>
      </c>
      <c r="P201" s="18">
        <v>76.5</v>
      </c>
      <c r="Q201" s="18">
        <v>5</v>
      </c>
      <c r="R201" s="18" t="s">
        <v>34</v>
      </c>
      <c r="S201" s="18" t="s">
        <v>61</v>
      </c>
      <c r="T201" s="18" t="s">
        <v>80</v>
      </c>
      <c r="U201" s="19" t="s">
        <v>1020</v>
      </c>
      <c r="V201" s="18" t="s">
        <v>69</v>
      </c>
    </row>
    <row r="202" spans="1:22">
      <c r="A202" s="15" t="s">
        <v>1021</v>
      </c>
      <c r="B202" s="15" t="s">
        <v>53</v>
      </c>
      <c r="C202" s="15" t="s">
        <v>169</v>
      </c>
      <c r="D202" s="15" t="s">
        <v>712</v>
      </c>
      <c r="E202" s="15" t="s">
        <v>85</v>
      </c>
      <c r="F202" s="15" t="s">
        <v>163</v>
      </c>
      <c r="G202" s="15" t="s">
        <v>28</v>
      </c>
      <c r="H202" s="15" t="s">
        <v>1022</v>
      </c>
      <c r="I202" s="15" t="s">
        <v>59</v>
      </c>
      <c r="J202" s="15" t="s">
        <v>31</v>
      </c>
      <c r="K202" s="15" t="s">
        <v>32</v>
      </c>
      <c r="L202" s="15" t="s">
        <v>174</v>
      </c>
      <c r="M202" s="15">
        <v>20</v>
      </c>
      <c r="N202" s="15">
        <v>8500</v>
      </c>
      <c r="O202" s="15">
        <v>0</v>
      </c>
      <c r="P202" s="15">
        <v>170000</v>
      </c>
      <c r="Q202" s="15">
        <v>4</v>
      </c>
      <c r="R202" s="15" t="s">
        <v>48</v>
      </c>
      <c r="S202" s="15" t="s">
        <v>61</v>
      </c>
      <c r="T202" s="15" t="s">
        <v>62</v>
      </c>
      <c r="U202" s="17" t="s">
        <v>1023</v>
      </c>
      <c r="V202" s="15" t="s">
        <v>69</v>
      </c>
    </row>
    <row r="203" spans="1:22">
      <c r="A203" s="18" t="s">
        <v>1024</v>
      </c>
      <c r="B203" s="18" t="s">
        <v>127</v>
      </c>
      <c r="C203" s="18" t="s">
        <v>92</v>
      </c>
      <c r="D203" s="18" t="s">
        <v>298</v>
      </c>
      <c r="E203" s="18" t="s">
        <v>1025</v>
      </c>
      <c r="F203" s="18" t="s">
        <v>200</v>
      </c>
      <c r="G203" s="18" t="s">
        <v>76</v>
      </c>
      <c r="H203" s="18" t="s">
        <v>494</v>
      </c>
      <c r="I203" s="18" t="s">
        <v>212</v>
      </c>
      <c r="J203" s="18" t="s">
        <v>45</v>
      </c>
      <c r="K203" s="18" t="s">
        <v>32</v>
      </c>
      <c r="L203" s="18" t="s">
        <v>97</v>
      </c>
      <c r="M203" s="18">
        <v>6</v>
      </c>
      <c r="N203" s="18">
        <v>3500</v>
      </c>
      <c r="O203" s="18">
        <v>5</v>
      </c>
      <c r="P203" s="18">
        <v>19950</v>
      </c>
      <c r="Q203" s="18">
        <v>1</v>
      </c>
      <c r="R203" s="18" t="s">
        <v>34</v>
      </c>
      <c r="S203" s="18" t="s">
        <v>151</v>
      </c>
      <c r="T203" s="18" t="s">
        <v>132</v>
      </c>
      <c r="U203" s="19" t="s">
        <v>1026</v>
      </c>
      <c r="V203" s="18" t="s">
        <v>38</v>
      </c>
    </row>
    <row r="204" spans="1:22">
      <c r="A204" s="15" t="s">
        <v>1027</v>
      </c>
      <c r="B204" s="15" t="s">
        <v>168</v>
      </c>
      <c r="C204" s="15" t="s">
        <v>259</v>
      </c>
      <c r="D204" s="15" t="s">
        <v>308</v>
      </c>
      <c r="E204" s="15" t="s">
        <v>281</v>
      </c>
      <c r="F204" s="15" t="s">
        <v>361</v>
      </c>
      <c r="G204" s="15" t="s">
        <v>28</v>
      </c>
      <c r="H204" s="15" t="s">
        <v>1028</v>
      </c>
      <c r="I204" s="15" t="s">
        <v>114</v>
      </c>
      <c r="J204" s="15" t="s">
        <v>106</v>
      </c>
      <c r="K204" s="15" t="s">
        <v>122</v>
      </c>
      <c r="L204" s="15" t="s">
        <v>263</v>
      </c>
      <c r="M204" s="15">
        <v>8</v>
      </c>
      <c r="N204" s="15">
        <v>45</v>
      </c>
      <c r="O204" s="15">
        <v>5</v>
      </c>
      <c r="P204" s="15">
        <v>342</v>
      </c>
      <c r="Q204" s="15">
        <v>2</v>
      </c>
      <c r="R204" s="15" t="s">
        <v>34</v>
      </c>
      <c r="S204" s="15" t="s">
        <v>49</v>
      </c>
      <c r="T204" s="15" t="s">
        <v>175</v>
      </c>
      <c r="U204" s="17" t="s">
        <v>1029</v>
      </c>
      <c r="V204" s="15" t="s">
        <v>64</v>
      </c>
    </row>
    <row r="205" spans="1:22">
      <c r="A205" s="18" t="s">
        <v>1030</v>
      </c>
      <c r="B205" s="18" t="s">
        <v>327</v>
      </c>
      <c r="C205" s="18" t="s">
        <v>24</v>
      </c>
      <c r="D205" s="18" t="s">
        <v>414</v>
      </c>
      <c r="E205" s="18" t="s">
        <v>1031</v>
      </c>
      <c r="F205" s="18" t="s">
        <v>394</v>
      </c>
      <c r="G205" s="18" t="s">
        <v>76</v>
      </c>
      <c r="H205" s="18" t="s">
        <v>1032</v>
      </c>
      <c r="I205" s="18" t="s">
        <v>105</v>
      </c>
      <c r="J205" s="18" t="s">
        <v>106</v>
      </c>
      <c r="K205" s="18" t="s">
        <v>32</v>
      </c>
      <c r="L205" s="18" t="s">
        <v>33</v>
      </c>
      <c r="M205" s="18">
        <v>18</v>
      </c>
      <c r="N205" s="18">
        <v>2200</v>
      </c>
      <c r="O205" s="18">
        <v>15</v>
      </c>
      <c r="P205" s="18">
        <v>33660</v>
      </c>
      <c r="Q205" s="18">
        <v>4</v>
      </c>
      <c r="R205" s="18" t="s">
        <v>79</v>
      </c>
      <c r="S205" s="18" t="s">
        <v>61</v>
      </c>
      <c r="T205" s="18" t="s">
        <v>332</v>
      </c>
      <c r="U205" s="19" t="s">
        <v>1033</v>
      </c>
      <c r="V205" s="18" t="s">
        <v>64</v>
      </c>
    </row>
    <row r="206" spans="1:22">
      <c r="A206" s="15" t="s">
        <v>1034</v>
      </c>
      <c r="B206" s="15" t="s">
        <v>221</v>
      </c>
      <c r="C206" s="15" t="s">
        <v>184</v>
      </c>
      <c r="D206" s="15" t="s">
        <v>1035</v>
      </c>
      <c r="E206" s="15" t="s">
        <v>1005</v>
      </c>
      <c r="F206" s="15" t="s">
        <v>225</v>
      </c>
      <c r="G206" s="15" t="s">
        <v>76</v>
      </c>
      <c r="H206" s="15" t="s">
        <v>1036</v>
      </c>
      <c r="I206" s="15" t="s">
        <v>30</v>
      </c>
      <c r="J206" s="15" t="s">
        <v>31</v>
      </c>
      <c r="K206" s="15" t="s">
        <v>46</v>
      </c>
      <c r="L206" s="15" t="s">
        <v>189</v>
      </c>
      <c r="M206" s="15">
        <v>18</v>
      </c>
      <c r="N206" s="15">
        <v>700</v>
      </c>
      <c r="O206" s="15">
        <v>15</v>
      </c>
      <c r="P206" s="15">
        <v>10710</v>
      </c>
      <c r="Q206" s="15">
        <v>3</v>
      </c>
      <c r="R206" s="15" t="s">
        <v>79</v>
      </c>
      <c r="S206" s="15" t="s">
        <v>151</v>
      </c>
      <c r="T206" s="15" t="s">
        <v>228</v>
      </c>
      <c r="U206" s="17" t="s">
        <v>1037</v>
      </c>
      <c r="V206" s="15" t="s">
        <v>69</v>
      </c>
    </row>
    <row r="207" spans="1:22">
      <c r="A207" s="18" t="s">
        <v>1038</v>
      </c>
      <c r="B207" s="18" t="s">
        <v>327</v>
      </c>
      <c r="C207" s="18" t="s">
        <v>54</v>
      </c>
      <c r="D207" s="18" t="s">
        <v>1039</v>
      </c>
      <c r="E207" s="18" t="s">
        <v>1040</v>
      </c>
      <c r="F207" s="18" t="s">
        <v>394</v>
      </c>
      <c r="G207" s="18" t="s">
        <v>76</v>
      </c>
      <c r="H207" s="18" t="s">
        <v>1041</v>
      </c>
      <c r="I207" s="18" t="s">
        <v>114</v>
      </c>
      <c r="J207" s="18" t="s">
        <v>106</v>
      </c>
      <c r="K207" s="18" t="s">
        <v>46</v>
      </c>
      <c r="L207" s="18" t="s">
        <v>60</v>
      </c>
      <c r="M207" s="18">
        <v>12</v>
      </c>
      <c r="N207" s="18">
        <v>55000</v>
      </c>
      <c r="O207" s="18">
        <v>0</v>
      </c>
      <c r="P207" s="18">
        <v>660000</v>
      </c>
      <c r="Q207" s="18">
        <v>2</v>
      </c>
      <c r="R207" s="18" t="s">
        <v>88</v>
      </c>
      <c r="S207" s="18" t="s">
        <v>49</v>
      </c>
      <c r="T207" s="18" t="s">
        <v>332</v>
      </c>
      <c r="U207" s="19" t="s">
        <v>1042</v>
      </c>
      <c r="V207" s="18" t="s">
        <v>69</v>
      </c>
    </row>
    <row r="208" spans="1:22">
      <c r="A208" s="15" t="s">
        <v>1043</v>
      </c>
      <c r="B208" s="15" t="s">
        <v>23</v>
      </c>
      <c r="C208" s="15" t="s">
        <v>40</v>
      </c>
      <c r="D208" s="15" t="s">
        <v>502</v>
      </c>
      <c r="E208" s="15" t="s">
        <v>1044</v>
      </c>
      <c r="F208" s="15" t="s">
        <v>27</v>
      </c>
      <c r="G208" s="15" t="s">
        <v>28</v>
      </c>
      <c r="H208" s="15" t="s">
        <v>1045</v>
      </c>
      <c r="I208" s="15" t="s">
        <v>105</v>
      </c>
      <c r="J208" s="15" t="s">
        <v>106</v>
      </c>
      <c r="K208" s="15" t="s">
        <v>46</v>
      </c>
      <c r="L208" s="15" t="s">
        <v>47</v>
      </c>
      <c r="M208" s="15">
        <v>7</v>
      </c>
      <c r="N208" s="15">
        <v>12000</v>
      </c>
      <c r="O208" s="15">
        <v>5</v>
      </c>
      <c r="P208" s="15">
        <v>79800</v>
      </c>
      <c r="Q208" s="15">
        <v>3</v>
      </c>
      <c r="R208" s="15" t="s">
        <v>79</v>
      </c>
      <c r="S208" s="15" t="s">
        <v>151</v>
      </c>
      <c r="T208" s="15" t="s">
        <v>50</v>
      </c>
      <c r="U208" s="17" t="s">
        <v>1046</v>
      </c>
      <c r="V208" s="15" t="s">
        <v>64</v>
      </c>
    </row>
    <row r="209" spans="1:22">
      <c r="A209" s="18" t="s">
        <v>1047</v>
      </c>
      <c r="B209" s="18" t="s">
        <v>251</v>
      </c>
      <c r="C209" s="18" t="s">
        <v>40</v>
      </c>
      <c r="D209" s="18" t="s">
        <v>1048</v>
      </c>
      <c r="E209" s="18" t="s">
        <v>129</v>
      </c>
      <c r="F209" s="18" t="s">
        <v>254</v>
      </c>
      <c r="G209" s="18" t="s">
        <v>28</v>
      </c>
      <c r="H209" s="18" t="s">
        <v>1049</v>
      </c>
      <c r="I209" s="18" t="s">
        <v>105</v>
      </c>
      <c r="J209" s="18" t="s">
        <v>106</v>
      </c>
      <c r="K209" s="18" t="s">
        <v>46</v>
      </c>
      <c r="L209" s="18" t="s">
        <v>47</v>
      </c>
      <c r="M209" s="18">
        <v>8</v>
      </c>
      <c r="N209" s="18">
        <v>12000</v>
      </c>
      <c r="O209" s="18">
        <v>15</v>
      </c>
      <c r="P209" s="18">
        <v>81600</v>
      </c>
      <c r="Q209" s="18">
        <v>4</v>
      </c>
      <c r="R209" s="18" t="s">
        <v>79</v>
      </c>
      <c r="S209" s="18" t="s">
        <v>49</v>
      </c>
      <c r="T209" s="18" t="s">
        <v>256</v>
      </c>
      <c r="U209" s="19" t="s">
        <v>1050</v>
      </c>
      <c r="V209" s="18" t="s">
        <v>38</v>
      </c>
    </row>
    <row r="210" spans="1:22">
      <c r="A210" s="15" t="s">
        <v>1051</v>
      </c>
      <c r="B210" s="15" t="s">
        <v>327</v>
      </c>
      <c r="C210" s="15" t="s">
        <v>92</v>
      </c>
      <c r="D210" s="15" t="s">
        <v>788</v>
      </c>
      <c r="E210" s="15" t="s">
        <v>1052</v>
      </c>
      <c r="F210" s="15" t="s">
        <v>394</v>
      </c>
      <c r="G210" s="15" t="s">
        <v>76</v>
      </c>
      <c r="H210" s="15" t="s">
        <v>1053</v>
      </c>
      <c r="I210" s="15" t="s">
        <v>105</v>
      </c>
      <c r="J210" s="15" t="s">
        <v>106</v>
      </c>
      <c r="K210" s="15" t="s">
        <v>32</v>
      </c>
      <c r="L210" s="15" t="s">
        <v>97</v>
      </c>
      <c r="M210" s="15">
        <v>19</v>
      </c>
      <c r="N210" s="15">
        <v>3500</v>
      </c>
      <c r="O210" s="15">
        <v>5</v>
      </c>
      <c r="P210" s="15">
        <v>63175</v>
      </c>
      <c r="Q210" s="15">
        <v>3</v>
      </c>
      <c r="R210" s="15" t="s">
        <v>79</v>
      </c>
      <c r="S210" s="15" t="s">
        <v>61</v>
      </c>
      <c r="T210" s="15" t="s">
        <v>332</v>
      </c>
      <c r="U210" s="17" t="s">
        <v>1054</v>
      </c>
      <c r="V210" s="15" t="s">
        <v>64</v>
      </c>
    </row>
    <row r="211" spans="1:22">
      <c r="A211" s="18" t="s">
        <v>1055</v>
      </c>
      <c r="B211" s="18" t="s">
        <v>251</v>
      </c>
      <c r="C211" s="18" t="s">
        <v>259</v>
      </c>
      <c r="D211" s="18" t="s">
        <v>900</v>
      </c>
      <c r="E211" s="18" t="s">
        <v>987</v>
      </c>
      <c r="F211" s="18" t="s">
        <v>254</v>
      </c>
      <c r="G211" s="18" t="s">
        <v>28</v>
      </c>
      <c r="H211" s="18" t="s">
        <v>1056</v>
      </c>
      <c r="I211" s="18" t="s">
        <v>138</v>
      </c>
      <c r="J211" s="18" t="s">
        <v>106</v>
      </c>
      <c r="K211" s="18" t="s">
        <v>122</v>
      </c>
      <c r="L211" s="18" t="s">
        <v>263</v>
      </c>
      <c r="M211" s="18">
        <v>7</v>
      </c>
      <c r="N211" s="18">
        <v>45</v>
      </c>
      <c r="O211" s="18">
        <v>5</v>
      </c>
      <c r="P211" s="18">
        <v>299.25</v>
      </c>
      <c r="Q211" s="18">
        <v>3</v>
      </c>
      <c r="R211" s="18" t="s">
        <v>79</v>
      </c>
      <c r="S211" s="18" t="s">
        <v>35</v>
      </c>
      <c r="T211" s="18" t="s">
        <v>256</v>
      </c>
      <c r="U211" s="19" t="s">
        <v>1057</v>
      </c>
      <c r="V211" s="18" t="s">
        <v>69</v>
      </c>
    </row>
    <row r="212" spans="1:22">
      <c r="A212" s="15" t="s">
        <v>1058</v>
      </c>
      <c r="B212" s="15" t="s">
        <v>23</v>
      </c>
      <c r="C212" s="15" t="s">
        <v>118</v>
      </c>
      <c r="D212" s="15" t="s">
        <v>684</v>
      </c>
      <c r="E212" s="15" t="s">
        <v>750</v>
      </c>
      <c r="F212" s="15" t="s">
        <v>27</v>
      </c>
      <c r="G212" s="15" t="s">
        <v>28</v>
      </c>
      <c r="H212" s="15" t="s">
        <v>331</v>
      </c>
      <c r="I212" s="15" t="s">
        <v>30</v>
      </c>
      <c r="J212" s="15" t="s">
        <v>31</v>
      </c>
      <c r="K212" s="15" t="s">
        <v>122</v>
      </c>
      <c r="L212" s="15" t="s">
        <v>123</v>
      </c>
      <c r="M212" s="15">
        <v>3</v>
      </c>
      <c r="N212" s="15">
        <v>60</v>
      </c>
      <c r="O212" s="15">
        <v>15</v>
      </c>
      <c r="P212" s="15">
        <v>153</v>
      </c>
      <c r="Q212" s="15">
        <v>3</v>
      </c>
      <c r="R212" s="15" t="s">
        <v>48</v>
      </c>
      <c r="S212" s="15" t="s">
        <v>49</v>
      </c>
      <c r="T212" s="15" t="s">
        <v>50</v>
      </c>
      <c r="U212" s="17" t="s">
        <v>1059</v>
      </c>
      <c r="V212" s="15" t="s">
        <v>69</v>
      </c>
    </row>
    <row r="213" spans="1:22">
      <c r="A213" s="18" t="s">
        <v>1060</v>
      </c>
      <c r="B213" s="18" t="s">
        <v>53</v>
      </c>
      <c r="C213" s="18" t="s">
        <v>259</v>
      </c>
      <c r="D213" s="18" t="s">
        <v>1061</v>
      </c>
      <c r="E213" s="18" t="s">
        <v>582</v>
      </c>
      <c r="F213" s="18" t="s">
        <v>163</v>
      </c>
      <c r="G213" s="18" t="s">
        <v>28</v>
      </c>
      <c r="H213" s="18" t="s">
        <v>1062</v>
      </c>
      <c r="I213" s="18" t="s">
        <v>114</v>
      </c>
      <c r="J213" s="18" t="s">
        <v>106</v>
      </c>
      <c r="K213" s="18" t="s">
        <v>122</v>
      </c>
      <c r="L213" s="18" t="s">
        <v>263</v>
      </c>
      <c r="M213" s="18">
        <v>19</v>
      </c>
      <c r="N213" s="18">
        <v>45</v>
      </c>
      <c r="O213" s="18">
        <v>0</v>
      </c>
      <c r="P213" s="18">
        <v>855</v>
      </c>
      <c r="Q213" s="18">
        <v>2</v>
      </c>
      <c r="R213" s="18" t="s">
        <v>34</v>
      </c>
      <c r="S213" s="18" t="s">
        <v>61</v>
      </c>
      <c r="T213" s="18" t="s">
        <v>62</v>
      </c>
      <c r="U213" s="19" t="s">
        <v>1063</v>
      </c>
      <c r="V213" s="18" t="s">
        <v>38</v>
      </c>
    </row>
    <row r="214" spans="1:22">
      <c r="A214" s="15" t="s">
        <v>1064</v>
      </c>
      <c r="B214" s="15" t="s">
        <v>100</v>
      </c>
      <c r="C214" s="15" t="s">
        <v>40</v>
      </c>
      <c r="D214" s="15" t="s">
        <v>1065</v>
      </c>
      <c r="E214" s="15" t="s">
        <v>543</v>
      </c>
      <c r="F214" s="15" t="s">
        <v>103</v>
      </c>
      <c r="G214" s="15" t="s">
        <v>28</v>
      </c>
      <c r="H214" s="15" t="s">
        <v>1066</v>
      </c>
      <c r="I214" s="15" t="s">
        <v>59</v>
      </c>
      <c r="J214" s="15" t="s">
        <v>31</v>
      </c>
      <c r="K214" s="15" t="s">
        <v>46</v>
      </c>
      <c r="L214" s="15" t="s">
        <v>47</v>
      </c>
      <c r="M214" s="15">
        <v>10</v>
      </c>
      <c r="N214" s="15">
        <v>12000</v>
      </c>
      <c r="O214" s="15">
        <v>5</v>
      </c>
      <c r="P214" s="15">
        <v>114000</v>
      </c>
      <c r="Q214" s="15">
        <v>1</v>
      </c>
      <c r="R214" s="15" t="s">
        <v>79</v>
      </c>
      <c r="S214" s="15" t="s">
        <v>115</v>
      </c>
      <c r="T214" s="15" t="s">
        <v>144</v>
      </c>
      <c r="U214" s="17" t="s">
        <v>1067</v>
      </c>
      <c r="V214" s="15" t="s">
        <v>69</v>
      </c>
    </row>
    <row r="215" spans="1:22">
      <c r="A215" s="18" t="s">
        <v>1068</v>
      </c>
      <c r="B215" s="18" t="s">
        <v>23</v>
      </c>
      <c r="C215" s="18" t="s">
        <v>72</v>
      </c>
      <c r="D215" s="18" t="s">
        <v>1069</v>
      </c>
      <c r="E215" s="18" t="s">
        <v>1031</v>
      </c>
      <c r="F215" s="18" t="s">
        <v>27</v>
      </c>
      <c r="G215" s="18" t="s">
        <v>28</v>
      </c>
      <c r="H215" s="18" t="s">
        <v>1070</v>
      </c>
      <c r="I215" s="18" t="s">
        <v>294</v>
      </c>
      <c r="J215" s="18" t="s">
        <v>295</v>
      </c>
      <c r="K215" s="18" t="s">
        <v>46</v>
      </c>
      <c r="L215" s="18" t="s">
        <v>78</v>
      </c>
      <c r="M215" s="18">
        <v>4</v>
      </c>
      <c r="N215" s="18">
        <v>1200</v>
      </c>
      <c r="O215" s="18">
        <v>0</v>
      </c>
      <c r="P215" s="18">
        <v>4800</v>
      </c>
      <c r="Q215" s="18">
        <v>4</v>
      </c>
      <c r="R215" s="18" t="s">
        <v>34</v>
      </c>
      <c r="S215" s="18" t="s">
        <v>61</v>
      </c>
      <c r="T215" s="18" t="s">
        <v>50</v>
      </c>
      <c r="U215" s="19" t="s">
        <v>1071</v>
      </c>
      <c r="V215" s="18" t="s">
        <v>38</v>
      </c>
    </row>
    <row r="216" spans="1:22">
      <c r="A216" s="15" t="s">
        <v>1072</v>
      </c>
      <c r="B216" s="15" t="s">
        <v>221</v>
      </c>
      <c r="C216" s="15" t="s">
        <v>169</v>
      </c>
      <c r="D216" s="15" t="s">
        <v>531</v>
      </c>
      <c r="E216" s="15" t="s">
        <v>1073</v>
      </c>
      <c r="F216" s="15" t="s">
        <v>225</v>
      </c>
      <c r="G216" s="15" t="s">
        <v>76</v>
      </c>
      <c r="H216" s="15" t="s">
        <v>1074</v>
      </c>
      <c r="I216" s="15" t="s">
        <v>59</v>
      </c>
      <c r="J216" s="15" t="s">
        <v>31</v>
      </c>
      <c r="K216" s="15" t="s">
        <v>32</v>
      </c>
      <c r="L216" s="15" t="s">
        <v>174</v>
      </c>
      <c r="M216" s="15">
        <v>2</v>
      </c>
      <c r="N216" s="15">
        <v>8500</v>
      </c>
      <c r="O216" s="15">
        <v>20</v>
      </c>
      <c r="P216" s="15">
        <v>13600</v>
      </c>
      <c r="Q216" s="15">
        <v>3</v>
      </c>
      <c r="R216" s="15" t="s">
        <v>79</v>
      </c>
      <c r="S216" s="15" t="s">
        <v>151</v>
      </c>
      <c r="T216" s="15" t="s">
        <v>228</v>
      </c>
      <c r="U216" s="17" t="s">
        <v>1075</v>
      </c>
      <c r="V216" s="15" t="s">
        <v>38</v>
      </c>
    </row>
    <row r="217" spans="1:22">
      <c r="A217" s="18" t="s">
        <v>1076</v>
      </c>
      <c r="B217" s="18" t="s">
        <v>83</v>
      </c>
      <c r="C217" s="18" t="s">
        <v>184</v>
      </c>
      <c r="D217" s="18" t="s">
        <v>1077</v>
      </c>
      <c r="E217" s="18" t="s">
        <v>322</v>
      </c>
      <c r="F217" s="18" t="s">
        <v>180</v>
      </c>
      <c r="G217" s="18" t="s">
        <v>76</v>
      </c>
      <c r="H217" s="18" t="s">
        <v>1078</v>
      </c>
      <c r="I217" s="18" t="s">
        <v>294</v>
      </c>
      <c r="J217" s="18" t="s">
        <v>295</v>
      </c>
      <c r="K217" s="18" t="s">
        <v>46</v>
      </c>
      <c r="L217" s="18" t="s">
        <v>189</v>
      </c>
      <c r="M217" s="18">
        <v>7</v>
      </c>
      <c r="N217" s="18">
        <v>700</v>
      </c>
      <c r="O217" s="18">
        <v>20</v>
      </c>
      <c r="P217" s="18">
        <v>3920</v>
      </c>
      <c r="Q217" s="18">
        <v>2</v>
      </c>
      <c r="R217" s="18" t="s">
        <v>79</v>
      </c>
      <c r="S217" s="18" t="s">
        <v>151</v>
      </c>
      <c r="T217" s="18" t="s">
        <v>89</v>
      </c>
      <c r="U217" s="19" t="s">
        <v>1079</v>
      </c>
      <c r="V217" s="18" t="s">
        <v>64</v>
      </c>
    </row>
    <row r="218" spans="1:22">
      <c r="A218" s="15" t="s">
        <v>1080</v>
      </c>
      <c r="B218" s="15" t="s">
        <v>53</v>
      </c>
      <c r="C218" s="15" t="s">
        <v>222</v>
      </c>
      <c r="D218" s="15" t="s">
        <v>1081</v>
      </c>
      <c r="E218" s="15" t="s">
        <v>518</v>
      </c>
      <c r="F218" s="15" t="s">
        <v>163</v>
      </c>
      <c r="G218" s="15" t="s">
        <v>28</v>
      </c>
      <c r="H218" s="15" t="s">
        <v>1082</v>
      </c>
      <c r="I218" s="15" t="s">
        <v>114</v>
      </c>
      <c r="J218" s="15" t="s">
        <v>106</v>
      </c>
      <c r="K218" s="15" t="s">
        <v>122</v>
      </c>
      <c r="L218" s="15" t="s">
        <v>227</v>
      </c>
      <c r="M218" s="15">
        <v>9</v>
      </c>
      <c r="N218" s="15">
        <v>20</v>
      </c>
      <c r="O218" s="15">
        <v>15</v>
      </c>
      <c r="P218" s="15">
        <v>153</v>
      </c>
      <c r="Q218" s="15">
        <v>3</v>
      </c>
      <c r="R218" s="15" t="s">
        <v>48</v>
      </c>
      <c r="S218" s="15" t="s">
        <v>115</v>
      </c>
      <c r="T218" s="15" t="s">
        <v>62</v>
      </c>
      <c r="U218" s="17" t="s">
        <v>1083</v>
      </c>
      <c r="V218" s="15" t="s">
        <v>38</v>
      </c>
    </row>
    <row r="219" spans="1:22">
      <c r="A219" s="18" t="s">
        <v>1084</v>
      </c>
      <c r="B219" s="18" t="s">
        <v>100</v>
      </c>
      <c r="C219" s="18" t="s">
        <v>169</v>
      </c>
      <c r="D219" s="18" t="s">
        <v>1085</v>
      </c>
      <c r="E219" s="18" t="s">
        <v>1086</v>
      </c>
      <c r="F219" s="18" t="s">
        <v>103</v>
      </c>
      <c r="G219" s="18" t="s">
        <v>28</v>
      </c>
      <c r="H219" s="18" t="s">
        <v>1087</v>
      </c>
      <c r="I219" s="18" t="s">
        <v>294</v>
      </c>
      <c r="J219" s="18" t="s">
        <v>295</v>
      </c>
      <c r="K219" s="18" t="s">
        <v>32</v>
      </c>
      <c r="L219" s="18" t="s">
        <v>174</v>
      </c>
      <c r="M219" s="18">
        <v>16</v>
      </c>
      <c r="N219" s="18">
        <v>8500</v>
      </c>
      <c r="O219" s="18">
        <v>0</v>
      </c>
      <c r="P219" s="18">
        <v>136000</v>
      </c>
      <c r="Q219" s="18">
        <v>4</v>
      </c>
      <c r="R219" s="18" t="s">
        <v>48</v>
      </c>
      <c r="S219" s="18" t="s">
        <v>35</v>
      </c>
      <c r="T219" s="18" t="s">
        <v>144</v>
      </c>
      <c r="U219" s="19" t="s">
        <v>1088</v>
      </c>
      <c r="V219" s="18" t="s">
        <v>38</v>
      </c>
    </row>
    <row r="220" spans="1:22">
      <c r="A220" s="15" t="s">
        <v>1089</v>
      </c>
      <c r="B220" s="15" t="s">
        <v>251</v>
      </c>
      <c r="C220" s="15" t="s">
        <v>92</v>
      </c>
      <c r="D220" s="15" t="s">
        <v>544</v>
      </c>
      <c r="E220" s="15" t="s">
        <v>1090</v>
      </c>
      <c r="F220" s="15" t="s">
        <v>254</v>
      </c>
      <c r="G220" s="15" t="s">
        <v>28</v>
      </c>
      <c r="H220" s="15" t="s">
        <v>1091</v>
      </c>
      <c r="I220" s="15" t="s">
        <v>44</v>
      </c>
      <c r="J220" s="15" t="s">
        <v>45</v>
      </c>
      <c r="K220" s="15" t="s">
        <v>32</v>
      </c>
      <c r="L220" s="15" t="s">
        <v>97</v>
      </c>
      <c r="M220" s="15">
        <v>10</v>
      </c>
      <c r="N220" s="15">
        <v>3500</v>
      </c>
      <c r="O220" s="15">
        <v>5</v>
      </c>
      <c r="P220" s="15">
        <v>33250</v>
      </c>
      <c r="Q220" s="15">
        <v>3</v>
      </c>
      <c r="R220" s="15" t="s">
        <v>48</v>
      </c>
      <c r="S220" s="15" t="s">
        <v>115</v>
      </c>
      <c r="T220" s="15" t="s">
        <v>256</v>
      </c>
      <c r="U220" s="17" t="s">
        <v>1092</v>
      </c>
      <c r="V220" s="15" t="s">
        <v>38</v>
      </c>
    </row>
    <row r="221" spans="1:22">
      <c r="A221" s="18" t="s">
        <v>1093</v>
      </c>
      <c r="B221" s="18" t="s">
        <v>53</v>
      </c>
      <c r="C221" s="18" t="s">
        <v>40</v>
      </c>
      <c r="D221" s="18" t="s">
        <v>1094</v>
      </c>
      <c r="E221" s="18" t="s">
        <v>588</v>
      </c>
      <c r="F221" s="18" t="s">
        <v>163</v>
      </c>
      <c r="G221" s="18" t="s">
        <v>28</v>
      </c>
      <c r="H221" s="18" t="s">
        <v>1095</v>
      </c>
      <c r="I221" s="18" t="s">
        <v>294</v>
      </c>
      <c r="J221" s="18" t="s">
        <v>295</v>
      </c>
      <c r="K221" s="18" t="s">
        <v>46</v>
      </c>
      <c r="L221" s="18" t="s">
        <v>47</v>
      </c>
      <c r="M221" s="18">
        <v>1</v>
      </c>
      <c r="N221" s="18">
        <v>12000</v>
      </c>
      <c r="O221" s="18">
        <v>0</v>
      </c>
      <c r="P221" s="18">
        <v>12000</v>
      </c>
      <c r="Q221" s="18">
        <v>5</v>
      </c>
      <c r="R221" s="18" t="s">
        <v>88</v>
      </c>
      <c r="S221" s="18" t="s">
        <v>115</v>
      </c>
      <c r="T221" s="18" t="s">
        <v>62</v>
      </c>
      <c r="U221" s="19" t="s">
        <v>1096</v>
      </c>
      <c r="V221" s="18" t="s">
        <v>64</v>
      </c>
    </row>
    <row r="222" spans="1:22">
      <c r="A222" s="15" t="s">
        <v>1097</v>
      </c>
      <c r="B222" s="15" t="s">
        <v>327</v>
      </c>
      <c r="C222" s="15" t="s">
        <v>259</v>
      </c>
      <c r="D222" s="15" t="s">
        <v>1098</v>
      </c>
      <c r="E222" s="15" t="s">
        <v>601</v>
      </c>
      <c r="F222" s="15" t="s">
        <v>394</v>
      </c>
      <c r="G222" s="15" t="s">
        <v>76</v>
      </c>
      <c r="H222" s="15" t="s">
        <v>1099</v>
      </c>
      <c r="I222" s="15" t="s">
        <v>294</v>
      </c>
      <c r="J222" s="15" t="s">
        <v>295</v>
      </c>
      <c r="K222" s="15" t="s">
        <v>122</v>
      </c>
      <c r="L222" s="15" t="s">
        <v>263</v>
      </c>
      <c r="M222" s="15">
        <v>19</v>
      </c>
      <c r="N222" s="15">
        <v>45</v>
      </c>
      <c r="O222" s="15">
        <v>15</v>
      </c>
      <c r="P222" s="15">
        <v>726.75</v>
      </c>
      <c r="Q222" s="15">
        <v>2</v>
      </c>
      <c r="R222" s="15" t="s">
        <v>88</v>
      </c>
      <c r="S222" s="15" t="s">
        <v>151</v>
      </c>
      <c r="T222" s="15" t="s">
        <v>332</v>
      </c>
      <c r="U222" s="17" t="s">
        <v>1100</v>
      </c>
      <c r="V222" s="15" t="s">
        <v>64</v>
      </c>
    </row>
    <row r="223" spans="1:22">
      <c r="A223" s="18" t="s">
        <v>1101</v>
      </c>
      <c r="B223" s="18" t="s">
        <v>23</v>
      </c>
      <c r="C223" s="18" t="s">
        <v>54</v>
      </c>
      <c r="D223" s="18" t="s">
        <v>531</v>
      </c>
      <c r="E223" s="18" t="s">
        <v>1102</v>
      </c>
      <c r="F223" s="18" t="s">
        <v>27</v>
      </c>
      <c r="G223" s="18" t="s">
        <v>28</v>
      </c>
      <c r="H223" s="18" t="s">
        <v>1103</v>
      </c>
      <c r="I223" s="18" t="s">
        <v>44</v>
      </c>
      <c r="J223" s="18" t="s">
        <v>45</v>
      </c>
      <c r="K223" s="18" t="s">
        <v>46</v>
      </c>
      <c r="L223" s="18" t="s">
        <v>60</v>
      </c>
      <c r="M223" s="18">
        <v>13</v>
      </c>
      <c r="N223" s="18">
        <v>55000</v>
      </c>
      <c r="O223" s="18">
        <v>5</v>
      </c>
      <c r="P223" s="18">
        <v>679250</v>
      </c>
      <c r="Q223" s="18">
        <v>4</v>
      </c>
      <c r="R223" s="18" t="s">
        <v>79</v>
      </c>
      <c r="S223" s="18" t="s">
        <v>49</v>
      </c>
      <c r="T223" s="18" t="s">
        <v>50</v>
      </c>
      <c r="U223" s="19" t="s">
        <v>1104</v>
      </c>
      <c r="V223" s="18" t="s">
        <v>69</v>
      </c>
    </row>
    <row r="224" spans="1:22">
      <c r="A224" s="15" t="s">
        <v>1105</v>
      </c>
      <c r="B224" s="15" t="s">
        <v>83</v>
      </c>
      <c r="C224" s="15" t="s">
        <v>259</v>
      </c>
      <c r="D224" s="15" t="s">
        <v>1106</v>
      </c>
      <c r="E224" s="15" t="s">
        <v>155</v>
      </c>
      <c r="F224" s="15" t="s">
        <v>180</v>
      </c>
      <c r="G224" s="15" t="s">
        <v>76</v>
      </c>
      <c r="H224" s="15" t="s">
        <v>1107</v>
      </c>
      <c r="I224" s="15" t="s">
        <v>105</v>
      </c>
      <c r="J224" s="15" t="s">
        <v>106</v>
      </c>
      <c r="K224" s="15" t="s">
        <v>122</v>
      </c>
      <c r="L224" s="15" t="s">
        <v>263</v>
      </c>
      <c r="M224" s="15">
        <v>2</v>
      </c>
      <c r="N224" s="15">
        <v>45</v>
      </c>
      <c r="O224" s="15">
        <v>15</v>
      </c>
      <c r="P224" s="15">
        <v>76.5</v>
      </c>
      <c r="Q224" s="15">
        <v>1</v>
      </c>
      <c r="R224" s="15" t="s">
        <v>48</v>
      </c>
      <c r="S224" s="15" t="s">
        <v>115</v>
      </c>
      <c r="T224" s="15" t="s">
        <v>89</v>
      </c>
      <c r="U224" s="17" t="s">
        <v>1108</v>
      </c>
      <c r="V224" s="15" t="s">
        <v>38</v>
      </c>
    </row>
    <row r="225" spans="1:22">
      <c r="A225" s="18" t="s">
        <v>1109</v>
      </c>
      <c r="B225" s="18" t="s">
        <v>100</v>
      </c>
      <c r="C225" s="18" t="s">
        <v>222</v>
      </c>
      <c r="D225" s="18" t="s">
        <v>303</v>
      </c>
      <c r="E225" s="18" t="s">
        <v>1110</v>
      </c>
      <c r="F225" s="18" t="s">
        <v>103</v>
      </c>
      <c r="G225" s="18" t="s">
        <v>28</v>
      </c>
      <c r="H225" s="18" t="s">
        <v>1111</v>
      </c>
      <c r="I225" s="18" t="s">
        <v>30</v>
      </c>
      <c r="J225" s="18" t="s">
        <v>31</v>
      </c>
      <c r="K225" s="18" t="s">
        <v>122</v>
      </c>
      <c r="L225" s="18" t="s">
        <v>227</v>
      </c>
      <c r="M225" s="18">
        <v>8</v>
      </c>
      <c r="N225" s="18">
        <v>20</v>
      </c>
      <c r="O225" s="18">
        <v>15</v>
      </c>
      <c r="P225" s="18">
        <v>136</v>
      </c>
      <c r="Q225" s="18">
        <v>1</v>
      </c>
      <c r="R225" s="18" t="s">
        <v>79</v>
      </c>
      <c r="S225" s="18" t="s">
        <v>35</v>
      </c>
      <c r="T225" s="18" t="s">
        <v>144</v>
      </c>
      <c r="U225" s="19" t="s">
        <v>1112</v>
      </c>
      <c r="V225" s="18" t="s">
        <v>64</v>
      </c>
    </row>
    <row r="226" spans="1:22">
      <c r="A226" s="15" t="s">
        <v>1113</v>
      </c>
      <c r="B226" s="15" t="s">
        <v>168</v>
      </c>
      <c r="C226" s="15" t="s">
        <v>40</v>
      </c>
      <c r="D226" s="15" t="s">
        <v>1114</v>
      </c>
      <c r="E226" s="15" t="s">
        <v>1115</v>
      </c>
      <c r="F226" s="15" t="s">
        <v>361</v>
      </c>
      <c r="G226" s="15" t="s">
        <v>28</v>
      </c>
      <c r="H226" s="15" t="s">
        <v>1116</v>
      </c>
      <c r="I226" s="15" t="s">
        <v>30</v>
      </c>
      <c r="J226" s="15" t="s">
        <v>31</v>
      </c>
      <c r="K226" s="15" t="s">
        <v>46</v>
      </c>
      <c r="L226" s="15" t="s">
        <v>47</v>
      </c>
      <c r="M226" s="15">
        <v>9</v>
      </c>
      <c r="N226" s="15">
        <v>12000</v>
      </c>
      <c r="O226" s="15">
        <v>5</v>
      </c>
      <c r="P226" s="15">
        <v>102600</v>
      </c>
      <c r="Q226" s="15">
        <v>2</v>
      </c>
      <c r="R226" s="15" t="s">
        <v>79</v>
      </c>
      <c r="S226" s="15" t="s">
        <v>35</v>
      </c>
      <c r="T226" s="15" t="s">
        <v>175</v>
      </c>
      <c r="U226" s="17" t="s">
        <v>1117</v>
      </c>
      <c r="V226" s="15" t="s">
        <v>69</v>
      </c>
    </row>
    <row r="227" spans="1:22">
      <c r="A227" s="18" t="s">
        <v>1118</v>
      </c>
      <c r="B227" s="18" t="s">
        <v>71</v>
      </c>
      <c r="C227" s="18" t="s">
        <v>92</v>
      </c>
      <c r="D227" s="18" t="s">
        <v>1119</v>
      </c>
      <c r="E227" s="18" t="s">
        <v>1120</v>
      </c>
      <c r="F227" s="18" t="s">
        <v>217</v>
      </c>
      <c r="G227" s="18" t="s">
        <v>76</v>
      </c>
      <c r="H227" s="18" t="s">
        <v>1121</v>
      </c>
      <c r="I227" s="18" t="s">
        <v>294</v>
      </c>
      <c r="J227" s="18" t="s">
        <v>295</v>
      </c>
      <c r="K227" s="18" t="s">
        <v>32</v>
      </c>
      <c r="L227" s="18" t="s">
        <v>97</v>
      </c>
      <c r="M227" s="18">
        <v>3</v>
      </c>
      <c r="N227" s="18">
        <v>3500</v>
      </c>
      <c r="O227" s="18">
        <v>15</v>
      </c>
      <c r="P227" s="18">
        <v>8925</v>
      </c>
      <c r="Q227" s="18">
        <v>1</v>
      </c>
      <c r="R227" s="18" t="s">
        <v>34</v>
      </c>
      <c r="S227" s="18" t="s">
        <v>49</v>
      </c>
      <c r="T227" s="18" t="s">
        <v>80</v>
      </c>
      <c r="U227" s="19" t="s">
        <v>1122</v>
      </c>
      <c r="V227" s="18" t="s">
        <v>69</v>
      </c>
    </row>
    <row r="228" spans="1:22">
      <c r="A228" s="15" t="s">
        <v>1123</v>
      </c>
      <c r="B228" s="15" t="s">
        <v>100</v>
      </c>
      <c r="C228" s="15" t="s">
        <v>184</v>
      </c>
      <c r="D228" s="15" t="s">
        <v>1086</v>
      </c>
      <c r="E228" s="15" t="s">
        <v>1124</v>
      </c>
      <c r="F228" s="15" t="s">
        <v>103</v>
      </c>
      <c r="G228" s="15" t="s">
        <v>28</v>
      </c>
      <c r="H228" s="15" t="s">
        <v>1125</v>
      </c>
      <c r="I228" s="15" t="s">
        <v>30</v>
      </c>
      <c r="J228" s="15" t="s">
        <v>31</v>
      </c>
      <c r="K228" s="15" t="s">
        <v>46</v>
      </c>
      <c r="L228" s="15" t="s">
        <v>189</v>
      </c>
      <c r="M228" s="15">
        <v>18</v>
      </c>
      <c r="N228" s="15">
        <v>700</v>
      </c>
      <c r="O228" s="15">
        <v>20</v>
      </c>
      <c r="P228" s="15">
        <v>10080</v>
      </c>
      <c r="Q228" s="15">
        <v>1</v>
      </c>
      <c r="R228" s="15" t="s">
        <v>79</v>
      </c>
      <c r="S228" s="15" t="s">
        <v>151</v>
      </c>
      <c r="T228" s="15" t="s">
        <v>144</v>
      </c>
      <c r="U228" s="17" t="s">
        <v>1126</v>
      </c>
      <c r="V228" s="15" t="s">
        <v>38</v>
      </c>
    </row>
    <row r="229" spans="1:22">
      <c r="A229" s="18" t="s">
        <v>1127</v>
      </c>
      <c r="B229" s="18" t="s">
        <v>71</v>
      </c>
      <c r="C229" s="18" t="s">
        <v>92</v>
      </c>
      <c r="D229" s="18" t="s">
        <v>1128</v>
      </c>
      <c r="E229" s="18" t="s">
        <v>110</v>
      </c>
      <c r="F229" s="18" t="s">
        <v>217</v>
      </c>
      <c r="G229" s="18" t="s">
        <v>76</v>
      </c>
      <c r="H229" s="18" t="s">
        <v>1129</v>
      </c>
      <c r="I229" s="18" t="s">
        <v>114</v>
      </c>
      <c r="J229" s="18" t="s">
        <v>106</v>
      </c>
      <c r="K229" s="18" t="s">
        <v>32</v>
      </c>
      <c r="L229" s="18" t="s">
        <v>97</v>
      </c>
      <c r="M229" s="18">
        <v>14</v>
      </c>
      <c r="N229" s="18">
        <v>3500</v>
      </c>
      <c r="O229" s="18">
        <v>5</v>
      </c>
      <c r="P229" s="18">
        <v>46550</v>
      </c>
      <c r="Q229" s="18">
        <v>1</v>
      </c>
      <c r="R229" s="18" t="s">
        <v>34</v>
      </c>
      <c r="S229" s="18" t="s">
        <v>61</v>
      </c>
      <c r="T229" s="18" t="s">
        <v>80</v>
      </c>
      <c r="U229" s="19" t="s">
        <v>1130</v>
      </c>
      <c r="V229" s="18" t="s">
        <v>38</v>
      </c>
    </row>
    <row r="230" spans="1:22">
      <c r="A230" s="15" t="s">
        <v>1131</v>
      </c>
      <c r="B230" s="15" t="s">
        <v>100</v>
      </c>
      <c r="C230" s="15" t="s">
        <v>184</v>
      </c>
      <c r="D230" s="15" t="s">
        <v>684</v>
      </c>
      <c r="E230" s="15" t="s">
        <v>318</v>
      </c>
      <c r="F230" s="15" t="s">
        <v>103</v>
      </c>
      <c r="G230" s="15" t="s">
        <v>28</v>
      </c>
      <c r="H230" s="15" t="s">
        <v>1132</v>
      </c>
      <c r="I230" s="15" t="s">
        <v>294</v>
      </c>
      <c r="J230" s="15" t="s">
        <v>295</v>
      </c>
      <c r="K230" s="15" t="s">
        <v>46</v>
      </c>
      <c r="L230" s="15" t="s">
        <v>189</v>
      </c>
      <c r="M230" s="15">
        <v>6</v>
      </c>
      <c r="N230" s="15">
        <v>700</v>
      </c>
      <c r="O230" s="15">
        <v>5</v>
      </c>
      <c r="P230" s="15">
        <v>3990</v>
      </c>
      <c r="Q230" s="15">
        <v>5</v>
      </c>
      <c r="R230" s="15" t="s">
        <v>34</v>
      </c>
      <c r="S230" s="15" t="s">
        <v>35</v>
      </c>
      <c r="T230" s="15" t="s">
        <v>144</v>
      </c>
      <c r="U230" s="17" t="s">
        <v>1133</v>
      </c>
      <c r="V230" s="15" t="s">
        <v>38</v>
      </c>
    </row>
    <row r="231" spans="1:22">
      <c r="A231" s="18" t="s">
        <v>1134</v>
      </c>
      <c r="B231" s="18" t="s">
        <v>100</v>
      </c>
      <c r="C231" s="18" t="s">
        <v>92</v>
      </c>
      <c r="D231" s="18" t="s">
        <v>679</v>
      </c>
      <c r="E231" s="18" t="s">
        <v>872</v>
      </c>
      <c r="F231" s="18" t="s">
        <v>103</v>
      </c>
      <c r="G231" s="18" t="s">
        <v>28</v>
      </c>
      <c r="H231" s="18" t="s">
        <v>1135</v>
      </c>
      <c r="I231" s="18" t="s">
        <v>105</v>
      </c>
      <c r="J231" s="18" t="s">
        <v>106</v>
      </c>
      <c r="K231" s="18" t="s">
        <v>32</v>
      </c>
      <c r="L231" s="18" t="s">
        <v>97</v>
      </c>
      <c r="M231" s="18">
        <v>17</v>
      </c>
      <c r="N231" s="18">
        <v>3500</v>
      </c>
      <c r="O231" s="18">
        <v>15</v>
      </c>
      <c r="P231" s="18">
        <v>50575</v>
      </c>
      <c r="Q231" s="18">
        <v>3</v>
      </c>
      <c r="R231" s="18" t="s">
        <v>48</v>
      </c>
      <c r="S231" s="18" t="s">
        <v>49</v>
      </c>
      <c r="T231" s="18" t="s">
        <v>144</v>
      </c>
      <c r="U231" s="19" t="s">
        <v>1136</v>
      </c>
      <c r="V231" s="18" t="s">
        <v>64</v>
      </c>
    </row>
    <row r="232" spans="1:22">
      <c r="A232" s="15" t="s">
        <v>1137</v>
      </c>
      <c r="B232" s="15" t="s">
        <v>251</v>
      </c>
      <c r="C232" s="15" t="s">
        <v>222</v>
      </c>
      <c r="D232" s="15" t="s">
        <v>253</v>
      </c>
      <c r="E232" s="15" t="s">
        <v>1128</v>
      </c>
      <c r="F232" s="15" t="s">
        <v>254</v>
      </c>
      <c r="G232" s="15" t="s">
        <v>28</v>
      </c>
      <c r="H232" s="15" t="s">
        <v>1138</v>
      </c>
      <c r="I232" s="15" t="s">
        <v>294</v>
      </c>
      <c r="J232" s="15" t="s">
        <v>295</v>
      </c>
      <c r="K232" s="15" t="s">
        <v>122</v>
      </c>
      <c r="L232" s="15" t="s">
        <v>227</v>
      </c>
      <c r="M232" s="15">
        <v>7</v>
      </c>
      <c r="N232" s="15">
        <v>20</v>
      </c>
      <c r="O232" s="15">
        <v>5</v>
      </c>
      <c r="P232" s="15">
        <v>133</v>
      </c>
      <c r="Q232" s="15">
        <v>2</v>
      </c>
      <c r="R232" s="15" t="s">
        <v>88</v>
      </c>
      <c r="S232" s="15" t="s">
        <v>151</v>
      </c>
      <c r="T232" s="15" t="s">
        <v>256</v>
      </c>
      <c r="U232" s="17" t="s">
        <v>1139</v>
      </c>
      <c r="V232" s="15" t="s">
        <v>38</v>
      </c>
    </row>
    <row r="233" spans="1:22">
      <c r="A233" s="18" t="s">
        <v>1140</v>
      </c>
      <c r="B233" s="18" t="s">
        <v>23</v>
      </c>
      <c r="C233" s="18" t="s">
        <v>24</v>
      </c>
      <c r="D233" s="18" t="s">
        <v>1141</v>
      </c>
      <c r="E233" s="18" t="s">
        <v>1142</v>
      </c>
      <c r="F233" s="18" t="s">
        <v>27</v>
      </c>
      <c r="G233" s="18" t="s">
        <v>28</v>
      </c>
      <c r="H233" s="18" t="s">
        <v>1143</v>
      </c>
      <c r="I233" s="18" t="s">
        <v>59</v>
      </c>
      <c r="J233" s="18" t="s">
        <v>31</v>
      </c>
      <c r="K233" s="18" t="s">
        <v>32</v>
      </c>
      <c r="L233" s="18" t="s">
        <v>33</v>
      </c>
      <c r="M233" s="18">
        <v>15</v>
      </c>
      <c r="N233" s="18">
        <v>2200</v>
      </c>
      <c r="O233" s="18">
        <v>20</v>
      </c>
      <c r="P233" s="18">
        <v>26400</v>
      </c>
      <c r="Q233" s="18">
        <v>2</v>
      </c>
      <c r="R233" s="18" t="s">
        <v>34</v>
      </c>
      <c r="S233" s="18" t="s">
        <v>61</v>
      </c>
      <c r="T233" s="18" t="s">
        <v>50</v>
      </c>
      <c r="U233" s="19" t="s">
        <v>1144</v>
      </c>
      <c r="V233" s="18" t="s">
        <v>38</v>
      </c>
    </row>
    <row r="234" spans="1:22">
      <c r="A234" s="15" t="s">
        <v>1145</v>
      </c>
      <c r="B234" s="15" t="s">
        <v>71</v>
      </c>
      <c r="C234" s="15" t="s">
        <v>222</v>
      </c>
      <c r="D234" s="15" t="s">
        <v>736</v>
      </c>
      <c r="E234" s="15" t="s">
        <v>94</v>
      </c>
      <c r="F234" s="15" t="s">
        <v>217</v>
      </c>
      <c r="G234" s="15" t="s">
        <v>76</v>
      </c>
      <c r="H234" s="15" t="s">
        <v>1146</v>
      </c>
      <c r="I234" s="15" t="s">
        <v>105</v>
      </c>
      <c r="J234" s="15" t="s">
        <v>106</v>
      </c>
      <c r="K234" s="15" t="s">
        <v>122</v>
      </c>
      <c r="L234" s="15" t="s">
        <v>227</v>
      </c>
      <c r="M234" s="15">
        <v>5</v>
      </c>
      <c r="N234" s="15">
        <v>20</v>
      </c>
      <c r="O234" s="15">
        <v>0</v>
      </c>
      <c r="P234" s="15">
        <v>100</v>
      </c>
      <c r="Q234" s="15">
        <v>3</v>
      </c>
      <c r="R234" s="15" t="s">
        <v>34</v>
      </c>
      <c r="S234" s="15" t="s">
        <v>151</v>
      </c>
      <c r="T234" s="15" t="s">
        <v>80</v>
      </c>
      <c r="U234" s="17" t="s">
        <v>1147</v>
      </c>
      <c r="V234" s="15" t="s">
        <v>38</v>
      </c>
    </row>
    <row r="235" spans="1:22">
      <c r="A235" s="18" t="s">
        <v>1148</v>
      </c>
      <c r="B235" s="18" t="s">
        <v>127</v>
      </c>
      <c r="C235" s="18" t="s">
        <v>40</v>
      </c>
      <c r="D235" s="18" t="s">
        <v>1149</v>
      </c>
      <c r="E235" s="18" t="s">
        <v>779</v>
      </c>
      <c r="F235" s="18" t="s">
        <v>200</v>
      </c>
      <c r="G235" s="18" t="s">
        <v>76</v>
      </c>
      <c r="H235" s="18" t="s">
        <v>1150</v>
      </c>
      <c r="I235" s="18" t="s">
        <v>44</v>
      </c>
      <c r="J235" s="18" t="s">
        <v>45</v>
      </c>
      <c r="K235" s="18" t="s">
        <v>46</v>
      </c>
      <c r="L235" s="18" t="s">
        <v>47</v>
      </c>
      <c r="M235" s="18">
        <v>8</v>
      </c>
      <c r="N235" s="18">
        <v>12000</v>
      </c>
      <c r="O235" s="18">
        <v>20</v>
      </c>
      <c r="P235" s="18">
        <v>76800</v>
      </c>
      <c r="Q235" s="18">
        <v>3</v>
      </c>
      <c r="R235" s="18" t="s">
        <v>79</v>
      </c>
      <c r="S235" s="18" t="s">
        <v>61</v>
      </c>
      <c r="T235" s="18" t="s">
        <v>132</v>
      </c>
      <c r="U235" s="19" t="s">
        <v>1151</v>
      </c>
      <c r="V235" s="18" t="s">
        <v>64</v>
      </c>
    </row>
    <row r="236" spans="1:22">
      <c r="A236" s="15" t="s">
        <v>1152</v>
      </c>
      <c r="B236" s="15" t="s">
        <v>127</v>
      </c>
      <c r="C236" s="15" t="s">
        <v>92</v>
      </c>
      <c r="D236" s="15" t="s">
        <v>1153</v>
      </c>
      <c r="E236" s="15" t="s">
        <v>987</v>
      </c>
      <c r="F236" s="15" t="s">
        <v>200</v>
      </c>
      <c r="G236" s="15" t="s">
        <v>76</v>
      </c>
      <c r="H236" s="15" t="s">
        <v>1154</v>
      </c>
      <c r="I236" s="15" t="s">
        <v>105</v>
      </c>
      <c r="J236" s="15" t="s">
        <v>106</v>
      </c>
      <c r="K236" s="15" t="s">
        <v>32</v>
      </c>
      <c r="L236" s="15" t="s">
        <v>97</v>
      </c>
      <c r="M236" s="15">
        <v>4</v>
      </c>
      <c r="N236" s="15">
        <v>3500</v>
      </c>
      <c r="O236" s="15">
        <v>20</v>
      </c>
      <c r="P236" s="15">
        <v>11200</v>
      </c>
      <c r="Q236" s="15">
        <v>1</v>
      </c>
      <c r="R236" s="15" t="s">
        <v>79</v>
      </c>
      <c r="S236" s="15" t="s">
        <v>115</v>
      </c>
      <c r="T236" s="15" t="s">
        <v>132</v>
      </c>
      <c r="U236" s="17" t="s">
        <v>1155</v>
      </c>
      <c r="V236" s="15" t="s">
        <v>38</v>
      </c>
    </row>
    <row r="237" spans="1:22">
      <c r="A237" s="18" t="s">
        <v>1156</v>
      </c>
      <c r="B237" s="18" t="s">
        <v>221</v>
      </c>
      <c r="C237" s="18" t="s">
        <v>259</v>
      </c>
      <c r="D237" s="18" t="s">
        <v>628</v>
      </c>
      <c r="E237" s="18" t="s">
        <v>1157</v>
      </c>
      <c r="F237" s="18" t="s">
        <v>225</v>
      </c>
      <c r="G237" s="18" t="s">
        <v>76</v>
      </c>
      <c r="H237" s="18" t="s">
        <v>1158</v>
      </c>
      <c r="I237" s="18" t="s">
        <v>30</v>
      </c>
      <c r="J237" s="18" t="s">
        <v>31</v>
      </c>
      <c r="K237" s="18" t="s">
        <v>122</v>
      </c>
      <c r="L237" s="18" t="s">
        <v>263</v>
      </c>
      <c r="M237" s="18">
        <v>19</v>
      </c>
      <c r="N237" s="18">
        <v>45</v>
      </c>
      <c r="O237" s="18">
        <v>10</v>
      </c>
      <c r="P237" s="18">
        <v>769.5</v>
      </c>
      <c r="Q237" s="18">
        <v>1</v>
      </c>
      <c r="R237" s="18" t="s">
        <v>34</v>
      </c>
      <c r="S237" s="18" t="s">
        <v>115</v>
      </c>
      <c r="T237" s="18" t="s">
        <v>228</v>
      </c>
      <c r="U237" s="19" t="s">
        <v>1159</v>
      </c>
      <c r="V237" s="18" t="s">
        <v>38</v>
      </c>
    </row>
    <row r="238" spans="1:22">
      <c r="A238" s="15" t="s">
        <v>1160</v>
      </c>
      <c r="B238" s="15" t="s">
        <v>53</v>
      </c>
      <c r="C238" s="15" t="s">
        <v>259</v>
      </c>
      <c r="D238" s="15" t="s">
        <v>588</v>
      </c>
      <c r="E238" s="15" t="s">
        <v>1161</v>
      </c>
      <c r="F238" s="15" t="s">
        <v>163</v>
      </c>
      <c r="G238" s="15" t="s">
        <v>28</v>
      </c>
      <c r="H238" s="15" t="s">
        <v>1162</v>
      </c>
      <c r="I238" s="15" t="s">
        <v>114</v>
      </c>
      <c r="J238" s="15" t="s">
        <v>106</v>
      </c>
      <c r="K238" s="15" t="s">
        <v>122</v>
      </c>
      <c r="L238" s="15" t="s">
        <v>263</v>
      </c>
      <c r="M238" s="15">
        <v>10</v>
      </c>
      <c r="N238" s="15">
        <v>45</v>
      </c>
      <c r="O238" s="15">
        <v>0</v>
      </c>
      <c r="P238" s="15">
        <v>450</v>
      </c>
      <c r="Q238" s="15">
        <v>4</v>
      </c>
      <c r="R238" s="15" t="s">
        <v>88</v>
      </c>
      <c r="S238" s="15" t="s">
        <v>61</v>
      </c>
      <c r="T238" s="15" t="s">
        <v>62</v>
      </c>
      <c r="U238" s="17" t="s">
        <v>1163</v>
      </c>
      <c r="V238" s="15" t="s">
        <v>38</v>
      </c>
    </row>
    <row r="239" spans="1:22">
      <c r="A239" s="18" t="s">
        <v>1164</v>
      </c>
      <c r="B239" s="18" t="s">
        <v>53</v>
      </c>
      <c r="C239" s="18" t="s">
        <v>259</v>
      </c>
      <c r="D239" s="18" t="s">
        <v>1165</v>
      </c>
      <c r="E239" s="18" t="s">
        <v>1039</v>
      </c>
      <c r="F239" s="18" t="s">
        <v>163</v>
      </c>
      <c r="G239" s="18" t="s">
        <v>28</v>
      </c>
      <c r="H239" s="18" t="s">
        <v>1166</v>
      </c>
      <c r="I239" s="18" t="s">
        <v>30</v>
      </c>
      <c r="J239" s="18" t="s">
        <v>31</v>
      </c>
      <c r="K239" s="18" t="s">
        <v>122</v>
      </c>
      <c r="L239" s="18" t="s">
        <v>263</v>
      </c>
      <c r="M239" s="18">
        <v>16</v>
      </c>
      <c r="N239" s="18">
        <v>45</v>
      </c>
      <c r="O239" s="18">
        <v>15</v>
      </c>
      <c r="P239" s="18">
        <v>612</v>
      </c>
      <c r="Q239" s="18">
        <v>3</v>
      </c>
      <c r="R239" s="18" t="s">
        <v>34</v>
      </c>
      <c r="S239" s="18" t="s">
        <v>115</v>
      </c>
      <c r="T239" s="18" t="s">
        <v>62</v>
      </c>
      <c r="U239" s="19" t="s">
        <v>1167</v>
      </c>
      <c r="V239" s="18" t="s">
        <v>69</v>
      </c>
    </row>
    <row r="240" spans="1:22">
      <c r="A240" s="15" t="s">
        <v>1168</v>
      </c>
      <c r="B240" s="15" t="s">
        <v>168</v>
      </c>
      <c r="C240" s="15" t="s">
        <v>169</v>
      </c>
      <c r="D240" s="15" t="s">
        <v>119</v>
      </c>
      <c r="E240" s="15" t="s">
        <v>120</v>
      </c>
      <c r="F240" s="15" t="s">
        <v>361</v>
      </c>
      <c r="G240" s="15" t="s">
        <v>28</v>
      </c>
      <c r="H240" s="15" t="s">
        <v>1169</v>
      </c>
      <c r="I240" s="15" t="s">
        <v>114</v>
      </c>
      <c r="J240" s="15" t="s">
        <v>106</v>
      </c>
      <c r="K240" s="15" t="s">
        <v>32</v>
      </c>
      <c r="L240" s="15" t="s">
        <v>174</v>
      </c>
      <c r="M240" s="15">
        <v>16</v>
      </c>
      <c r="N240" s="15">
        <v>8500</v>
      </c>
      <c r="O240" s="15">
        <v>15</v>
      </c>
      <c r="P240" s="15">
        <v>115600</v>
      </c>
      <c r="Q240" s="15">
        <v>4</v>
      </c>
      <c r="R240" s="15" t="s">
        <v>48</v>
      </c>
      <c r="S240" s="15" t="s">
        <v>35</v>
      </c>
      <c r="T240" s="15" t="s">
        <v>175</v>
      </c>
      <c r="U240" s="17" t="s">
        <v>1170</v>
      </c>
      <c r="V240" s="15" t="s">
        <v>69</v>
      </c>
    </row>
    <row r="241" spans="1:22">
      <c r="A241" s="18" t="s">
        <v>1171</v>
      </c>
      <c r="B241" s="18" t="s">
        <v>168</v>
      </c>
      <c r="C241" s="18" t="s">
        <v>222</v>
      </c>
      <c r="D241" s="18" t="s">
        <v>445</v>
      </c>
      <c r="E241" s="18" t="s">
        <v>1172</v>
      </c>
      <c r="F241" s="18" t="s">
        <v>361</v>
      </c>
      <c r="G241" s="18" t="s">
        <v>28</v>
      </c>
      <c r="H241" s="18" t="s">
        <v>1173</v>
      </c>
      <c r="I241" s="18" t="s">
        <v>294</v>
      </c>
      <c r="J241" s="18" t="s">
        <v>295</v>
      </c>
      <c r="K241" s="18" t="s">
        <v>122</v>
      </c>
      <c r="L241" s="18" t="s">
        <v>227</v>
      </c>
      <c r="M241" s="18">
        <v>15</v>
      </c>
      <c r="N241" s="18">
        <v>20</v>
      </c>
      <c r="O241" s="18">
        <v>20</v>
      </c>
      <c r="P241" s="18">
        <v>240</v>
      </c>
      <c r="Q241" s="18">
        <v>3</v>
      </c>
      <c r="R241" s="18" t="s">
        <v>48</v>
      </c>
      <c r="S241" s="18" t="s">
        <v>49</v>
      </c>
      <c r="T241" s="18" t="s">
        <v>175</v>
      </c>
      <c r="U241" s="19" t="s">
        <v>1174</v>
      </c>
      <c r="V241" s="18" t="s">
        <v>69</v>
      </c>
    </row>
    <row r="242" spans="1:22">
      <c r="A242" s="15" t="s">
        <v>1175</v>
      </c>
      <c r="B242" s="15" t="s">
        <v>83</v>
      </c>
      <c r="C242" s="15" t="s">
        <v>118</v>
      </c>
      <c r="D242" s="15" t="s">
        <v>440</v>
      </c>
      <c r="E242" s="15" t="s">
        <v>1176</v>
      </c>
      <c r="F242" s="15" t="s">
        <v>180</v>
      </c>
      <c r="G242" s="15" t="s">
        <v>76</v>
      </c>
      <c r="H242" s="15" t="s">
        <v>1177</v>
      </c>
      <c r="I242" s="15" t="s">
        <v>59</v>
      </c>
      <c r="J242" s="15" t="s">
        <v>31</v>
      </c>
      <c r="K242" s="15" t="s">
        <v>122</v>
      </c>
      <c r="L242" s="15" t="s">
        <v>123</v>
      </c>
      <c r="M242" s="15">
        <v>14</v>
      </c>
      <c r="N242" s="15">
        <v>60</v>
      </c>
      <c r="O242" s="15">
        <v>5</v>
      </c>
      <c r="P242" s="15">
        <v>798</v>
      </c>
      <c r="Q242" s="15">
        <v>4</v>
      </c>
      <c r="R242" s="15" t="s">
        <v>34</v>
      </c>
      <c r="S242" s="15" t="s">
        <v>49</v>
      </c>
      <c r="T242" s="15" t="s">
        <v>89</v>
      </c>
      <c r="U242" s="17" t="s">
        <v>1178</v>
      </c>
      <c r="V242" s="15" t="s">
        <v>38</v>
      </c>
    </row>
    <row r="243" spans="1:22">
      <c r="A243" s="18" t="s">
        <v>1179</v>
      </c>
      <c r="B243" s="18" t="s">
        <v>53</v>
      </c>
      <c r="C243" s="18" t="s">
        <v>72</v>
      </c>
      <c r="D243" s="18" t="s">
        <v>1180</v>
      </c>
      <c r="E243" s="18" t="s">
        <v>1181</v>
      </c>
      <c r="F243" s="18" t="s">
        <v>163</v>
      </c>
      <c r="G243" s="18" t="s">
        <v>28</v>
      </c>
      <c r="H243" s="18" t="s">
        <v>1182</v>
      </c>
      <c r="I243" s="18" t="s">
        <v>105</v>
      </c>
      <c r="J243" s="18" t="s">
        <v>106</v>
      </c>
      <c r="K243" s="18" t="s">
        <v>46</v>
      </c>
      <c r="L243" s="18" t="s">
        <v>78</v>
      </c>
      <c r="M243" s="18">
        <v>19</v>
      </c>
      <c r="N243" s="18">
        <v>1200</v>
      </c>
      <c r="O243" s="18">
        <v>20</v>
      </c>
      <c r="P243" s="18">
        <v>18240</v>
      </c>
      <c r="Q243" s="18">
        <v>2</v>
      </c>
      <c r="R243" s="18" t="s">
        <v>34</v>
      </c>
      <c r="S243" s="18" t="s">
        <v>115</v>
      </c>
      <c r="T243" s="18" t="s">
        <v>62</v>
      </c>
      <c r="U243" s="19" t="s">
        <v>1183</v>
      </c>
      <c r="V243" s="18" t="s">
        <v>69</v>
      </c>
    </row>
    <row r="244" spans="1:22">
      <c r="A244" s="15" t="s">
        <v>1184</v>
      </c>
      <c r="B244" s="15" t="s">
        <v>23</v>
      </c>
      <c r="C244" s="15" t="s">
        <v>259</v>
      </c>
      <c r="D244" s="15" t="s">
        <v>340</v>
      </c>
      <c r="E244" s="15" t="s">
        <v>346</v>
      </c>
      <c r="F244" s="15" t="s">
        <v>27</v>
      </c>
      <c r="G244" s="15" t="s">
        <v>28</v>
      </c>
      <c r="H244" s="15" t="s">
        <v>1185</v>
      </c>
      <c r="I244" s="15" t="s">
        <v>59</v>
      </c>
      <c r="J244" s="15" t="s">
        <v>31</v>
      </c>
      <c r="K244" s="15" t="s">
        <v>122</v>
      </c>
      <c r="L244" s="15" t="s">
        <v>263</v>
      </c>
      <c r="M244" s="15">
        <v>5</v>
      </c>
      <c r="N244" s="15">
        <v>45</v>
      </c>
      <c r="O244" s="15">
        <v>15</v>
      </c>
      <c r="P244" s="15">
        <v>191.25</v>
      </c>
      <c r="Q244" s="15">
        <v>2</v>
      </c>
      <c r="R244" s="15" t="s">
        <v>34</v>
      </c>
      <c r="S244" s="15" t="s">
        <v>61</v>
      </c>
      <c r="T244" s="15" t="s">
        <v>50</v>
      </c>
      <c r="U244" s="17" t="s">
        <v>1186</v>
      </c>
      <c r="V244" s="15" t="s">
        <v>69</v>
      </c>
    </row>
    <row r="245" spans="1:22">
      <c r="A245" s="18" t="s">
        <v>1187</v>
      </c>
      <c r="B245" s="18" t="s">
        <v>327</v>
      </c>
      <c r="C245" s="18" t="s">
        <v>184</v>
      </c>
      <c r="D245" s="18" t="s">
        <v>237</v>
      </c>
      <c r="E245" s="18" t="s">
        <v>1188</v>
      </c>
      <c r="F245" s="18" t="s">
        <v>394</v>
      </c>
      <c r="G245" s="18" t="s">
        <v>76</v>
      </c>
      <c r="H245" s="18" t="s">
        <v>1189</v>
      </c>
      <c r="I245" s="18" t="s">
        <v>30</v>
      </c>
      <c r="J245" s="18" t="s">
        <v>31</v>
      </c>
      <c r="K245" s="18" t="s">
        <v>46</v>
      </c>
      <c r="L245" s="18" t="s">
        <v>189</v>
      </c>
      <c r="M245" s="18">
        <v>19</v>
      </c>
      <c r="N245" s="18">
        <v>700</v>
      </c>
      <c r="O245" s="18">
        <v>5</v>
      </c>
      <c r="P245" s="18">
        <v>12635</v>
      </c>
      <c r="Q245" s="18">
        <v>5</v>
      </c>
      <c r="R245" s="18" t="s">
        <v>88</v>
      </c>
      <c r="S245" s="18" t="s">
        <v>151</v>
      </c>
      <c r="T245" s="18" t="s">
        <v>332</v>
      </c>
      <c r="U245" s="19" t="s">
        <v>1190</v>
      </c>
      <c r="V245" s="18" t="s">
        <v>38</v>
      </c>
    </row>
    <row r="246" spans="1:22">
      <c r="A246" s="15" t="s">
        <v>1191</v>
      </c>
      <c r="B246" s="15" t="s">
        <v>127</v>
      </c>
      <c r="C246" s="15" t="s">
        <v>118</v>
      </c>
      <c r="D246" s="15" t="s">
        <v>464</v>
      </c>
      <c r="E246" s="15" t="s">
        <v>84</v>
      </c>
      <c r="F246" s="15" t="s">
        <v>200</v>
      </c>
      <c r="G246" s="15" t="s">
        <v>76</v>
      </c>
      <c r="H246" s="15" t="s">
        <v>1192</v>
      </c>
      <c r="I246" s="15" t="s">
        <v>294</v>
      </c>
      <c r="J246" s="15" t="s">
        <v>295</v>
      </c>
      <c r="K246" s="15" t="s">
        <v>122</v>
      </c>
      <c r="L246" s="15" t="s">
        <v>123</v>
      </c>
      <c r="M246" s="15">
        <v>7</v>
      </c>
      <c r="N246" s="15">
        <v>60</v>
      </c>
      <c r="O246" s="15">
        <v>0</v>
      </c>
      <c r="P246" s="15">
        <v>420</v>
      </c>
      <c r="Q246" s="15">
        <v>4</v>
      </c>
      <c r="R246" s="15" t="s">
        <v>34</v>
      </c>
      <c r="S246" s="15" t="s">
        <v>115</v>
      </c>
      <c r="T246" s="15" t="s">
        <v>132</v>
      </c>
      <c r="U246" s="17" t="s">
        <v>1193</v>
      </c>
      <c r="V246" s="15" t="s">
        <v>64</v>
      </c>
    </row>
    <row r="247" spans="1:22">
      <c r="A247" s="18" t="s">
        <v>1194</v>
      </c>
      <c r="B247" s="18" t="s">
        <v>71</v>
      </c>
      <c r="C247" s="18" t="s">
        <v>24</v>
      </c>
      <c r="D247" s="18" t="s">
        <v>215</v>
      </c>
      <c r="E247" s="18" t="s">
        <v>711</v>
      </c>
      <c r="F247" s="18" t="s">
        <v>217</v>
      </c>
      <c r="G247" s="18" t="s">
        <v>76</v>
      </c>
      <c r="H247" s="18" t="s">
        <v>1195</v>
      </c>
      <c r="I247" s="18" t="s">
        <v>105</v>
      </c>
      <c r="J247" s="18" t="s">
        <v>106</v>
      </c>
      <c r="K247" s="18" t="s">
        <v>32</v>
      </c>
      <c r="L247" s="18" t="s">
        <v>33</v>
      </c>
      <c r="M247" s="18">
        <v>13</v>
      </c>
      <c r="N247" s="18">
        <v>2200</v>
      </c>
      <c r="O247" s="18">
        <v>10</v>
      </c>
      <c r="P247" s="18">
        <v>25740</v>
      </c>
      <c r="Q247" s="18">
        <v>1</v>
      </c>
      <c r="R247" s="18" t="s">
        <v>79</v>
      </c>
      <c r="S247" s="18" t="s">
        <v>151</v>
      </c>
      <c r="T247" s="18" t="s">
        <v>80</v>
      </c>
      <c r="U247" s="19" t="s">
        <v>1196</v>
      </c>
      <c r="V247" s="18" t="s">
        <v>38</v>
      </c>
    </row>
    <row r="248" spans="1:22">
      <c r="A248" s="15" t="s">
        <v>1197</v>
      </c>
      <c r="B248" s="15" t="s">
        <v>71</v>
      </c>
      <c r="C248" s="15" t="s">
        <v>24</v>
      </c>
      <c r="D248" s="15" t="s">
        <v>1198</v>
      </c>
      <c r="E248" s="15" t="s">
        <v>1199</v>
      </c>
      <c r="F248" s="15" t="s">
        <v>217</v>
      </c>
      <c r="G248" s="15" t="s">
        <v>76</v>
      </c>
      <c r="H248" s="15" t="s">
        <v>1200</v>
      </c>
      <c r="I248" s="15" t="s">
        <v>59</v>
      </c>
      <c r="J248" s="15" t="s">
        <v>31</v>
      </c>
      <c r="K248" s="15" t="s">
        <v>32</v>
      </c>
      <c r="L248" s="15" t="s">
        <v>33</v>
      </c>
      <c r="M248" s="15">
        <v>9</v>
      </c>
      <c r="N248" s="15">
        <v>2200</v>
      </c>
      <c r="O248" s="15">
        <v>10</v>
      </c>
      <c r="P248" s="15">
        <v>17820</v>
      </c>
      <c r="Q248" s="15">
        <v>2</v>
      </c>
      <c r="R248" s="15" t="s">
        <v>1201</v>
      </c>
      <c r="S248" s="15" t="s">
        <v>61</v>
      </c>
      <c r="T248" s="15" t="s">
        <v>80</v>
      </c>
      <c r="U248" s="17" t="s">
        <v>1202</v>
      </c>
      <c r="V248" s="15" t="s">
        <v>69</v>
      </c>
    </row>
    <row r="249" spans="1:22">
      <c r="A249" s="18" t="s">
        <v>1203</v>
      </c>
      <c r="B249" s="18" t="s">
        <v>327</v>
      </c>
      <c r="C249" s="18" t="s">
        <v>169</v>
      </c>
      <c r="D249" s="18" t="s">
        <v>944</v>
      </c>
      <c r="E249" s="18" t="s">
        <v>1204</v>
      </c>
      <c r="F249" s="18" t="s">
        <v>394</v>
      </c>
      <c r="G249" s="18" t="s">
        <v>76</v>
      </c>
      <c r="H249" s="18" t="s">
        <v>1205</v>
      </c>
      <c r="I249" s="18" t="s">
        <v>59</v>
      </c>
      <c r="J249" s="18" t="s">
        <v>31</v>
      </c>
      <c r="K249" s="18" t="s">
        <v>32</v>
      </c>
      <c r="L249" s="18" t="s">
        <v>174</v>
      </c>
      <c r="M249" s="18">
        <v>6</v>
      </c>
      <c r="N249" s="18">
        <v>8500</v>
      </c>
      <c r="O249" s="18">
        <v>15</v>
      </c>
      <c r="P249" s="18">
        <v>43350</v>
      </c>
      <c r="Q249" s="18">
        <v>2</v>
      </c>
      <c r="R249" s="18" t="s">
        <v>34</v>
      </c>
      <c r="S249" s="18" t="s">
        <v>151</v>
      </c>
      <c r="T249" s="18" t="s">
        <v>332</v>
      </c>
      <c r="U249" s="19" t="s">
        <v>1206</v>
      </c>
      <c r="V249" s="18" t="s">
        <v>69</v>
      </c>
    </row>
    <row r="250" spans="1:22">
      <c r="A250" s="15" t="s">
        <v>1207</v>
      </c>
      <c r="B250" s="15" t="s">
        <v>221</v>
      </c>
      <c r="C250" s="15" t="s">
        <v>24</v>
      </c>
      <c r="D250" s="15" t="s">
        <v>736</v>
      </c>
      <c r="E250" s="15" t="s">
        <v>94</v>
      </c>
      <c r="F250" s="15" t="s">
        <v>225</v>
      </c>
      <c r="G250" s="15" t="s">
        <v>76</v>
      </c>
      <c r="H250" s="15" t="s">
        <v>1208</v>
      </c>
      <c r="I250" s="15" t="s">
        <v>44</v>
      </c>
      <c r="J250" s="15" t="s">
        <v>45</v>
      </c>
      <c r="K250" s="15" t="s">
        <v>32</v>
      </c>
      <c r="L250" s="15" t="s">
        <v>33</v>
      </c>
      <c r="M250" s="15">
        <v>9</v>
      </c>
      <c r="N250" s="15">
        <v>2200</v>
      </c>
      <c r="O250" s="15">
        <v>10</v>
      </c>
      <c r="P250" s="15">
        <v>17820</v>
      </c>
      <c r="Q250" s="15">
        <v>3</v>
      </c>
      <c r="R250" s="15" t="s">
        <v>79</v>
      </c>
      <c r="S250" s="15" t="s">
        <v>35</v>
      </c>
      <c r="T250" s="15" t="s">
        <v>228</v>
      </c>
      <c r="U250" s="17" t="s">
        <v>1209</v>
      </c>
      <c r="V250" s="15" t="s">
        <v>64</v>
      </c>
    </row>
    <row r="251" spans="1:22">
      <c r="A251" s="18" t="s">
        <v>1210</v>
      </c>
      <c r="B251" s="18" t="s">
        <v>23</v>
      </c>
      <c r="C251" s="18" t="s">
        <v>169</v>
      </c>
      <c r="D251" s="18" t="s">
        <v>825</v>
      </c>
      <c r="E251" s="18" t="s">
        <v>876</v>
      </c>
      <c r="F251" s="18" t="s">
        <v>27</v>
      </c>
      <c r="G251" s="18" t="s">
        <v>28</v>
      </c>
      <c r="H251" s="18" t="s">
        <v>1211</v>
      </c>
      <c r="I251" s="18" t="s">
        <v>294</v>
      </c>
      <c r="J251" s="18" t="s">
        <v>295</v>
      </c>
      <c r="K251" s="18" t="s">
        <v>32</v>
      </c>
      <c r="L251" s="18" t="s">
        <v>174</v>
      </c>
      <c r="M251" s="18">
        <v>16</v>
      </c>
      <c r="N251" s="18">
        <v>8500</v>
      </c>
      <c r="O251" s="18">
        <v>0</v>
      </c>
      <c r="P251" s="18">
        <v>136000</v>
      </c>
      <c r="Q251" s="18">
        <v>5</v>
      </c>
      <c r="R251" s="18" t="s">
        <v>88</v>
      </c>
      <c r="S251" s="18" t="s">
        <v>115</v>
      </c>
      <c r="T251" s="18" t="s">
        <v>50</v>
      </c>
      <c r="U251" s="19" t="s">
        <v>1212</v>
      </c>
      <c r="V251" s="18" t="s">
        <v>69</v>
      </c>
    </row>
    <row r="252" spans="1:22">
      <c r="A252" s="15" t="s">
        <v>1213</v>
      </c>
      <c r="B252" s="15" t="s">
        <v>327</v>
      </c>
      <c r="C252" s="15" t="s">
        <v>72</v>
      </c>
      <c r="D252" s="15" t="s">
        <v>1214</v>
      </c>
      <c r="E252" s="15" t="s">
        <v>692</v>
      </c>
      <c r="F252" s="15" t="s">
        <v>394</v>
      </c>
      <c r="G252" s="15" t="s">
        <v>76</v>
      </c>
      <c r="H252" s="15" t="s">
        <v>1215</v>
      </c>
      <c r="I252" s="15" t="s">
        <v>44</v>
      </c>
      <c r="J252" s="15" t="s">
        <v>45</v>
      </c>
      <c r="K252" s="15" t="s">
        <v>46</v>
      </c>
      <c r="L252" s="15" t="s">
        <v>78</v>
      </c>
      <c r="M252" s="15">
        <v>10</v>
      </c>
      <c r="N252" s="15">
        <v>1200</v>
      </c>
      <c r="O252" s="15">
        <v>15</v>
      </c>
      <c r="P252" s="15">
        <v>10200</v>
      </c>
      <c r="Q252" s="15">
        <v>5</v>
      </c>
      <c r="R252" s="15" t="s">
        <v>34</v>
      </c>
      <c r="S252" s="15" t="s">
        <v>49</v>
      </c>
      <c r="T252" s="15" t="s">
        <v>332</v>
      </c>
      <c r="U252" s="17" t="s">
        <v>1216</v>
      </c>
      <c r="V252" s="15" t="s">
        <v>38</v>
      </c>
    </row>
    <row r="253" spans="1:22">
      <c r="A253" s="18" t="s">
        <v>1217</v>
      </c>
      <c r="B253" s="18" t="s">
        <v>127</v>
      </c>
      <c r="C253" s="18" t="s">
        <v>40</v>
      </c>
      <c r="D253" s="18" t="s">
        <v>413</v>
      </c>
      <c r="E253" s="18" t="s">
        <v>136</v>
      </c>
      <c r="F253" s="18" t="s">
        <v>200</v>
      </c>
      <c r="G253" s="18" t="s">
        <v>76</v>
      </c>
      <c r="H253" s="18" t="s">
        <v>1218</v>
      </c>
      <c r="I253" s="18" t="s">
        <v>294</v>
      </c>
      <c r="J253" s="18" t="s">
        <v>295</v>
      </c>
      <c r="K253" s="18" t="s">
        <v>46</v>
      </c>
      <c r="L253" s="18" t="s">
        <v>47</v>
      </c>
      <c r="M253" s="18">
        <v>7</v>
      </c>
      <c r="N253" s="18">
        <v>12000</v>
      </c>
      <c r="O253" s="18">
        <v>0</v>
      </c>
      <c r="P253" s="18">
        <v>84000</v>
      </c>
      <c r="Q253" s="18">
        <v>1</v>
      </c>
      <c r="R253" s="18" t="s">
        <v>88</v>
      </c>
      <c r="S253" s="18" t="s">
        <v>151</v>
      </c>
      <c r="T253" s="18" t="s">
        <v>132</v>
      </c>
      <c r="U253" s="19" t="s">
        <v>1219</v>
      </c>
      <c r="V253" s="18" t="s">
        <v>64</v>
      </c>
    </row>
    <row r="254" spans="1:22">
      <c r="A254" s="15" t="s">
        <v>1220</v>
      </c>
      <c r="B254" s="15" t="s">
        <v>221</v>
      </c>
      <c r="C254" s="15" t="s">
        <v>40</v>
      </c>
      <c r="D254" s="15" t="s">
        <v>128</v>
      </c>
      <c r="E254" s="15" t="s">
        <v>1221</v>
      </c>
      <c r="F254" s="15" t="s">
        <v>225</v>
      </c>
      <c r="G254" s="15" t="s">
        <v>76</v>
      </c>
      <c r="H254" s="15" t="s">
        <v>1222</v>
      </c>
      <c r="I254" s="15" t="s">
        <v>114</v>
      </c>
      <c r="J254" s="15" t="s">
        <v>106</v>
      </c>
      <c r="K254" s="15" t="s">
        <v>46</v>
      </c>
      <c r="L254" s="15" t="s">
        <v>47</v>
      </c>
      <c r="M254" s="15">
        <v>3</v>
      </c>
      <c r="N254" s="15">
        <v>12000</v>
      </c>
      <c r="O254" s="15">
        <v>10</v>
      </c>
      <c r="P254" s="15">
        <v>32400</v>
      </c>
      <c r="Q254" s="15">
        <v>4</v>
      </c>
      <c r="R254" s="15" t="s">
        <v>79</v>
      </c>
      <c r="S254" s="15" t="s">
        <v>151</v>
      </c>
      <c r="T254" s="15" t="s">
        <v>228</v>
      </c>
      <c r="U254" s="17" t="s">
        <v>1223</v>
      </c>
      <c r="V254" s="15" t="s">
        <v>38</v>
      </c>
    </row>
    <row r="255" spans="1:22">
      <c r="A255" s="18" t="s">
        <v>1224</v>
      </c>
      <c r="B255" s="18" t="s">
        <v>221</v>
      </c>
      <c r="C255" s="18" t="s">
        <v>40</v>
      </c>
      <c r="D255" s="18" t="s">
        <v>1225</v>
      </c>
      <c r="E255" s="18" t="s">
        <v>927</v>
      </c>
      <c r="F255" s="18" t="s">
        <v>225</v>
      </c>
      <c r="G255" s="18" t="s">
        <v>76</v>
      </c>
      <c r="H255" s="18" t="s">
        <v>1226</v>
      </c>
      <c r="I255" s="18" t="s">
        <v>30</v>
      </c>
      <c r="J255" s="18" t="s">
        <v>31</v>
      </c>
      <c r="K255" s="18" t="s">
        <v>46</v>
      </c>
      <c r="L255" s="18" t="s">
        <v>47</v>
      </c>
      <c r="M255" s="18">
        <v>4</v>
      </c>
      <c r="N255" s="18">
        <v>12000</v>
      </c>
      <c r="O255" s="18">
        <v>15</v>
      </c>
      <c r="P255" s="18">
        <v>40800</v>
      </c>
      <c r="Q255" s="18">
        <v>3</v>
      </c>
      <c r="R255" s="18" t="s">
        <v>79</v>
      </c>
      <c r="S255" s="18" t="s">
        <v>35</v>
      </c>
      <c r="T255" s="18" t="s">
        <v>228</v>
      </c>
      <c r="U255" s="19" t="s">
        <v>1227</v>
      </c>
      <c r="V255" s="18" t="s">
        <v>64</v>
      </c>
    </row>
    <row r="256" spans="1:22">
      <c r="A256" s="15" t="s">
        <v>1228</v>
      </c>
      <c r="B256" s="15" t="s">
        <v>127</v>
      </c>
      <c r="C256" s="15" t="s">
        <v>40</v>
      </c>
      <c r="D256" s="15" t="s">
        <v>260</v>
      </c>
      <c r="E256" s="15" t="s">
        <v>498</v>
      </c>
      <c r="F256" s="15" t="s">
        <v>200</v>
      </c>
      <c r="G256" s="15" t="s">
        <v>76</v>
      </c>
      <c r="H256" s="15" t="s">
        <v>1229</v>
      </c>
      <c r="I256" s="15" t="s">
        <v>30</v>
      </c>
      <c r="J256" s="15" t="s">
        <v>31</v>
      </c>
      <c r="K256" s="15" t="s">
        <v>46</v>
      </c>
      <c r="L256" s="15" t="s">
        <v>47</v>
      </c>
      <c r="M256" s="15">
        <v>13</v>
      </c>
      <c r="N256" s="15">
        <v>12000</v>
      </c>
      <c r="O256" s="15">
        <v>10</v>
      </c>
      <c r="P256" s="15">
        <v>140400</v>
      </c>
      <c r="Q256" s="15">
        <v>2</v>
      </c>
      <c r="R256" s="15" t="s">
        <v>34</v>
      </c>
      <c r="S256" s="15" t="s">
        <v>151</v>
      </c>
      <c r="T256" s="15" t="s">
        <v>132</v>
      </c>
      <c r="U256" s="17" t="s">
        <v>1230</v>
      </c>
      <c r="V256" s="15" t="s">
        <v>69</v>
      </c>
    </row>
    <row r="257" spans="1:22">
      <c r="A257" s="18" t="s">
        <v>1231</v>
      </c>
      <c r="B257" s="18" t="s">
        <v>23</v>
      </c>
      <c r="C257" s="18" t="s">
        <v>92</v>
      </c>
      <c r="D257" s="18" t="s">
        <v>318</v>
      </c>
      <c r="E257" s="18" t="s">
        <v>679</v>
      </c>
      <c r="F257" s="18" t="s">
        <v>27</v>
      </c>
      <c r="G257" s="18" t="s">
        <v>28</v>
      </c>
      <c r="H257" s="18" t="s">
        <v>1232</v>
      </c>
      <c r="I257" s="18" t="s">
        <v>59</v>
      </c>
      <c r="J257" s="18" t="s">
        <v>31</v>
      </c>
      <c r="K257" s="18" t="s">
        <v>32</v>
      </c>
      <c r="L257" s="18" t="s">
        <v>97</v>
      </c>
      <c r="M257" s="18">
        <v>19</v>
      </c>
      <c r="N257" s="18">
        <v>3500</v>
      </c>
      <c r="O257" s="18">
        <v>20</v>
      </c>
      <c r="P257" s="18">
        <v>53200</v>
      </c>
      <c r="Q257" s="18">
        <v>1</v>
      </c>
      <c r="R257" s="18" t="s">
        <v>34</v>
      </c>
      <c r="S257" s="18" t="s">
        <v>61</v>
      </c>
      <c r="T257" s="18" t="s">
        <v>50</v>
      </c>
      <c r="U257" s="19" t="s">
        <v>1233</v>
      </c>
      <c r="V257" s="18" t="s">
        <v>69</v>
      </c>
    </row>
    <row r="258" spans="1:22">
      <c r="A258" s="15" t="s">
        <v>1234</v>
      </c>
      <c r="B258" s="15" t="s">
        <v>23</v>
      </c>
      <c r="C258" s="15" t="s">
        <v>24</v>
      </c>
      <c r="D258" s="15" t="s">
        <v>932</v>
      </c>
      <c r="E258" s="15" t="s">
        <v>436</v>
      </c>
      <c r="F258" s="15" t="s">
        <v>27</v>
      </c>
      <c r="G258" s="15" t="s">
        <v>28</v>
      </c>
      <c r="H258" s="15" t="s">
        <v>1235</v>
      </c>
      <c r="I258" s="15" t="s">
        <v>105</v>
      </c>
      <c r="J258" s="15" t="s">
        <v>106</v>
      </c>
      <c r="K258" s="15" t="s">
        <v>32</v>
      </c>
      <c r="L258" s="15" t="s">
        <v>33</v>
      </c>
      <c r="M258" s="15">
        <v>7</v>
      </c>
      <c r="N258" s="15">
        <v>2200</v>
      </c>
      <c r="O258" s="15">
        <v>5</v>
      </c>
      <c r="P258" s="15">
        <v>14630</v>
      </c>
      <c r="Q258" s="15">
        <v>3</v>
      </c>
      <c r="R258" s="15" t="s">
        <v>88</v>
      </c>
      <c r="S258" s="15" t="s">
        <v>61</v>
      </c>
      <c r="T258" s="15" t="s">
        <v>50</v>
      </c>
      <c r="U258" s="17" t="s">
        <v>1236</v>
      </c>
      <c r="V258" s="15" t="s">
        <v>69</v>
      </c>
    </row>
    <row r="259" spans="1:22">
      <c r="A259" s="18" t="s">
        <v>1237</v>
      </c>
      <c r="B259" s="18" t="s">
        <v>83</v>
      </c>
      <c r="C259" s="18" t="s">
        <v>184</v>
      </c>
      <c r="D259" s="18" t="s">
        <v>1238</v>
      </c>
      <c r="E259" s="18" t="s">
        <v>426</v>
      </c>
      <c r="F259" s="18" t="s">
        <v>180</v>
      </c>
      <c r="G259" s="18" t="s">
        <v>76</v>
      </c>
      <c r="H259" s="18" t="s">
        <v>1239</v>
      </c>
      <c r="I259" s="18" t="s">
        <v>212</v>
      </c>
      <c r="J259" s="18" t="s">
        <v>45</v>
      </c>
      <c r="K259" s="18" t="s">
        <v>46</v>
      </c>
      <c r="L259" s="18" t="s">
        <v>189</v>
      </c>
      <c r="M259" s="18">
        <v>18</v>
      </c>
      <c r="N259" s="18">
        <v>700</v>
      </c>
      <c r="O259" s="18">
        <v>5</v>
      </c>
      <c r="P259" s="18">
        <v>11970</v>
      </c>
      <c r="Q259" s="18">
        <v>2</v>
      </c>
      <c r="R259" s="18" t="s">
        <v>88</v>
      </c>
      <c r="S259" s="18" t="s">
        <v>61</v>
      </c>
      <c r="T259" s="18" t="s">
        <v>89</v>
      </c>
      <c r="U259" s="19" t="s">
        <v>1240</v>
      </c>
      <c r="V259" s="18" t="s">
        <v>69</v>
      </c>
    </row>
    <row r="260" spans="1:22">
      <c r="A260" s="15" t="s">
        <v>1241</v>
      </c>
      <c r="B260" s="15" t="s">
        <v>23</v>
      </c>
      <c r="C260" s="15" t="s">
        <v>222</v>
      </c>
      <c r="D260" s="15" t="s">
        <v>1106</v>
      </c>
      <c r="E260" s="15" t="s">
        <v>1242</v>
      </c>
      <c r="F260" s="15" t="s">
        <v>27</v>
      </c>
      <c r="G260" s="15" t="s">
        <v>28</v>
      </c>
      <c r="H260" s="15" t="s">
        <v>1243</v>
      </c>
      <c r="I260" s="15" t="s">
        <v>294</v>
      </c>
      <c r="J260" s="15" t="s">
        <v>295</v>
      </c>
      <c r="K260" s="15" t="s">
        <v>122</v>
      </c>
      <c r="L260" s="15" t="s">
        <v>227</v>
      </c>
      <c r="M260" s="15">
        <v>11</v>
      </c>
      <c r="N260" s="15">
        <v>20</v>
      </c>
      <c r="O260" s="15">
        <v>0</v>
      </c>
      <c r="P260" s="15">
        <v>220</v>
      </c>
      <c r="Q260" s="15">
        <v>2</v>
      </c>
      <c r="R260" s="15" t="s">
        <v>48</v>
      </c>
      <c r="S260" s="15" t="s">
        <v>115</v>
      </c>
      <c r="T260" s="15" t="s">
        <v>50</v>
      </c>
      <c r="U260" s="17" t="s">
        <v>1244</v>
      </c>
      <c r="V260" s="15" t="s">
        <v>69</v>
      </c>
    </row>
    <row r="261" spans="1:22">
      <c r="A261" s="18" t="s">
        <v>1245</v>
      </c>
      <c r="B261" s="18" t="s">
        <v>327</v>
      </c>
      <c r="C261" s="18" t="s">
        <v>40</v>
      </c>
      <c r="D261" s="18" t="s">
        <v>1069</v>
      </c>
      <c r="E261" s="18" t="s">
        <v>272</v>
      </c>
      <c r="F261" s="18" t="s">
        <v>394</v>
      </c>
      <c r="G261" s="18" t="s">
        <v>76</v>
      </c>
      <c r="H261" s="18" t="s">
        <v>1246</v>
      </c>
      <c r="I261" s="18" t="s">
        <v>114</v>
      </c>
      <c r="J261" s="18" t="s">
        <v>106</v>
      </c>
      <c r="K261" s="18" t="s">
        <v>46</v>
      </c>
      <c r="L261" s="18" t="s">
        <v>47</v>
      </c>
      <c r="M261" s="18">
        <v>17</v>
      </c>
      <c r="N261" s="18">
        <v>12000</v>
      </c>
      <c r="O261" s="18">
        <v>20</v>
      </c>
      <c r="P261" s="18">
        <v>163200</v>
      </c>
      <c r="Q261" s="18">
        <v>4</v>
      </c>
      <c r="R261" s="18" t="s">
        <v>88</v>
      </c>
      <c r="S261" s="18" t="s">
        <v>151</v>
      </c>
      <c r="T261" s="18" t="s">
        <v>332</v>
      </c>
      <c r="U261" s="19" t="s">
        <v>1247</v>
      </c>
      <c r="V261" s="18" t="s">
        <v>38</v>
      </c>
    </row>
    <row r="262" spans="1:22">
      <c r="A262" s="15" t="s">
        <v>1248</v>
      </c>
      <c r="B262" s="15" t="s">
        <v>251</v>
      </c>
      <c r="C262" s="15" t="s">
        <v>24</v>
      </c>
      <c r="D262" s="15" t="s">
        <v>1249</v>
      </c>
      <c r="E262" s="15" t="s">
        <v>267</v>
      </c>
      <c r="F262" s="15" t="s">
        <v>254</v>
      </c>
      <c r="G262" s="15" t="s">
        <v>28</v>
      </c>
      <c r="H262" s="15" t="s">
        <v>1250</v>
      </c>
      <c r="I262" s="15" t="s">
        <v>294</v>
      </c>
      <c r="J262" s="15" t="s">
        <v>295</v>
      </c>
      <c r="K262" s="15" t="s">
        <v>32</v>
      </c>
      <c r="L262" s="15" t="s">
        <v>33</v>
      </c>
      <c r="M262" s="15">
        <v>4</v>
      </c>
      <c r="N262" s="15">
        <v>2200</v>
      </c>
      <c r="O262" s="15">
        <v>5</v>
      </c>
      <c r="P262" s="15">
        <v>8360</v>
      </c>
      <c r="Q262" s="15">
        <v>2</v>
      </c>
      <c r="R262" s="15" t="s">
        <v>34</v>
      </c>
      <c r="S262" s="15" t="s">
        <v>35</v>
      </c>
      <c r="T262" s="15" t="s">
        <v>256</v>
      </c>
      <c r="U262" s="17" t="s">
        <v>1251</v>
      </c>
      <c r="V262" s="15" t="s">
        <v>38</v>
      </c>
    </row>
    <row r="263" spans="1:22">
      <c r="A263" s="18" t="s">
        <v>1252</v>
      </c>
      <c r="B263" s="18" t="s">
        <v>23</v>
      </c>
      <c r="C263" s="18" t="s">
        <v>54</v>
      </c>
      <c r="D263" s="18" t="s">
        <v>1253</v>
      </c>
      <c r="E263" s="18" t="s">
        <v>455</v>
      </c>
      <c r="F263" s="18" t="s">
        <v>27</v>
      </c>
      <c r="G263" s="18" t="s">
        <v>28</v>
      </c>
      <c r="H263" s="18" t="s">
        <v>1254</v>
      </c>
      <c r="I263" s="18" t="s">
        <v>138</v>
      </c>
      <c r="J263" s="18" t="s">
        <v>106</v>
      </c>
      <c r="K263" s="18" t="s">
        <v>46</v>
      </c>
      <c r="L263" s="18" t="s">
        <v>60</v>
      </c>
      <c r="M263" s="18">
        <v>6</v>
      </c>
      <c r="N263" s="18">
        <v>55000</v>
      </c>
      <c r="O263" s="18">
        <v>20</v>
      </c>
      <c r="P263" s="18">
        <v>264000</v>
      </c>
      <c r="Q263" s="18">
        <v>2</v>
      </c>
      <c r="R263" s="18" t="s">
        <v>88</v>
      </c>
      <c r="S263" s="18" t="s">
        <v>151</v>
      </c>
      <c r="T263" s="18" t="s">
        <v>50</v>
      </c>
      <c r="U263" s="19" t="s">
        <v>1255</v>
      </c>
      <c r="V263" s="18" t="s">
        <v>69</v>
      </c>
    </row>
    <row r="264" spans="1:22">
      <c r="A264" s="15" t="s">
        <v>1256</v>
      </c>
      <c r="B264" s="15" t="s">
        <v>71</v>
      </c>
      <c r="C264" s="15" t="s">
        <v>169</v>
      </c>
      <c r="D264" s="15" t="s">
        <v>84</v>
      </c>
      <c r="E264" s="15" t="s">
        <v>998</v>
      </c>
      <c r="F264" s="15" t="s">
        <v>217</v>
      </c>
      <c r="G264" s="15" t="s">
        <v>76</v>
      </c>
      <c r="H264" s="15" t="s">
        <v>1257</v>
      </c>
      <c r="I264" s="15" t="s">
        <v>44</v>
      </c>
      <c r="J264" s="15" t="s">
        <v>45</v>
      </c>
      <c r="K264" s="15" t="s">
        <v>32</v>
      </c>
      <c r="L264" s="15" t="s">
        <v>174</v>
      </c>
      <c r="M264" s="15">
        <v>6</v>
      </c>
      <c r="N264" s="15">
        <v>8500</v>
      </c>
      <c r="O264" s="15">
        <v>10</v>
      </c>
      <c r="P264" s="15">
        <v>45900</v>
      </c>
      <c r="Q264" s="15">
        <v>5</v>
      </c>
      <c r="R264" s="15" t="s">
        <v>88</v>
      </c>
      <c r="S264" s="15" t="s">
        <v>61</v>
      </c>
      <c r="T264" s="15" t="s">
        <v>80</v>
      </c>
      <c r="U264" s="17" t="s">
        <v>1258</v>
      </c>
      <c r="V264" s="15" t="s">
        <v>38</v>
      </c>
    </row>
    <row r="265" spans="1:22">
      <c r="A265" s="18" t="s">
        <v>1259</v>
      </c>
      <c r="B265" s="18" t="s">
        <v>23</v>
      </c>
      <c r="C265" s="18" t="s">
        <v>222</v>
      </c>
      <c r="D265" s="18" t="s">
        <v>558</v>
      </c>
      <c r="E265" s="18" t="s">
        <v>371</v>
      </c>
      <c r="F265" s="18" t="s">
        <v>27</v>
      </c>
      <c r="G265" s="18" t="s">
        <v>28</v>
      </c>
      <c r="H265" s="18" t="s">
        <v>1260</v>
      </c>
      <c r="I265" s="18" t="s">
        <v>212</v>
      </c>
      <c r="J265" s="18" t="s">
        <v>45</v>
      </c>
      <c r="K265" s="18" t="s">
        <v>122</v>
      </c>
      <c r="L265" s="18" t="s">
        <v>227</v>
      </c>
      <c r="M265" s="18">
        <v>6</v>
      </c>
      <c r="N265" s="18">
        <v>20</v>
      </c>
      <c r="O265" s="18">
        <v>15</v>
      </c>
      <c r="P265" s="18">
        <v>102</v>
      </c>
      <c r="Q265" s="18">
        <v>2</v>
      </c>
      <c r="R265" s="18" t="s">
        <v>88</v>
      </c>
      <c r="S265" s="18" t="s">
        <v>49</v>
      </c>
      <c r="T265" s="18" t="s">
        <v>50</v>
      </c>
      <c r="U265" s="19" t="s">
        <v>1261</v>
      </c>
      <c r="V265" s="18" t="s">
        <v>69</v>
      </c>
    </row>
    <row r="266" spans="1:22">
      <c r="A266" s="15" t="s">
        <v>1262</v>
      </c>
      <c r="B266" s="15" t="s">
        <v>53</v>
      </c>
      <c r="C266" s="15" t="s">
        <v>118</v>
      </c>
      <c r="D266" s="15" t="s">
        <v>1263</v>
      </c>
      <c r="E266" s="15" t="s">
        <v>597</v>
      </c>
      <c r="F266" s="15" t="s">
        <v>163</v>
      </c>
      <c r="G266" s="15" t="s">
        <v>28</v>
      </c>
      <c r="H266" s="15" t="s">
        <v>1264</v>
      </c>
      <c r="I266" s="15" t="s">
        <v>105</v>
      </c>
      <c r="J266" s="15" t="s">
        <v>106</v>
      </c>
      <c r="K266" s="15" t="s">
        <v>122</v>
      </c>
      <c r="L266" s="15" t="s">
        <v>123</v>
      </c>
      <c r="M266" s="15">
        <v>6</v>
      </c>
      <c r="N266" s="15">
        <v>60</v>
      </c>
      <c r="O266" s="15">
        <v>5</v>
      </c>
      <c r="P266" s="15">
        <v>342</v>
      </c>
      <c r="Q266" s="15">
        <v>1</v>
      </c>
      <c r="R266" s="15" t="s">
        <v>48</v>
      </c>
      <c r="S266" s="15" t="s">
        <v>61</v>
      </c>
      <c r="T266" s="15" t="s">
        <v>62</v>
      </c>
      <c r="U266" s="17" t="s">
        <v>1265</v>
      </c>
      <c r="V266" s="15" t="s">
        <v>38</v>
      </c>
    </row>
    <row r="267" spans="1:22">
      <c r="A267" s="18" t="s">
        <v>1266</v>
      </c>
      <c r="B267" s="18" t="s">
        <v>127</v>
      </c>
      <c r="C267" s="18" t="s">
        <v>169</v>
      </c>
      <c r="D267" s="18" t="s">
        <v>1267</v>
      </c>
      <c r="E267" s="18" t="s">
        <v>1268</v>
      </c>
      <c r="F267" s="18" t="s">
        <v>200</v>
      </c>
      <c r="G267" s="18" t="s">
        <v>76</v>
      </c>
      <c r="H267" s="18" t="s">
        <v>1269</v>
      </c>
      <c r="I267" s="18" t="s">
        <v>30</v>
      </c>
      <c r="J267" s="18" t="s">
        <v>31</v>
      </c>
      <c r="K267" s="18" t="s">
        <v>32</v>
      </c>
      <c r="L267" s="18" t="s">
        <v>174</v>
      </c>
      <c r="M267" s="18">
        <v>19</v>
      </c>
      <c r="N267" s="18">
        <v>8500</v>
      </c>
      <c r="O267" s="18">
        <v>0</v>
      </c>
      <c r="P267" s="18">
        <v>161500</v>
      </c>
      <c r="Q267" s="18">
        <v>5</v>
      </c>
      <c r="R267" s="18" t="s">
        <v>88</v>
      </c>
      <c r="S267" s="18" t="s">
        <v>151</v>
      </c>
      <c r="T267" s="18" t="s">
        <v>132</v>
      </c>
      <c r="U267" s="19" t="s">
        <v>1270</v>
      </c>
      <c r="V267" s="18" t="s">
        <v>38</v>
      </c>
    </row>
    <row r="268" spans="1:22">
      <c r="A268" s="15" t="s">
        <v>1271</v>
      </c>
      <c r="B268" s="15" t="s">
        <v>251</v>
      </c>
      <c r="C268" s="15" t="s">
        <v>54</v>
      </c>
      <c r="D268" s="15" t="s">
        <v>445</v>
      </c>
      <c r="E268" s="15" t="s">
        <v>573</v>
      </c>
      <c r="F268" s="15" t="s">
        <v>254</v>
      </c>
      <c r="G268" s="15" t="s">
        <v>28</v>
      </c>
      <c r="H268" s="15" t="s">
        <v>1272</v>
      </c>
      <c r="I268" s="15" t="s">
        <v>212</v>
      </c>
      <c r="J268" s="15" t="s">
        <v>45</v>
      </c>
      <c r="K268" s="15" t="s">
        <v>46</v>
      </c>
      <c r="L268" s="15" t="s">
        <v>60</v>
      </c>
      <c r="M268" s="15">
        <v>8</v>
      </c>
      <c r="N268" s="15">
        <v>55000</v>
      </c>
      <c r="O268" s="15">
        <v>0</v>
      </c>
      <c r="P268" s="15">
        <v>440000</v>
      </c>
      <c r="Q268" s="15">
        <v>3</v>
      </c>
      <c r="R268" s="15" t="s">
        <v>79</v>
      </c>
      <c r="S268" s="15" t="s">
        <v>115</v>
      </c>
      <c r="T268" s="15" t="s">
        <v>256</v>
      </c>
      <c r="U268" s="17" t="s">
        <v>1273</v>
      </c>
      <c r="V268" s="15" t="s">
        <v>64</v>
      </c>
    </row>
    <row r="269" spans="1:22">
      <c r="A269" s="18" t="s">
        <v>1274</v>
      </c>
      <c r="B269" s="18" t="s">
        <v>71</v>
      </c>
      <c r="C269" s="18" t="s">
        <v>40</v>
      </c>
      <c r="D269" s="18" t="s">
        <v>1098</v>
      </c>
      <c r="E269" s="18" t="s">
        <v>583</v>
      </c>
      <c r="F269" s="18" t="s">
        <v>217</v>
      </c>
      <c r="G269" s="18" t="s">
        <v>76</v>
      </c>
      <c r="H269" s="18" t="s">
        <v>1275</v>
      </c>
      <c r="I269" s="18" t="s">
        <v>294</v>
      </c>
      <c r="J269" s="18" t="s">
        <v>295</v>
      </c>
      <c r="K269" s="18" t="s">
        <v>46</v>
      </c>
      <c r="L269" s="18" t="s">
        <v>47</v>
      </c>
      <c r="M269" s="18">
        <v>18</v>
      </c>
      <c r="N269" s="18">
        <v>12000</v>
      </c>
      <c r="O269" s="18">
        <v>20</v>
      </c>
      <c r="P269" s="18">
        <v>172800</v>
      </c>
      <c r="Q269" s="18">
        <v>5</v>
      </c>
      <c r="R269" s="18" t="s">
        <v>88</v>
      </c>
      <c r="S269" s="18" t="s">
        <v>61</v>
      </c>
      <c r="T269" s="18" t="s">
        <v>80</v>
      </c>
      <c r="U269" s="19" t="s">
        <v>1276</v>
      </c>
      <c r="V269" s="18" t="s">
        <v>69</v>
      </c>
    </row>
    <row r="270" spans="1:22">
      <c r="A270" s="15" t="s">
        <v>1277</v>
      </c>
      <c r="B270" s="15" t="s">
        <v>127</v>
      </c>
      <c r="C270" s="15" t="s">
        <v>169</v>
      </c>
      <c r="D270" s="15" t="s">
        <v>1278</v>
      </c>
      <c r="E270" s="15" t="s">
        <v>198</v>
      </c>
      <c r="F270" s="15" t="s">
        <v>200</v>
      </c>
      <c r="G270" s="15" t="s">
        <v>76</v>
      </c>
      <c r="H270" s="15" t="s">
        <v>1279</v>
      </c>
      <c r="I270" s="15" t="s">
        <v>138</v>
      </c>
      <c r="J270" s="15" t="s">
        <v>106</v>
      </c>
      <c r="K270" s="15" t="s">
        <v>32</v>
      </c>
      <c r="L270" s="15" t="s">
        <v>174</v>
      </c>
      <c r="M270" s="15">
        <v>8</v>
      </c>
      <c r="N270" s="15">
        <v>8500</v>
      </c>
      <c r="O270" s="15">
        <v>5</v>
      </c>
      <c r="P270" s="15">
        <v>64600</v>
      </c>
      <c r="Q270" s="15">
        <v>2</v>
      </c>
      <c r="R270" s="15" t="s">
        <v>79</v>
      </c>
      <c r="S270" s="15" t="s">
        <v>61</v>
      </c>
      <c r="T270" s="15" t="s">
        <v>132</v>
      </c>
      <c r="U270" s="17" t="s">
        <v>1280</v>
      </c>
      <c r="V270" s="15" t="s">
        <v>69</v>
      </c>
    </row>
    <row r="271" spans="1:22">
      <c r="A271" s="18" t="s">
        <v>1281</v>
      </c>
      <c r="B271" s="18" t="s">
        <v>23</v>
      </c>
      <c r="C271" s="18" t="s">
        <v>222</v>
      </c>
      <c r="D271" s="18" t="s">
        <v>1282</v>
      </c>
      <c r="E271" s="18" t="s">
        <v>724</v>
      </c>
      <c r="F271" s="18" t="s">
        <v>27</v>
      </c>
      <c r="G271" s="18" t="s">
        <v>28</v>
      </c>
      <c r="H271" s="18" t="s">
        <v>1283</v>
      </c>
      <c r="I271" s="18" t="s">
        <v>105</v>
      </c>
      <c r="J271" s="18" t="s">
        <v>106</v>
      </c>
      <c r="K271" s="18" t="s">
        <v>122</v>
      </c>
      <c r="L271" s="18" t="s">
        <v>227</v>
      </c>
      <c r="M271" s="18">
        <v>13</v>
      </c>
      <c r="N271" s="18">
        <v>20</v>
      </c>
      <c r="O271" s="18">
        <v>5</v>
      </c>
      <c r="P271" s="18">
        <v>247</v>
      </c>
      <c r="Q271" s="18">
        <v>3</v>
      </c>
      <c r="R271" s="18" t="s">
        <v>48</v>
      </c>
      <c r="S271" s="18" t="s">
        <v>115</v>
      </c>
      <c r="T271" s="18" t="s">
        <v>50</v>
      </c>
      <c r="U271" s="19" t="s">
        <v>1284</v>
      </c>
      <c r="V271" s="18" t="s">
        <v>64</v>
      </c>
    </row>
    <row r="272" spans="1:22">
      <c r="A272" s="15" t="s">
        <v>1285</v>
      </c>
      <c r="B272" s="15" t="s">
        <v>83</v>
      </c>
      <c r="C272" s="15" t="s">
        <v>118</v>
      </c>
      <c r="D272" s="15" t="s">
        <v>740</v>
      </c>
      <c r="E272" s="15" t="s">
        <v>1286</v>
      </c>
      <c r="F272" s="15" t="s">
        <v>180</v>
      </c>
      <c r="G272" s="15" t="s">
        <v>76</v>
      </c>
      <c r="H272" s="15" t="s">
        <v>1287</v>
      </c>
      <c r="I272" s="15" t="s">
        <v>212</v>
      </c>
      <c r="J272" s="15" t="s">
        <v>45</v>
      </c>
      <c r="K272" s="15" t="s">
        <v>122</v>
      </c>
      <c r="L272" s="15" t="s">
        <v>123</v>
      </c>
      <c r="M272" s="15">
        <v>1</v>
      </c>
      <c r="N272" s="15">
        <v>60</v>
      </c>
      <c r="O272" s="15">
        <v>15</v>
      </c>
      <c r="P272" s="15">
        <v>51</v>
      </c>
      <c r="Q272" s="15">
        <v>2</v>
      </c>
      <c r="R272" s="15" t="s">
        <v>79</v>
      </c>
      <c r="S272" s="15" t="s">
        <v>61</v>
      </c>
      <c r="T272" s="15" t="s">
        <v>89</v>
      </c>
      <c r="U272" s="17" t="s">
        <v>1288</v>
      </c>
      <c r="V272" s="15" t="s">
        <v>69</v>
      </c>
    </row>
    <row r="273" spans="1:22">
      <c r="A273" s="18" t="s">
        <v>1289</v>
      </c>
      <c r="B273" s="18" t="s">
        <v>53</v>
      </c>
      <c r="C273" s="18" t="s">
        <v>222</v>
      </c>
      <c r="D273" s="18" t="s">
        <v>1290</v>
      </c>
      <c r="E273" s="18" t="s">
        <v>965</v>
      </c>
      <c r="F273" s="18" t="s">
        <v>163</v>
      </c>
      <c r="G273" s="18" t="s">
        <v>28</v>
      </c>
      <c r="H273" s="18" t="s">
        <v>1291</v>
      </c>
      <c r="I273" s="18" t="s">
        <v>114</v>
      </c>
      <c r="J273" s="18" t="s">
        <v>106</v>
      </c>
      <c r="K273" s="18" t="s">
        <v>122</v>
      </c>
      <c r="L273" s="18" t="s">
        <v>227</v>
      </c>
      <c r="M273" s="18">
        <v>5</v>
      </c>
      <c r="N273" s="18">
        <v>20</v>
      </c>
      <c r="O273" s="18">
        <v>5</v>
      </c>
      <c r="P273" s="18">
        <v>95</v>
      </c>
      <c r="Q273" s="18">
        <v>2</v>
      </c>
      <c r="R273" s="18" t="s">
        <v>48</v>
      </c>
      <c r="S273" s="18" t="s">
        <v>49</v>
      </c>
      <c r="T273" s="18" t="s">
        <v>62</v>
      </c>
      <c r="U273" s="19" t="s">
        <v>1292</v>
      </c>
      <c r="V273" s="18" t="s">
        <v>64</v>
      </c>
    </row>
    <row r="274" spans="1:22">
      <c r="A274" s="15" t="s">
        <v>1293</v>
      </c>
      <c r="B274" s="15" t="s">
        <v>221</v>
      </c>
      <c r="C274" s="15" t="s">
        <v>222</v>
      </c>
      <c r="D274" s="15" t="s">
        <v>1294</v>
      </c>
      <c r="E274" s="15" t="s">
        <v>1017</v>
      </c>
      <c r="F274" s="15" t="s">
        <v>225</v>
      </c>
      <c r="G274" s="15" t="s">
        <v>76</v>
      </c>
      <c r="H274" s="15" t="s">
        <v>1295</v>
      </c>
      <c r="I274" s="15" t="s">
        <v>294</v>
      </c>
      <c r="J274" s="15" t="s">
        <v>295</v>
      </c>
      <c r="K274" s="15" t="s">
        <v>122</v>
      </c>
      <c r="L274" s="15" t="s">
        <v>227</v>
      </c>
      <c r="M274" s="15">
        <v>19</v>
      </c>
      <c r="N274" s="15">
        <v>20</v>
      </c>
      <c r="O274" s="15">
        <v>20</v>
      </c>
      <c r="P274" s="15">
        <v>304</v>
      </c>
      <c r="Q274" s="15">
        <v>3</v>
      </c>
      <c r="R274" s="15" t="s">
        <v>34</v>
      </c>
      <c r="S274" s="15" t="s">
        <v>35</v>
      </c>
      <c r="T274" s="15" t="s">
        <v>228</v>
      </c>
      <c r="U274" s="17" t="s">
        <v>1296</v>
      </c>
      <c r="V274" s="15" t="s">
        <v>69</v>
      </c>
    </row>
    <row r="275" spans="1:22">
      <c r="A275" s="18" t="s">
        <v>1297</v>
      </c>
      <c r="B275" s="18" t="s">
        <v>100</v>
      </c>
      <c r="C275" s="18" t="s">
        <v>259</v>
      </c>
      <c r="D275" s="18" t="s">
        <v>1298</v>
      </c>
      <c r="E275" s="18" t="s">
        <v>366</v>
      </c>
      <c r="F275" s="18" t="s">
        <v>103</v>
      </c>
      <c r="G275" s="18" t="s">
        <v>28</v>
      </c>
      <c r="H275" s="18" t="s">
        <v>1299</v>
      </c>
      <c r="I275" s="18" t="s">
        <v>138</v>
      </c>
      <c r="J275" s="18" t="s">
        <v>106</v>
      </c>
      <c r="K275" s="18" t="s">
        <v>122</v>
      </c>
      <c r="L275" s="18" t="s">
        <v>263</v>
      </c>
      <c r="M275" s="18">
        <v>17</v>
      </c>
      <c r="N275" s="18">
        <v>45</v>
      </c>
      <c r="O275" s="18">
        <v>5</v>
      </c>
      <c r="P275" s="18">
        <v>726.75</v>
      </c>
      <c r="Q275" s="18">
        <v>4</v>
      </c>
      <c r="R275" s="18" t="s">
        <v>34</v>
      </c>
      <c r="S275" s="18" t="s">
        <v>115</v>
      </c>
      <c r="T275" s="18" t="s">
        <v>144</v>
      </c>
      <c r="U275" s="19" t="s">
        <v>1300</v>
      </c>
      <c r="V275" s="18" t="s">
        <v>64</v>
      </c>
    </row>
    <row r="276" spans="1:22">
      <c r="A276" s="15" t="s">
        <v>1301</v>
      </c>
      <c r="B276" s="15" t="s">
        <v>83</v>
      </c>
      <c r="C276" s="15" t="s">
        <v>184</v>
      </c>
      <c r="D276" s="15" t="s">
        <v>1302</v>
      </c>
      <c r="E276" s="15" t="s">
        <v>170</v>
      </c>
      <c r="F276" s="15" t="s">
        <v>180</v>
      </c>
      <c r="G276" s="15" t="s">
        <v>76</v>
      </c>
      <c r="H276" s="15" t="s">
        <v>1303</v>
      </c>
      <c r="I276" s="15" t="s">
        <v>59</v>
      </c>
      <c r="J276" s="15" t="s">
        <v>31</v>
      </c>
      <c r="K276" s="15" t="s">
        <v>46</v>
      </c>
      <c r="L276" s="15" t="s">
        <v>189</v>
      </c>
      <c r="M276" s="15">
        <v>8</v>
      </c>
      <c r="N276" s="15">
        <v>700</v>
      </c>
      <c r="O276" s="15">
        <v>15</v>
      </c>
      <c r="P276" s="15">
        <v>4760</v>
      </c>
      <c r="Q276" s="15">
        <v>4</v>
      </c>
      <c r="R276" s="15" t="s">
        <v>48</v>
      </c>
      <c r="S276" s="15" t="s">
        <v>35</v>
      </c>
      <c r="T276" s="15" t="s">
        <v>89</v>
      </c>
      <c r="U276" s="17" t="s">
        <v>1304</v>
      </c>
      <c r="V276" s="15" t="s">
        <v>64</v>
      </c>
    </row>
    <row r="277" spans="1:22">
      <c r="A277" s="18" t="s">
        <v>1305</v>
      </c>
      <c r="B277" s="18" t="s">
        <v>168</v>
      </c>
      <c r="C277" s="18" t="s">
        <v>24</v>
      </c>
      <c r="D277" s="18" t="s">
        <v>1306</v>
      </c>
      <c r="E277" s="18" t="s">
        <v>1307</v>
      </c>
      <c r="F277" s="18" t="s">
        <v>361</v>
      </c>
      <c r="G277" s="18" t="s">
        <v>28</v>
      </c>
      <c r="H277" s="18" t="s">
        <v>1308</v>
      </c>
      <c r="I277" s="18" t="s">
        <v>105</v>
      </c>
      <c r="J277" s="18" t="s">
        <v>106</v>
      </c>
      <c r="K277" s="18" t="s">
        <v>32</v>
      </c>
      <c r="L277" s="18" t="s">
        <v>33</v>
      </c>
      <c r="M277" s="18">
        <v>15</v>
      </c>
      <c r="N277" s="18">
        <v>2200</v>
      </c>
      <c r="O277" s="18">
        <v>10</v>
      </c>
      <c r="P277" s="18">
        <v>29700</v>
      </c>
      <c r="Q277" s="18">
        <v>5</v>
      </c>
      <c r="R277" s="18" t="s">
        <v>88</v>
      </c>
      <c r="S277" s="18" t="s">
        <v>151</v>
      </c>
      <c r="T277" s="18" t="s">
        <v>175</v>
      </c>
      <c r="U277" s="19" t="s">
        <v>1309</v>
      </c>
      <c r="V277" s="18" t="s">
        <v>38</v>
      </c>
    </row>
    <row r="278" spans="1:22">
      <c r="A278" s="15" t="s">
        <v>1310</v>
      </c>
      <c r="B278" s="15" t="s">
        <v>100</v>
      </c>
      <c r="C278" s="15" t="s">
        <v>24</v>
      </c>
      <c r="D278" s="15" t="s">
        <v>860</v>
      </c>
      <c r="E278" s="15" t="s">
        <v>1311</v>
      </c>
      <c r="F278" s="15" t="s">
        <v>103</v>
      </c>
      <c r="G278" s="15" t="s">
        <v>28</v>
      </c>
      <c r="H278" s="15" t="s">
        <v>1312</v>
      </c>
      <c r="I278" s="15" t="s">
        <v>105</v>
      </c>
      <c r="J278" s="15" t="s">
        <v>106</v>
      </c>
      <c r="K278" s="15" t="s">
        <v>32</v>
      </c>
      <c r="L278" s="15" t="s">
        <v>33</v>
      </c>
      <c r="M278" s="15">
        <v>1</v>
      </c>
      <c r="N278" s="15">
        <v>2200</v>
      </c>
      <c r="O278" s="15">
        <v>0</v>
      </c>
      <c r="P278" s="15">
        <v>2200</v>
      </c>
      <c r="Q278" s="15">
        <v>4</v>
      </c>
      <c r="R278" s="15" t="s">
        <v>34</v>
      </c>
      <c r="S278" s="15" t="s">
        <v>49</v>
      </c>
      <c r="T278" s="15" t="s">
        <v>144</v>
      </c>
      <c r="U278" s="17" t="s">
        <v>1313</v>
      </c>
      <c r="V278" s="15" t="s">
        <v>69</v>
      </c>
    </row>
    <row r="279" spans="1:22">
      <c r="A279" s="18" t="s">
        <v>1314</v>
      </c>
      <c r="B279" s="18" t="s">
        <v>251</v>
      </c>
      <c r="C279" s="18" t="s">
        <v>92</v>
      </c>
      <c r="D279" s="18" t="s">
        <v>872</v>
      </c>
      <c r="E279" s="18" t="s">
        <v>1315</v>
      </c>
      <c r="F279" s="18" t="s">
        <v>254</v>
      </c>
      <c r="G279" s="18" t="s">
        <v>28</v>
      </c>
      <c r="H279" s="18" t="s">
        <v>1316</v>
      </c>
      <c r="I279" s="18" t="s">
        <v>138</v>
      </c>
      <c r="J279" s="18" t="s">
        <v>106</v>
      </c>
      <c r="K279" s="18" t="s">
        <v>32</v>
      </c>
      <c r="L279" s="18" t="s">
        <v>97</v>
      </c>
      <c r="M279" s="18">
        <v>10</v>
      </c>
      <c r="N279" s="18">
        <v>3500</v>
      </c>
      <c r="O279" s="18">
        <v>10</v>
      </c>
      <c r="P279" s="18">
        <v>31500</v>
      </c>
      <c r="Q279" s="18">
        <v>4</v>
      </c>
      <c r="R279" s="18" t="s">
        <v>48</v>
      </c>
      <c r="S279" s="18" t="s">
        <v>35</v>
      </c>
      <c r="T279" s="18" t="s">
        <v>256</v>
      </c>
      <c r="U279" s="19" t="s">
        <v>1317</v>
      </c>
      <c r="V279" s="18" t="s">
        <v>69</v>
      </c>
    </row>
    <row r="280" spans="1:22">
      <c r="A280" s="15" t="s">
        <v>1318</v>
      </c>
      <c r="B280" s="15" t="s">
        <v>71</v>
      </c>
      <c r="C280" s="15" t="s">
        <v>92</v>
      </c>
      <c r="D280" s="15" t="s">
        <v>1319</v>
      </c>
      <c r="E280" s="15" t="s">
        <v>1320</v>
      </c>
      <c r="F280" s="15" t="s">
        <v>217</v>
      </c>
      <c r="G280" s="15" t="s">
        <v>76</v>
      </c>
      <c r="H280" s="15" t="s">
        <v>1321</v>
      </c>
      <c r="I280" s="15" t="s">
        <v>212</v>
      </c>
      <c r="J280" s="15" t="s">
        <v>45</v>
      </c>
      <c r="K280" s="15" t="s">
        <v>32</v>
      </c>
      <c r="L280" s="15" t="s">
        <v>97</v>
      </c>
      <c r="M280" s="15">
        <v>16</v>
      </c>
      <c r="N280" s="15">
        <v>3500</v>
      </c>
      <c r="O280" s="15">
        <v>15</v>
      </c>
      <c r="P280" s="15">
        <v>47600</v>
      </c>
      <c r="Q280" s="15">
        <v>1</v>
      </c>
      <c r="R280" s="15" t="s">
        <v>79</v>
      </c>
      <c r="S280" s="15" t="s">
        <v>115</v>
      </c>
      <c r="T280" s="15" t="s">
        <v>80</v>
      </c>
      <c r="U280" s="17" t="s">
        <v>1322</v>
      </c>
      <c r="V280" s="15" t="s">
        <v>64</v>
      </c>
    </row>
    <row r="281" spans="1:22">
      <c r="A281" s="18" t="s">
        <v>1323</v>
      </c>
      <c r="B281" s="18" t="s">
        <v>251</v>
      </c>
      <c r="C281" s="18" t="s">
        <v>40</v>
      </c>
      <c r="D281" s="18" t="s">
        <v>1324</v>
      </c>
      <c r="E281" s="18" t="s">
        <v>25</v>
      </c>
      <c r="F281" s="18" t="s">
        <v>254</v>
      </c>
      <c r="G281" s="18" t="s">
        <v>28</v>
      </c>
      <c r="H281" s="18" t="s">
        <v>1325</v>
      </c>
      <c r="I281" s="18" t="s">
        <v>212</v>
      </c>
      <c r="J281" s="18" t="s">
        <v>45</v>
      </c>
      <c r="K281" s="18" t="s">
        <v>46</v>
      </c>
      <c r="L281" s="18" t="s">
        <v>47</v>
      </c>
      <c r="M281" s="18">
        <v>1</v>
      </c>
      <c r="N281" s="18">
        <v>12000</v>
      </c>
      <c r="O281" s="18">
        <v>0</v>
      </c>
      <c r="P281" s="18">
        <v>12000</v>
      </c>
      <c r="Q281" s="18">
        <v>4</v>
      </c>
      <c r="R281" s="18" t="s">
        <v>48</v>
      </c>
      <c r="S281" s="18" t="s">
        <v>115</v>
      </c>
      <c r="T281" s="18" t="s">
        <v>256</v>
      </c>
      <c r="U281" s="19" t="s">
        <v>1326</v>
      </c>
      <c r="V281" s="18" t="s">
        <v>69</v>
      </c>
    </row>
    <row r="282" spans="1:22">
      <c r="A282" s="15" t="s">
        <v>1327</v>
      </c>
      <c r="B282" s="15" t="s">
        <v>83</v>
      </c>
      <c r="C282" s="15" t="s">
        <v>184</v>
      </c>
      <c r="D282" s="15" t="s">
        <v>1328</v>
      </c>
      <c r="E282" s="15" t="s">
        <v>606</v>
      </c>
      <c r="F282" s="15" t="s">
        <v>180</v>
      </c>
      <c r="G282" s="15" t="s">
        <v>76</v>
      </c>
      <c r="H282" s="15" t="s">
        <v>1329</v>
      </c>
      <c r="I282" s="15" t="s">
        <v>105</v>
      </c>
      <c r="J282" s="15" t="s">
        <v>106</v>
      </c>
      <c r="K282" s="15" t="s">
        <v>46</v>
      </c>
      <c r="L282" s="15" t="s">
        <v>189</v>
      </c>
      <c r="M282" s="15">
        <v>6</v>
      </c>
      <c r="N282" s="15">
        <v>700</v>
      </c>
      <c r="O282" s="15">
        <v>20</v>
      </c>
      <c r="P282" s="15">
        <v>3360</v>
      </c>
      <c r="Q282" s="15">
        <v>2</v>
      </c>
      <c r="R282" s="15" t="s">
        <v>48</v>
      </c>
      <c r="S282" s="15" t="s">
        <v>115</v>
      </c>
      <c r="T282" s="15" t="s">
        <v>89</v>
      </c>
      <c r="U282" s="17" t="s">
        <v>1330</v>
      </c>
      <c r="V282" s="15" t="s">
        <v>64</v>
      </c>
    </row>
    <row r="283" spans="1:22">
      <c r="A283" s="18" t="s">
        <v>1331</v>
      </c>
      <c r="B283" s="18" t="s">
        <v>71</v>
      </c>
      <c r="C283" s="18" t="s">
        <v>24</v>
      </c>
      <c r="D283" s="18" t="s">
        <v>923</v>
      </c>
      <c r="E283" s="18" t="s">
        <v>1332</v>
      </c>
      <c r="F283" s="18" t="s">
        <v>217</v>
      </c>
      <c r="G283" s="18" t="s">
        <v>76</v>
      </c>
      <c r="H283" s="18" t="s">
        <v>1333</v>
      </c>
      <c r="I283" s="18" t="s">
        <v>138</v>
      </c>
      <c r="J283" s="18" t="s">
        <v>106</v>
      </c>
      <c r="K283" s="18" t="s">
        <v>32</v>
      </c>
      <c r="L283" s="18" t="s">
        <v>33</v>
      </c>
      <c r="M283" s="18">
        <v>3</v>
      </c>
      <c r="N283" s="18">
        <v>2200</v>
      </c>
      <c r="O283" s="18">
        <v>0</v>
      </c>
      <c r="P283" s="18">
        <v>6600</v>
      </c>
      <c r="Q283" s="18">
        <v>4</v>
      </c>
      <c r="R283" s="18" t="s">
        <v>79</v>
      </c>
      <c r="S283" s="18" t="s">
        <v>35</v>
      </c>
      <c r="T283" s="18" t="s">
        <v>80</v>
      </c>
      <c r="U283" s="19" t="s">
        <v>1334</v>
      </c>
      <c r="V283" s="18" t="s">
        <v>38</v>
      </c>
    </row>
    <row r="284" spans="1:22">
      <c r="A284" s="15" t="s">
        <v>1335</v>
      </c>
      <c r="B284" s="15" t="s">
        <v>251</v>
      </c>
      <c r="C284" s="15" t="s">
        <v>259</v>
      </c>
      <c r="D284" s="15" t="s">
        <v>1198</v>
      </c>
      <c r="E284" s="15" t="s">
        <v>216</v>
      </c>
      <c r="F284" s="15" t="s">
        <v>254</v>
      </c>
      <c r="G284" s="15" t="s">
        <v>28</v>
      </c>
      <c r="H284" s="15" t="s">
        <v>1336</v>
      </c>
      <c r="I284" s="15" t="s">
        <v>30</v>
      </c>
      <c r="J284" s="15" t="s">
        <v>31</v>
      </c>
      <c r="K284" s="15" t="s">
        <v>122</v>
      </c>
      <c r="L284" s="15" t="s">
        <v>263</v>
      </c>
      <c r="M284" s="15">
        <v>6</v>
      </c>
      <c r="N284" s="15">
        <v>45</v>
      </c>
      <c r="O284" s="15">
        <v>15</v>
      </c>
      <c r="P284" s="15">
        <v>229.5</v>
      </c>
      <c r="Q284" s="15">
        <v>1</v>
      </c>
      <c r="R284" s="15" t="s">
        <v>88</v>
      </c>
      <c r="S284" s="15" t="s">
        <v>49</v>
      </c>
      <c r="T284" s="15" t="s">
        <v>256</v>
      </c>
      <c r="U284" s="17" t="s">
        <v>1337</v>
      </c>
      <c r="V284" s="15" t="s">
        <v>38</v>
      </c>
    </row>
    <row r="285" spans="1:22">
      <c r="A285" s="18" t="s">
        <v>1338</v>
      </c>
      <c r="B285" s="18" t="s">
        <v>251</v>
      </c>
      <c r="C285" s="18" t="s">
        <v>72</v>
      </c>
      <c r="D285" s="18" t="s">
        <v>26</v>
      </c>
      <c r="E285" s="18" t="s">
        <v>1339</v>
      </c>
      <c r="F285" s="18" t="s">
        <v>254</v>
      </c>
      <c r="G285" s="18" t="s">
        <v>28</v>
      </c>
      <c r="H285" s="18" t="s">
        <v>1340</v>
      </c>
      <c r="I285" s="18" t="s">
        <v>59</v>
      </c>
      <c r="J285" s="18" t="s">
        <v>31</v>
      </c>
      <c r="K285" s="18" t="s">
        <v>46</v>
      </c>
      <c r="L285" s="18" t="s">
        <v>78</v>
      </c>
      <c r="M285" s="18">
        <v>2</v>
      </c>
      <c r="N285" s="18">
        <v>1200</v>
      </c>
      <c r="O285" s="18">
        <v>0</v>
      </c>
      <c r="P285" s="18">
        <v>2400</v>
      </c>
      <c r="Q285" s="18">
        <v>1</v>
      </c>
      <c r="R285" s="18" t="s">
        <v>34</v>
      </c>
      <c r="S285" s="18" t="s">
        <v>151</v>
      </c>
      <c r="T285" s="18" t="s">
        <v>256</v>
      </c>
      <c r="U285" s="19" t="s">
        <v>1341</v>
      </c>
      <c r="V285" s="18" t="s">
        <v>69</v>
      </c>
    </row>
    <row r="286" spans="1:22">
      <c r="A286" s="15" t="s">
        <v>1342</v>
      </c>
      <c r="B286" s="15" t="s">
        <v>168</v>
      </c>
      <c r="C286" s="15" t="s">
        <v>184</v>
      </c>
      <c r="D286" s="15" t="s">
        <v>1343</v>
      </c>
      <c r="E286" s="15" t="s">
        <v>1344</v>
      </c>
      <c r="F286" s="15" t="s">
        <v>361</v>
      </c>
      <c r="G286" s="15" t="s">
        <v>28</v>
      </c>
      <c r="H286" s="15" t="s">
        <v>1345</v>
      </c>
      <c r="I286" s="15" t="s">
        <v>30</v>
      </c>
      <c r="J286" s="15" t="s">
        <v>31</v>
      </c>
      <c r="K286" s="15" t="s">
        <v>46</v>
      </c>
      <c r="L286" s="15" t="s">
        <v>189</v>
      </c>
      <c r="M286" s="15">
        <v>14</v>
      </c>
      <c r="N286" s="15">
        <v>700</v>
      </c>
      <c r="O286" s="15">
        <v>15</v>
      </c>
      <c r="P286" s="15">
        <v>8330</v>
      </c>
      <c r="Q286" s="15">
        <v>5</v>
      </c>
      <c r="R286" s="15" t="s">
        <v>34</v>
      </c>
      <c r="S286" s="15" t="s">
        <v>115</v>
      </c>
      <c r="T286" s="15" t="s">
        <v>175</v>
      </c>
      <c r="U286" s="17" t="s">
        <v>1346</v>
      </c>
      <c r="V286" s="15" t="s">
        <v>64</v>
      </c>
    </row>
    <row r="287" spans="1:22">
      <c r="A287" s="18" t="s">
        <v>1347</v>
      </c>
      <c r="B287" s="18" t="s">
        <v>100</v>
      </c>
      <c r="C287" s="18" t="s">
        <v>222</v>
      </c>
      <c r="D287" s="18" t="s">
        <v>291</v>
      </c>
      <c r="E287" s="18" t="s">
        <v>507</v>
      </c>
      <c r="F287" s="18" t="s">
        <v>103</v>
      </c>
      <c r="G287" s="18" t="s">
        <v>28</v>
      </c>
      <c r="H287" s="18" t="s">
        <v>1348</v>
      </c>
      <c r="I287" s="18" t="s">
        <v>105</v>
      </c>
      <c r="J287" s="18" t="s">
        <v>106</v>
      </c>
      <c r="K287" s="18" t="s">
        <v>122</v>
      </c>
      <c r="L287" s="18" t="s">
        <v>227</v>
      </c>
      <c r="M287" s="18">
        <v>13</v>
      </c>
      <c r="N287" s="18">
        <v>20</v>
      </c>
      <c r="O287" s="18">
        <v>5</v>
      </c>
      <c r="P287" s="18">
        <v>247</v>
      </c>
      <c r="Q287" s="18">
        <v>1</v>
      </c>
      <c r="R287" s="18" t="s">
        <v>79</v>
      </c>
      <c r="S287" s="18" t="s">
        <v>35</v>
      </c>
      <c r="T287" s="18" t="s">
        <v>1349</v>
      </c>
      <c r="U287" s="19" t="s">
        <v>1350</v>
      </c>
      <c r="V287" s="18" t="s">
        <v>64</v>
      </c>
    </row>
    <row r="288" spans="1:22">
      <c r="A288" s="15" t="s">
        <v>1351</v>
      </c>
      <c r="B288" s="15" t="s">
        <v>71</v>
      </c>
      <c r="C288" s="15" t="s">
        <v>24</v>
      </c>
      <c r="D288" s="15" t="s">
        <v>135</v>
      </c>
      <c r="E288" s="15" t="s">
        <v>136</v>
      </c>
      <c r="F288" s="15" t="s">
        <v>217</v>
      </c>
      <c r="G288" s="15" t="s">
        <v>76</v>
      </c>
      <c r="H288" s="15" t="s">
        <v>1352</v>
      </c>
      <c r="I288" s="15" t="s">
        <v>114</v>
      </c>
      <c r="J288" s="15" t="s">
        <v>106</v>
      </c>
      <c r="K288" s="15" t="s">
        <v>32</v>
      </c>
      <c r="L288" s="15" t="s">
        <v>33</v>
      </c>
      <c r="M288" s="15">
        <v>3</v>
      </c>
      <c r="N288" s="15">
        <v>2200</v>
      </c>
      <c r="O288" s="15">
        <v>0</v>
      </c>
      <c r="P288" s="15">
        <v>6600</v>
      </c>
      <c r="Q288" s="15">
        <v>4</v>
      </c>
      <c r="R288" s="15" t="s">
        <v>48</v>
      </c>
      <c r="S288" s="15" t="s">
        <v>61</v>
      </c>
      <c r="T288" s="15" t="s">
        <v>80</v>
      </c>
      <c r="U288" s="17" t="s">
        <v>1353</v>
      </c>
      <c r="V288" s="15" t="s">
        <v>69</v>
      </c>
    </row>
    <row r="289" spans="1:22">
      <c r="A289" s="18" t="s">
        <v>1354</v>
      </c>
      <c r="B289" s="18" t="s">
        <v>71</v>
      </c>
      <c r="C289" s="18" t="s">
        <v>118</v>
      </c>
      <c r="D289" s="18" t="s">
        <v>450</v>
      </c>
      <c r="E289" s="18" t="s">
        <v>923</v>
      </c>
      <c r="F289" s="18" t="s">
        <v>217</v>
      </c>
      <c r="G289" s="18" t="s">
        <v>76</v>
      </c>
      <c r="H289" s="18" t="s">
        <v>1355</v>
      </c>
      <c r="I289" s="18" t="s">
        <v>114</v>
      </c>
      <c r="J289" s="18" t="s">
        <v>106</v>
      </c>
      <c r="K289" s="18" t="s">
        <v>122</v>
      </c>
      <c r="L289" s="18" t="s">
        <v>123</v>
      </c>
      <c r="M289" s="18">
        <v>3</v>
      </c>
      <c r="N289" s="18">
        <v>60</v>
      </c>
      <c r="O289" s="18">
        <v>15</v>
      </c>
      <c r="P289" s="18">
        <v>153</v>
      </c>
      <c r="Q289" s="18">
        <v>4</v>
      </c>
      <c r="R289" s="18" t="s">
        <v>88</v>
      </c>
      <c r="S289" s="18" t="s">
        <v>115</v>
      </c>
      <c r="T289" s="18" t="s">
        <v>80</v>
      </c>
      <c r="U289" s="19" t="s">
        <v>1356</v>
      </c>
      <c r="V289" s="18" t="s">
        <v>38</v>
      </c>
    </row>
    <row r="290" spans="1:22">
      <c r="A290" s="15" t="s">
        <v>1357</v>
      </c>
      <c r="B290" s="15" t="s">
        <v>127</v>
      </c>
      <c r="C290" s="15" t="s">
        <v>92</v>
      </c>
      <c r="D290" s="15" t="s">
        <v>624</v>
      </c>
      <c r="E290" s="15" t="s">
        <v>825</v>
      </c>
      <c r="F290" s="15" t="s">
        <v>200</v>
      </c>
      <c r="G290" s="15" t="s">
        <v>76</v>
      </c>
      <c r="H290" s="15" t="s">
        <v>584</v>
      </c>
      <c r="I290" s="15" t="s">
        <v>105</v>
      </c>
      <c r="J290" s="15" t="s">
        <v>106</v>
      </c>
      <c r="K290" s="15" t="s">
        <v>32</v>
      </c>
      <c r="L290" s="15" t="s">
        <v>97</v>
      </c>
      <c r="M290" s="15">
        <v>9</v>
      </c>
      <c r="N290" s="15">
        <v>3500</v>
      </c>
      <c r="O290" s="15">
        <v>5</v>
      </c>
      <c r="P290" s="15">
        <v>29925</v>
      </c>
      <c r="Q290" s="15">
        <v>1</v>
      </c>
      <c r="R290" s="15" t="s">
        <v>34</v>
      </c>
      <c r="S290" s="15" t="s">
        <v>61</v>
      </c>
      <c r="T290" s="15" t="s">
        <v>132</v>
      </c>
      <c r="U290" s="17" t="s">
        <v>1358</v>
      </c>
      <c r="V290" s="15" t="s">
        <v>64</v>
      </c>
    </row>
    <row r="291" spans="1:22">
      <c r="A291" s="18" t="s">
        <v>1359</v>
      </c>
      <c r="B291" s="18" t="s">
        <v>327</v>
      </c>
      <c r="C291" s="18" t="s">
        <v>72</v>
      </c>
      <c r="D291" s="18" t="s">
        <v>120</v>
      </c>
      <c r="E291" s="18" t="s">
        <v>1360</v>
      </c>
      <c r="F291" s="18" t="s">
        <v>394</v>
      </c>
      <c r="G291" s="18" t="s">
        <v>76</v>
      </c>
      <c r="H291" s="18" t="s">
        <v>1361</v>
      </c>
      <c r="I291" s="18" t="s">
        <v>212</v>
      </c>
      <c r="J291" s="18" t="s">
        <v>45</v>
      </c>
      <c r="K291" s="18" t="s">
        <v>46</v>
      </c>
      <c r="L291" s="18" t="s">
        <v>78</v>
      </c>
      <c r="M291" s="18">
        <v>5</v>
      </c>
      <c r="N291" s="18">
        <v>1200</v>
      </c>
      <c r="O291" s="18">
        <v>20</v>
      </c>
      <c r="P291" s="18">
        <v>4800</v>
      </c>
      <c r="Q291" s="18">
        <v>2</v>
      </c>
      <c r="R291" s="18" t="s">
        <v>88</v>
      </c>
      <c r="S291" s="18" t="s">
        <v>115</v>
      </c>
      <c r="T291" s="18" t="s">
        <v>332</v>
      </c>
      <c r="U291" s="19" t="s">
        <v>1362</v>
      </c>
      <c r="V291" s="18" t="s">
        <v>64</v>
      </c>
    </row>
    <row r="292" spans="1:22">
      <c r="A292" s="15" t="s">
        <v>1363</v>
      </c>
      <c r="B292" s="15" t="s">
        <v>53</v>
      </c>
      <c r="C292" s="15" t="s">
        <v>72</v>
      </c>
      <c r="D292" s="15" t="s">
        <v>1031</v>
      </c>
      <c r="E292" s="15" t="s">
        <v>910</v>
      </c>
      <c r="F292" s="15" t="s">
        <v>163</v>
      </c>
      <c r="G292" s="15" t="s">
        <v>28</v>
      </c>
      <c r="H292" s="15" t="s">
        <v>1364</v>
      </c>
      <c r="I292" s="15" t="s">
        <v>212</v>
      </c>
      <c r="J292" s="15" t="s">
        <v>45</v>
      </c>
      <c r="K292" s="15" t="s">
        <v>46</v>
      </c>
      <c r="L292" s="15" t="s">
        <v>78</v>
      </c>
      <c r="M292" s="15">
        <v>10</v>
      </c>
      <c r="N292" s="15">
        <v>1200</v>
      </c>
      <c r="O292" s="15">
        <v>20</v>
      </c>
      <c r="P292" s="15">
        <v>9600</v>
      </c>
      <c r="Q292" s="15">
        <v>4</v>
      </c>
      <c r="R292" s="15" t="s">
        <v>34</v>
      </c>
      <c r="S292" s="15" t="s">
        <v>49</v>
      </c>
      <c r="T292" s="16" t="s">
        <v>1365</v>
      </c>
      <c r="U292" s="17" t="s">
        <v>1366</v>
      </c>
      <c r="V292" s="15" t="s">
        <v>38</v>
      </c>
    </row>
    <row r="293" spans="1:22">
      <c r="A293" s="18" t="s">
        <v>1367</v>
      </c>
      <c r="B293" s="18" t="s">
        <v>23</v>
      </c>
      <c r="C293" s="18" t="s">
        <v>72</v>
      </c>
      <c r="D293" s="18" t="s">
        <v>1368</v>
      </c>
      <c r="E293" s="18" t="s">
        <v>1369</v>
      </c>
      <c r="F293" s="18" t="s">
        <v>27</v>
      </c>
      <c r="G293" s="18" t="s">
        <v>28</v>
      </c>
      <c r="H293" s="18" t="s">
        <v>1370</v>
      </c>
      <c r="I293" s="18" t="s">
        <v>138</v>
      </c>
      <c r="J293" s="18" t="s">
        <v>106</v>
      </c>
      <c r="K293" s="18" t="s">
        <v>46</v>
      </c>
      <c r="L293" s="18" t="s">
        <v>78</v>
      </c>
      <c r="M293" s="18">
        <v>5</v>
      </c>
      <c r="N293" s="18">
        <v>1200</v>
      </c>
      <c r="O293" s="18">
        <v>20</v>
      </c>
      <c r="P293" s="18">
        <v>4800</v>
      </c>
      <c r="Q293" s="18">
        <v>3</v>
      </c>
      <c r="R293" s="18" t="s">
        <v>48</v>
      </c>
      <c r="S293" s="18" t="s">
        <v>151</v>
      </c>
      <c r="T293" s="18" t="s">
        <v>50</v>
      </c>
      <c r="U293" s="19" t="s">
        <v>1371</v>
      </c>
      <c r="V293" s="18" t="s">
        <v>38</v>
      </c>
    </row>
    <row r="294" spans="1:22">
      <c r="A294" s="15" t="s">
        <v>1372</v>
      </c>
      <c r="B294" s="15" t="s">
        <v>168</v>
      </c>
      <c r="C294" s="15" t="s">
        <v>222</v>
      </c>
      <c r="D294" s="15" t="s">
        <v>1373</v>
      </c>
      <c r="E294" s="15" t="s">
        <v>1374</v>
      </c>
      <c r="F294" s="15" t="s">
        <v>361</v>
      </c>
      <c r="G294" s="15" t="s">
        <v>28</v>
      </c>
      <c r="H294" s="15" t="s">
        <v>1375</v>
      </c>
      <c r="I294" s="15" t="s">
        <v>105</v>
      </c>
      <c r="J294" s="15" t="s">
        <v>106</v>
      </c>
      <c r="K294" s="15" t="s">
        <v>122</v>
      </c>
      <c r="L294" s="15" t="s">
        <v>227</v>
      </c>
      <c r="M294" s="15">
        <v>10</v>
      </c>
      <c r="N294" s="15">
        <v>20</v>
      </c>
      <c r="O294" s="15">
        <v>5</v>
      </c>
      <c r="P294" s="15">
        <v>190</v>
      </c>
      <c r="Q294" s="15">
        <v>4</v>
      </c>
      <c r="R294" s="15" t="s">
        <v>34</v>
      </c>
      <c r="S294" s="15" t="s">
        <v>151</v>
      </c>
      <c r="T294" s="15" t="s">
        <v>175</v>
      </c>
      <c r="U294" s="17" t="s">
        <v>1376</v>
      </c>
      <c r="V294" s="15" t="s">
        <v>64</v>
      </c>
    </row>
    <row r="295" spans="1:22">
      <c r="A295" s="18" t="s">
        <v>1377</v>
      </c>
      <c r="B295" s="18" t="s">
        <v>100</v>
      </c>
      <c r="C295" s="18" t="s">
        <v>118</v>
      </c>
      <c r="D295" s="18" t="s">
        <v>1378</v>
      </c>
      <c r="E295" s="18" t="s">
        <v>1379</v>
      </c>
      <c r="F295" s="18" t="s">
        <v>103</v>
      </c>
      <c r="G295" s="18" t="s">
        <v>28</v>
      </c>
      <c r="H295" s="18" t="s">
        <v>1380</v>
      </c>
      <c r="I295" s="18" t="s">
        <v>44</v>
      </c>
      <c r="J295" s="18" t="s">
        <v>45</v>
      </c>
      <c r="K295" s="18" t="s">
        <v>122</v>
      </c>
      <c r="L295" s="18" t="s">
        <v>123</v>
      </c>
      <c r="M295" s="18">
        <v>20</v>
      </c>
      <c r="N295" s="18">
        <v>60</v>
      </c>
      <c r="O295" s="18">
        <v>15</v>
      </c>
      <c r="P295" s="18">
        <v>1020</v>
      </c>
      <c r="Q295" s="18">
        <v>5</v>
      </c>
      <c r="R295" s="18" t="s">
        <v>79</v>
      </c>
      <c r="S295" s="18" t="s">
        <v>35</v>
      </c>
      <c r="T295" s="18" t="s">
        <v>144</v>
      </c>
      <c r="U295" s="19" t="s">
        <v>1381</v>
      </c>
      <c r="V295" s="18" t="s">
        <v>64</v>
      </c>
    </row>
    <row r="296" spans="1:22">
      <c r="A296" s="15" t="s">
        <v>1382</v>
      </c>
      <c r="B296" s="15" t="s">
        <v>327</v>
      </c>
      <c r="C296" s="15" t="s">
        <v>24</v>
      </c>
      <c r="D296" s="15" t="s">
        <v>1360</v>
      </c>
      <c r="E296" s="15" t="s">
        <v>577</v>
      </c>
      <c r="F296" s="15" t="s">
        <v>394</v>
      </c>
      <c r="G296" s="15" t="s">
        <v>76</v>
      </c>
      <c r="H296" s="15" t="s">
        <v>1383</v>
      </c>
      <c r="I296" s="15" t="s">
        <v>138</v>
      </c>
      <c r="J296" s="15" t="s">
        <v>106</v>
      </c>
      <c r="K296" s="15" t="s">
        <v>32</v>
      </c>
      <c r="L296" s="15" t="s">
        <v>33</v>
      </c>
      <c r="M296" s="15">
        <v>7</v>
      </c>
      <c r="N296" s="15">
        <v>2200</v>
      </c>
      <c r="O296" s="15">
        <v>15</v>
      </c>
      <c r="P296" s="15">
        <v>13090</v>
      </c>
      <c r="Q296" s="15">
        <v>4</v>
      </c>
      <c r="R296" s="15" t="s">
        <v>34</v>
      </c>
      <c r="S296" s="15" t="s">
        <v>61</v>
      </c>
      <c r="T296" s="15" t="s">
        <v>332</v>
      </c>
      <c r="U296" s="17" t="s">
        <v>1384</v>
      </c>
      <c r="V296" s="15" t="s">
        <v>69</v>
      </c>
    </row>
    <row r="297" spans="1:22">
      <c r="A297" s="18" t="s">
        <v>1385</v>
      </c>
      <c r="B297" s="18" t="s">
        <v>127</v>
      </c>
      <c r="C297" s="18" t="s">
        <v>54</v>
      </c>
      <c r="D297" s="18" t="s">
        <v>619</v>
      </c>
      <c r="E297" s="18" t="s">
        <v>760</v>
      </c>
      <c r="F297" s="18" t="s">
        <v>200</v>
      </c>
      <c r="G297" s="18" t="s">
        <v>76</v>
      </c>
      <c r="H297" s="18" t="s">
        <v>1386</v>
      </c>
      <c r="I297" s="18" t="s">
        <v>30</v>
      </c>
      <c r="J297" s="18" t="s">
        <v>31</v>
      </c>
      <c r="K297" s="18" t="s">
        <v>46</v>
      </c>
      <c r="L297" s="18" t="s">
        <v>60</v>
      </c>
      <c r="M297" s="18">
        <v>11</v>
      </c>
      <c r="N297" s="18">
        <v>55000</v>
      </c>
      <c r="O297" s="18">
        <v>5</v>
      </c>
      <c r="P297" s="18">
        <v>574750</v>
      </c>
      <c r="Q297" s="18">
        <v>1</v>
      </c>
      <c r="R297" s="18" t="s">
        <v>88</v>
      </c>
      <c r="S297" s="18" t="s">
        <v>35</v>
      </c>
      <c r="T297" s="18" t="s">
        <v>132</v>
      </c>
      <c r="U297" s="19" t="s">
        <v>1387</v>
      </c>
      <c r="V297" s="18" t="s">
        <v>69</v>
      </c>
    </row>
    <row r="298" spans="1:22">
      <c r="A298" s="15" t="s">
        <v>1388</v>
      </c>
      <c r="B298" s="15" t="s">
        <v>83</v>
      </c>
      <c r="C298" s="15" t="s">
        <v>92</v>
      </c>
      <c r="D298" s="15" t="s">
        <v>308</v>
      </c>
      <c r="E298" s="15" t="s">
        <v>1389</v>
      </c>
      <c r="F298" s="15" t="s">
        <v>180</v>
      </c>
      <c r="G298" s="15" t="s">
        <v>76</v>
      </c>
      <c r="H298" s="15" t="s">
        <v>1390</v>
      </c>
      <c r="I298" s="15" t="s">
        <v>212</v>
      </c>
      <c r="J298" s="15" t="s">
        <v>45</v>
      </c>
      <c r="K298" s="15" t="s">
        <v>32</v>
      </c>
      <c r="L298" s="15" t="s">
        <v>97</v>
      </c>
      <c r="M298" s="15">
        <v>12</v>
      </c>
      <c r="N298" s="15">
        <v>3500</v>
      </c>
      <c r="O298" s="15">
        <v>0</v>
      </c>
      <c r="P298" s="15">
        <v>42000</v>
      </c>
      <c r="Q298" s="15">
        <v>2</v>
      </c>
      <c r="R298" s="15" t="s">
        <v>48</v>
      </c>
      <c r="S298" s="15" t="s">
        <v>2154</v>
      </c>
      <c r="T298" s="15" t="s">
        <v>89</v>
      </c>
      <c r="U298" s="17" t="s">
        <v>1391</v>
      </c>
      <c r="V298" s="15" t="s">
        <v>64</v>
      </c>
    </row>
    <row r="299" spans="1:22">
      <c r="A299" s="18" t="s">
        <v>1392</v>
      </c>
      <c r="B299" s="18" t="s">
        <v>71</v>
      </c>
      <c r="C299" s="18" t="s">
        <v>259</v>
      </c>
      <c r="D299" s="18" t="s">
        <v>94</v>
      </c>
      <c r="E299" s="18" t="s">
        <v>298</v>
      </c>
      <c r="F299" s="18" t="s">
        <v>217</v>
      </c>
      <c r="G299" s="18" t="s">
        <v>76</v>
      </c>
      <c r="H299" s="18" t="s">
        <v>1393</v>
      </c>
      <c r="I299" s="18" t="s">
        <v>30</v>
      </c>
      <c r="J299" s="18" t="s">
        <v>31</v>
      </c>
      <c r="K299" s="18" t="s">
        <v>122</v>
      </c>
      <c r="L299" s="18" t="s">
        <v>263</v>
      </c>
      <c r="M299" s="18">
        <v>15</v>
      </c>
      <c r="N299" s="18">
        <v>45</v>
      </c>
      <c r="O299" s="18">
        <v>10</v>
      </c>
      <c r="P299" s="18">
        <v>607.5</v>
      </c>
      <c r="Q299" s="18">
        <v>2</v>
      </c>
      <c r="R299" s="18" t="s">
        <v>34</v>
      </c>
      <c r="S299" s="18" t="s">
        <v>151</v>
      </c>
      <c r="T299" s="18" t="s">
        <v>80</v>
      </c>
      <c r="U299" s="19" t="s">
        <v>1394</v>
      </c>
      <c r="V299" s="18" t="s">
        <v>64</v>
      </c>
    </row>
    <row r="300" spans="1:22">
      <c r="A300" s="15" t="s">
        <v>1395</v>
      </c>
      <c r="B300" s="15" t="s">
        <v>327</v>
      </c>
      <c r="C300" s="15" t="s">
        <v>259</v>
      </c>
      <c r="D300" s="15" t="s">
        <v>1320</v>
      </c>
      <c r="E300" s="15" t="s">
        <v>936</v>
      </c>
      <c r="F300" s="15" t="s">
        <v>394</v>
      </c>
      <c r="G300" s="15" t="s">
        <v>76</v>
      </c>
      <c r="H300" s="15" t="s">
        <v>1396</v>
      </c>
      <c r="I300" s="15" t="s">
        <v>59</v>
      </c>
      <c r="J300" s="15" t="s">
        <v>31</v>
      </c>
      <c r="K300" s="15" t="s">
        <v>122</v>
      </c>
      <c r="L300" s="15" t="s">
        <v>263</v>
      </c>
      <c r="M300" s="15">
        <v>13</v>
      </c>
      <c r="N300" s="15">
        <v>45</v>
      </c>
      <c r="O300" s="15">
        <v>0</v>
      </c>
      <c r="P300" s="15">
        <v>585</v>
      </c>
      <c r="Q300" s="15">
        <v>5</v>
      </c>
      <c r="R300" s="15" t="s">
        <v>48</v>
      </c>
      <c r="S300" s="15" t="s">
        <v>49</v>
      </c>
      <c r="T300" s="15" t="s">
        <v>332</v>
      </c>
      <c r="U300" s="17" t="s">
        <v>1397</v>
      </c>
      <c r="V300" s="15" t="s">
        <v>64</v>
      </c>
    </row>
    <row r="301" spans="1:22">
      <c r="A301" s="18" t="s">
        <v>1398</v>
      </c>
      <c r="B301" s="18" t="s">
        <v>127</v>
      </c>
      <c r="C301" s="18" t="s">
        <v>54</v>
      </c>
      <c r="D301" s="18" t="s">
        <v>711</v>
      </c>
      <c r="E301" s="18" t="s">
        <v>1199</v>
      </c>
      <c r="F301" s="18" t="s">
        <v>200</v>
      </c>
      <c r="G301" s="18" t="s">
        <v>76</v>
      </c>
      <c r="H301" s="18" t="s">
        <v>1399</v>
      </c>
      <c r="I301" s="18" t="s">
        <v>59</v>
      </c>
      <c r="J301" s="18" t="s">
        <v>31</v>
      </c>
      <c r="K301" s="18" t="s">
        <v>46</v>
      </c>
      <c r="L301" s="18" t="s">
        <v>60</v>
      </c>
      <c r="M301" s="18">
        <v>8</v>
      </c>
      <c r="N301" s="18">
        <v>55000</v>
      </c>
      <c r="O301" s="18">
        <v>0</v>
      </c>
      <c r="P301" s="18">
        <v>440000</v>
      </c>
      <c r="Q301" s="18">
        <v>2</v>
      </c>
      <c r="R301" s="18" t="s">
        <v>88</v>
      </c>
      <c r="S301" s="18" t="s">
        <v>151</v>
      </c>
      <c r="T301" s="18" t="s">
        <v>132</v>
      </c>
      <c r="U301" s="19" t="s">
        <v>1400</v>
      </c>
      <c r="V301" s="18" t="s">
        <v>69</v>
      </c>
    </row>
    <row r="302" spans="1:22">
      <c r="A302" s="15" t="s">
        <v>1401</v>
      </c>
      <c r="B302" s="15" t="s">
        <v>251</v>
      </c>
      <c r="C302" s="15" t="s">
        <v>54</v>
      </c>
      <c r="D302" s="15" t="s">
        <v>830</v>
      </c>
      <c r="E302" s="15" t="s">
        <v>381</v>
      </c>
      <c r="F302" s="15" t="s">
        <v>254</v>
      </c>
      <c r="G302" s="15" t="s">
        <v>28</v>
      </c>
      <c r="H302" s="15" t="s">
        <v>1402</v>
      </c>
      <c r="I302" s="15" t="s">
        <v>44</v>
      </c>
      <c r="J302" s="15" t="s">
        <v>45</v>
      </c>
      <c r="K302" s="15" t="s">
        <v>46</v>
      </c>
      <c r="L302" s="15" t="s">
        <v>60</v>
      </c>
      <c r="M302" s="15">
        <v>4</v>
      </c>
      <c r="N302" s="15">
        <v>55000</v>
      </c>
      <c r="O302" s="15">
        <v>20</v>
      </c>
      <c r="P302" s="15">
        <v>176000</v>
      </c>
      <c r="Q302" s="15">
        <v>5</v>
      </c>
      <c r="R302" s="15" t="s">
        <v>34</v>
      </c>
      <c r="S302" s="15" t="s">
        <v>49</v>
      </c>
      <c r="T302" s="15" t="s">
        <v>256</v>
      </c>
      <c r="U302" s="17" t="s">
        <v>1403</v>
      </c>
      <c r="V302" s="15" t="s">
        <v>64</v>
      </c>
    </row>
    <row r="303" spans="1:22">
      <c r="A303" s="18" t="s">
        <v>1404</v>
      </c>
      <c r="B303" s="18" t="s">
        <v>23</v>
      </c>
      <c r="C303" s="18" t="s">
        <v>92</v>
      </c>
      <c r="D303" s="18" t="s">
        <v>1405</v>
      </c>
      <c r="E303" s="18" t="s">
        <v>716</v>
      </c>
      <c r="F303" s="18" t="s">
        <v>27</v>
      </c>
      <c r="G303" s="18" t="s">
        <v>28</v>
      </c>
      <c r="H303" s="18" t="s">
        <v>1406</v>
      </c>
      <c r="I303" s="18" t="s">
        <v>138</v>
      </c>
      <c r="J303" s="18" t="s">
        <v>106</v>
      </c>
      <c r="K303" s="18" t="s">
        <v>32</v>
      </c>
      <c r="L303" s="18" t="s">
        <v>97</v>
      </c>
      <c r="M303" s="18">
        <v>19</v>
      </c>
      <c r="N303" s="18">
        <v>3500</v>
      </c>
      <c r="O303" s="18">
        <v>5</v>
      </c>
      <c r="P303" s="18">
        <v>63175</v>
      </c>
      <c r="Q303" s="18">
        <v>1</v>
      </c>
      <c r="R303" s="18" t="s">
        <v>79</v>
      </c>
      <c r="S303" s="18" t="s">
        <v>115</v>
      </c>
      <c r="T303" s="18" t="s">
        <v>50</v>
      </c>
      <c r="U303" s="19" t="s">
        <v>1407</v>
      </c>
      <c r="V303" s="18" t="s">
        <v>38</v>
      </c>
    </row>
    <row r="304" spans="1:22">
      <c r="A304" s="15" t="s">
        <v>1408</v>
      </c>
      <c r="B304" s="15" t="s">
        <v>221</v>
      </c>
      <c r="C304" s="15" t="s">
        <v>72</v>
      </c>
      <c r="D304" s="15" t="s">
        <v>1409</v>
      </c>
      <c r="E304" s="15" t="s">
        <v>414</v>
      </c>
      <c r="F304" s="15" t="s">
        <v>225</v>
      </c>
      <c r="G304" s="15" t="s">
        <v>76</v>
      </c>
      <c r="H304" s="15" t="s">
        <v>1410</v>
      </c>
      <c r="I304" s="15" t="s">
        <v>212</v>
      </c>
      <c r="J304" s="15" t="s">
        <v>45</v>
      </c>
      <c r="K304" s="15" t="s">
        <v>46</v>
      </c>
      <c r="L304" s="15" t="s">
        <v>78</v>
      </c>
      <c r="M304" s="15">
        <v>17</v>
      </c>
      <c r="N304" s="15">
        <v>1200</v>
      </c>
      <c r="O304" s="15">
        <v>15</v>
      </c>
      <c r="P304" s="15">
        <v>17340</v>
      </c>
      <c r="Q304" s="15">
        <v>2</v>
      </c>
      <c r="R304" s="15" t="s">
        <v>48</v>
      </c>
      <c r="S304" s="15" t="s">
        <v>49</v>
      </c>
      <c r="T304" s="15" t="s">
        <v>228</v>
      </c>
      <c r="U304" s="17" t="s">
        <v>1411</v>
      </c>
      <c r="V304" s="15" t="s">
        <v>38</v>
      </c>
    </row>
    <row r="305" spans="1:22">
      <c r="A305" s="18" t="s">
        <v>1412</v>
      </c>
      <c r="B305" s="18" t="s">
        <v>23</v>
      </c>
      <c r="C305" s="18" t="s">
        <v>24</v>
      </c>
      <c r="D305" s="18" t="s">
        <v>450</v>
      </c>
      <c r="E305" s="18" t="s">
        <v>736</v>
      </c>
      <c r="F305" s="18" t="s">
        <v>27</v>
      </c>
      <c r="G305" s="18" t="s">
        <v>28</v>
      </c>
      <c r="H305" s="18" t="s">
        <v>1413</v>
      </c>
      <c r="I305" s="18" t="s">
        <v>30</v>
      </c>
      <c r="J305" s="18" t="s">
        <v>31</v>
      </c>
      <c r="K305" s="18" t="s">
        <v>32</v>
      </c>
      <c r="L305" s="18" t="s">
        <v>33</v>
      </c>
      <c r="M305" s="18">
        <v>8</v>
      </c>
      <c r="N305" s="18">
        <v>2200</v>
      </c>
      <c r="O305" s="18">
        <v>5</v>
      </c>
      <c r="P305" s="18">
        <v>16720</v>
      </c>
      <c r="Q305" s="18">
        <v>3</v>
      </c>
      <c r="R305" s="18" t="s">
        <v>79</v>
      </c>
      <c r="S305" s="18" t="s">
        <v>115</v>
      </c>
      <c r="T305" s="18" t="s">
        <v>50</v>
      </c>
      <c r="U305" s="19" t="s">
        <v>1414</v>
      </c>
      <c r="V305" s="18" t="s">
        <v>64</v>
      </c>
    </row>
    <row r="306" spans="1:22">
      <c r="A306" s="15" t="s">
        <v>1415</v>
      </c>
      <c r="B306" s="15" t="s">
        <v>251</v>
      </c>
      <c r="C306" s="15" t="s">
        <v>184</v>
      </c>
      <c r="D306" s="15" t="s">
        <v>987</v>
      </c>
      <c r="E306" s="15" t="s">
        <v>387</v>
      </c>
      <c r="F306" s="15" t="s">
        <v>254</v>
      </c>
      <c r="G306" s="15" t="s">
        <v>28</v>
      </c>
      <c r="H306" s="15" t="s">
        <v>813</v>
      </c>
      <c r="I306" s="15" t="s">
        <v>105</v>
      </c>
      <c r="J306" s="15" t="s">
        <v>106</v>
      </c>
      <c r="K306" s="15" t="s">
        <v>46</v>
      </c>
      <c r="L306" s="15" t="s">
        <v>189</v>
      </c>
      <c r="M306" s="15">
        <v>17</v>
      </c>
      <c r="N306" s="15">
        <v>700</v>
      </c>
      <c r="O306" s="15">
        <v>20</v>
      </c>
      <c r="P306" s="15">
        <v>9520</v>
      </c>
      <c r="Q306" s="15">
        <v>4</v>
      </c>
      <c r="R306" s="15" t="s">
        <v>48</v>
      </c>
      <c r="S306" s="15" t="s">
        <v>115</v>
      </c>
      <c r="T306" s="15" t="s">
        <v>256</v>
      </c>
      <c r="U306" s="17" t="s">
        <v>1416</v>
      </c>
      <c r="V306" s="15" t="s">
        <v>38</v>
      </c>
    </row>
    <row r="307" spans="1:22">
      <c r="A307" s="18" t="s">
        <v>1417</v>
      </c>
      <c r="B307" s="18" t="s">
        <v>251</v>
      </c>
      <c r="C307" s="18" t="s">
        <v>169</v>
      </c>
      <c r="D307" s="18" t="s">
        <v>372</v>
      </c>
      <c r="E307" s="18" t="s">
        <v>246</v>
      </c>
      <c r="F307" s="18" t="s">
        <v>254</v>
      </c>
      <c r="G307" s="18" t="s">
        <v>28</v>
      </c>
      <c r="H307" s="18" t="s">
        <v>1215</v>
      </c>
      <c r="I307" s="18" t="s">
        <v>114</v>
      </c>
      <c r="J307" s="18" t="s">
        <v>106</v>
      </c>
      <c r="K307" s="18" t="s">
        <v>32</v>
      </c>
      <c r="L307" s="18" t="s">
        <v>174</v>
      </c>
      <c r="M307" s="18">
        <v>6</v>
      </c>
      <c r="N307" s="18">
        <v>8500</v>
      </c>
      <c r="O307" s="18">
        <v>15</v>
      </c>
      <c r="P307" s="18">
        <v>43350</v>
      </c>
      <c r="Q307" s="18">
        <v>1</v>
      </c>
      <c r="R307" s="18" t="s">
        <v>34</v>
      </c>
      <c r="S307" s="18" t="s">
        <v>61</v>
      </c>
      <c r="T307" s="18" t="s">
        <v>256</v>
      </c>
      <c r="U307" s="19" t="s">
        <v>1418</v>
      </c>
      <c r="V307" s="18" t="s">
        <v>38</v>
      </c>
    </row>
    <row r="308" spans="1:22">
      <c r="A308" s="15" t="s">
        <v>1419</v>
      </c>
      <c r="B308" s="15" t="s">
        <v>53</v>
      </c>
      <c r="C308" s="15" t="s">
        <v>92</v>
      </c>
      <c r="D308" s="15" t="s">
        <v>941</v>
      </c>
      <c r="E308" s="15" t="s">
        <v>345</v>
      </c>
      <c r="F308" s="15" t="s">
        <v>163</v>
      </c>
      <c r="G308" s="15" t="s">
        <v>28</v>
      </c>
      <c r="H308" s="15" t="s">
        <v>1420</v>
      </c>
      <c r="I308" s="15" t="s">
        <v>30</v>
      </c>
      <c r="J308" s="15" t="s">
        <v>31</v>
      </c>
      <c r="K308" s="15" t="s">
        <v>32</v>
      </c>
      <c r="L308" s="15" t="s">
        <v>97</v>
      </c>
      <c r="M308" s="15">
        <v>3</v>
      </c>
      <c r="N308" s="15">
        <v>3500</v>
      </c>
      <c r="O308" s="15">
        <v>10</v>
      </c>
      <c r="P308" s="15">
        <v>9450</v>
      </c>
      <c r="Q308" s="15">
        <v>1</v>
      </c>
      <c r="R308" s="15" t="s">
        <v>48</v>
      </c>
      <c r="S308" s="15" t="s">
        <v>49</v>
      </c>
      <c r="T308" s="15" t="s">
        <v>62</v>
      </c>
      <c r="U308" s="17" t="s">
        <v>1421</v>
      </c>
      <c r="V308" s="15" t="s">
        <v>38</v>
      </c>
    </row>
    <row r="309" spans="1:22">
      <c r="A309" s="18" t="s">
        <v>1422</v>
      </c>
      <c r="B309" s="18" t="s">
        <v>71</v>
      </c>
      <c r="C309" s="18" t="s">
        <v>40</v>
      </c>
      <c r="D309" s="18" t="s">
        <v>1378</v>
      </c>
      <c r="E309" s="18" t="s">
        <v>783</v>
      </c>
      <c r="F309" s="18" t="s">
        <v>217</v>
      </c>
      <c r="G309" s="18" t="s">
        <v>76</v>
      </c>
      <c r="H309" s="18" t="s">
        <v>1423</v>
      </c>
      <c r="I309" s="18" t="s">
        <v>138</v>
      </c>
      <c r="J309" s="18" t="s">
        <v>106</v>
      </c>
      <c r="K309" s="18" t="s">
        <v>46</v>
      </c>
      <c r="L309" s="18" t="s">
        <v>47</v>
      </c>
      <c r="M309" s="18">
        <v>2</v>
      </c>
      <c r="N309" s="18">
        <v>12000</v>
      </c>
      <c r="O309" s="18">
        <v>20</v>
      </c>
      <c r="P309" s="18">
        <v>19200</v>
      </c>
      <c r="Q309" s="18">
        <v>1</v>
      </c>
      <c r="R309" s="18" t="s">
        <v>79</v>
      </c>
      <c r="S309" s="18" t="s">
        <v>61</v>
      </c>
      <c r="T309" s="18" t="s">
        <v>80</v>
      </c>
      <c r="U309" s="19" t="s">
        <v>1424</v>
      </c>
      <c r="V309" s="18" t="s">
        <v>38</v>
      </c>
    </row>
    <row r="310" spans="1:22">
      <c r="A310" s="15" t="s">
        <v>1425</v>
      </c>
      <c r="B310" s="15" t="s">
        <v>221</v>
      </c>
      <c r="C310" s="15" t="s">
        <v>222</v>
      </c>
      <c r="D310" s="15" t="s">
        <v>340</v>
      </c>
      <c r="E310" s="15" t="s">
        <v>1426</v>
      </c>
      <c r="F310" s="15" t="s">
        <v>225</v>
      </c>
      <c r="G310" s="15" t="s">
        <v>76</v>
      </c>
      <c r="H310" s="15" t="s">
        <v>1427</v>
      </c>
      <c r="I310" s="15" t="s">
        <v>44</v>
      </c>
      <c r="J310" s="15" t="s">
        <v>45</v>
      </c>
      <c r="K310" s="15" t="s">
        <v>122</v>
      </c>
      <c r="L310" s="15" t="s">
        <v>227</v>
      </c>
      <c r="M310" s="15">
        <v>12</v>
      </c>
      <c r="N310" s="15">
        <v>20</v>
      </c>
      <c r="O310" s="15">
        <v>20</v>
      </c>
      <c r="P310" s="15">
        <v>192</v>
      </c>
      <c r="Q310" s="15">
        <v>2</v>
      </c>
      <c r="R310" s="15" t="s">
        <v>79</v>
      </c>
      <c r="S310" s="15" t="s">
        <v>49</v>
      </c>
      <c r="T310" s="15" t="s">
        <v>228</v>
      </c>
      <c r="U310" s="17" t="s">
        <v>1428</v>
      </c>
      <c r="V310" s="15" t="s">
        <v>38</v>
      </c>
    </row>
    <row r="311" spans="1:22">
      <c r="A311" s="18" t="s">
        <v>1429</v>
      </c>
      <c r="B311" s="18" t="s">
        <v>100</v>
      </c>
      <c r="C311" s="18" t="s">
        <v>40</v>
      </c>
      <c r="D311" s="18" t="s">
        <v>716</v>
      </c>
      <c r="E311" s="18" t="s">
        <v>1430</v>
      </c>
      <c r="F311" s="18" t="s">
        <v>103</v>
      </c>
      <c r="G311" s="18" t="s">
        <v>28</v>
      </c>
      <c r="H311" s="18" t="s">
        <v>1431</v>
      </c>
      <c r="I311" s="18" t="s">
        <v>294</v>
      </c>
      <c r="J311" s="18" t="s">
        <v>295</v>
      </c>
      <c r="K311" s="18" t="s">
        <v>46</v>
      </c>
      <c r="L311" s="18" t="s">
        <v>47</v>
      </c>
      <c r="M311" s="18">
        <v>20</v>
      </c>
      <c r="N311" s="18">
        <v>12000</v>
      </c>
      <c r="O311" s="18">
        <v>15</v>
      </c>
      <c r="P311" s="18">
        <v>204000</v>
      </c>
      <c r="Q311" s="18">
        <v>3</v>
      </c>
      <c r="R311" s="18" t="s">
        <v>34</v>
      </c>
      <c r="S311" s="18" t="s">
        <v>35</v>
      </c>
      <c r="T311" s="18" t="s">
        <v>144</v>
      </c>
      <c r="U311" s="19" t="s">
        <v>1432</v>
      </c>
      <c r="V311" s="18" t="s">
        <v>64</v>
      </c>
    </row>
    <row r="312" spans="1:22">
      <c r="A312" s="15" t="s">
        <v>1433</v>
      </c>
      <c r="B312" s="15" t="s">
        <v>53</v>
      </c>
      <c r="C312" s="15" t="s">
        <v>118</v>
      </c>
      <c r="D312" s="15" t="s">
        <v>398</v>
      </c>
      <c r="E312" s="15" t="s">
        <v>740</v>
      </c>
      <c r="F312" s="15" t="s">
        <v>163</v>
      </c>
      <c r="G312" s="15" t="s">
        <v>28</v>
      </c>
      <c r="H312" s="15" t="s">
        <v>1434</v>
      </c>
      <c r="I312" s="15" t="s">
        <v>212</v>
      </c>
      <c r="J312" s="15" t="s">
        <v>45</v>
      </c>
      <c r="K312" s="15" t="s">
        <v>122</v>
      </c>
      <c r="L312" s="15" t="s">
        <v>123</v>
      </c>
      <c r="M312" s="15">
        <v>13</v>
      </c>
      <c r="N312" s="15">
        <v>60</v>
      </c>
      <c r="O312" s="15">
        <v>10</v>
      </c>
      <c r="P312" s="15">
        <v>702</v>
      </c>
      <c r="Q312" s="15">
        <v>5</v>
      </c>
      <c r="R312" s="15" t="s">
        <v>34</v>
      </c>
      <c r="S312" s="15" t="s">
        <v>35</v>
      </c>
      <c r="T312" s="15" t="s">
        <v>62</v>
      </c>
      <c r="U312" s="17" t="s">
        <v>1435</v>
      </c>
      <c r="V312" s="15" t="s">
        <v>64</v>
      </c>
    </row>
    <row r="313" spans="1:22">
      <c r="A313" s="18" t="s">
        <v>1436</v>
      </c>
      <c r="B313" s="18" t="s">
        <v>71</v>
      </c>
      <c r="C313" s="18" t="s">
        <v>54</v>
      </c>
      <c r="D313" s="18" t="s">
        <v>1437</v>
      </c>
      <c r="E313" s="18" t="s">
        <v>1294</v>
      </c>
      <c r="F313" s="18" t="s">
        <v>217</v>
      </c>
      <c r="G313" s="18" t="s">
        <v>76</v>
      </c>
      <c r="H313" s="18" t="s">
        <v>1438</v>
      </c>
      <c r="I313" s="18" t="s">
        <v>114</v>
      </c>
      <c r="J313" s="18" t="s">
        <v>106</v>
      </c>
      <c r="K313" s="18" t="s">
        <v>46</v>
      </c>
      <c r="L313" s="18" t="s">
        <v>60</v>
      </c>
      <c r="M313" s="18">
        <v>13</v>
      </c>
      <c r="N313" s="18">
        <v>55000</v>
      </c>
      <c r="O313" s="18">
        <v>5</v>
      </c>
      <c r="P313" s="18">
        <v>679250</v>
      </c>
      <c r="Q313" s="18">
        <v>1</v>
      </c>
      <c r="R313" s="18" t="s">
        <v>88</v>
      </c>
      <c r="S313" s="18" t="s">
        <v>151</v>
      </c>
      <c r="T313" s="18" t="s">
        <v>80</v>
      </c>
      <c r="U313" s="19" t="s">
        <v>1439</v>
      </c>
      <c r="V313" s="18" t="s">
        <v>64</v>
      </c>
    </row>
    <row r="314" spans="1:22">
      <c r="A314" s="15" t="s">
        <v>1440</v>
      </c>
      <c r="B314" s="15" t="s">
        <v>100</v>
      </c>
      <c r="C314" s="15" t="s">
        <v>72</v>
      </c>
      <c r="D314" s="15" t="s">
        <v>797</v>
      </c>
      <c r="E314" s="15" t="s">
        <v>798</v>
      </c>
      <c r="F314" s="15" t="s">
        <v>103</v>
      </c>
      <c r="G314" s="15" t="s">
        <v>28</v>
      </c>
      <c r="H314" s="15" t="s">
        <v>1441</v>
      </c>
      <c r="I314" s="15" t="s">
        <v>59</v>
      </c>
      <c r="J314" s="15" t="s">
        <v>31</v>
      </c>
      <c r="K314" s="15" t="s">
        <v>46</v>
      </c>
      <c r="L314" s="15" t="s">
        <v>78</v>
      </c>
      <c r="M314" s="15">
        <v>7</v>
      </c>
      <c r="N314" s="15">
        <v>1200</v>
      </c>
      <c r="O314" s="15">
        <v>15</v>
      </c>
      <c r="P314" s="15">
        <v>7140</v>
      </c>
      <c r="Q314" s="15">
        <v>5</v>
      </c>
      <c r="R314" s="15" t="s">
        <v>88</v>
      </c>
      <c r="S314" s="15" t="s">
        <v>49</v>
      </c>
      <c r="T314" s="15" t="s">
        <v>144</v>
      </c>
      <c r="U314" s="17" t="s">
        <v>1442</v>
      </c>
      <c r="V314" s="15" t="s">
        <v>64</v>
      </c>
    </row>
    <row r="315" spans="1:22">
      <c r="A315" s="18" t="s">
        <v>1443</v>
      </c>
      <c r="B315" s="18" t="s">
        <v>83</v>
      </c>
      <c r="C315" s="18" t="s">
        <v>40</v>
      </c>
      <c r="D315" s="18" t="s">
        <v>961</v>
      </c>
      <c r="E315" s="18" t="s">
        <v>1444</v>
      </c>
      <c r="F315" s="18" t="s">
        <v>180</v>
      </c>
      <c r="G315" s="18" t="s">
        <v>76</v>
      </c>
      <c r="H315" s="18" t="s">
        <v>1445</v>
      </c>
      <c r="I315" s="18" t="s">
        <v>212</v>
      </c>
      <c r="J315" s="18" t="s">
        <v>45</v>
      </c>
      <c r="K315" s="18" t="s">
        <v>46</v>
      </c>
      <c r="L315" s="18" t="s">
        <v>47</v>
      </c>
      <c r="M315" s="18">
        <v>17</v>
      </c>
      <c r="N315" s="18">
        <v>12000</v>
      </c>
      <c r="O315" s="18">
        <v>5</v>
      </c>
      <c r="P315" s="18">
        <v>193800</v>
      </c>
      <c r="Q315" s="18">
        <v>1</v>
      </c>
      <c r="R315" s="18" t="s">
        <v>34</v>
      </c>
      <c r="S315" s="18" t="s">
        <v>61</v>
      </c>
      <c r="T315" s="18" t="s">
        <v>89</v>
      </c>
      <c r="U315" s="19" t="s">
        <v>1446</v>
      </c>
      <c r="V315" s="18" t="s">
        <v>69</v>
      </c>
    </row>
    <row r="316" spans="1:22">
      <c r="A316" s="15" t="s">
        <v>1447</v>
      </c>
      <c r="B316" s="15" t="s">
        <v>83</v>
      </c>
      <c r="C316" s="15" t="s">
        <v>222</v>
      </c>
      <c r="D316" s="15" t="s">
        <v>356</v>
      </c>
      <c r="E316" s="15" t="s">
        <v>517</v>
      </c>
      <c r="F316" s="15" t="s">
        <v>180</v>
      </c>
      <c r="G316" s="15" t="s">
        <v>76</v>
      </c>
      <c r="H316" s="15" t="s">
        <v>1448</v>
      </c>
      <c r="I316" s="15" t="s">
        <v>59</v>
      </c>
      <c r="J316" s="15" t="s">
        <v>31</v>
      </c>
      <c r="K316" s="15" t="s">
        <v>122</v>
      </c>
      <c r="L316" s="15" t="s">
        <v>227</v>
      </c>
      <c r="M316" s="15">
        <v>10</v>
      </c>
      <c r="N316" s="15">
        <v>20</v>
      </c>
      <c r="O316" s="15">
        <v>5</v>
      </c>
      <c r="P316" s="15">
        <v>190</v>
      </c>
      <c r="Q316" s="15">
        <v>2</v>
      </c>
      <c r="R316" s="15" t="s">
        <v>34</v>
      </c>
      <c r="S316" s="15" t="s">
        <v>61</v>
      </c>
      <c r="T316" s="15" t="s">
        <v>89</v>
      </c>
      <c r="U316" s="17" t="s">
        <v>1449</v>
      </c>
      <c r="V316" s="15" t="s">
        <v>69</v>
      </c>
    </row>
    <row r="317" spans="1:22">
      <c r="A317" s="18" t="s">
        <v>1450</v>
      </c>
      <c r="B317" s="18" t="s">
        <v>168</v>
      </c>
      <c r="C317" s="18" t="s">
        <v>24</v>
      </c>
      <c r="D317" s="18" t="s">
        <v>291</v>
      </c>
      <c r="E317" s="18" t="s">
        <v>1451</v>
      </c>
      <c r="F317" s="18" t="s">
        <v>361</v>
      </c>
      <c r="G317" s="18" t="s">
        <v>28</v>
      </c>
      <c r="H317" s="18" t="s">
        <v>1452</v>
      </c>
      <c r="I317" s="18" t="s">
        <v>44</v>
      </c>
      <c r="J317" s="18" t="s">
        <v>45</v>
      </c>
      <c r="K317" s="18" t="s">
        <v>32</v>
      </c>
      <c r="L317" s="18" t="s">
        <v>33</v>
      </c>
      <c r="M317" s="18">
        <v>11</v>
      </c>
      <c r="N317" s="18">
        <v>2200</v>
      </c>
      <c r="O317" s="18">
        <v>5</v>
      </c>
      <c r="P317" s="18">
        <v>22990</v>
      </c>
      <c r="Q317" s="18">
        <v>5</v>
      </c>
      <c r="R317" s="18" t="s">
        <v>79</v>
      </c>
      <c r="S317" s="18" t="s">
        <v>49</v>
      </c>
      <c r="T317" s="18" t="s">
        <v>175</v>
      </c>
      <c r="U317" s="19" t="s">
        <v>1453</v>
      </c>
      <c r="V317" s="18" t="s">
        <v>64</v>
      </c>
    </row>
    <row r="318" spans="1:22">
      <c r="A318" s="15" t="s">
        <v>1454</v>
      </c>
      <c r="B318" s="15" t="s">
        <v>100</v>
      </c>
      <c r="C318" s="15" t="s">
        <v>118</v>
      </c>
      <c r="D318" s="15" t="s">
        <v>1369</v>
      </c>
      <c r="E318" s="15" t="s">
        <v>178</v>
      </c>
      <c r="F318" s="15" t="s">
        <v>103</v>
      </c>
      <c r="G318" s="15" t="s">
        <v>28</v>
      </c>
      <c r="H318" s="15" t="s">
        <v>1455</v>
      </c>
      <c r="I318" s="15" t="s">
        <v>212</v>
      </c>
      <c r="J318" s="15" t="s">
        <v>45</v>
      </c>
      <c r="K318" s="15" t="s">
        <v>122</v>
      </c>
      <c r="L318" s="15" t="s">
        <v>123</v>
      </c>
      <c r="M318" s="15">
        <v>8</v>
      </c>
      <c r="N318" s="15">
        <v>60</v>
      </c>
      <c r="O318" s="15">
        <v>15</v>
      </c>
      <c r="P318" s="15">
        <v>408</v>
      </c>
      <c r="Q318" s="15">
        <v>4</v>
      </c>
      <c r="R318" s="15" t="s">
        <v>34</v>
      </c>
      <c r="S318" s="15" t="s">
        <v>49</v>
      </c>
      <c r="T318" s="15" t="s">
        <v>144</v>
      </c>
      <c r="U318" s="17" t="s">
        <v>1456</v>
      </c>
      <c r="V318" s="15" t="s">
        <v>64</v>
      </c>
    </row>
    <row r="319" spans="1:22">
      <c r="A319" s="18" t="s">
        <v>1457</v>
      </c>
      <c r="B319" s="18" t="s">
        <v>221</v>
      </c>
      <c r="C319" s="18" t="s">
        <v>259</v>
      </c>
      <c r="D319" s="18" t="s">
        <v>825</v>
      </c>
      <c r="E319" s="18" t="s">
        <v>119</v>
      </c>
      <c r="F319" s="18" t="s">
        <v>225</v>
      </c>
      <c r="G319" s="18" t="s">
        <v>76</v>
      </c>
      <c r="H319" s="18" t="s">
        <v>1458</v>
      </c>
      <c r="I319" s="18" t="s">
        <v>44</v>
      </c>
      <c r="J319" s="18" t="s">
        <v>45</v>
      </c>
      <c r="K319" s="18" t="s">
        <v>122</v>
      </c>
      <c r="L319" s="18" t="s">
        <v>263</v>
      </c>
      <c r="M319" s="18">
        <v>17</v>
      </c>
      <c r="N319" s="18">
        <v>45</v>
      </c>
      <c r="O319" s="18">
        <v>15</v>
      </c>
      <c r="P319" s="18">
        <v>650.25</v>
      </c>
      <c r="Q319" s="18">
        <v>2</v>
      </c>
      <c r="R319" s="18" t="s">
        <v>88</v>
      </c>
      <c r="S319" s="18" t="s">
        <v>151</v>
      </c>
      <c r="T319" s="18" t="s">
        <v>228</v>
      </c>
      <c r="U319" s="19" t="s">
        <v>1459</v>
      </c>
      <c r="V319" s="18" t="s">
        <v>38</v>
      </c>
    </row>
    <row r="320" spans="1:22">
      <c r="A320" s="15" t="s">
        <v>1460</v>
      </c>
      <c r="B320" s="15" t="s">
        <v>327</v>
      </c>
      <c r="C320" s="15" t="s">
        <v>184</v>
      </c>
      <c r="D320" s="15" t="s">
        <v>632</v>
      </c>
      <c r="E320" s="15" t="s">
        <v>1461</v>
      </c>
      <c r="F320" s="15" t="s">
        <v>394</v>
      </c>
      <c r="G320" s="15" t="s">
        <v>76</v>
      </c>
      <c r="H320" s="15" t="s">
        <v>1462</v>
      </c>
      <c r="I320" s="15" t="s">
        <v>212</v>
      </c>
      <c r="J320" s="15" t="s">
        <v>45</v>
      </c>
      <c r="K320" s="15" t="s">
        <v>46</v>
      </c>
      <c r="L320" s="15" t="s">
        <v>189</v>
      </c>
      <c r="M320" s="15">
        <v>14</v>
      </c>
      <c r="N320" s="15">
        <v>700</v>
      </c>
      <c r="O320" s="15">
        <v>15</v>
      </c>
      <c r="P320" s="15">
        <v>8330</v>
      </c>
      <c r="Q320" s="15">
        <v>1</v>
      </c>
      <c r="R320" s="15" t="s">
        <v>79</v>
      </c>
      <c r="S320" s="15" t="s">
        <v>115</v>
      </c>
      <c r="T320" s="15" t="s">
        <v>332</v>
      </c>
      <c r="U320" s="17" t="s">
        <v>1463</v>
      </c>
      <c r="V320" s="15" t="s">
        <v>38</v>
      </c>
    </row>
    <row r="321" spans="1:22">
      <c r="A321" s="18" t="s">
        <v>1464</v>
      </c>
      <c r="B321" s="18" t="s">
        <v>83</v>
      </c>
      <c r="C321" s="18" t="s">
        <v>72</v>
      </c>
      <c r="D321" s="18" t="s">
        <v>1465</v>
      </c>
      <c r="E321" s="18" t="s">
        <v>948</v>
      </c>
      <c r="F321" s="18" t="s">
        <v>180</v>
      </c>
      <c r="G321" s="18" t="s">
        <v>76</v>
      </c>
      <c r="H321" s="18" t="s">
        <v>1466</v>
      </c>
      <c r="I321" s="18" t="s">
        <v>114</v>
      </c>
      <c r="J321" s="18" t="s">
        <v>106</v>
      </c>
      <c r="K321" s="18" t="s">
        <v>46</v>
      </c>
      <c r="L321" s="18" t="s">
        <v>78</v>
      </c>
      <c r="M321" s="18">
        <v>3</v>
      </c>
      <c r="N321" s="18">
        <v>1200</v>
      </c>
      <c r="O321" s="18">
        <v>5</v>
      </c>
      <c r="P321" s="18">
        <v>3420</v>
      </c>
      <c r="Q321" s="18">
        <v>3</v>
      </c>
      <c r="R321" s="18" t="s">
        <v>48</v>
      </c>
      <c r="S321" s="18" t="s">
        <v>151</v>
      </c>
      <c r="T321" s="18" t="s">
        <v>89</v>
      </c>
      <c r="U321" s="19" t="s">
        <v>1467</v>
      </c>
      <c r="V321" s="18" t="s">
        <v>38</v>
      </c>
    </row>
    <row r="322" spans="1:22">
      <c r="A322" s="15" t="s">
        <v>1468</v>
      </c>
      <c r="B322" s="15" t="s">
        <v>23</v>
      </c>
      <c r="C322" s="15" t="s">
        <v>72</v>
      </c>
      <c r="D322" s="15" t="s">
        <v>489</v>
      </c>
      <c r="E322" s="15" t="s">
        <v>914</v>
      </c>
      <c r="F322" s="15" t="s">
        <v>27</v>
      </c>
      <c r="G322" s="15" t="s">
        <v>28</v>
      </c>
      <c r="H322" s="15" t="s">
        <v>1469</v>
      </c>
      <c r="I322" s="15" t="s">
        <v>138</v>
      </c>
      <c r="J322" s="15" t="s">
        <v>106</v>
      </c>
      <c r="K322" s="15" t="s">
        <v>46</v>
      </c>
      <c r="L322" s="15" t="s">
        <v>78</v>
      </c>
      <c r="M322" s="15">
        <v>9</v>
      </c>
      <c r="N322" s="15">
        <v>1200</v>
      </c>
      <c r="O322" s="15">
        <v>15</v>
      </c>
      <c r="P322" s="15">
        <v>9180</v>
      </c>
      <c r="Q322" s="15">
        <v>3</v>
      </c>
      <c r="R322" s="15" t="s">
        <v>34</v>
      </c>
      <c r="S322" s="15" t="s">
        <v>49</v>
      </c>
      <c r="T322" s="15" t="s">
        <v>50</v>
      </c>
      <c r="U322" s="17" t="s">
        <v>1470</v>
      </c>
      <c r="V322" s="15" t="s">
        <v>38</v>
      </c>
    </row>
    <row r="323" spans="1:22">
      <c r="A323" s="18" t="s">
        <v>1471</v>
      </c>
      <c r="B323" s="18" t="s">
        <v>251</v>
      </c>
      <c r="C323" s="18" t="s">
        <v>222</v>
      </c>
      <c r="D323" s="18" t="s">
        <v>224</v>
      </c>
      <c r="E323" s="18" t="s">
        <v>360</v>
      </c>
      <c r="F323" s="18" t="s">
        <v>254</v>
      </c>
      <c r="G323" s="18" t="s">
        <v>28</v>
      </c>
      <c r="H323" s="18" t="s">
        <v>1472</v>
      </c>
      <c r="I323" s="18" t="s">
        <v>105</v>
      </c>
      <c r="J323" s="18" t="s">
        <v>106</v>
      </c>
      <c r="K323" s="18" t="s">
        <v>122</v>
      </c>
      <c r="L323" s="18" t="s">
        <v>227</v>
      </c>
      <c r="M323" s="18">
        <v>5</v>
      </c>
      <c r="N323" s="18">
        <v>20</v>
      </c>
      <c r="O323" s="18">
        <v>5</v>
      </c>
      <c r="P323" s="18">
        <v>95</v>
      </c>
      <c r="Q323" s="18">
        <v>4</v>
      </c>
      <c r="R323" s="18" t="s">
        <v>34</v>
      </c>
      <c r="S323" s="18" t="s">
        <v>151</v>
      </c>
      <c r="T323" s="18" t="s">
        <v>256</v>
      </c>
      <c r="U323" s="19" t="s">
        <v>1473</v>
      </c>
      <c r="V323" s="18" t="s">
        <v>38</v>
      </c>
    </row>
    <row r="324" spans="1:22">
      <c r="A324" s="15" t="s">
        <v>1474</v>
      </c>
      <c r="B324" s="15" t="s">
        <v>251</v>
      </c>
      <c r="C324" s="15" t="s">
        <v>24</v>
      </c>
      <c r="D324" s="15" t="s">
        <v>1475</v>
      </c>
      <c r="E324" s="15" t="s">
        <v>1476</v>
      </c>
      <c r="F324" s="15" t="s">
        <v>254</v>
      </c>
      <c r="G324" s="15" t="s">
        <v>28</v>
      </c>
      <c r="H324" s="15" t="s">
        <v>1477</v>
      </c>
      <c r="I324" s="15" t="s">
        <v>138</v>
      </c>
      <c r="J324" s="15" t="s">
        <v>106</v>
      </c>
      <c r="K324" s="15" t="s">
        <v>32</v>
      </c>
      <c r="L324" s="15" t="s">
        <v>33</v>
      </c>
      <c r="M324" s="15">
        <v>8</v>
      </c>
      <c r="N324" s="15">
        <v>2200</v>
      </c>
      <c r="O324" s="15">
        <v>10</v>
      </c>
      <c r="P324" s="15">
        <v>15840</v>
      </c>
      <c r="Q324" s="15">
        <v>4</v>
      </c>
      <c r="R324" s="15" t="s">
        <v>88</v>
      </c>
      <c r="S324" s="15" t="s">
        <v>61</v>
      </c>
      <c r="T324" s="15" t="s">
        <v>256</v>
      </c>
      <c r="U324" s="17" t="s">
        <v>1478</v>
      </c>
      <c r="V324" s="15" t="s">
        <v>69</v>
      </c>
    </row>
    <row r="325" spans="1:22">
      <c r="A325" s="18" t="s">
        <v>1479</v>
      </c>
      <c r="B325" s="18" t="s">
        <v>251</v>
      </c>
      <c r="C325" s="18" t="s">
        <v>184</v>
      </c>
      <c r="D325" s="18" t="s">
        <v>298</v>
      </c>
      <c r="E325" s="18" t="s">
        <v>1480</v>
      </c>
      <c r="F325" s="18" t="s">
        <v>254</v>
      </c>
      <c r="G325" s="18" t="s">
        <v>28</v>
      </c>
      <c r="H325" s="18" t="s">
        <v>1481</v>
      </c>
      <c r="I325" s="18" t="s">
        <v>105</v>
      </c>
      <c r="J325" s="18" t="s">
        <v>106</v>
      </c>
      <c r="K325" s="18" t="s">
        <v>46</v>
      </c>
      <c r="L325" s="18" t="s">
        <v>189</v>
      </c>
      <c r="M325" s="18">
        <v>10</v>
      </c>
      <c r="N325" s="18">
        <v>700</v>
      </c>
      <c r="O325" s="18">
        <v>20</v>
      </c>
      <c r="P325" s="18">
        <v>5600</v>
      </c>
      <c r="Q325" s="18">
        <v>1</v>
      </c>
      <c r="R325" s="18" t="s">
        <v>88</v>
      </c>
      <c r="S325" s="18" t="s">
        <v>115</v>
      </c>
      <c r="T325" s="18" t="s">
        <v>256</v>
      </c>
      <c r="U325" s="19" t="s">
        <v>1482</v>
      </c>
      <c r="V325" s="18" t="s">
        <v>38</v>
      </c>
    </row>
    <row r="326" spans="1:22">
      <c r="A326" s="15" t="s">
        <v>1483</v>
      </c>
      <c r="B326" s="15" t="s">
        <v>83</v>
      </c>
      <c r="C326" s="15" t="s">
        <v>184</v>
      </c>
      <c r="D326" s="15" t="s">
        <v>1484</v>
      </c>
      <c r="E326" s="15" t="s">
        <v>1485</v>
      </c>
      <c r="F326" s="15" t="s">
        <v>180</v>
      </c>
      <c r="G326" s="15" t="s">
        <v>76</v>
      </c>
      <c r="H326" s="15" t="s">
        <v>1486</v>
      </c>
      <c r="I326" s="15" t="s">
        <v>59</v>
      </c>
      <c r="J326" s="15" t="s">
        <v>31</v>
      </c>
      <c r="K326" s="15" t="s">
        <v>46</v>
      </c>
      <c r="L326" s="15" t="s">
        <v>189</v>
      </c>
      <c r="M326" s="15">
        <v>2</v>
      </c>
      <c r="N326" s="15">
        <v>700</v>
      </c>
      <c r="O326" s="15">
        <v>20</v>
      </c>
      <c r="P326" s="15">
        <v>1120</v>
      </c>
      <c r="Q326" s="15">
        <v>2</v>
      </c>
      <c r="R326" s="15" t="s">
        <v>34</v>
      </c>
      <c r="S326" s="15" t="s">
        <v>115</v>
      </c>
      <c r="T326" s="15" t="s">
        <v>89</v>
      </c>
      <c r="U326" s="17" t="s">
        <v>1487</v>
      </c>
      <c r="V326" s="15" t="s">
        <v>64</v>
      </c>
    </row>
    <row r="327" spans="1:22">
      <c r="A327" s="18" t="s">
        <v>1488</v>
      </c>
      <c r="B327" s="18" t="s">
        <v>221</v>
      </c>
      <c r="C327" s="18" t="s">
        <v>92</v>
      </c>
      <c r="D327" s="18" t="s">
        <v>872</v>
      </c>
      <c r="E327" s="18" t="s">
        <v>965</v>
      </c>
      <c r="F327" s="18" t="s">
        <v>225</v>
      </c>
      <c r="G327" s="18" t="s">
        <v>76</v>
      </c>
      <c r="H327" s="18" t="s">
        <v>1489</v>
      </c>
      <c r="I327" s="18" t="s">
        <v>114</v>
      </c>
      <c r="J327" s="18" t="s">
        <v>106</v>
      </c>
      <c r="K327" s="18" t="s">
        <v>32</v>
      </c>
      <c r="L327" s="18" t="s">
        <v>97</v>
      </c>
      <c r="M327" s="18">
        <v>16</v>
      </c>
      <c r="N327" s="18">
        <v>3500</v>
      </c>
      <c r="O327" s="18">
        <v>20</v>
      </c>
      <c r="P327" s="18">
        <v>44800</v>
      </c>
      <c r="Q327" s="18">
        <v>2</v>
      </c>
      <c r="R327" s="18" t="s">
        <v>88</v>
      </c>
      <c r="S327" s="18" t="s">
        <v>35</v>
      </c>
      <c r="T327" s="18" t="s">
        <v>228</v>
      </c>
      <c r="U327" s="19" t="s">
        <v>1490</v>
      </c>
      <c r="V327" s="18" t="s">
        <v>64</v>
      </c>
    </row>
    <row r="328" spans="1:22">
      <c r="A328" s="15" t="s">
        <v>1491</v>
      </c>
      <c r="B328" s="15" t="s">
        <v>168</v>
      </c>
      <c r="C328" s="15" t="s">
        <v>92</v>
      </c>
      <c r="D328" s="15" t="s">
        <v>829</v>
      </c>
      <c r="E328" s="15" t="s">
        <v>756</v>
      </c>
      <c r="F328" s="15" t="s">
        <v>361</v>
      </c>
      <c r="G328" s="15" t="s">
        <v>28</v>
      </c>
      <c r="H328" s="15" t="s">
        <v>1492</v>
      </c>
      <c r="I328" s="15" t="s">
        <v>44</v>
      </c>
      <c r="J328" s="15" t="s">
        <v>45</v>
      </c>
      <c r="K328" s="15" t="s">
        <v>32</v>
      </c>
      <c r="L328" s="15" t="s">
        <v>97</v>
      </c>
      <c r="M328" s="15">
        <v>9</v>
      </c>
      <c r="N328" s="15">
        <v>3500</v>
      </c>
      <c r="O328" s="15">
        <v>20</v>
      </c>
      <c r="P328" s="15">
        <v>25200</v>
      </c>
      <c r="Q328" s="15">
        <v>1</v>
      </c>
      <c r="R328" s="15" t="s">
        <v>79</v>
      </c>
      <c r="S328" s="15" t="s">
        <v>49</v>
      </c>
      <c r="T328" s="15" t="s">
        <v>175</v>
      </c>
      <c r="U328" s="17" t="s">
        <v>1493</v>
      </c>
      <c r="V328" s="15" t="s">
        <v>69</v>
      </c>
    </row>
    <row r="329" spans="1:22">
      <c r="A329" s="18" t="s">
        <v>1494</v>
      </c>
      <c r="B329" s="18" t="s">
        <v>127</v>
      </c>
      <c r="C329" s="18" t="s">
        <v>184</v>
      </c>
      <c r="D329" s="18" t="s">
        <v>896</v>
      </c>
      <c r="E329" s="18" t="s">
        <v>530</v>
      </c>
      <c r="F329" s="18" t="s">
        <v>200</v>
      </c>
      <c r="G329" s="18" t="s">
        <v>76</v>
      </c>
      <c r="H329" s="18" t="s">
        <v>1495</v>
      </c>
      <c r="I329" s="18" t="s">
        <v>30</v>
      </c>
      <c r="J329" s="18" t="s">
        <v>31</v>
      </c>
      <c r="K329" s="18" t="s">
        <v>46</v>
      </c>
      <c r="L329" s="18" t="s">
        <v>189</v>
      </c>
      <c r="M329" s="18">
        <v>15</v>
      </c>
      <c r="N329" s="18">
        <v>700</v>
      </c>
      <c r="O329" s="18">
        <v>5</v>
      </c>
      <c r="P329" s="18">
        <v>9975</v>
      </c>
      <c r="Q329" s="18">
        <v>1</v>
      </c>
      <c r="R329" s="18" t="s">
        <v>34</v>
      </c>
      <c r="S329" s="18" t="s">
        <v>49</v>
      </c>
      <c r="T329" s="18" t="s">
        <v>132</v>
      </c>
      <c r="U329" s="19" t="s">
        <v>1496</v>
      </c>
      <c r="V329" s="18" t="s">
        <v>69</v>
      </c>
    </row>
    <row r="330" spans="1:22">
      <c r="A330" s="15" t="s">
        <v>1497</v>
      </c>
      <c r="B330" s="15" t="s">
        <v>53</v>
      </c>
      <c r="C330" s="15" t="s">
        <v>72</v>
      </c>
      <c r="D330" s="15" t="s">
        <v>179</v>
      </c>
      <c r="E330" s="15" t="s">
        <v>798</v>
      </c>
      <c r="F330" s="15" t="s">
        <v>163</v>
      </c>
      <c r="G330" s="15" t="s">
        <v>28</v>
      </c>
      <c r="H330" s="15" t="s">
        <v>1498</v>
      </c>
      <c r="I330" s="15" t="s">
        <v>138</v>
      </c>
      <c r="J330" s="15" t="s">
        <v>106</v>
      </c>
      <c r="K330" s="15" t="s">
        <v>46</v>
      </c>
      <c r="L330" s="15" t="s">
        <v>78</v>
      </c>
      <c r="M330" s="15">
        <v>13</v>
      </c>
      <c r="N330" s="15">
        <v>1200</v>
      </c>
      <c r="O330" s="15">
        <v>0</v>
      </c>
      <c r="P330" s="15">
        <v>15600</v>
      </c>
      <c r="Q330" s="15">
        <v>3</v>
      </c>
      <c r="R330" s="15" t="s">
        <v>48</v>
      </c>
      <c r="S330" s="15" t="s">
        <v>115</v>
      </c>
      <c r="T330" s="15" t="s">
        <v>62</v>
      </c>
      <c r="U330" s="17" t="s">
        <v>1499</v>
      </c>
      <c r="V330" s="15" t="s">
        <v>69</v>
      </c>
    </row>
    <row r="331" spans="1:22">
      <c r="A331" s="18" t="s">
        <v>1500</v>
      </c>
      <c r="B331" s="18" t="s">
        <v>327</v>
      </c>
      <c r="C331" s="18" t="s">
        <v>40</v>
      </c>
      <c r="D331" s="18" t="s">
        <v>1501</v>
      </c>
      <c r="E331" s="18" t="s">
        <v>1502</v>
      </c>
      <c r="F331" s="18" t="s">
        <v>394</v>
      </c>
      <c r="G331" s="18" t="s">
        <v>76</v>
      </c>
      <c r="H331" s="18" t="s">
        <v>1503</v>
      </c>
      <c r="I331" s="18" t="s">
        <v>44</v>
      </c>
      <c r="J331" s="18" t="s">
        <v>45</v>
      </c>
      <c r="K331" s="18" t="s">
        <v>46</v>
      </c>
      <c r="L331" s="18" t="s">
        <v>47</v>
      </c>
      <c r="M331" s="18">
        <v>5</v>
      </c>
      <c r="N331" s="18">
        <v>12000</v>
      </c>
      <c r="O331" s="18">
        <v>10</v>
      </c>
      <c r="P331" s="18">
        <v>54000</v>
      </c>
      <c r="Q331" s="18">
        <v>3</v>
      </c>
      <c r="R331" s="18" t="s">
        <v>88</v>
      </c>
      <c r="S331" s="18" t="s">
        <v>49</v>
      </c>
      <c r="T331" s="18" t="s">
        <v>332</v>
      </c>
      <c r="U331" s="19" t="s">
        <v>1504</v>
      </c>
      <c r="V331" s="18" t="s">
        <v>38</v>
      </c>
    </row>
    <row r="332" spans="1:22">
      <c r="A332" s="15" t="s">
        <v>1505</v>
      </c>
      <c r="B332" s="15" t="s">
        <v>53</v>
      </c>
      <c r="C332" s="15" t="s">
        <v>259</v>
      </c>
      <c r="D332" s="15" t="s">
        <v>1506</v>
      </c>
      <c r="E332" s="15" t="s">
        <v>1507</v>
      </c>
      <c r="F332" s="15" t="s">
        <v>163</v>
      </c>
      <c r="G332" s="15" t="s">
        <v>28</v>
      </c>
      <c r="H332" s="15" t="s">
        <v>1508</v>
      </c>
      <c r="I332" s="15" t="s">
        <v>59</v>
      </c>
      <c r="J332" s="15" t="s">
        <v>31</v>
      </c>
      <c r="K332" s="15" t="s">
        <v>122</v>
      </c>
      <c r="L332" s="15" t="s">
        <v>263</v>
      </c>
      <c r="M332" s="15">
        <v>12</v>
      </c>
      <c r="N332" s="15">
        <v>45</v>
      </c>
      <c r="O332" s="15">
        <v>20</v>
      </c>
      <c r="P332" s="15">
        <v>432</v>
      </c>
      <c r="Q332" s="15">
        <v>3</v>
      </c>
      <c r="R332" s="15" t="s">
        <v>48</v>
      </c>
      <c r="S332" s="15" t="s">
        <v>61</v>
      </c>
      <c r="T332" s="15" t="s">
        <v>62</v>
      </c>
      <c r="U332" s="17" t="s">
        <v>1509</v>
      </c>
      <c r="V332" s="15" t="s">
        <v>38</v>
      </c>
    </row>
    <row r="333" spans="1:22">
      <c r="A333" s="18" t="s">
        <v>1510</v>
      </c>
      <c r="B333" s="18" t="s">
        <v>23</v>
      </c>
      <c r="C333" s="18" t="s">
        <v>92</v>
      </c>
      <c r="D333" s="18" t="s">
        <v>652</v>
      </c>
      <c r="E333" s="18" t="s">
        <v>666</v>
      </c>
      <c r="F333" s="18" t="s">
        <v>27</v>
      </c>
      <c r="G333" s="18" t="s">
        <v>28</v>
      </c>
      <c r="H333" s="18" t="s">
        <v>1511</v>
      </c>
      <c r="I333" s="18" t="s">
        <v>59</v>
      </c>
      <c r="J333" s="18" t="s">
        <v>31</v>
      </c>
      <c r="K333" s="18" t="s">
        <v>32</v>
      </c>
      <c r="L333" s="18" t="s">
        <v>97</v>
      </c>
      <c r="M333" s="18">
        <v>2</v>
      </c>
      <c r="N333" s="18">
        <v>3500</v>
      </c>
      <c r="O333" s="18">
        <v>0</v>
      </c>
      <c r="P333" s="18">
        <v>7000</v>
      </c>
      <c r="Q333" s="18">
        <v>1</v>
      </c>
      <c r="R333" s="18" t="s">
        <v>48</v>
      </c>
      <c r="S333" s="18" t="s">
        <v>115</v>
      </c>
      <c r="T333" s="18" t="s">
        <v>50</v>
      </c>
      <c r="U333" s="19" t="s">
        <v>1512</v>
      </c>
      <c r="V333" s="18" t="s">
        <v>64</v>
      </c>
    </row>
    <row r="334" spans="1:22">
      <c r="A334" s="15" t="s">
        <v>1513</v>
      </c>
      <c r="B334" s="15" t="s">
        <v>23</v>
      </c>
      <c r="C334" s="15" t="s">
        <v>24</v>
      </c>
      <c r="D334" s="15" t="s">
        <v>426</v>
      </c>
      <c r="E334" s="15" t="s">
        <v>1180</v>
      </c>
      <c r="F334" s="15" t="s">
        <v>27</v>
      </c>
      <c r="G334" s="15" t="s">
        <v>28</v>
      </c>
      <c r="H334" s="15" t="s">
        <v>1514</v>
      </c>
      <c r="I334" s="15" t="s">
        <v>114</v>
      </c>
      <c r="J334" s="15" t="s">
        <v>106</v>
      </c>
      <c r="K334" s="15" t="s">
        <v>32</v>
      </c>
      <c r="L334" s="15" t="s">
        <v>33</v>
      </c>
      <c r="M334" s="15">
        <v>15</v>
      </c>
      <c r="N334" s="15">
        <v>2200</v>
      </c>
      <c r="O334" s="15">
        <v>15</v>
      </c>
      <c r="P334" s="15">
        <v>28050</v>
      </c>
      <c r="Q334" s="15">
        <v>2</v>
      </c>
      <c r="R334" s="15" t="s">
        <v>48</v>
      </c>
      <c r="S334" s="15" t="s">
        <v>49</v>
      </c>
      <c r="T334" s="15" t="s">
        <v>50</v>
      </c>
      <c r="U334" s="17" t="s">
        <v>1515</v>
      </c>
      <c r="V334" s="15" t="s">
        <v>64</v>
      </c>
    </row>
    <row r="335" spans="1:22">
      <c r="A335" s="18" t="s">
        <v>1516</v>
      </c>
      <c r="B335" s="18" t="s">
        <v>100</v>
      </c>
      <c r="C335" s="18" t="s">
        <v>222</v>
      </c>
      <c r="D335" s="18" t="s">
        <v>186</v>
      </c>
      <c r="E335" s="18" t="s">
        <v>1253</v>
      </c>
      <c r="F335" s="18" t="s">
        <v>103</v>
      </c>
      <c r="G335" s="18" t="s">
        <v>28</v>
      </c>
      <c r="H335" s="18" t="s">
        <v>1517</v>
      </c>
      <c r="I335" s="18" t="s">
        <v>138</v>
      </c>
      <c r="J335" s="18" t="s">
        <v>106</v>
      </c>
      <c r="K335" s="18" t="s">
        <v>122</v>
      </c>
      <c r="L335" s="18" t="s">
        <v>227</v>
      </c>
      <c r="M335" s="18">
        <v>8</v>
      </c>
      <c r="N335" s="18">
        <v>20</v>
      </c>
      <c r="O335" s="18">
        <v>20</v>
      </c>
      <c r="P335" s="18">
        <v>128</v>
      </c>
      <c r="Q335" s="18">
        <v>5</v>
      </c>
      <c r="R335" s="18" t="s">
        <v>88</v>
      </c>
      <c r="S335" s="18" t="s">
        <v>49</v>
      </c>
      <c r="T335" s="18" t="s">
        <v>144</v>
      </c>
      <c r="U335" s="19" t="s">
        <v>1518</v>
      </c>
      <c r="V335" s="18" t="s">
        <v>38</v>
      </c>
    </row>
    <row r="336" spans="1:22">
      <c r="A336" s="15" t="s">
        <v>1519</v>
      </c>
      <c r="B336" s="15" t="s">
        <v>127</v>
      </c>
      <c r="C336" s="15" t="s">
        <v>222</v>
      </c>
      <c r="D336" s="15" t="s">
        <v>298</v>
      </c>
      <c r="E336" s="15" t="s">
        <v>798</v>
      </c>
      <c r="F336" s="15" t="s">
        <v>200</v>
      </c>
      <c r="G336" s="15" t="s">
        <v>76</v>
      </c>
      <c r="H336" s="15" t="s">
        <v>1520</v>
      </c>
      <c r="I336" s="15" t="s">
        <v>30</v>
      </c>
      <c r="J336" s="15" t="s">
        <v>31</v>
      </c>
      <c r="K336" s="15" t="s">
        <v>122</v>
      </c>
      <c r="L336" s="15" t="s">
        <v>227</v>
      </c>
      <c r="M336" s="15">
        <v>1</v>
      </c>
      <c r="N336" s="15">
        <v>20</v>
      </c>
      <c r="O336" s="15">
        <v>0</v>
      </c>
      <c r="P336" s="15">
        <v>20</v>
      </c>
      <c r="Q336" s="15">
        <v>3</v>
      </c>
      <c r="R336" s="15" t="s">
        <v>88</v>
      </c>
      <c r="S336" s="15" t="s">
        <v>35</v>
      </c>
      <c r="T336" s="15" t="s">
        <v>132</v>
      </c>
      <c r="U336" s="17" t="s">
        <v>1521</v>
      </c>
      <c r="V336" s="15" t="s">
        <v>38</v>
      </c>
    </row>
    <row r="337" spans="1:22">
      <c r="A337" s="18" t="s">
        <v>1522</v>
      </c>
      <c r="B337" s="18" t="s">
        <v>23</v>
      </c>
      <c r="C337" s="18" t="s">
        <v>184</v>
      </c>
      <c r="D337" s="18" t="s">
        <v>1199</v>
      </c>
      <c r="E337" s="18" t="s">
        <v>253</v>
      </c>
      <c r="F337" s="18" t="s">
        <v>27</v>
      </c>
      <c r="G337" s="18" t="s">
        <v>28</v>
      </c>
      <c r="H337" s="18" t="s">
        <v>1523</v>
      </c>
      <c r="I337" s="18" t="s">
        <v>212</v>
      </c>
      <c r="J337" s="18" t="s">
        <v>45</v>
      </c>
      <c r="K337" s="18" t="s">
        <v>46</v>
      </c>
      <c r="L337" s="18" t="s">
        <v>189</v>
      </c>
      <c r="M337" s="18">
        <v>15</v>
      </c>
      <c r="N337" s="18">
        <v>700</v>
      </c>
      <c r="O337" s="18">
        <v>0</v>
      </c>
      <c r="P337" s="18">
        <v>10500</v>
      </c>
      <c r="Q337" s="18">
        <v>2</v>
      </c>
      <c r="R337" s="18" t="s">
        <v>88</v>
      </c>
      <c r="S337" s="18" t="s">
        <v>49</v>
      </c>
      <c r="T337" s="18" t="s">
        <v>50</v>
      </c>
      <c r="U337" s="19" t="s">
        <v>1524</v>
      </c>
      <c r="V337" s="18" t="s">
        <v>38</v>
      </c>
    </row>
    <row r="338" spans="1:22">
      <c r="A338" s="15" t="s">
        <v>1525</v>
      </c>
      <c r="B338" s="15" t="s">
        <v>327</v>
      </c>
      <c r="C338" s="15" t="s">
        <v>92</v>
      </c>
      <c r="D338" s="15" t="s">
        <v>932</v>
      </c>
      <c r="E338" s="15" t="s">
        <v>1526</v>
      </c>
      <c r="F338" s="15" t="s">
        <v>394</v>
      </c>
      <c r="G338" s="15" t="s">
        <v>76</v>
      </c>
      <c r="H338" s="15" t="s">
        <v>1527</v>
      </c>
      <c r="I338" s="15" t="s">
        <v>30</v>
      </c>
      <c r="J338" s="15" t="s">
        <v>31</v>
      </c>
      <c r="K338" s="15" t="s">
        <v>32</v>
      </c>
      <c r="L338" s="15" t="s">
        <v>97</v>
      </c>
      <c r="M338" s="15">
        <v>15</v>
      </c>
      <c r="N338" s="15">
        <v>3500</v>
      </c>
      <c r="O338" s="15">
        <v>10</v>
      </c>
      <c r="P338" s="15">
        <v>47250</v>
      </c>
      <c r="Q338" s="15">
        <v>3</v>
      </c>
      <c r="R338" s="15" t="s">
        <v>34</v>
      </c>
      <c r="S338" s="15" t="s">
        <v>151</v>
      </c>
      <c r="T338" s="15" t="s">
        <v>332</v>
      </c>
      <c r="U338" s="17" t="s">
        <v>1528</v>
      </c>
      <c r="V338" s="15" t="s">
        <v>64</v>
      </c>
    </row>
    <row r="339" spans="1:22">
      <c r="A339" s="18" t="s">
        <v>1529</v>
      </c>
      <c r="B339" s="18" t="s">
        <v>23</v>
      </c>
      <c r="C339" s="18" t="s">
        <v>118</v>
      </c>
      <c r="D339" s="18" t="s">
        <v>1530</v>
      </c>
      <c r="E339" s="18" t="s">
        <v>156</v>
      </c>
      <c r="F339" s="18" t="s">
        <v>27</v>
      </c>
      <c r="G339" s="18" t="s">
        <v>28</v>
      </c>
      <c r="H339" s="18" t="s">
        <v>1531</v>
      </c>
      <c r="I339" s="18" t="s">
        <v>294</v>
      </c>
      <c r="J339" s="18" t="s">
        <v>295</v>
      </c>
      <c r="K339" s="18" t="s">
        <v>122</v>
      </c>
      <c r="L339" s="18" t="s">
        <v>123</v>
      </c>
      <c r="M339" s="18">
        <v>16</v>
      </c>
      <c r="N339" s="18">
        <v>60</v>
      </c>
      <c r="O339" s="18">
        <v>10</v>
      </c>
      <c r="P339" s="18">
        <v>864</v>
      </c>
      <c r="Q339" s="18">
        <v>4</v>
      </c>
      <c r="R339" s="18" t="s">
        <v>79</v>
      </c>
      <c r="S339" s="18" t="s">
        <v>61</v>
      </c>
      <c r="T339" s="18" t="s">
        <v>50</v>
      </c>
      <c r="U339" s="19" t="s">
        <v>1532</v>
      </c>
      <c r="V339" s="18" t="s">
        <v>38</v>
      </c>
    </row>
    <row r="340" spans="1:22">
      <c r="A340" s="15" t="s">
        <v>1533</v>
      </c>
      <c r="B340" s="15" t="s">
        <v>127</v>
      </c>
      <c r="C340" s="15" t="s">
        <v>259</v>
      </c>
      <c r="D340" s="15" t="s">
        <v>309</v>
      </c>
      <c r="E340" s="15" t="s">
        <v>793</v>
      </c>
      <c r="F340" s="15" t="s">
        <v>200</v>
      </c>
      <c r="G340" s="15" t="s">
        <v>76</v>
      </c>
      <c r="H340" s="15" t="s">
        <v>1534</v>
      </c>
      <c r="I340" s="15" t="s">
        <v>44</v>
      </c>
      <c r="J340" s="15" t="s">
        <v>45</v>
      </c>
      <c r="K340" s="15" t="s">
        <v>122</v>
      </c>
      <c r="L340" s="15" t="s">
        <v>263</v>
      </c>
      <c r="M340" s="15">
        <v>2</v>
      </c>
      <c r="N340" s="15">
        <v>45</v>
      </c>
      <c r="O340" s="15">
        <v>15</v>
      </c>
      <c r="P340" s="15">
        <v>76.5</v>
      </c>
      <c r="Q340" s="15">
        <v>1</v>
      </c>
      <c r="R340" s="15" t="s">
        <v>88</v>
      </c>
      <c r="S340" s="15" t="s">
        <v>151</v>
      </c>
      <c r="T340" s="15" t="s">
        <v>132</v>
      </c>
      <c r="U340" s="17" t="s">
        <v>1535</v>
      </c>
      <c r="V340" s="15" t="s">
        <v>69</v>
      </c>
    </row>
    <row r="341" spans="1:22">
      <c r="A341" s="18" t="s">
        <v>1536</v>
      </c>
      <c r="B341" s="18" t="s">
        <v>168</v>
      </c>
      <c r="C341" s="18" t="s">
        <v>118</v>
      </c>
      <c r="D341" s="18" t="s">
        <v>1537</v>
      </c>
      <c r="E341" s="18" t="s">
        <v>1214</v>
      </c>
      <c r="F341" s="18" t="s">
        <v>361</v>
      </c>
      <c r="G341" s="18" t="s">
        <v>28</v>
      </c>
      <c r="H341" s="18" t="s">
        <v>1538</v>
      </c>
      <c r="I341" s="18" t="s">
        <v>44</v>
      </c>
      <c r="J341" s="18" t="s">
        <v>45</v>
      </c>
      <c r="K341" s="18" t="s">
        <v>122</v>
      </c>
      <c r="L341" s="18" t="s">
        <v>123</v>
      </c>
      <c r="M341" s="18">
        <v>13</v>
      </c>
      <c r="N341" s="18">
        <v>60</v>
      </c>
      <c r="O341" s="18">
        <v>15</v>
      </c>
      <c r="P341" s="18">
        <v>663</v>
      </c>
      <c r="Q341" s="18">
        <v>2</v>
      </c>
      <c r="R341" s="18" t="s">
        <v>48</v>
      </c>
      <c r="S341" s="18" t="s">
        <v>61</v>
      </c>
      <c r="T341" s="18" t="s">
        <v>175</v>
      </c>
      <c r="U341" s="19" t="s">
        <v>1539</v>
      </c>
      <c r="V341" s="18" t="s">
        <v>69</v>
      </c>
    </row>
    <row r="342" spans="1:22">
      <c r="A342" s="15" t="s">
        <v>1540</v>
      </c>
      <c r="B342" s="15" t="s">
        <v>83</v>
      </c>
      <c r="C342" s="15" t="s">
        <v>40</v>
      </c>
      <c r="D342" s="15" t="s">
        <v>1086</v>
      </c>
      <c r="E342" s="15" t="s">
        <v>236</v>
      </c>
      <c r="F342" s="15" t="s">
        <v>180</v>
      </c>
      <c r="G342" s="15" t="s">
        <v>76</v>
      </c>
      <c r="H342" s="15" t="s">
        <v>1541</v>
      </c>
      <c r="I342" s="15" t="s">
        <v>44</v>
      </c>
      <c r="J342" s="15" t="s">
        <v>45</v>
      </c>
      <c r="K342" s="15" t="s">
        <v>46</v>
      </c>
      <c r="L342" s="15" t="s">
        <v>47</v>
      </c>
      <c r="M342" s="15">
        <v>15</v>
      </c>
      <c r="N342" s="15">
        <v>12000</v>
      </c>
      <c r="O342" s="15">
        <v>20</v>
      </c>
      <c r="P342" s="15">
        <v>144000</v>
      </c>
      <c r="Q342" s="15">
        <v>3</v>
      </c>
      <c r="R342" s="15" t="s">
        <v>79</v>
      </c>
      <c r="S342" s="15" t="s">
        <v>35</v>
      </c>
      <c r="T342" s="15" t="s">
        <v>89</v>
      </c>
      <c r="U342" s="17" t="s">
        <v>1542</v>
      </c>
      <c r="V342" s="15" t="s">
        <v>69</v>
      </c>
    </row>
    <row r="343" spans="1:22">
      <c r="A343" s="18" t="s">
        <v>1543</v>
      </c>
      <c r="B343" s="18" t="s">
        <v>327</v>
      </c>
      <c r="C343" s="18" t="s">
        <v>222</v>
      </c>
      <c r="D343" s="18" t="s">
        <v>755</v>
      </c>
      <c r="E343" s="18" t="s">
        <v>1544</v>
      </c>
      <c r="F343" s="18" t="s">
        <v>394</v>
      </c>
      <c r="G343" s="18" t="s">
        <v>76</v>
      </c>
      <c r="H343" s="18" t="s">
        <v>1545</v>
      </c>
      <c r="I343" s="18" t="s">
        <v>44</v>
      </c>
      <c r="J343" s="18" t="s">
        <v>45</v>
      </c>
      <c r="K343" s="18" t="s">
        <v>122</v>
      </c>
      <c r="L343" s="18" t="s">
        <v>227</v>
      </c>
      <c r="M343" s="18">
        <v>2</v>
      </c>
      <c r="N343" s="18">
        <v>20</v>
      </c>
      <c r="O343" s="18">
        <v>20</v>
      </c>
      <c r="P343" s="18">
        <v>32</v>
      </c>
      <c r="Q343" s="18">
        <v>4</v>
      </c>
      <c r="R343" s="18" t="s">
        <v>34</v>
      </c>
      <c r="S343" s="18" t="s">
        <v>35</v>
      </c>
      <c r="T343" s="18" t="s">
        <v>332</v>
      </c>
      <c r="U343" s="19" t="s">
        <v>1546</v>
      </c>
      <c r="V343" s="18" t="s">
        <v>64</v>
      </c>
    </row>
    <row r="344" spans="1:22">
      <c r="A344" s="15" t="s">
        <v>1547</v>
      </c>
      <c r="B344" s="15" t="s">
        <v>127</v>
      </c>
      <c r="C344" s="15" t="s">
        <v>92</v>
      </c>
      <c r="D344" s="15" t="s">
        <v>382</v>
      </c>
      <c r="E344" s="15" t="s">
        <v>1548</v>
      </c>
      <c r="F344" s="15" t="s">
        <v>200</v>
      </c>
      <c r="G344" s="15" t="s">
        <v>76</v>
      </c>
      <c r="H344" s="15" t="s">
        <v>1549</v>
      </c>
      <c r="I344" s="15" t="s">
        <v>59</v>
      </c>
      <c r="J344" s="15" t="s">
        <v>31</v>
      </c>
      <c r="K344" s="15" t="s">
        <v>32</v>
      </c>
      <c r="L344" s="15" t="s">
        <v>97</v>
      </c>
      <c r="M344" s="15">
        <v>16</v>
      </c>
      <c r="N344" s="15">
        <v>3500</v>
      </c>
      <c r="O344" s="15">
        <v>0</v>
      </c>
      <c r="P344" s="15">
        <v>56000</v>
      </c>
      <c r="Q344" s="15">
        <v>4</v>
      </c>
      <c r="R344" s="15" t="s">
        <v>34</v>
      </c>
      <c r="S344" s="15" t="s">
        <v>115</v>
      </c>
      <c r="T344" s="15" t="s">
        <v>132</v>
      </c>
      <c r="U344" s="17" t="s">
        <v>1550</v>
      </c>
      <c r="V344" s="15" t="s">
        <v>38</v>
      </c>
    </row>
    <row r="345" spans="1:22">
      <c r="A345" s="18" t="s">
        <v>1551</v>
      </c>
      <c r="B345" s="18" t="s">
        <v>53</v>
      </c>
      <c r="C345" s="18" t="s">
        <v>92</v>
      </c>
      <c r="D345" s="18" t="s">
        <v>1302</v>
      </c>
      <c r="E345" s="18" t="s">
        <v>94</v>
      </c>
      <c r="F345" s="18" t="s">
        <v>163</v>
      </c>
      <c r="G345" s="18" t="s">
        <v>28</v>
      </c>
      <c r="H345" s="18" t="s">
        <v>1552</v>
      </c>
      <c r="I345" s="18" t="s">
        <v>138</v>
      </c>
      <c r="J345" s="18" t="s">
        <v>106</v>
      </c>
      <c r="K345" s="18" t="s">
        <v>32</v>
      </c>
      <c r="L345" s="18" t="s">
        <v>97</v>
      </c>
      <c r="M345" s="18">
        <v>18</v>
      </c>
      <c r="N345" s="18">
        <v>3500</v>
      </c>
      <c r="O345" s="18">
        <v>15</v>
      </c>
      <c r="P345" s="18">
        <v>53550</v>
      </c>
      <c r="Q345" s="18">
        <v>5</v>
      </c>
      <c r="R345" s="18" t="s">
        <v>34</v>
      </c>
      <c r="S345" s="18" t="s">
        <v>151</v>
      </c>
      <c r="T345" s="18" t="s">
        <v>62</v>
      </c>
      <c r="U345" s="19" t="s">
        <v>1553</v>
      </c>
      <c r="V345" s="18" t="s">
        <v>69</v>
      </c>
    </row>
    <row r="346" spans="1:22">
      <c r="A346" s="15" t="s">
        <v>1554</v>
      </c>
      <c r="B346" s="15" t="s">
        <v>23</v>
      </c>
      <c r="C346" s="15" t="s">
        <v>259</v>
      </c>
      <c r="D346" s="15" t="s">
        <v>65</v>
      </c>
      <c r="E346" s="15" t="s">
        <v>544</v>
      </c>
      <c r="F346" s="15" t="s">
        <v>27</v>
      </c>
      <c r="G346" s="15" t="s">
        <v>28</v>
      </c>
      <c r="H346" s="15" t="s">
        <v>1555</v>
      </c>
      <c r="I346" s="15" t="s">
        <v>138</v>
      </c>
      <c r="J346" s="15" t="s">
        <v>106</v>
      </c>
      <c r="K346" s="15" t="s">
        <v>122</v>
      </c>
      <c r="L346" s="15" t="s">
        <v>263</v>
      </c>
      <c r="M346" s="15">
        <v>20</v>
      </c>
      <c r="N346" s="15">
        <v>45</v>
      </c>
      <c r="O346" s="15">
        <v>15</v>
      </c>
      <c r="P346" s="15">
        <v>765</v>
      </c>
      <c r="Q346" s="15">
        <v>4</v>
      </c>
      <c r="R346" s="15" t="s">
        <v>34</v>
      </c>
      <c r="S346" s="15" t="s">
        <v>151</v>
      </c>
      <c r="T346" s="15" t="s">
        <v>50</v>
      </c>
      <c r="U346" s="17" t="s">
        <v>1556</v>
      </c>
      <c r="V346" s="15" t="s">
        <v>69</v>
      </c>
    </row>
    <row r="347" spans="1:22">
      <c r="A347" s="18" t="s">
        <v>1557</v>
      </c>
      <c r="B347" s="18" t="s">
        <v>251</v>
      </c>
      <c r="C347" s="18" t="s">
        <v>24</v>
      </c>
      <c r="D347" s="18" t="s">
        <v>1286</v>
      </c>
      <c r="E347" s="18" t="s">
        <v>356</v>
      </c>
      <c r="F347" s="18" t="s">
        <v>254</v>
      </c>
      <c r="G347" s="18" t="s">
        <v>28</v>
      </c>
      <c r="H347" s="18" t="s">
        <v>1558</v>
      </c>
      <c r="I347" s="18" t="s">
        <v>44</v>
      </c>
      <c r="J347" s="18" t="s">
        <v>45</v>
      </c>
      <c r="K347" s="18" t="s">
        <v>32</v>
      </c>
      <c r="L347" s="18" t="s">
        <v>33</v>
      </c>
      <c r="M347" s="18">
        <v>13</v>
      </c>
      <c r="N347" s="18">
        <v>2200</v>
      </c>
      <c r="O347" s="18">
        <v>15</v>
      </c>
      <c r="P347" s="18">
        <v>24310</v>
      </c>
      <c r="Q347" s="18">
        <v>2</v>
      </c>
      <c r="R347" s="18" t="s">
        <v>48</v>
      </c>
      <c r="S347" s="18" t="s">
        <v>115</v>
      </c>
      <c r="T347" s="18" t="s">
        <v>256</v>
      </c>
      <c r="U347" s="19" t="s">
        <v>1559</v>
      </c>
      <c r="V347" s="18" t="s">
        <v>64</v>
      </c>
    </row>
    <row r="348" spans="1:22">
      <c r="A348" s="15" t="s">
        <v>1560</v>
      </c>
      <c r="B348" s="15" t="s">
        <v>53</v>
      </c>
      <c r="C348" s="15" t="s">
        <v>1561</v>
      </c>
      <c r="D348" s="15" t="s">
        <v>340</v>
      </c>
      <c r="E348" s="15" t="s">
        <v>346</v>
      </c>
      <c r="F348" s="15" t="s">
        <v>163</v>
      </c>
      <c r="G348" s="15" t="s">
        <v>28</v>
      </c>
      <c r="H348" s="15" t="s">
        <v>1562</v>
      </c>
      <c r="I348" s="15" t="s">
        <v>294</v>
      </c>
      <c r="J348" s="15" t="s">
        <v>295</v>
      </c>
      <c r="K348" s="15" t="s">
        <v>32</v>
      </c>
      <c r="L348" s="15" t="s">
        <v>174</v>
      </c>
      <c r="M348" s="15">
        <v>11</v>
      </c>
      <c r="N348" s="15">
        <v>8500</v>
      </c>
      <c r="O348" s="15">
        <v>5</v>
      </c>
      <c r="P348" s="15">
        <v>88825</v>
      </c>
      <c r="Q348" s="15">
        <v>1</v>
      </c>
      <c r="R348" s="15" t="s">
        <v>88</v>
      </c>
      <c r="S348" s="15" t="s">
        <v>115</v>
      </c>
      <c r="T348" s="15" t="s">
        <v>62</v>
      </c>
      <c r="U348" s="17" t="s">
        <v>1563</v>
      </c>
      <c r="V348" s="15" t="s">
        <v>69</v>
      </c>
    </row>
    <row r="349" spans="1:22">
      <c r="A349" s="18" t="s">
        <v>1564</v>
      </c>
      <c r="B349" s="18" t="s">
        <v>53</v>
      </c>
      <c r="C349" s="18" t="s">
        <v>24</v>
      </c>
      <c r="D349" s="18" t="s">
        <v>1565</v>
      </c>
      <c r="E349" s="18" t="s">
        <v>1475</v>
      </c>
      <c r="F349" s="18" t="s">
        <v>163</v>
      </c>
      <c r="G349" s="18" t="s">
        <v>28</v>
      </c>
      <c r="H349" s="18" t="s">
        <v>1566</v>
      </c>
      <c r="I349" s="18" t="s">
        <v>212</v>
      </c>
      <c r="J349" s="18" t="s">
        <v>45</v>
      </c>
      <c r="K349" s="18" t="s">
        <v>32</v>
      </c>
      <c r="L349" s="18" t="s">
        <v>33</v>
      </c>
      <c r="M349" s="18">
        <v>2</v>
      </c>
      <c r="N349" s="18">
        <v>2200</v>
      </c>
      <c r="O349" s="18">
        <v>0</v>
      </c>
      <c r="P349" s="18">
        <v>4400</v>
      </c>
      <c r="Q349" s="18">
        <v>4</v>
      </c>
      <c r="R349" s="18" t="s">
        <v>88</v>
      </c>
      <c r="S349" s="18" t="s">
        <v>151</v>
      </c>
      <c r="T349" s="18" t="s">
        <v>62</v>
      </c>
      <c r="U349" s="19" t="s">
        <v>1567</v>
      </c>
      <c r="V349" s="18" t="s">
        <v>64</v>
      </c>
    </row>
    <row r="350" spans="1:22">
      <c r="A350" s="15" t="s">
        <v>1568</v>
      </c>
      <c r="B350" s="15" t="s">
        <v>83</v>
      </c>
      <c r="C350" s="15" t="s">
        <v>184</v>
      </c>
      <c r="D350" s="15" t="s">
        <v>1242</v>
      </c>
      <c r="E350" s="15" t="s">
        <v>720</v>
      </c>
      <c r="F350" s="15" t="s">
        <v>180</v>
      </c>
      <c r="G350" s="15" t="s">
        <v>76</v>
      </c>
      <c r="H350" s="15" t="s">
        <v>1569</v>
      </c>
      <c r="I350" s="15" t="s">
        <v>105</v>
      </c>
      <c r="J350" s="15" t="s">
        <v>106</v>
      </c>
      <c r="K350" s="15" t="s">
        <v>46</v>
      </c>
      <c r="L350" s="15" t="s">
        <v>189</v>
      </c>
      <c r="M350" s="15">
        <v>15</v>
      </c>
      <c r="N350" s="15">
        <v>700</v>
      </c>
      <c r="O350" s="15">
        <v>15</v>
      </c>
      <c r="P350" s="15">
        <v>8925</v>
      </c>
      <c r="Q350" s="15">
        <v>3</v>
      </c>
      <c r="R350" s="15" t="s">
        <v>48</v>
      </c>
      <c r="S350" s="15" t="s">
        <v>115</v>
      </c>
      <c r="T350" s="15" t="s">
        <v>89</v>
      </c>
      <c r="U350" s="17" t="s">
        <v>1570</v>
      </c>
      <c r="V350" s="15" t="s">
        <v>38</v>
      </c>
    </row>
    <row r="351" spans="1:22">
      <c r="A351" s="18" t="s">
        <v>1571</v>
      </c>
      <c r="B351" s="18" t="s">
        <v>127</v>
      </c>
      <c r="C351" s="18" t="s">
        <v>24</v>
      </c>
      <c r="D351" s="18" t="s">
        <v>1572</v>
      </c>
      <c r="E351" s="18" t="s">
        <v>835</v>
      </c>
      <c r="F351" s="18" t="s">
        <v>200</v>
      </c>
      <c r="G351" s="18" t="s">
        <v>76</v>
      </c>
      <c r="H351" s="18" t="s">
        <v>1573</v>
      </c>
      <c r="I351" s="18" t="s">
        <v>138</v>
      </c>
      <c r="J351" s="18" t="s">
        <v>106</v>
      </c>
      <c r="K351" s="18" t="s">
        <v>32</v>
      </c>
      <c r="L351" s="18" t="s">
        <v>33</v>
      </c>
      <c r="M351" s="18">
        <v>5</v>
      </c>
      <c r="N351" s="18">
        <v>2200</v>
      </c>
      <c r="O351" s="18">
        <v>15</v>
      </c>
      <c r="P351" s="18">
        <v>9350</v>
      </c>
      <c r="Q351" s="18">
        <v>1</v>
      </c>
      <c r="R351" s="18" t="s">
        <v>48</v>
      </c>
      <c r="S351" s="18" t="s">
        <v>115</v>
      </c>
      <c r="T351" s="18" t="s">
        <v>132</v>
      </c>
      <c r="U351" s="19" t="s">
        <v>1574</v>
      </c>
      <c r="V351" s="18" t="s">
        <v>64</v>
      </c>
    </row>
    <row r="352" spans="1:22">
      <c r="A352" s="15" t="s">
        <v>1575</v>
      </c>
      <c r="B352" s="15" t="s">
        <v>83</v>
      </c>
      <c r="C352" s="15" t="s">
        <v>72</v>
      </c>
      <c r="D352" s="15" t="s">
        <v>554</v>
      </c>
      <c r="E352" s="15" t="s">
        <v>1480</v>
      </c>
      <c r="F352" s="15" t="s">
        <v>180</v>
      </c>
      <c r="G352" s="15" t="s">
        <v>76</v>
      </c>
      <c r="H352" s="15" t="s">
        <v>1576</v>
      </c>
      <c r="I352" s="15" t="s">
        <v>138</v>
      </c>
      <c r="J352" s="15" t="s">
        <v>106</v>
      </c>
      <c r="K352" s="15" t="s">
        <v>46</v>
      </c>
      <c r="L352" s="15" t="s">
        <v>78</v>
      </c>
      <c r="M352" s="15">
        <v>15</v>
      </c>
      <c r="N352" s="15">
        <v>1200</v>
      </c>
      <c r="O352" s="15">
        <v>0</v>
      </c>
      <c r="P352" s="15">
        <v>18000</v>
      </c>
      <c r="Q352" s="15">
        <v>3</v>
      </c>
      <c r="R352" s="15" t="s">
        <v>48</v>
      </c>
      <c r="S352" s="15" t="s">
        <v>61</v>
      </c>
      <c r="T352" s="15" t="s">
        <v>89</v>
      </c>
      <c r="U352" s="17" t="s">
        <v>1577</v>
      </c>
      <c r="V352" s="15" t="s">
        <v>69</v>
      </c>
    </row>
    <row r="353" spans="1:22">
      <c r="A353" s="18" t="s">
        <v>1578</v>
      </c>
      <c r="B353" s="18" t="s">
        <v>251</v>
      </c>
      <c r="C353" s="18" t="s">
        <v>72</v>
      </c>
      <c r="D353" s="18" t="s">
        <v>161</v>
      </c>
      <c r="E353" s="18" t="s">
        <v>657</v>
      </c>
      <c r="F353" s="18" t="s">
        <v>254</v>
      </c>
      <c r="G353" s="18" t="s">
        <v>28</v>
      </c>
      <c r="H353" s="18" t="s">
        <v>1579</v>
      </c>
      <c r="I353" s="18" t="s">
        <v>105</v>
      </c>
      <c r="J353" s="18" t="s">
        <v>106</v>
      </c>
      <c r="K353" s="18" t="s">
        <v>46</v>
      </c>
      <c r="L353" s="18" t="s">
        <v>78</v>
      </c>
      <c r="M353" s="18">
        <v>19</v>
      </c>
      <c r="N353" s="18">
        <v>1200</v>
      </c>
      <c r="O353" s="18">
        <v>0</v>
      </c>
      <c r="P353" s="18">
        <v>22800</v>
      </c>
      <c r="Q353" s="18">
        <v>1</v>
      </c>
      <c r="R353" s="18" t="s">
        <v>34</v>
      </c>
      <c r="S353" s="18" t="s">
        <v>49</v>
      </c>
      <c r="T353" s="18" t="s">
        <v>256</v>
      </c>
      <c r="U353" s="19" t="s">
        <v>1580</v>
      </c>
      <c r="V353" s="18" t="s">
        <v>69</v>
      </c>
    </row>
    <row r="354" spans="1:22">
      <c r="A354" s="15" t="s">
        <v>1581</v>
      </c>
      <c r="B354" s="15" t="s">
        <v>168</v>
      </c>
      <c r="C354" s="15" t="s">
        <v>40</v>
      </c>
      <c r="D354" s="15" t="s">
        <v>25</v>
      </c>
      <c r="E354" s="15" t="s">
        <v>1582</v>
      </c>
      <c r="F354" s="15" t="s">
        <v>361</v>
      </c>
      <c r="G354" s="15" t="s">
        <v>28</v>
      </c>
      <c r="H354" s="15" t="s">
        <v>1583</v>
      </c>
      <c r="I354" s="15" t="s">
        <v>105</v>
      </c>
      <c r="J354" s="15" t="s">
        <v>106</v>
      </c>
      <c r="K354" s="15" t="s">
        <v>46</v>
      </c>
      <c r="L354" s="15" t="s">
        <v>47</v>
      </c>
      <c r="M354" s="15">
        <v>9</v>
      </c>
      <c r="N354" s="15">
        <v>12000</v>
      </c>
      <c r="O354" s="15">
        <v>15</v>
      </c>
      <c r="P354" s="15">
        <v>91800</v>
      </c>
      <c r="Q354" s="15">
        <v>3</v>
      </c>
      <c r="R354" s="15" t="s">
        <v>88</v>
      </c>
      <c r="S354" s="15" t="s">
        <v>49</v>
      </c>
      <c r="T354" s="15" t="s">
        <v>175</v>
      </c>
      <c r="U354" s="17" t="s">
        <v>1584</v>
      </c>
      <c r="V354" s="15" t="s">
        <v>69</v>
      </c>
    </row>
    <row r="355" spans="1:22">
      <c r="A355" s="18" t="s">
        <v>1585</v>
      </c>
      <c r="B355" s="18" t="s">
        <v>23</v>
      </c>
      <c r="C355" s="18" t="s">
        <v>259</v>
      </c>
      <c r="D355" s="18" t="s">
        <v>345</v>
      </c>
      <c r="E355" s="18" t="s">
        <v>793</v>
      </c>
      <c r="F355" s="18" t="s">
        <v>27</v>
      </c>
      <c r="G355" s="18" t="s">
        <v>28</v>
      </c>
      <c r="H355" s="18" t="s">
        <v>1586</v>
      </c>
      <c r="I355" s="18" t="s">
        <v>212</v>
      </c>
      <c r="J355" s="18" t="s">
        <v>45</v>
      </c>
      <c r="K355" s="18" t="s">
        <v>122</v>
      </c>
      <c r="L355" s="18" t="s">
        <v>263</v>
      </c>
      <c r="M355" s="18">
        <v>5</v>
      </c>
      <c r="N355" s="18">
        <v>45</v>
      </c>
      <c r="O355" s="18">
        <v>5</v>
      </c>
      <c r="P355" s="18">
        <v>213.75</v>
      </c>
      <c r="Q355" s="18">
        <v>1</v>
      </c>
      <c r="R355" s="18" t="s">
        <v>79</v>
      </c>
      <c r="S355" s="18" t="s">
        <v>115</v>
      </c>
      <c r="T355" s="18" t="s">
        <v>50</v>
      </c>
      <c r="U355" s="19" t="s">
        <v>1587</v>
      </c>
      <c r="V355" s="18" t="s">
        <v>38</v>
      </c>
    </row>
    <row r="356" spans="1:22">
      <c r="A356" s="15" t="s">
        <v>1588</v>
      </c>
      <c r="B356" s="15" t="s">
        <v>251</v>
      </c>
      <c r="C356" s="15" t="s">
        <v>184</v>
      </c>
      <c r="D356" s="15" t="s">
        <v>1589</v>
      </c>
      <c r="E356" s="15" t="s">
        <v>1373</v>
      </c>
      <c r="F356" s="15" t="s">
        <v>254</v>
      </c>
      <c r="G356" s="15" t="s">
        <v>28</v>
      </c>
      <c r="H356" s="15" t="s">
        <v>1590</v>
      </c>
      <c r="I356" s="15" t="s">
        <v>105</v>
      </c>
      <c r="J356" s="15" t="s">
        <v>106</v>
      </c>
      <c r="K356" s="15" t="s">
        <v>46</v>
      </c>
      <c r="L356" s="15" t="s">
        <v>189</v>
      </c>
      <c r="M356" s="15">
        <v>3</v>
      </c>
      <c r="N356" s="15">
        <v>700</v>
      </c>
      <c r="O356" s="15">
        <v>15</v>
      </c>
      <c r="P356" s="15">
        <v>1785</v>
      </c>
      <c r="Q356" s="15">
        <v>4</v>
      </c>
      <c r="R356" s="15" t="s">
        <v>34</v>
      </c>
      <c r="S356" s="15" t="s">
        <v>151</v>
      </c>
      <c r="T356" s="15" t="s">
        <v>256</v>
      </c>
      <c r="U356" s="17" t="s">
        <v>1591</v>
      </c>
      <c r="V356" s="15" t="s">
        <v>38</v>
      </c>
    </row>
    <row r="357" spans="1:22">
      <c r="A357" s="18" t="s">
        <v>1592</v>
      </c>
      <c r="B357" s="18" t="s">
        <v>71</v>
      </c>
      <c r="C357" s="18" t="s">
        <v>169</v>
      </c>
      <c r="D357" s="18" t="s">
        <v>454</v>
      </c>
      <c r="E357" s="18" t="s">
        <v>961</v>
      </c>
      <c r="F357" s="18" t="s">
        <v>217</v>
      </c>
      <c r="G357" s="18" t="s">
        <v>76</v>
      </c>
      <c r="H357" s="18" t="s">
        <v>1593</v>
      </c>
      <c r="I357" s="18" t="s">
        <v>212</v>
      </c>
      <c r="J357" s="18" t="s">
        <v>45</v>
      </c>
      <c r="K357" s="18" t="s">
        <v>32</v>
      </c>
      <c r="L357" s="18" t="s">
        <v>174</v>
      </c>
      <c r="M357" s="18">
        <v>12</v>
      </c>
      <c r="N357" s="18">
        <v>8500</v>
      </c>
      <c r="O357" s="18">
        <v>5</v>
      </c>
      <c r="P357" s="18">
        <v>96900</v>
      </c>
      <c r="Q357" s="18">
        <v>3</v>
      </c>
      <c r="R357" s="18" t="s">
        <v>79</v>
      </c>
      <c r="S357" s="18" t="s">
        <v>61</v>
      </c>
      <c r="T357" s="18" t="s">
        <v>80</v>
      </c>
      <c r="U357" s="19" t="s">
        <v>1594</v>
      </c>
      <c r="V357" s="18" t="s">
        <v>64</v>
      </c>
    </row>
    <row r="358" spans="1:22">
      <c r="A358" s="15" t="s">
        <v>1595</v>
      </c>
      <c r="B358" s="15" t="s">
        <v>251</v>
      </c>
      <c r="C358" s="15" t="s">
        <v>169</v>
      </c>
      <c r="D358" s="15" t="s">
        <v>162</v>
      </c>
      <c r="E358" s="15" t="s">
        <v>356</v>
      </c>
      <c r="F358" s="15" t="s">
        <v>254</v>
      </c>
      <c r="G358" s="15" t="s">
        <v>28</v>
      </c>
      <c r="H358" s="15" t="s">
        <v>1596</v>
      </c>
      <c r="I358" s="15" t="s">
        <v>114</v>
      </c>
      <c r="J358" s="15" t="s">
        <v>106</v>
      </c>
      <c r="K358" s="15" t="s">
        <v>32</v>
      </c>
      <c r="L358" s="15" t="s">
        <v>174</v>
      </c>
      <c r="M358" s="15">
        <v>4</v>
      </c>
      <c r="N358" s="15">
        <v>8500</v>
      </c>
      <c r="O358" s="15">
        <v>15</v>
      </c>
      <c r="P358" s="15">
        <v>28900</v>
      </c>
      <c r="Q358" s="15">
        <v>4</v>
      </c>
      <c r="R358" s="15" t="s">
        <v>48</v>
      </c>
      <c r="S358" s="15" t="s">
        <v>61</v>
      </c>
      <c r="T358" s="15" t="s">
        <v>256</v>
      </c>
      <c r="U358" s="17" t="s">
        <v>1597</v>
      </c>
      <c r="V358" s="15" t="s">
        <v>64</v>
      </c>
    </row>
    <row r="359" spans="1:22">
      <c r="A359" s="18" t="s">
        <v>1598</v>
      </c>
      <c r="B359" s="18" t="s">
        <v>127</v>
      </c>
      <c r="C359" s="18" t="s">
        <v>222</v>
      </c>
      <c r="D359" s="18" t="s">
        <v>102</v>
      </c>
      <c r="E359" s="18" t="s">
        <v>953</v>
      </c>
      <c r="F359" s="18" t="s">
        <v>200</v>
      </c>
      <c r="G359" s="18" t="s">
        <v>76</v>
      </c>
      <c r="H359" s="18" t="s">
        <v>1599</v>
      </c>
      <c r="I359" s="18" t="s">
        <v>212</v>
      </c>
      <c r="J359" s="18" t="s">
        <v>45</v>
      </c>
      <c r="K359" s="18" t="s">
        <v>122</v>
      </c>
      <c r="L359" s="18" t="s">
        <v>227</v>
      </c>
      <c r="M359" s="18">
        <v>16</v>
      </c>
      <c r="N359" s="18">
        <v>20</v>
      </c>
      <c r="O359" s="18">
        <v>10</v>
      </c>
      <c r="P359" s="18">
        <v>288</v>
      </c>
      <c r="Q359" s="18">
        <v>4</v>
      </c>
      <c r="R359" s="18" t="s">
        <v>34</v>
      </c>
      <c r="S359" s="18" t="s">
        <v>115</v>
      </c>
      <c r="T359" s="18" t="s">
        <v>132</v>
      </c>
      <c r="U359" s="19" t="s">
        <v>1600</v>
      </c>
      <c r="V359" s="18" t="s">
        <v>69</v>
      </c>
    </row>
    <row r="360" spans="1:22">
      <c r="A360" s="15" t="s">
        <v>1601</v>
      </c>
      <c r="B360" s="15" t="s">
        <v>127</v>
      </c>
      <c r="C360" s="15" t="s">
        <v>118</v>
      </c>
      <c r="D360" s="15" t="s">
        <v>601</v>
      </c>
      <c r="E360" s="15" t="s">
        <v>1602</v>
      </c>
      <c r="F360" s="15" t="s">
        <v>200</v>
      </c>
      <c r="G360" s="15" t="s">
        <v>76</v>
      </c>
      <c r="H360" s="15" t="s">
        <v>1603</v>
      </c>
      <c r="I360" s="15" t="s">
        <v>105</v>
      </c>
      <c r="J360" s="15" t="s">
        <v>106</v>
      </c>
      <c r="K360" s="15" t="s">
        <v>122</v>
      </c>
      <c r="L360" s="15" t="s">
        <v>123</v>
      </c>
      <c r="M360" s="15">
        <v>3</v>
      </c>
      <c r="N360" s="15">
        <v>60</v>
      </c>
      <c r="O360" s="15">
        <v>20</v>
      </c>
      <c r="P360" s="15">
        <v>144</v>
      </c>
      <c r="Q360" s="15">
        <v>4</v>
      </c>
      <c r="R360" s="15" t="s">
        <v>88</v>
      </c>
      <c r="S360" s="15" t="s">
        <v>151</v>
      </c>
      <c r="T360" s="15" t="s">
        <v>132</v>
      </c>
      <c r="U360" s="17" t="s">
        <v>1604</v>
      </c>
      <c r="V360" s="15" t="s">
        <v>64</v>
      </c>
    </row>
    <row r="361" spans="1:22">
      <c r="A361" s="18" t="s">
        <v>1605</v>
      </c>
      <c r="B361" s="18" t="s">
        <v>71</v>
      </c>
      <c r="C361" s="18" t="s">
        <v>24</v>
      </c>
      <c r="D361" s="18" t="s">
        <v>1106</v>
      </c>
      <c r="E361" s="18" t="s">
        <v>155</v>
      </c>
      <c r="F361" s="18" t="s">
        <v>217</v>
      </c>
      <c r="G361" s="18" t="s">
        <v>76</v>
      </c>
      <c r="H361" s="18" t="s">
        <v>1606</v>
      </c>
      <c r="I361" s="18" t="s">
        <v>105</v>
      </c>
      <c r="J361" s="18" t="s">
        <v>106</v>
      </c>
      <c r="K361" s="18" t="s">
        <v>32</v>
      </c>
      <c r="L361" s="18" t="s">
        <v>33</v>
      </c>
      <c r="M361" s="18">
        <v>19</v>
      </c>
      <c r="N361" s="18">
        <v>2200</v>
      </c>
      <c r="O361" s="18">
        <v>10</v>
      </c>
      <c r="P361" s="18">
        <v>37620</v>
      </c>
      <c r="Q361" s="18">
        <v>2</v>
      </c>
      <c r="R361" s="18" t="s">
        <v>34</v>
      </c>
      <c r="S361" s="18" t="s">
        <v>151</v>
      </c>
      <c r="T361" s="18" t="s">
        <v>80</v>
      </c>
      <c r="U361" s="19" t="s">
        <v>1607</v>
      </c>
      <c r="V361" s="18" t="s">
        <v>64</v>
      </c>
    </row>
    <row r="362" spans="1:22">
      <c r="A362" s="15" t="s">
        <v>1608</v>
      </c>
      <c r="B362" s="15" t="s">
        <v>71</v>
      </c>
      <c r="C362" s="15" t="s">
        <v>72</v>
      </c>
      <c r="D362" s="15" t="s">
        <v>1609</v>
      </c>
      <c r="E362" s="15" t="s">
        <v>588</v>
      </c>
      <c r="F362" s="15" t="s">
        <v>217</v>
      </c>
      <c r="G362" s="15" t="s">
        <v>76</v>
      </c>
      <c r="H362" s="15" t="s">
        <v>1610</v>
      </c>
      <c r="I362" s="15" t="s">
        <v>30</v>
      </c>
      <c r="J362" s="15" t="s">
        <v>31</v>
      </c>
      <c r="K362" s="15" t="s">
        <v>46</v>
      </c>
      <c r="L362" s="15" t="s">
        <v>78</v>
      </c>
      <c r="M362" s="15">
        <v>7</v>
      </c>
      <c r="N362" s="15">
        <v>1200</v>
      </c>
      <c r="O362" s="15">
        <v>20</v>
      </c>
      <c r="P362" s="15">
        <v>6720</v>
      </c>
      <c r="Q362" s="15">
        <v>3</v>
      </c>
      <c r="R362" s="15" t="s">
        <v>79</v>
      </c>
      <c r="S362" s="15" t="s">
        <v>115</v>
      </c>
      <c r="T362" s="15" t="s">
        <v>80</v>
      </c>
      <c r="U362" s="17" t="s">
        <v>1611</v>
      </c>
      <c r="V362" s="15" t="s">
        <v>69</v>
      </c>
    </row>
    <row r="363" spans="1:22">
      <c r="A363" s="18" t="s">
        <v>1612</v>
      </c>
      <c r="B363" s="18" t="s">
        <v>53</v>
      </c>
      <c r="C363" s="18" t="s">
        <v>222</v>
      </c>
      <c r="D363" s="18" t="s">
        <v>543</v>
      </c>
      <c r="E363" s="18" t="s">
        <v>65</v>
      </c>
      <c r="F363" s="18" t="s">
        <v>163</v>
      </c>
      <c r="G363" s="18" t="s">
        <v>28</v>
      </c>
      <c r="H363" s="18" t="s">
        <v>1613</v>
      </c>
      <c r="I363" s="18" t="s">
        <v>59</v>
      </c>
      <c r="J363" s="18" t="s">
        <v>31</v>
      </c>
      <c r="K363" s="18" t="s">
        <v>122</v>
      </c>
      <c r="L363" s="18" t="s">
        <v>227</v>
      </c>
      <c r="M363" s="18">
        <v>20</v>
      </c>
      <c r="N363" s="18">
        <v>20</v>
      </c>
      <c r="O363" s="18">
        <v>20</v>
      </c>
      <c r="P363" s="18">
        <v>320</v>
      </c>
      <c r="Q363" s="18">
        <v>5</v>
      </c>
      <c r="R363" s="18" t="s">
        <v>79</v>
      </c>
      <c r="S363" s="18" t="s">
        <v>115</v>
      </c>
      <c r="T363" s="18" t="s">
        <v>62</v>
      </c>
      <c r="U363" s="19" t="s">
        <v>1614</v>
      </c>
      <c r="V363" s="18" t="s">
        <v>64</v>
      </c>
    </row>
    <row r="364" spans="1:22">
      <c r="A364" s="15" t="s">
        <v>1615</v>
      </c>
      <c r="B364" s="15" t="s">
        <v>100</v>
      </c>
      <c r="C364" s="15" t="s">
        <v>72</v>
      </c>
      <c r="D364" s="15" t="s">
        <v>210</v>
      </c>
      <c r="E364" s="15" t="s">
        <v>1616</v>
      </c>
      <c r="F364" s="15" t="s">
        <v>103</v>
      </c>
      <c r="G364" s="15" t="s">
        <v>28</v>
      </c>
      <c r="H364" s="15" t="s">
        <v>1617</v>
      </c>
      <c r="I364" s="15" t="s">
        <v>30</v>
      </c>
      <c r="J364" s="15" t="s">
        <v>31</v>
      </c>
      <c r="K364" s="15" t="s">
        <v>46</v>
      </c>
      <c r="L364" s="15" t="s">
        <v>78</v>
      </c>
      <c r="M364" s="15">
        <v>19</v>
      </c>
      <c r="N364" s="15">
        <v>1200</v>
      </c>
      <c r="O364" s="15">
        <v>5</v>
      </c>
      <c r="P364" s="15">
        <v>21660</v>
      </c>
      <c r="Q364" s="15">
        <v>3</v>
      </c>
      <c r="R364" s="15" t="s">
        <v>79</v>
      </c>
      <c r="S364" s="15" t="s">
        <v>35</v>
      </c>
      <c r="T364" s="15" t="s">
        <v>144</v>
      </c>
      <c r="U364" s="17" t="s">
        <v>1618</v>
      </c>
      <c r="V364" s="15" t="s">
        <v>64</v>
      </c>
    </row>
    <row r="365" spans="1:22">
      <c r="A365" s="18" t="s">
        <v>1619</v>
      </c>
      <c r="B365" s="18" t="s">
        <v>53</v>
      </c>
      <c r="C365" s="18" t="s">
        <v>222</v>
      </c>
      <c r="D365" s="18" t="s">
        <v>1620</v>
      </c>
      <c r="E365" s="18" t="s">
        <v>302</v>
      </c>
      <c r="F365" s="18" t="s">
        <v>163</v>
      </c>
      <c r="G365" s="18" t="s">
        <v>28</v>
      </c>
      <c r="H365" s="18" t="s">
        <v>1621</v>
      </c>
      <c r="I365" s="18" t="s">
        <v>30</v>
      </c>
      <c r="J365" s="18" t="s">
        <v>31</v>
      </c>
      <c r="K365" s="18" t="s">
        <v>122</v>
      </c>
      <c r="L365" s="18" t="s">
        <v>227</v>
      </c>
      <c r="M365" s="18">
        <v>5</v>
      </c>
      <c r="N365" s="18">
        <v>20</v>
      </c>
      <c r="O365" s="18">
        <v>0</v>
      </c>
      <c r="P365" s="18">
        <v>100</v>
      </c>
      <c r="Q365" s="18">
        <v>2</v>
      </c>
      <c r="R365" s="18" t="s">
        <v>88</v>
      </c>
      <c r="S365" s="18" t="s">
        <v>49</v>
      </c>
      <c r="T365" s="18" t="s">
        <v>62</v>
      </c>
      <c r="U365" s="19" t="s">
        <v>1622</v>
      </c>
      <c r="V365" s="18" t="s">
        <v>64</v>
      </c>
    </row>
    <row r="366" spans="1:22">
      <c r="A366" s="15" t="s">
        <v>1623</v>
      </c>
      <c r="B366" s="15" t="s">
        <v>100</v>
      </c>
      <c r="C366" s="15" t="s">
        <v>259</v>
      </c>
      <c r="D366" s="15" t="s">
        <v>797</v>
      </c>
      <c r="E366" s="15" t="s">
        <v>543</v>
      </c>
      <c r="F366" s="15" t="s">
        <v>103</v>
      </c>
      <c r="G366" s="15" t="s">
        <v>28</v>
      </c>
      <c r="H366" s="15" t="s">
        <v>1624</v>
      </c>
      <c r="I366" s="15" t="s">
        <v>212</v>
      </c>
      <c r="J366" s="15" t="s">
        <v>45</v>
      </c>
      <c r="K366" s="15" t="s">
        <v>122</v>
      </c>
      <c r="L366" s="15" t="s">
        <v>263</v>
      </c>
      <c r="M366" s="15">
        <v>16</v>
      </c>
      <c r="N366" s="15">
        <v>45</v>
      </c>
      <c r="O366" s="15">
        <v>15</v>
      </c>
      <c r="P366" s="15">
        <v>612</v>
      </c>
      <c r="Q366" s="15">
        <v>5</v>
      </c>
      <c r="R366" s="15" t="s">
        <v>34</v>
      </c>
      <c r="S366" s="15" t="s">
        <v>61</v>
      </c>
      <c r="T366" s="15" t="s">
        <v>144</v>
      </c>
      <c r="U366" s="17" t="s">
        <v>1625</v>
      </c>
      <c r="V366" s="15" t="s">
        <v>69</v>
      </c>
    </row>
    <row r="367" spans="1:22">
      <c r="A367" s="18" t="s">
        <v>1626</v>
      </c>
      <c r="B367" s="18" t="s">
        <v>23</v>
      </c>
      <c r="C367" s="18" t="s">
        <v>24</v>
      </c>
      <c r="D367" s="18" t="s">
        <v>1263</v>
      </c>
      <c r="E367" s="18" t="s">
        <v>944</v>
      </c>
      <c r="F367" s="18" t="s">
        <v>27</v>
      </c>
      <c r="G367" s="18" t="s">
        <v>28</v>
      </c>
      <c r="H367" s="18" t="s">
        <v>1627</v>
      </c>
      <c r="I367" s="18" t="s">
        <v>212</v>
      </c>
      <c r="J367" s="18" t="s">
        <v>45</v>
      </c>
      <c r="K367" s="18" t="s">
        <v>32</v>
      </c>
      <c r="L367" s="18" t="s">
        <v>33</v>
      </c>
      <c r="M367" s="18">
        <v>1</v>
      </c>
      <c r="N367" s="18">
        <v>2200</v>
      </c>
      <c r="O367" s="18">
        <v>10</v>
      </c>
      <c r="P367" s="18">
        <v>1980</v>
      </c>
      <c r="Q367" s="18">
        <v>5</v>
      </c>
      <c r="R367" s="18" t="s">
        <v>79</v>
      </c>
      <c r="S367" s="18" t="s">
        <v>49</v>
      </c>
      <c r="T367" s="18" t="s">
        <v>50</v>
      </c>
      <c r="U367" s="19" t="s">
        <v>1628</v>
      </c>
      <c r="V367" s="18" t="s">
        <v>38</v>
      </c>
    </row>
    <row r="368" spans="1:22">
      <c r="A368" s="15" t="s">
        <v>1629</v>
      </c>
      <c r="B368" s="15" t="s">
        <v>53</v>
      </c>
      <c r="C368" s="15" t="s">
        <v>118</v>
      </c>
      <c r="D368" s="15" t="s">
        <v>891</v>
      </c>
      <c r="E368" s="15" t="s">
        <v>1630</v>
      </c>
      <c r="F368" s="15" t="s">
        <v>163</v>
      </c>
      <c r="G368" s="15" t="s">
        <v>28</v>
      </c>
      <c r="H368" s="15" t="s">
        <v>1631</v>
      </c>
      <c r="I368" s="15" t="s">
        <v>30</v>
      </c>
      <c r="J368" s="15" t="s">
        <v>31</v>
      </c>
      <c r="K368" s="15" t="s">
        <v>122</v>
      </c>
      <c r="L368" s="15" t="s">
        <v>123</v>
      </c>
      <c r="M368" s="15">
        <v>19</v>
      </c>
      <c r="N368" s="15">
        <v>60</v>
      </c>
      <c r="O368" s="15">
        <v>15</v>
      </c>
      <c r="P368" s="15">
        <v>969</v>
      </c>
      <c r="Q368" s="15">
        <v>4</v>
      </c>
      <c r="R368" s="15" t="s">
        <v>48</v>
      </c>
      <c r="S368" s="15" t="s">
        <v>115</v>
      </c>
      <c r="T368" s="15" t="s">
        <v>62</v>
      </c>
      <c r="U368" s="17" t="s">
        <v>1632</v>
      </c>
      <c r="V368" s="15" t="s">
        <v>69</v>
      </c>
    </row>
    <row r="369" spans="1:22">
      <c r="A369" s="18" t="s">
        <v>1633</v>
      </c>
      <c r="B369" s="18" t="s">
        <v>327</v>
      </c>
      <c r="C369" s="18" t="s">
        <v>54</v>
      </c>
      <c r="D369" s="18" t="s">
        <v>64</v>
      </c>
      <c r="E369" s="18" t="s">
        <v>1634</v>
      </c>
      <c r="F369" s="18" t="s">
        <v>394</v>
      </c>
      <c r="G369" s="18" t="s">
        <v>76</v>
      </c>
      <c r="H369" s="18" t="s">
        <v>1635</v>
      </c>
      <c r="I369" s="18" t="s">
        <v>44</v>
      </c>
      <c r="J369" s="18" t="s">
        <v>45</v>
      </c>
      <c r="K369" s="18" t="s">
        <v>46</v>
      </c>
      <c r="L369" s="18" t="s">
        <v>60</v>
      </c>
      <c r="M369" s="18">
        <v>15</v>
      </c>
      <c r="N369" s="18">
        <v>55000</v>
      </c>
      <c r="O369" s="18">
        <v>0</v>
      </c>
      <c r="P369" s="18">
        <v>825000</v>
      </c>
      <c r="Q369" s="18">
        <v>5</v>
      </c>
      <c r="R369" s="18" t="s">
        <v>79</v>
      </c>
      <c r="S369" s="18" t="s">
        <v>115</v>
      </c>
      <c r="T369" s="18" t="s">
        <v>332</v>
      </c>
      <c r="U369" s="19" t="s">
        <v>1636</v>
      </c>
      <c r="V369" s="18" t="s">
        <v>69</v>
      </c>
    </row>
    <row r="370" spans="1:22">
      <c r="A370" s="15" t="s">
        <v>1637</v>
      </c>
      <c r="B370" s="15" t="s">
        <v>71</v>
      </c>
      <c r="C370" s="15" t="s">
        <v>259</v>
      </c>
      <c r="D370" s="15" t="s">
        <v>941</v>
      </c>
      <c r="E370" s="15" t="s">
        <v>1638</v>
      </c>
      <c r="F370" s="15" t="s">
        <v>217</v>
      </c>
      <c r="G370" s="15" t="s">
        <v>76</v>
      </c>
      <c r="H370" s="15" t="s">
        <v>1639</v>
      </c>
      <c r="I370" s="15" t="s">
        <v>59</v>
      </c>
      <c r="J370" s="15" t="s">
        <v>31</v>
      </c>
      <c r="K370" s="15" t="s">
        <v>122</v>
      </c>
      <c r="L370" s="15" t="s">
        <v>263</v>
      </c>
      <c r="M370" s="15">
        <v>11</v>
      </c>
      <c r="N370" s="15">
        <v>45</v>
      </c>
      <c r="O370" s="15">
        <v>5</v>
      </c>
      <c r="P370" s="15">
        <v>470.25</v>
      </c>
      <c r="Q370" s="15">
        <v>5</v>
      </c>
      <c r="R370" s="15" t="s">
        <v>48</v>
      </c>
      <c r="S370" s="15" t="s">
        <v>151</v>
      </c>
      <c r="T370" s="15" t="s">
        <v>80</v>
      </c>
      <c r="U370" s="17" t="s">
        <v>1640</v>
      </c>
      <c r="V370" s="15" t="s">
        <v>38</v>
      </c>
    </row>
    <row r="371" spans="1:22">
      <c r="A371" s="18" t="s">
        <v>1641</v>
      </c>
      <c r="B371" s="18" t="s">
        <v>251</v>
      </c>
      <c r="C371" s="18" t="s">
        <v>222</v>
      </c>
      <c r="D371" s="18" t="s">
        <v>1642</v>
      </c>
      <c r="E371" s="18" t="s">
        <v>1643</v>
      </c>
      <c r="F371" s="18" t="s">
        <v>254</v>
      </c>
      <c r="G371" s="18" t="s">
        <v>28</v>
      </c>
      <c r="H371" s="18" t="s">
        <v>1644</v>
      </c>
      <c r="I371" s="18" t="s">
        <v>212</v>
      </c>
      <c r="J371" s="18" t="s">
        <v>45</v>
      </c>
      <c r="K371" s="18" t="s">
        <v>122</v>
      </c>
      <c r="L371" s="18" t="s">
        <v>227</v>
      </c>
      <c r="M371" s="18">
        <v>9</v>
      </c>
      <c r="N371" s="18">
        <v>20</v>
      </c>
      <c r="O371" s="18">
        <v>10</v>
      </c>
      <c r="P371" s="18">
        <v>162</v>
      </c>
      <c r="Q371" s="18">
        <v>1</v>
      </c>
      <c r="R371" s="18" t="s">
        <v>79</v>
      </c>
      <c r="S371" s="18" t="s">
        <v>49</v>
      </c>
      <c r="T371" s="18" t="s">
        <v>256</v>
      </c>
      <c r="U371" s="19" t="s">
        <v>1645</v>
      </c>
      <c r="V371" s="18" t="s">
        <v>69</v>
      </c>
    </row>
    <row r="372" spans="1:22">
      <c r="A372" s="15" t="s">
        <v>1646</v>
      </c>
      <c r="B372" s="15" t="s">
        <v>168</v>
      </c>
      <c r="C372" s="15" t="s">
        <v>259</v>
      </c>
      <c r="D372" s="15" t="s">
        <v>645</v>
      </c>
      <c r="E372" s="15" t="s">
        <v>980</v>
      </c>
      <c r="F372" s="15" t="s">
        <v>361</v>
      </c>
      <c r="G372" s="15" t="s">
        <v>28</v>
      </c>
      <c r="H372" s="15" t="s">
        <v>1647</v>
      </c>
      <c r="I372" s="15" t="s">
        <v>59</v>
      </c>
      <c r="J372" s="15" t="s">
        <v>31</v>
      </c>
      <c r="K372" s="15" t="s">
        <v>122</v>
      </c>
      <c r="L372" s="15" t="s">
        <v>263</v>
      </c>
      <c r="M372" s="15">
        <v>5</v>
      </c>
      <c r="N372" s="15">
        <v>45</v>
      </c>
      <c r="O372" s="15">
        <v>5</v>
      </c>
      <c r="P372" s="15">
        <v>213.75</v>
      </c>
      <c r="Q372" s="15">
        <v>3</v>
      </c>
      <c r="R372" s="15" t="s">
        <v>79</v>
      </c>
      <c r="S372" s="15" t="s">
        <v>115</v>
      </c>
      <c r="T372" s="15" t="s">
        <v>175</v>
      </c>
      <c r="U372" s="17" t="s">
        <v>1648</v>
      </c>
      <c r="V372" s="15" t="s">
        <v>64</v>
      </c>
    </row>
    <row r="373" spans="1:22">
      <c r="A373" s="18" t="s">
        <v>1649</v>
      </c>
      <c r="B373" s="18" t="s">
        <v>83</v>
      </c>
      <c r="C373" s="18" t="s">
        <v>184</v>
      </c>
      <c r="D373" s="18" t="s">
        <v>1650</v>
      </c>
      <c r="E373" s="18" t="s">
        <v>1102</v>
      </c>
      <c r="F373" s="18" t="s">
        <v>180</v>
      </c>
      <c r="G373" s="18" t="s">
        <v>76</v>
      </c>
      <c r="H373" s="18" t="s">
        <v>1651</v>
      </c>
      <c r="I373" s="18" t="s">
        <v>30</v>
      </c>
      <c r="J373" s="18" t="s">
        <v>31</v>
      </c>
      <c r="K373" s="18" t="s">
        <v>46</v>
      </c>
      <c r="L373" s="18" t="s">
        <v>189</v>
      </c>
      <c r="M373" s="18">
        <v>5</v>
      </c>
      <c r="N373" s="18">
        <v>700</v>
      </c>
      <c r="O373" s="18">
        <v>10</v>
      </c>
      <c r="P373" s="18">
        <v>3150</v>
      </c>
      <c r="Q373" s="18">
        <v>2</v>
      </c>
      <c r="R373" s="18" t="s">
        <v>88</v>
      </c>
      <c r="S373" s="18" t="s">
        <v>49</v>
      </c>
      <c r="T373" s="18" t="s">
        <v>89</v>
      </c>
      <c r="U373" s="19" t="s">
        <v>1652</v>
      </c>
      <c r="V373" s="18" t="s">
        <v>38</v>
      </c>
    </row>
    <row r="374" spans="1:22">
      <c r="A374" s="15" t="s">
        <v>1653</v>
      </c>
      <c r="B374" s="15" t="s">
        <v>221</v>
      </c>
      <c r="C374" s="15" t="s">
        <v>184</v>
      </c>
      <c r="D374" s="15" t="s">
        <v>957</v>
      </c>
      <c r="E374" s="15" t="s">
        <v>1654</v>
      </c>
      <c r="F374" s="15" t="s">
        <v>225</v>
      </c>
      <c r="G374" s="15" t="s">
        <v>76</v>
      </c>
      <c r="H374" s="15" t="s">
        <v>1655</v>
      </c>
      <c r="I374" s="15" t="s">
        <v>294</v>
      </c>
      <c r="J374" s="15" t="s">
        <v>295</v>
      </c>
      <c r="K374" s="15" t="s">
        <v>46</v>
      </c>
      <c r="L374" s="15" t="s">
        <v>189</v>
      </c>
      <c r="M374" s="15">
        <v>1</v>
      </c>
      <c r="N374" s="15">
        <v>700</v>
      </c>
      <c r="O374" s="15">
        <v>0</v>
      </c>
      <c r="P374" s="15">
        <v>700</v>
      </c>
      <c r="Q374" s="15">
        <v>1</v>
      </c>
      <c r="R374" s="15" t="s">
        <v>88</v>
      </c>
      <c r="S374" s="15" t="s">
        <v>151</v>
      </c>
      <c r="T374" s="15" t="s">
        <v>228</v>
      </c>
      <c r="U374" s="17" t="s">
        <v>1656</v>
      </c>
      <c r="V374" s="15" t="s">
        <v>38</v>
      </c>
    </row>
    <row r="375" spans="1:22">
      <c r="A375" s="18" t="s">
        <v>1657</v>
      </c>
      <c r="B375" s="18" t="s">
        <v>23</v>
      </c>
      <c r="C375" s="18" t="s">
        <v>184</v>
      </c>
      <c r="D375" s="18" t="s">
        <v>1368</v>
      </c>
      <c r="E375" s="18" t="s">
        <v>923</v>
      </c>
      <c r="F375" s="18" t="s">
        <v>27</v>
      </c>
      <c r="G375" s="18" t="s">
        <v>28</v>
      </c>
      <c r="H375" s="18" t="s">
        <v>1658</v>
      </c>
      <c r="I375" s="18" t="s">
        <v>105</v>
      </c>
      <c r="J375" s="18" t="s">
        <v>106</v>
      </c>
      <c r="K375" s="18" t="s">
        <v>46</v>
      </c>
      <c r="L375" s="18" t="s">
        <v>189</v>
      </c>
      <c r="M375" s="18">
        <v>13</v>
      </c>
      <c r="N375" s="18">
        <v>700</v>
      </c>
      <c r="O375" s="18">
        <v>20</v>
      </c>
      <c r="P375" s="18">
        <v>7280</v>
      </c>
      <c r="Q375" s="18">
        <v>2</v>
      </c>
      <c r="R375" s="18" t="s">
        <v>79</v>
      </c>
      <c r="S375" s="18" t="s">
        <v>35</v>
      </c>
      <c r="T375" s="18" t="s">
        <v>50</v>
      </c>
      <c r="U375" s="19" t="s">
        <v>1659</v>
      </c>
      <c r="V375" s="18" t="s">
        <v>38</v>
      </c>
    </row>
    <row r="376" spans="1:22">
      <c r="A376" s="15" t="s">
        <v>1660</v>
      </c>
      <c r="B376" s="15" t="s">
        <v>71</v>
      </c>
      <c r="C376" s="15" t="s">
        <v>40</v>
      </c>
      <c r="D376" s="15" t="s">
        <v>1153</v>
      </c>
      <c r="E376" s="15" t="s">
        <v>303</v>
      </c>
      <c r="F376" s="15" t="s">
        <v>217</v>
      </c>
      <c r="G376" s="15" t="s">
        <v>76</v>
      </c>
      <c r="H376" s="15" t="s">
        <v>1661</v>
      </c>
      <c r="I376" s="15" t="s">
        <v>114</v>
      </c>
      <c r="J376" s="15" t="s">
        <v>106</v>
      </c>
      <c r="K376" s="15" t="s">
        <v>46</v>
      </c>
      <c r="L376" s="15" t="s">
        <v>47</v>
      </c>
      <c r="M376" s="15">
        <v>20</v>
      </c>
      <c r="N376" s="15">
        <v>12000</v>
      </c>
      <c r="O376" s="15">
        <v>0</v>
      </c>
      <c r="P376" s="15">
        <v>240000</v>
      </c>
      <c r="Q376" s="15">
        <v>2</v>
      </c>
      <c r="R376" s="15" t="s">
        <v>79</v>
      </c>
      <c r="S376" s="15" t="s">
        <v>115</v>
      </c>
      <c r="T376" s="15" t="s">
        <v>80</v>
      </c>
      <c r="U376" s="17" t="s">
        <v>1662</v>
      </c>
      <c r="V376" s="15" t="s">
        <v>38</v>
      </c>
    </row>
    <row r="377" spans="1:22">
      <c r="A377" s="18" t="s">
        <v>1663</v>
      </c>
      <c r="B377" s="18" t="s">
        <v>83</v>
      </c>
      <c r="C377" s="18" t="s">
        <v>72</v>
      </c>
      <c r="D377" s="18" t="s">
        <v>1198</v>
      </c>
      <c r="E377" s="18" t="s">
        <v>712</v>
      </c>
      <c r="F377" s="18" t="s">
        <v>180</v>
      </c>
      <c r="G377" s="18" t="s">
        <v>76</v>
      </c>
      <c r="H377" s="18" t="s">
        <v>1664</v>
      </c>
      <c r="I377" s="18" t="s">
        <v>294</v>
      </c>
      <c r="J377" s="18" t="s">
        <v>295</v>
      </c>
      <c r="K377" s="18" t="s">
        <v>46</v>
      </c>
      <c r="L377" s="18" t="s">
        <v>78</v>
      </c>
      <c r="M377" s="18">
        <v>9</v>
      </c>
      <c r="N377" s="18">
        <v>1200</v>
      </c>
      <c r="O377" s="18">
        <v>15</v>
      </c>
      <c r="P377" s="18">
        <v>9180</v>
      </c>
      <c r="Q377" s="18">
        <v>1</v>
      </c>
      <c r="R377" s="18" t="s">
        <v>88</v>
      </c>
      <c r="S377" s="18" t="s">
        <v>35</v>
      </c>
      <c r="T377" s="18" t="s">
        <v>89</v>
      </c>
      <c r="U377" s="19" t="s">
        <v>1665</v>
      </c>
      <c r="V377" s="18" t="s">
        <v>64</v>
      </c>
    </row>
    <row r="378" spans="1:22">
      <c r="A378" s="15" t="s">
        <v>1666</v>
      </c>
      <c r="B378" s="15" t="s">
        <v>83</v>
      </c>
      <c r="C378" s="15" t="s">
        <v>222</v>
      </c>
      <c r="D378" s="15" t="s">
        <v>1221</v>
      </c>
      <c r="E378" s="15" t="s">
        <v>1667</v>
      </c>
      <c r="F378" s="15" t="s">
        <v>180</v>
      </c>
      <c r="G378" s="15" t="s">
        <v>76</v>
      </c>
      <c r="H378" s="15" t="s">
        <v>1668</v>
      </c>
      <c r="I378" s="15" t="s">
        <v>212</v>
      </c>
      <c r="J378" s="15" t="s">
        <v>45</v>
      </c>
      <c r="K378" s="15" t="s">
        <v>122</v>
      </c>
      <c r="L378" s="15" t="s">
        <v>227</v>
      </c>
      <c r="M378" s="15">
        <v>3</v>
      </c>
      <c r="N378" s="15">
        <v>20</v>
      </c>
      <c r="O378" s="15">
        <v>15</v>
      </c>
      <c r="P378" s="15">
        <v>51</v>
      </c>
      <c r="Q378" s="15">
        <v>3</v>
      </c>
      <c r="R378" s="15" t="s">
        <v>34</v>
      </c>
      <c r="S378" s="15" t="s">
        <v>115</v>
      </c>
      <c r="T378" s="15" t="s">
        <v>89</v>
      </c>
      <c r="U378" s="17" t="s">
        <v>1669</v>
      </c>
      <c r="V378" s="15" t="s">
        <v>64</v>
      </c>
    </row>
    <row r="379" spans="1:22">
      <c r="A379" s="18" t="s">
        <v>1670</v>
      </c>
      <c r="B379" s="18" t="s">
        <v>251</v>
      </c>
      <c r="C379" s="18" t="s">
        <v>54</v>
      </c>
      <c r="D379" s="18" t="s">
        <v>788</v>
      </c>
      <c r="E379" s="18" t="s">
        <v>455</v>
      </c>
      <c r="F379" s="18" t="s">
        <v>254</v>
      </c>
      <c r="G379" s="18" t="s">
        <v>28</v>
      </c>
      <c r="H379" s="18" t="s">
        <v>1671</v>
      </c>
      <c r="I379" s="18" t="s">
        <v>44</v>
      </c>
      <c r="J379" s="18" t="s">
        <v>45</v>
      </c>
      <c r="K379" s="18" t="s">
        <v>46</v>
      </c>
      <c r="L379" s="18" t="s">
        <v>60</v>
      </c>
      <c r="M379" s="18">
        <v>8</v>
      </c>
      <c r="N379" s="18">
        <v>55000</v>
      </c>
      <c r="O379" s="18">
        <v>20</v>
      </c>
      <c r="P379" s="18">
        <v>352000</v>
      </c>
      <c r="Q379" s="18">
        <v>5</v>
      </c>
      <c r="R379" s="18" t="s">
        <v>79</v>
      </c>
      <c r="S379" s="18" t="s">
        <v>151</v>
      </c>
      <c r="T379" s="18" t="s">
        <v>256</v>
      </c>
      <c r="U379" s="19" t="s">
        <v>1672</v>
      </c>
      <c r="V379" s="18" t="s">
        <v>64</v>
      </c>
    </row>
    <row r="380" spans="1:22">
      <c r="A380" s="15" t="s">
        <v>1673</v>
      </c>
      <c r="B380" s="15" t="s">
        <v>251</v>
      </c>
      <c r="C380" s="15" t="s">
        <v>118</v>
      </c>
      <c r="D380" s="15" t="s">
        <v>1311</v>
      </c>
      <c r="E380" s="15" t="s">
        <v>74</v>
      </c>
      <c r="F380" s="15" t="s">
        <v>254</v>
      </c>
      <c r="G380" s="15" t="s">
        <v>28</v>
      </c>
      <c r="H380" s="15" t="s">
        <v>1674</v>
      </c>
      <c r="I380" s="15" t="s">
        <v>44</v>
      </c>
      <c r="J380" s="15" t="s">
        <v>45</v>
      </c>
      <c r="K380" s="15" t="s">
        <v>122</v>
      </c>
      <c r="L380" s="15" t="s">
        <v>123</v>
      </c>
      <c r="M380" s="15">
        <v>17</v>
      </c>
      <c r="N380" s="15">
        <v>60</v>
      </c>
      <c r="O380" s="15">
        <v>20</v>
      </c>
      <c r="P380" s="15">
        <v>816</v>
      </c>
      <c r="Q380" s="15">
        <v>1</v>
      </c>
      <c r="R380" s="15" t="s">
        <v>88</v>
      </c>
      <c r="S380" s="15" t="s">
        <v>35</v>
      </c>
      <c r="T380" s="15" t="s">
        <v>256</v>
      </c>
      <c r="U380" s="17" t="s">
        <v>1675</v>
      </c>
      <c r="V380" s="15" t="s">
        <v>64</v>
      </c>
    </row>
    <row r="381" spans="1:22">
      <c r="A381" s="18" t="s">
        <v>1676</v>
      </c>
      <c r="B381" s="18" t="s">
        <v>127</v>
      </c>
      <c r="C381" s="18" t="s">
        <v>222</v>
      </c>
      <c r="D381" s="18" t="s">
        <v>1677</v>
      </c>
      <c r="E381" s="18" t="s">
        <v>236</v>
      </c>
      <c r="F381" s="18" t="s">
        <v>200</v>
      </c>
      <c r="G381" s="18" t="s">
        <v>76</v>
      </c>
      <c r="H381" s="18" t="s">
        <v>1678</v>
      </c>
      <c r="I381" s="18" t="s">
        <v>59</v>
      </c>
      <c r="J381" s="18" t="s">
        <v>31</v>
      </c>
      <c r="K381" s="18" t="s">
        <v>122</v>
      </c>
      <c r="L381" s="18" t="s">
        <v>227</v>
      </c>
      <c r="M381" s="18">
        <v>4</v>
      </c>
      <c r="N381" s="18">
        <v>20</v>
      </c>
      <c r="O381" s="18">
        <v>15</v>
      </c>
      <c r="P381" s="18">
        <v>68</v>
      </c>
      <c r="Q381" s="18">
        <v>3</v>
      </c>
      <c r="R381" s="18" t="s">
        <v>48</v>
      </c>
      <c r="S381" s="18" t="s">
        <v>61</v>
      </c>
      <c r="T381" s="18" t="s">
        <v>132</v>
      </c>
      <c r="U381" s="19" t="s">
        <v>1679</v>
      </c>
      <c r="V381" s="18" t="s">
        <v>64</v>
      </c>
    </row>
    <row r="382" spans="1:22">
      <c r="A382" s="15" t="s">
        <v>1680</v>
      </c>
      <c r="B382" s="15" t="s">
        <v>127</v>
      </c>
      <c r="C382" s="15" t="s">
        <v>24</v>
      </c>
      <c r="D382" s="15" t="s">
        <v>1360</v>
      </c>
      <c r="E382" s="15" t="s">
        <v>775</v>
      </c>
      <c r="F382" s="15" t="s">
        <v>200</v>
      </c>
      <c r="G382" s="15" t="s">
        <v>76</v>
      </c>
      <c r="H382" s="15" t="s">
        <v>1682</v>
      </c>
      <c r="I382" s="15" t="s">
        <v>294</v>
      </c>
      <c r="J382" s="15" t="s">
        <v>295</v>
      </c>
      <c r="K382" s="15" t="s">
        <v>32</v>
      </c>
      <c r="L382" s="15" t="s">
        <v>33</v>
      </c>
      <c r="M382" s="15">
        <v>2</v>
      </c>
      <c r="N382" s="15">
        <v>2200</v>
      </c>
      <c r="O382" s="15">
        <v>10</v>
      </c>
      <c r="P382" s="15">
        <v>3960</v>
      </c>
      <c r="Q382" s="15">
        <v>2</v>
      </c>
      <c r="R382" s="15" t="s">
        <v>88</v>
      </c>
      <c r="S382" s="15" t="s">
        <v>49</v>
      </c>
      <c r="T382" s="15" t="s">
        <v>132</v>
      </c>
      <c r="U382" s="17" t="s">
        <v>1683</v>
      </c>
      <c r="V382" s="15" t="s">
        <v>64</v>
      </c>
    </row>
    <row r="383" spans="1:22">
      <c r="A383" s="18" t="s">
        <v>1684</v>
      </c>
      <c r="B383" s="18" t="s">
        <v>221</v>
      </c>
      <c r="C383" s="18" t="s">
        <v>118</v>
      </c>
      <c r="D383" s="18" t="s">
        <v>366</v>
      </c>
      <c r="E383" s="18" t="s">
        <v>539</v>
      </c>
      <c r="F383" s="18" t="s">
        <v>225</v>
      </c>
      <c r="G383" s="18" t="s">
        <v>76</v>
      </c>
      <c r="H383" s="18" t="s">
        <v>1685</v>
      </c>
      <c r="I383" s="18" t="s">
        <v>59</v>
      </c>
      <c r="J383" s="18" t="s">
        <v>31</v>
      </c>
      <c r="K383" s="18" t="s">
        <v>122</v>
      </c>
      <c r="L383" s="18" t="s">
        <v>123</v>
      </c>
      <c r="M383" s="18">
        <v>5</v>
      </c>
      <c r="N383" s="18">
        <v>60</v>
      </c>
      <c r="O383" s="18">
        <v>5</v>
      </c>
      <c r="P383" s="18">
        <v>285</v>
      </c>
      <c r="Q383" s="18">
        <v>1</v>
      </c>
      <c r="R383" s="18" t="s">
        <v>88</v>
      </c>
      <c r="S383" s="18" t="s">
        <v>35</v>
      </c>
      <c r="T383" s="18" t="s">
        <v>228</v>
      </c>
      <c r="U383" s="19" t="s">
        <v>1686</v>
      </c>
      <c r="V383" s="18" t="s">
        <v>69</v>
      </c>
    </row>
    <row r="384" spans="1:22">
      <c r="A384" s="15" t="s">
        <v>1687</v>
      </c>
      <c r="B384" s="15" t="s">
        <v>127</v>
      </c>
      <c r="C384" s="15" t="s">
        <v>24</v>
      </c>
      <c r="D384" s="15" t="s">
        <v>1688</v>
      </c>
      <c r="E384" s="15" t="s">
        <v>1689</v>
      </c>
      <c r="F384" s="15" t="s">
        <v>200</v>
      </c>
      <c r="G384" s="15" t="s">
        <v>76</v>
      </c>
      <c r="H384" s="15" t="s">
        <v>1690</v>
      </c>
      <c r="I384" s="15" t="s">
        <v>44</v>
      </c>
      <c r="J384" s="15" t="s">
        <v>45</v>
      </c>
      <c r="K384" s="15" t="s">
        <v>32</v>
      </c>
      <c r="L384" s="15" t="s">
        <v>33</v>
      </c>
      <c r="M384" s="15">
        <v>17</v>
      </c>
      <c r="N384" s="15">
        <v>2200</v>
      </c>
      <c r="O384" s="15">
        <v>0</v>
      </c>
      <c r="P384" s="15">
        <v>37400</v>
      </c>
      <c r="Q384" s="15">
        <v>2</v>
      </c>
      <c r="R384" s="15" t="s">
        <v>88</v>
      </c>
      <c r="S384" s="15" t="s">
        <v>151</v>
      </c>
      <c r="T384" s="15" t="s">
        <v>132</v>
      </c>
      <c r="U384" s="17" t="s">
        <v>1691</v>
      </c>
      <c r="V384" s="15" t="s">
        <v>69</v>
      </c>
    </row>
    <row r="385" spans="1:22">
      <c r="A385" s="18" t="s">
        <v>1692</v>
      </c>
      <c r="B385" s="18" t="s">
        <v>168</v>
      </c>
      <c r="C385" s="18" t="s">
        <v>118</v>
      </c>
      <c r="D385" s="18" t="s">
        <v>186</v>
      </c>
      <c r="E385" s="18" t="s">
        <v>610</v>
      </c>
      <c r="F385" s="18" t="s">
        <v>361</v>
      </c>
      <c r="G385" s="18" t="s">
        <v>28</v>
      </c>
      <c r="H385" s="18" t="s">
        <v>1693</v>
      </c>
      <c r="I385" s="18" t="s">
        <v>138</v>
      </c>
      <c r="J385" s="18" t="s">
        <v>106</v>
      </c>
      <c r="K385" s="18" t="s">
        <v>122</v>
      </c>
      <c r="L385" s="18" t="s">
        <v>123</v>
      </c>
      <c r="M385" s="18">
        <v>7</v>
      </c>
      <c r="N385" s="18">
        <v>60</v>
      </c>
      <c r="O385" s="18">
        <v>0</v>
      </c>
      <c r="P385" s="18">
        <v>420</v>
      </c>
      <c r="Q385" s="18">
        <v>2</v>
      </c>
      <c r="R385" s="18" t="s">
        <v>88</v>
      </c>
      <c r="S385" s="18" t="s">
        <v>61</v>
      </c>
      <c r="T385" s="18" t="s">
        <v>175</v>
      </c>
      <c r="U385" s="19" t="s">
        <v>1694</v>
      </c>
      <c r="V385" s="18" t="s">
        <v>64</v>
      </c>
    </row>
    <row r="386" spans="1:22">
      <c r="A386" s="15" t="s">
        <v>1695</v>
      </c>
      <c r="B386" s="15" t="s">
        <v>221</v>
      </c>
      <c r="C386" s="15" t="s">
        <v>54</v>
      </c>
      <c r="D386" s="15" t="s">
        <v>702</v>
      </c>
      <c r="E386" s="15" t="s">
        <v>1696</v>
      </c>
      <c r="F386" s="15" t="s">
        <v>225</v>
      </c>
      <c r="G386" s="15" t="s">
        <v>76</v>
      </c>
      <c r="H386" s="15" t="s">
        <v>1697</v>
      </c>
      <c r="I386" s="15" t="s">
        <v>30</v>
      </c>
      <c r="J386" s="15" t="s">
        <v>31</v>
      </c>
      <c r="K386" s="15" t="s">
        <v>46</v>
      </c>
      <c r="L386" s="15" t="s">
        <v>60</v>
      </c>
      <c r="M386" s="15">
        <v>6</v>
      </c>
      <c r="N386" s="15">
        <v>55000</v>
      </c>
      <c r="O386" s="15">
        <v>5</v>
      </c>
      <c r="P386" s="15">
        <v>313500</v>
      </c>
      <c r="Q386" s="15">
        <v>4</v>
      </c>
      <c r="R386" s="15" t="s">
        <v>79</v>
      </c>
      <c r="S386" s="15" t="s">
        <v>61</v>
      </c>
      <c r="T386" s="15" t="s">
        <v>228</v>
      </c>
      <c r="U386" s="17" t="s">
        <v>1698</v>
      </c>
      <c r="V386" s="15" t="s">
        <v>38</v>
      </c>
    </row>
    <row r="387" spans="1:22">
      <c r="A387" s="18" t="s">
        <v>1699</v>
      </c>
      <c r="B387" s="18" t="s">
        <v>71</v>
      </c>
      <c r="C387" s="18" t="s">
        <v>222</v>
      </c>
      <c r="D387" s="18" t="s">
        <v>1306</v>
      </c>
      <c r="E387" s="18" t="s">
        <v>1700</v>
      </c>
      <c r="F387" s="18" t="s">
        <v>217</v>
      </c>
      <c r="G387" s="18" t="s">
        <v>76</v>
      </c>
      <c r="H387" s="18" t="s">
        <v>1701</v>
      </c>
      <c r="I387" s="18" t="s">
        <v>30</v>
      </c>
      <c r="J387" s="18" t="s">
        <v>31</v>
      </c>
      <c r="K387" s="18" t="s">
        <v>122</v>
      </c>
      <c r="L387" s="18" t="s">
        <v>227</v>
      </c>
      <c r="M387" s="18">
        <v>16</v>
      </c>
      <c r="N387" s="18">
        <v>20</v>
      </c>
      <c r="O387" s="18">
        <v>5</v>
      </c>
      <c r="P387" s="18">
        <v>304</v>
      </c>
      <c r="Q387" s="18">
        <v>1</v>
      </c>
      <c r="R387" s="18" t="s">
        <v>79</v>
      </c>
      <c r="S387" s="18" t="s">
        <v>49</v>
      </c>
      <c r="T387" s="18" t="s">
        <v>80</v>
      </c>
      <c r="U387" s="19" t="s">
        <v>1702</v>
      </c>
      <c r="V387" s="18" t="s">
        <v>38</v>
      </c>
    </row>
    <row r="388" spans="1:22">
      <c r="A388" s="15" t="s">
        <v>1703</v>
      </c>
      <c r="B388" s="15" t="s">
        <v>23</v>
      </c>
      <c r="C388" s="15" t="s">
        <v>24</v>
      </c>
      <c r="D388" s="15" t="s">
        <v>1704</v>
      </c>
      <c r="E388" s="15" t="s">
        <v>1705</v>
      </c>
      <c r="F388" s="15" t="s">
        <v>27</v>
      </c>
      <c r="G388" s="15" t="s">
        <v>28</v>
      </c>
      <c r="H388" s="15" t="s">
        <v>1706</v>
      </c>
      <c r="I388" s="15" t="s">
        <v>294</v>
      </c>
      <c r="J388" s="15" t="s">
        <v>295</v>
      </c>
      <c r="K388" s="15" t="s">
        <v>32</v>
      </c>
      <c r="L388" s="15" t="s">
        <v>33</v>
      </c>
      <c r="M388" s="15">
        <v>11</v>
      </c>
      <c r="N388" s="15">
        <v>2200</v>
      </c>
      <c r="O388" s="15">
        <v>15</v>
      </c>
      <c r="P388" s="15">
        <v>20570</v>
      </c>
      <c r="Q388" s="15">
        <v>1</v>
      </c>
      <c r="R388" s="15" t="s">
        <v>48</v>
      </c>
      <c r="S388" s="15" t="s">
        <v>115</v>
      </c>
      <c r="T388" s="15" t="s">
        <v>50</v>
      </c>
      <c r="U388" s="17" t="s">
        <v>1707</v>
      </c>
      <c r="V388" s="15" t="s">
        <v>69</v>
      </c>
    </row>
    <row r="389" spans="1:22">
      <c r="A389" s="18" t="s">
        <v>1708</v>
      </c>
      <c r="B389" s="18" t="s">
        <v>100</v>
      </c>
      <c r="C389" s="18" t="s">
        <v>222</v>
      </c>
      <c r="D389" s="18" t="s">
        <v>1069</v>
      </c>
      <c r="E389" s="18" t="s">
        <v>1409</v>
      </c>
      <c r="F389" s="18" t="s">
        <v>103</v>
      </c>
      <c r="G389" s="18" t="s">
        <v>28</v>
      </c>
      <c r="H389" s="18" t="s">
        <v>1709</v>
      </c>
      <c r="I389" s="18" t="s">
        <v>114</v>
      </c>
      <c r="J389" s="18" t="s">
        <v>106</v>
      </c>
      <c r="K389" s="18" t="s">
        <v>122</v>
      </c>
      <c r="L389" s="18" t="s">
        <v>227</v>
      </c>
      <c r="M389" s="18">
        <v>19</v>
      </c>
      <c r="N389" s="18">
        <v>20</v>
      </c>
      <c r="O389" s="18">
        <v>5</v>
      </c>
      <c r="P389" s="18">
        <v>361</v>
      </c>
      <c r="Q389" s="18">
        <v>4</v>
      </c>
      <c r="R389" s="18" t="s">
        <v>88</v>
      </c>
      <c r="S389" s="18" t="s">
        <v>35</v>
      </c>
      <c r="T389" s="18" t="s">
        <v>144</v>
      </c>
      <c r="U389" s="19" t="s">
        <v>1710</v>
      </c>
      <c r="V389" s="18" t="s">
        <v>64</v>
      </c>
    </row>
    <row r="390" spans="1:22">
      <c r="A390" s="15" t="s">
        <v>1711</v>
      </c>
      <c r="B390" s="15" t="s">
        <v>100</v>
      </c>
      <c r="C390" s="15" t="s">
        <v>72</v>
      </c>
      <c r="D390" s="15" t="s">
        <v>1712</v>
      </c>
      <c r="E390" s="15" t="s">
        <v>1713</v>
      </c>
      <c r="F390" s="15" t="s">
        <v>103</v>
      </c>
      <c r="G390" s="15" t="s">
        <v>28</v>
      </c>
      <c r="H390" s="15" t="s">
        <v>1714</v>
      </c>
      <c r="I390" s="15" t="s">
        <v>114</v>
      </c>
      <c r="J390" s="15" t="s">
        <v>106</v>
      </c>
      <c r="K390" s="15" t="s">
        <v>46</v>
      </c>
      <c r="L390" s="15" t="s">
        <v>78</v>
      </c>
      <c r="M390" s="15">
        <v>20</v>
      </c>
      <c r="N390" s="15">
        <v>1200</v>
      </c>
      <c r="O390" s="15">
        <v>15</v>
      </c>
      <c r="P390" s="15">
        <v>20400</v>
      </c>
      <c r="Q390" s="15">
        <v>4</v>
      </c>
      <c r="R390" s="15" t="s">
        <v>79</v>
      </c>
      <c r="S390" s="15" t="s">
        <v>35</v>
      </c>
      <c r="T390" s="15" t="s">
        <v>144</v>
      </c>
      <c r="U390" s="17" t="s">
        <v>1715</v>
      </c>
      <c r="V390" s="15" t="s">
        <v>64</v>
      </c>
    </row>
    <row r="391" spans="1:22">
      <c r="A391" s="18" t="s">
        <v>1716</v>
      </c>
      <c r="B391" s="18" t="s">
        <v>53</v>
      </c>
      <c r="C391" s="18" t="s">
        <v>222</v>
      </c>
      <c r="D391" s="18" t="s">
        <v>1717</v>
      </c>
      <c r="E391" s="18" t="s">
        <v>1718</v>
      </c>
      <c r="F391" s="18" t="s">
        <v>163</v>
      </c>
      <c r="G391" s="18" t="s">
        <v>28</v>
      </c>
      <c r="H391" s="18" t="s">
        <v>1719</v>
      </c>
      <c r="I391" s="18" t="s">
        <v>30</v>
      </c>
      <c r="J391" s="18" t="s">
        <v>31</v>
      </c>
      <c r="K391" s="18" t="s">
        <v>122</v>
      </c>
      <c r="L391" s="18" t="s">
        <v>227</v>
      </c>
      <c r="M391" s="18">
        <v>13</v>
      </c>
      <c r="N391" s="18">
        <v>20</v>
      </c>
      <c r="O391" s="18">
        <v>15</v>
      </c>
      <c r="P391" s="18">
        <v>221</v>
      </c>
      <c r="Q391" s="18">
        <v>4</v>
      </c>
      <c r="R391" s="18" t="s">
        <v>34</v>
      </c>
      <c r="S391" s="18" t="s">
        <v>35</v>
      </c>
      <c r="T391" s="18" t="s">
        <v>62</v>
      </c>
      <c r="U391" s="19" t="s">
        <v>1720</v>
      </c>
      <c r="V391" s="18" t="s">
        <v>64</v>
      </c>
    </row>
    <row r="392" spans="1:22">
      <c r="A392" s="15" t="s">
        <v>1721</v>
      </c>
      <c r="B392" s="15" t="s">
        <v>251</v>
      </c>
      <c r="C392" s="15" t="s">
        <v>72</v>
      </c>
      <c r="D392" s="15" t="s">
        <v>205</v>
      </c>
      <c r="E392" s="15" t="s">
        <v>206</v>
      </c>
      <c r="F392" s="15" t="s">
        <v>254</v>
      </c>
      <c r="G392" s="15" t="s">
        <v>28</v>
      </c>
      <c r="H392" s="15" t="s">
        <v>1722</v>
      </c>
      <c r="I392" s="15" t="s">
        <v>44</v>
      </c>
      <c r="J392" s="15" t="s">
        <v>45</v>
      </c>
      <c r="K392" s="15" t="s">
        <v>46</v>
      </c>
      <c r="L392" s="15" t="s">
        <v>78</v>
      </c>
      <c r="M392" s="15">
        <v>12</v>
      </c>
      <c r="N392" s="15">
        <v>1200</v>
      </c>
      <c r="O392" s="15">
        <v>10</v>
      </c>
      <c r="P392" s="15">
        <v>12960</v>
      </c>
      <c r="Q392" s="15">
        <v>3</v>
      </c>
      <c r="R392" s="15" t="s">
        <v>48</v>
      </c>
      <c r="S392" s="15" t="s">
        <v>35</v>
      </c>
      <c r="T392" s="15" t="s">
        <v>256</v>
      </c>
      <c r="U392" s="17" t="s">
        <v>1723</v>
      </c>
      <c r="V392" s="15" t="s">
        <v>64</v>
      </c>
    </row>
    <row r="393" spans="1:22">
      <c r="A393" s="18" t="s">
        <v>1724</v>
      </c>
      <c r="B393" s="18" t="s">
        <v>100</v>
      </c>
      <c r="C393" s="18" t="s">
        <v>169</v>
      </c>
      <c r="D393" s="18" t="s">
        <v>1705</v>
      </c>
      <c r="E393" s="18" t="s">
        <v>783</v>
      </c>
      <c r="F393" s="18" t="s">
        <v>103</v>
      </c>
      <c r="G393" s="18" t="s">
        <v>28</v>
      </c>
      <c r="H393" s="18" t="s">
        <v>1725</v>
      </c>
      <c r="I393" s="18" t="s">
        <v>294</v>
      </c>
      <c r="J393" s="18" t="s">
        <v>295</v>
      </c>
      <c r="K393" s="18" t="s">
        <v>32</v>
      </c>
      <c r="L393" s="18" t="s">
        <v>174</v>
      </c>
      <c r="M393" s="18">
        <v>6</v>
      </c>
      <c r="N393" s="18">
        <v>8500</v>
      </c>
      <c r="O393" s="18">
        <v>5</v>
      </c>
      <c r="P393" s="18">
        <v>48450</v>
      </c>
      <c r="Q393" s="18">
        <v>5</v>
      </c>
      <c r="R393" s="18" t="s">
        <v>34</v>
      </c>
      <c r="S393" s="18" t="s">
        <v>115</v>
      </c>
      <c r="T393" s="18" t="s">
        <v>144</v>
      </c>
      <c r="U393" s="19" t="s">
        <v>1726</v>
      </c>
      <c r="V393" s="18" t="s">
        <v>69</v>
      </c>
    </row>
    <row r="394" spans="1:22">
      <c r="A394" s="15" t="s">
        <v>1727</v>
      </c>
      <c r="B394" s="15" t="s">
        <v>23</v>
      </c>
      <c r="C394" s="15" t="s">
        <v>169</v>
      </c>
      <c r="D394" s="15" t="s">
        <v>1302</v>
      </c>
      <c r="E394" s="15" t="s">
        <v>1728</v>
      </c>
      <c r="F394" s="15" t="s">
        <v>27</v>
      </c>
      <c r="G394" s="15" t="s">
        <v>28</v>
      </c>
      <c r="H394" s="15" t="s">
        <v>1729</v>
      </c>
      <c r="I394" s="15" t="s">
        <v>138</v>
      </c>
      <c r="J394" s="15" t="s">
        <v>106</v>
      </c>
      <c r="K394" s="15" t="s">
        <v>32</v>
      </c>
      <c r="L394" s="15" t="s">
        <v>174</v>
      </c>
      <c r="M394" s="15">
        <v>15</v>
      </c>
      <c r="N394" s="15">
        <v>8500</v>
      </c>
      <c r="O394" s="15">
        <v>10</v>
      </c>
      <c r="P394" s="15">
        <v>114750</v>
      </c>
      <c r="Q394" s="15">
        <v>1</v>
      </c>
      <c r="R394" s="15" t="s">
        <v>34</v>
      </c>
      <c r="S394" s="15" t="s">
        <v>115</v>
      </c>
      <c r="T394" s="15" t="s">
        <v>50</v>
      </c>
      <c r="U394" s="17" t="s">
        <v>1730</v>
      </c>
      <c r="V394" s="15" t="s">
        <v>38</v>
      </c>
    </row>
    <row r="395" spans="1:22">
      <c r="A395" s="18" t="s">
        <v>1731</v>
      </c>
      <c r="B395" s="18" t="s">
        <v>127</v>
      </c>
      <c r="C395" s="18" t="s">
        <v>40</v>
      </c>
      <c r="D395" s="18" t="s">
        <v>1732</v>
      </c>
      <c r="E395" s="18" t="s">
        <v>1733</v>
      </c>
      <c r="F395" s="18" t="s">
        <v>200</v>
      </c>
      <c r="G395" s="18" t="s">
        <v>76</v>
      </c>
      <c r="H395" s="18" t="s">
        <v>1734</v>
      </c>
      <c r="I395" s="18" t="s">
        <v>30</v>
      </c>
      <c r="J395" s="18" t="s">
        <v>31</v>
      </c>
      <c r="K395" s="18" t="s">
        <v>46</v>
      </c>
      <c r="L395" s="18" t="s">
        <v>47</v>
      </c>
      <c r="M395" s="18">
        <v>19</v>
      </c>
      <c r="N395" s="18">
        <v>12000</v>
      </c>
      <c r="O395" s="18">
        <v>20</v>
      </c>
      <c r="P395" s="18">
        <v>182400</v>
      </c>
      <c r="Q395" s="18">
        <v>5</v>
      </c>
      <c r="R395" s="18" t="s">
        <v>34</v>
      </c>
      <c r="S395" s="18" t="s">
        <v>115</v>
      </c>
      <c r="T395" s="18" t="s">
        <v>132</v>
      </c>
      <c r="U395" s="19" t="s">
        <v>1735</v>
      </c>
      <c r="V395" s="18" t="s">
        <v>38</v>
      </c>
    </row>
    <row r="396" spans="1:22">
      <c r="A396" s="15" t="s">
        <v>1736</v>
      </c>
      <c r="B396" s="15" t="s">
        <v>83</v>
      </c>
      <c r="C396" s="15" t="s">
        <v>184</v>
      </c>
      <c r="D396" s="15" t="s">
        <v>142</v>
      </c>
      <c r="E396" s="15" t="s">
        <v>1737</v>
      </c>
      <c r="F396" s="15" t="s">
        <v>180</v>
      </c>
      <c r="G396" s="15" t="s">
        <v>76</v>
      </c>
      <c r="H396" s="15" t="s">
        <v>1738</v>
      </c>
      <c r="I396" s="15" t="s">
        <v>44</v>
      </c>
      <c r="J396" s="15" t="s">
        <v>45</v>
      </c>
      <c r="K396" s="15" t="s">
        <v>46</v>
      </c>
      <c r="L396" s="15" t="s">
        <v>189</v>
      </c>
      <c r="M396" s="15">
        <v>5</v>
      </c>
      <c r="N396" s="15">
        <v>700</v>
      </c>
      <c r="O396" s="15">
        <v>0</v>
      </c>
      <c r="P396" s="15">
        <v>3500</v>
      </c>
      <c r="Q396" s="15">
        <v>2</v>
      </c>
      <c r="R396" s="15" t="s">
        <v>79</v>
      </c>
      <c r="S396" s="15" t="s">
        <v>61</v>
      </c>
      <c r="T396" s="15" t="s">
        <v>89</v>
      </c>
      <c r="U396" s="17" t="s">
        <v>1739</v>
      </c>
      <c r="V396" s="15" t="s">
        <v>69</v>
      </c>
    </row>
    <row r="397" spans="1:22">
      <c r="A397" s="18" t="s">
        <v>1740</v>
      </c>
      <c r="B397" s="18" t="s">
        <v>83</v>
      </c>
      <c r="C397" s="18" t="s">
        <v>40</v>
      </c>
      <c r="D397" s="18" t="s">
        <v>1654</v>
      </c>
      <c r="E397" s="18" t="s">
        <v>765</v>
      </c>
      <c r="F397" s="18" t="s">
        <v>180</v>
      </c>
      <c r="G397" s="18" t="s">
        <v>76</v>
      </c>
      <c r="H397" s="18" t="s">
        <v>1741</v>
      </c>
      <c r="I397" s="18" t="s">
        <v>294</v>
      </c>
      <c r="J397" s="18" t="s">
        <v>295</v>
      </c>
      <c r="K397" s="18" t="s">
        <v>46</v>
      </c>
      <c r="L397" s="18" t="s">
        <v>47</v>
      </c>
      <c r="M397" s="18">
        <v>19</v>
      </c>
      <c r="N397" s="18">
        <v>12000</v>
      </c>
      <c r="O397" s="18">
        <v>0</v>
      </c>
      <c r="P397" s="18">
        <v>228000</v>
      </c>
      <c r="Q397" s="18">
        <v>4</v>
      </c>
      <c r="R397" s="18" t="s">
        <v>88</v>
      </c>
      <c r="S397" s="18" t="s">
        <v>61</v>
      </c>
      <c r="T397" s="18" t="s">
        <v>89</v>
      </c>
      <c r="U397" s="19" t="s">
        <v>1742</v>
      </c>
      <c r="V397" s="18" t="s">
        <v>64</v>
      </c>
    </row>
    <row r="398" spans="1:22">
      <c r="A398" s="15" t="s">
        <v>1743</v>
      </c>
      <c r="B398" s="15" t="s">
        <v>327</v>
      </c>
      <c r="C398" s="15" t="s">
        <v>184</v>
      </c>
      <c r="D398" s="18" t="s">
        <v>64</v>
      </c>
      <c r="E398" s="15" t="s">
        <v>1225</v>
      </c>
      <c r="F398" s="15" t="s">
        <v>394</v>
      </c>
      <c r="G398" s="15" t="s">
        <v>76</v>
      </c>
      <c r="H398" s="15" t="s">
        <v>1744</v>
      </c>
      <c r="I398" s="15" t="s">
        <v>59</v>
      </c>
      <c r="J398" s="15" t="s">
        <v>31</v>
      </c>
      <c r="K398" s="15" t="s">
        <v>46</v>
      </c>
      <c r="L398" s="15" t="s">
        <v>189</v>
      </c>
      <c r="M398" s="15">
        <v>12</v>
      </c>
      <c r="N398" s="15">
        <v>700</v>
      </c>
      <c r="O398" s="15">
        <v>15</v>
      </c>
      <c r="P398" s="15">
        <v>7140</v>
      </c>
      <c r="Q398" s="15">
        <v>3</v>
      </c>
      <c r="R398" s="15" t="s">
        <v>79</v>
      </c>
      <c r="S398" s="15" t="s">
        <v>35</v>
      </c>
      <c r="T398" s="15" t="s">
        <v>332</v>
      </c>
      <c r="U398" s="17" t="s">
        <v>1745</v>
      </c>
      <c r="V398" s="15" t="s">
        <v>38</v>
      </c>
    </row>
    <row r="399" spans="1:22">
      <c r="A399" s="18" t="s">
        <v>1746</v>
      </c>
      <c r="B399" s="18" t="s">
        <v>23</v>
      </c>
      <c r="C399" s="18" t="s">
        <v>72</v>
      </c>
      <c r="D399" s="18" t="s">
        <v>1747</v>
      </c>
      <c r="E399" s="18" t="s">
        <v>707</v>
      </c>
      <c r="F399" s="18" t="s">
        <v>27</v>
      </c>
      <c r="G399" s="18" t="s">
        <v>28</v>
      </c>
      <c r="H399" s="18" t="s">
        <v>1748</v>
      </c>
      <c r="I399" s="18" t="s">
        <v>44</v>
      </c>
      <c r="J399" s="18" t="s">
        <v>45</v>
      </c>
      <c r="K399" s="18" t="s">
        <v>46</v>
      </c>
      <c r="L399" s="18" t="s">
        <v>78</v>
      </c>
      <c r="M399" s="18">
        <v>16</v>
      </c>
      <c r="N399" s="18">
        <v>1200</v>
      </c>
      <c r="O399" s="18">
        <v>20</v>
      </c>
      <c r="P399" s="18">
        <v>15360</v>
      </c>
      <c r="Q399" s="18">
        <v>1</v>
      </c>
      <c r="R399" s="18" t="s">
        <v>34</v>
      </c>
      <c r="S399" s="18" t="s">
        <v>49</v>
      </c>
      <c r="T399" s="18" t="s">
        <v>50</v>
      </c>
      <c r="U399" s="19" t="s">
        <v>1749</v>
      </c>
      <c r="V399" s="18" t="s">
        <v>64</v>
      </c>
    </row>
    <row r="400" spans="1:22">
      <c r="A400" s="15" t="s">
        <v>1750</v>
      </c>
      <c r="B400" s="15" t="s">
        <v>71</v>
      </c>
      <c r="C400" s="15" t="s">
        <v>169</v>
      </c>
      <c r="D400" s="15" t="s">
        <v>1052</v>
      </c>
      <c r="E400" s="15" t="s">
        <v>84</v>
      </c>
      <c r="F400" s="15" t="s">
        <v>217</v>
      </c>
      <c r="G400" s="15" t="s">
        <v>76</v>
      </c>
      <c r="H400" s="15" t="s">
        <v>1751</v>
      </c>
      <c r="I400" s="15" t="s">
        <v>30</v>
      </c>
      <c r="J400" s="15" t="s">
        <v>31</v>
      </c>
      <c r="K400" s="15" t="s">
        <v>32</v>
      </c>
      <c r="L400" s="15" t="s">
        <v>174</v>
      </c>
      <c r="M400" s="15">
        <v>10</v>
      </c>
      <c r="N400" s="15">
        <v>8500</v>
      </c>
      <c r="O400" s="15">
        <v>5</v>
      </c>
      <c r="P400" s="15">
        <v>80750</v>
      </c>
      <c r="Q400" s="15">
        <v>5</v>
      </c>
      <c r="R400" s="15" t="s">
        <v>48</v>
      </c>
      <c r="S400" s="15" t="s">
        <v>35</v>
      </c>
      <c r="T400" s="15" t="s">
        <v>80</v>
      </c>
      <c r="U400" s="17" t="s">
        <v>1752</v>
      </c>
      <c r="V400" s="15" t="s">
        <v>38</v>
      </c>
    </row>
    <row r="401" spans="1:22">
      <c r="A401" s="18" t="s">
        <v>1753</v>
      </c>
      <c r="B401" s="18" t="s">
        <v>23</v>
      </c>
      <c r="C401" s="18" t="s">
        <v>222</v>
      </c>
      <c r="D401" s="18" t="s">
        <v>1373</v>
      </c>
      <c r="E401" s="18" t="s">
        <v>386</v>
      </c>
      <c r="F401" s="18" t="s">
        <v>27</v>
      </c>
      <c r="G401" s="18" t="s">
        <v>28</v>
      </c>
      <c r="H401" s="18" t="s">
        <v>1754</v>
      </c>
      <c r="I401" s="18" t="s">
        <v>138</v>
      </c>
      <c r="J401" s="18" t="s">
        <v>106</v>
      </c>
      <c r="K401" s="18" t="s">
        <v>122</v>
      </c>
      <c r="L401" s="18" t="s">
        <v>227</v>
      </c>
      <c r="M401" s="18">
        <v>18</v>
      </c>
      <c r="N401" s="18">
        <v>20</v>
      </c>
      <c r="O401" s="18">
        <v>20</v>
      </c>
      <c r="P401" s="18">
        <v>288</v>
      </c>
      <c r="Q401" s="18">
        <v>1</v>
      </c>
      <c r="R401" s="18" t="s">
        <v>88</v>
      </c>
      <c r="S401" s="18" t="s">
        <v>35</v>
      </c>
      <c r="T401" s="18" t="s">
        <v>50</v>
      </c>
      <c r="U401" s="19" t="s">
        <v>1755</v>
      </c>
      <c r="V401" s="18" t="s">
        <v>64</v>
      </c>
    </row>
    <row r="402" spans="1:22">
      <c r="A402" s="15" t="s">
        <v>1756</v>
      </c>
      <c r="B402" s="15" t="s">
        <v>71</v>
      </c>
      <c r="C402" s="15" t="s">
        <v>169</v>
      </c>
      <c r="D402" s="15" t="s">
        <v>241</v>
      </c>
      <c r="E402" s="15" t="s">
        <v>404</v>
      </c>
      <c r="F402" s="15" t="s">
        <v>217</v>
      </c>
      <c r="G402" s="15" t="s">
        <v>76</v>
      </c>
      <c r="H402" s="15" t="s">
        <v>1757</v>
      </c>
      <c r="I402" s="15" t="s">
        <v>105</v>
      </c>
      <c r="J402" s="15" t="s">
        <v>106</v>
      </c>
      <c r="K402" s="15" t="s">
        <v>32</v>
      </c>
      <c r="L402" s="15" t="s">
        <v>174</v>
      </c>
      <c r="M402" s="15">
        <v>9</v>
      </c>
      <c r="N402" s="15">
        <v>8500</v>
      </c>
      <c r="O402" s="15">
        <v>0</v>
      </c>
      <c r="P402" s="15">
        <v>76500</v>
      </c>
      <c r="Q402" s="15">
        <v>2</v>
      </c>
      <c r="R402" s="15" t="s">
        <v>79</v>
      </c>
      <c r="S402" s="15" t="s">
        <v>35</v>
      </c>
      <c r="T402" s="15" t="s">
        <v>80</v>
      </c>
      <c r="U402" s="17" t="s">
        <v>1758</v>
      </c>
      <c r="V402" s="15" t="s">
        <v>64</v>
      </c>
    </row>
    <row r="403" spans="1:22">
      <c r="A403" s="18" t="s">
        <v>1759</v>
      </c>
      <c r="B403" s="18" t="s">
        <v>23</v>
      </c>
      <c r="C403" s="18" t="s">
        <v>169</v>
      </c>
      <c r="D403" s="18" t="s">
        <v>1221</v>
      </c>
      <c r="E403" s="18" t="s">
        <v>1760</v>
      </c>
      <c r="F403" s="18" t="s">
        <v>27</v>
      </c>
      <c r="G403" s="18" t="s">
        <v>28</v>
      </c>
      <c r="H403" s="18" t="s">
        <v>1761</v>
      </c>
      <c r="I403" s="18" t="s">
        <v>105</v>
      </c>
      <c r="J403" s="18" t="s">
        <v>106</v>
      </c>
      <c r="K403" s="18" t="s">
        <v>32</v>
      </c>
      <c r="L403" s="18" t="s">
        <v>174</v>
      </c>
      <c r="M403" s="18">
        <v>8</v>
      </c>
      <c r="N403" s="18">
        <v>8500</v>
      </c>
      <c r="O403" s="18">
        <v>10</v>
      </c>
      <c r="P403" s="18">
        <v>61200</v>
      </c>
      <c r="Q403" s="18">
        <v>4</v>
      </c>
      <c r="R403" s="18" t="s">
        <v>34</v>
      </c>
      <c r="S403" s="18" t="s">
        <v>115</v>
      </c>
      <c r="T403" s="18" t="s">
        <v>50</v>
      </c>
      <c r="U403" s="19" t="s">
        <v>1762</v>
      </c>
      <c r="V403" s="18" t="s">
        <v>69</v>
      </c>
    </row>
    <row r="404" spans="1:22">
      <c r="A404" s="15" t="s">
        <v>1763</v>
      </c>
      <c r="B404" s="15" t="s">
        <v>53</v>
      </c>
      <c r="C404" s="15" t="s">
        <v>222</v>
      </c>
      <c r="D404" s="15" t="s">
        <v>483</v>
      </c>
      <c r="E404" s="15" t="s">
        <v>1764</v>
      </c>
      <c r="F404" s="15" t="s">
        <v>163</v>
      </c>
      <c r="G404" s="15" t="s">
        <v>28</v>
      </c>
      <c r="H404" s="15" t="s">
        <v>1765</v>
      </c>
      <c r="I404" s="15" t="s">
        <v>114</v>
      </c>
      <c r="J404" s="15" t="s">
        <v>106</v>
      </c>
      <c r="K404" s="15" t="s">
        <v>122</v>
      </c>
      <c r="L404" s="15" t="s">
        <v>227</v>
      </c>
      <c r="M404" s="15">
        <v>3</v>
      </c>
      <c r="N404" s="15">
        <v>20</v>
      </c>
      <c r="O404" s="15">
        <v>10</v>
      </c>
      <c r="P404" s="15">
        <v>54</v>
      </c>
      <c r="Q404" s="15">
        <v>3</v>
      </c>
      <c r="R404" s="15" t="s">
        <v>79</v>
      </c>
      <c r="S404" s="15" t="s">
        <v>151</v>
      </c>
      <c r="T404" s="15" t="s">
        <v>62</v>
      </c>
      <c r="U404" s="17" t="s">
        <v>1766</v>
      </c>
      <c r="V404" s="15" t="s">
        <v>64</v>
      </c>
    </row>
    <row r="405" spans="1:22">
      <c r="A405" s="18" t="s">
        <v>1767</v>
      </c>
      <c r="B405" s="18" t="s">
        <v>168</v>
      </c>
      <c r="C405" s="18" t="s">
        <v>169</v>
      </c>
      <c r="D405" s="18" t="s">
        <v>232</v>
      </c>
      <c r="E405" s="18" t="s">
        <v>641</v>
      </c>
      <c r="F405" s="18" t="s">
        <v>361</v>
      </c>
      <c r="G405" s="18" t="s">
        <v>28</v>
      </c>
      <c r="H405" s="18" t="s">
        <v>1768</v>
      </c>
      <c r="I405" s="18" t="s">
        <v>294</v>
      </c>
      <c r="J405" s="18" t="s">
        <v>295</v>
      </c>
      <c r="K405" s="18" t="s">
        <v>32</v>
      </c>
      <c r="L405" s="18" t="s">
        <v>174</v>
      </c>
      <c r="M405" s="18">
        <v>18</v>
      </c>
      <c r="N405" s="18">
        <v>8500</v>
      </c>
      <c r="O405" s="18">
        <v>10</v>
      </c>
      <c r="P405" s="18">
        <v>137700</v>
      </c>
      <c r="Q405" s="18">
        <v>4</v>
      </c>
      <c r="R405" s="18" t="s">
        <v>34</v>
      </c>
      <c r="S405" s="18" t="s">
        <v>49</v>
      </c>
      <c r="T405" s="18" t="s">
        <v>175</v>
      </c>
      <c r="U405" s="19" t="s">
        <v>1769</v>
      </c>
      <c r="V405" s="18" t="s">
        <v>69</v>
      </c>
    </row>
    <row r="406" spans="1:22">
      <c r="A406" s="15" t="s">
        <v>1770</v>
      </c>
      <c r="B406" s="15" t="s">
        <v>53</v>
      </c>
      <c r="C406" s="15" t="s">
        <v>259</v>
      </c>
      <c r="D406" s="15" t="s">
        <v>308</v>
      </c>
      <c r="E406" s="15" t="s">
        <v>281</v>
      </c>
      <c r="F406" s="15" t="s">
        <v>163</v>
      </c>
      <c r="G406" s="15" t="s">
        <v>28</v>
      </c>
      <c r="H406" s="15" t="s">
        <v>1771</v>
      </c>
      <c r="I406" s="15" t="s">
        <v>114</v>
      </c>
      <c r="J406" s="15" t="s">
        <v>106</v>
      </c>
      <c r="K406" s="15" t="s">
        <v>122</v>
      </c>
      <c r="L406" s="15" t="s">
        <v>263</v>
      </c>
      <c r="M406" s="15">
        <v>5</v>
      </c>
      <c r="N406" s="15">
        <v>45</v>
      </c>
      <c r="O406" s="15">
        <v>10</v>
      </c>
      <c r="P406" s="15">
        <v>202.5</v>
      </c>
      <c r="Q406" s="15">
        <v>3</v>
      </c>
      <c r="R406" s="15" t="s">
        <v>34</v>
      </c>
      <c r="S406" s="15" t="s">
        <v>115</v>
      </c>
      <c r="T406" s="15" t="s">
        <v>62</v>
      </c>
      <c r="U406" s="17" t="s">
        <v>1772</v>
      </c>
      <c r="V406" s="15" t="s">
        <v>64</v>
      </c>
    </row>
    <row r="407" spans="1:22">
      <c r="A407" s="18" t="s">
        <v>1773</v>
      </c>
      <c r="B407" s="18" t="s">
        <v>71</v>
      </c>
      <c r="C407" s="18" t="s">
        <v>259</v>
      </c>
      <c r="D407" s="18" t="s">
        <v>683</v>
      </c>
      <c r="E407" s="18" t="s">
        <v>684</v>
      </c>
      <c r="F407" s="18" t="s">
        <v>217</v>
      </c>
      <c r="G407" s="18" t="s">
        <v>76</v>
      </c>
      <c r="H407" s="18" t="s">
        <v>1774</v>
      </c>
      <c r="I407" s="18" t="s">
        <v>105</v>
      </c>
      <c r="J407" s="18" t="s">
        <v>106</v>
      </c>
      <c r="K407" s="18" t="s">
        <v>122</v>
      </c>
      <c r="L407" s="18" t="s">
        <v>263</v>
      </c>
      <c r="M407" s="18">
        <v>2</v>
      </c>
      <c r="N407" s="18">
        <v>45</v>
      </c>
      <c r="O407" s="18">
        <v>20</v>
      </c>
      <c r="P407" s="18">
        <v>72</v>
      </c>
      <c r="Q407" s="18">
        <v>5</v>
      </c>
      <c r="R407" s="18" t="s">
        <v>88</v>
      </c>
      <c r="S407" s="18" t="s">
        <v>61</v>
      </c>
      <c r="T407" s="18" t="s">
        <v>80</v>
      </c>
      <c r="U407" s="19" t="s">
        <v>1775</v>
      </c>
      <c r="V407" s="18" t="s">
        <v>69</v>
      </c>
    </row>
    <row r="408" spans="1:22">
      <c r="A408" s="15" t="s">
        <v>1776</v>
      </c>
      <c r="B408" s="15" t="s">
        <v>100</v>
      </c>
      <c r="C408" s="15" t="s">
        <v>259</v>
      </c>
      <c r="D408" s="15" t="s">
        <v>1379</v>
      </c>
      <c r="E408" s="15" t="s">
        <v>900</v>
      </c>
      <c r="F408" s="15" t="s">
        <v>103</v>
      </c>
      <c r="G408" s="15" t="s">
        <v>28</v>
      </c>
      <c r="H408" s="15" t="s">
        <v>1777</v>
      </c>
      <c r="I408" s="15" t="s">
        <v>30</v>
      </c>
      <c r="J408" s="15" t="s">
        <v>31</v>
      </c>
      <c r="K408" s="15" t="s">
        <v>122</v>
      </c>
      <c r="L408" s="15" t="s">
        <v>263</v>
      </c>
      <c r="M408" s="15">
        <v>18</v>
      </c>
      <c r="N408" s="15">
        <v>45</v>
      </c>
      <c r="O408" s="15">
        <v>10</v>
      </c>
      <c r="P408" s="15">
        <v>729</v>
      </c>
      <c r="Q408" s="15">
        <v>2</v>
      </c>
      <c r="R408" s="15" t="s">
        <v>48</v>
      </c>
      <c r="S408" s="15" t="s">
        <v>115</v>
      </c>
      <c r="T408" s="15" t="s">
        <v>144</v>
      </c>
      <c r="U408" s="17" t="s">
        <v>1778</v>
      </c>
      <c r="V408" s="15" t="s">
        <v>64</v>
      </c>
    </row>
    <row r="409" spans="1:22">
      <c r="A409" s="18" t="s">
        <v>1779</v>
      </c>
      <c r="B409" s="18" t="s">
        <v>127</v>
      </c>
      <c r="C409" s="18" t="s">
        <v>72</v>
      </c>
      <c r="D409" s="18" t="s">
        <v>463</v>
      </c>
      <c r="E409" s="18" t="s">
        <v>216</v>
      </c>
      <c r="F409" s="18" t="s">
        <v>200</v>
      </c>
      <c r="G409" s="18" t="s">
        <v>76</v>
      </c>
      <c r="H409" s="18" t="s">
        <v>1780</v>
      </c>
      <c r="I409" s="18" t="s">
        <v>294</v>
      </c>
      <c r="J409" s="18" t="s">
        <v>295</v>
      </c>
      <c r="K409" s="18" t="s">
        <v>46</v>
      </c>
      <c r="L409" s="18" t="s">
        <v>78</v>
      </c>
      <c r="M409" s="18">
        <v>13</v>
      </c>
      <c r="N409" s="18">
        <v>1200</v>
      </c>
      <c r="O409" s="18">
        <v>5</v>
      </c>
      <c r="P409" s="18">
        <v>14820</v>
      </c>
      <c r="Q409" s="18">
        <v>4</v>
      </c>
      <c r="R409" s="18" t="s">
        <v>79</v>
      </c>
      <c r="S409" s="18" t="s">
        <v>115</v>
      </c>
      <c r="T409" s="18" t="s">
        <v>132</v>
      </c>
      <c r="U409" s="19" t="s">
        <v>1781</v>
      </c>
      <c r="V409" s="18" t="s">
        <v>38</v>
      </c>
    </row>
    <row r="410" spans="1:22">
      <c r="A410" s="15" t="s">
        <v>1782</v>
      </c>
      <c r="B410" s="15" t="s">
        <v>23</v>
      </c>
      <c r="C410" s="15" t="s">
        <v>222</v>
      </c>
      <c r="D410" s="15" t="s">
        <v>1344</v>
      </c>
      <c r="E410" s="15" t="s">
        <v>1783</v>
      </c>
      <c r="F410" s="15" t="s">
        <v>27</v>
      </c>
      <c r="G410" s="15" t="s">
        <v>28</v>
      </c>
      <c r="H410" s="15" t="s">
        <v>1784</v>
      </c>
      <c r="I410" s="15" t="s">
        <v>30</v>
      </c>
      <c r="J410" s="15" t="s">
        <v>31</v>
      </c>
      <c r="K410" s="15" t="s">
        <v>122</v>
      </c>
      <c r="L410" s="15" t="s">
        <v>227</v>
      </c>
      <c r="M410" s="15">
        <v>14</v>
      </c>
      <c r="N410" s="15">
        <v>20</v>
      </c>
      <c r="O410" s="15">
        <v>20</v>
      </c>
      <c r="P410" s="15">
        <v>224</v>
      </c>
      <c r="Q410" s="15">
        <v>5</v>
      </c>
      <c r="R410" s="15" t="s">
        <v>88</v>
      </c>
      <c r="S410" s="15" t="s">
        <v>49</v>
      </c>
      <c r="T410" s="15" t="s">
        <v>50</v>
      </c>
      <c r="U410" s="17" t="s">
        <v>1785</v>
      </c>
      <c r="V410" s="15" t="s">
        <v>64</v>
      </c>
    </row>
    <row r="411" spans="1:22">
      <c r="A411" s="18" t="s">
        <v>1786</v>
      </c>
      <c r="B411" s="18" t="s">
        <v>100</v>
      </c>
      <c r="C411" s="18" t="s">
        <v>92</v>
      </c>
      <c r="D411" s="18" t="s">
        <v>1787</v>
      </c>
      <c r="E411" s="18" t="s">
        <v>1689</v>
      </c>
      <c r="F411" s="18" t="s">
        <v>103</v>
      </c>
      <c r="G411" s="18" t="s">
        <v>28</v>
      </c>
      <c r="H411" s="18" t="s">
        <v>1788</v>
      </c>
      <c r="I411" s="18" t="s">
        <v>30</v>
      </c>
      <c r="J411" s="18" t="s">
        <v>31</v>
      </c>
      <c r="K411" s="18" t="s">
        <v>32</v>
      </c>
      <c r="L411" s="18" t="s">
        <v>97</v>
      </c>
      <c r="M411" s="18">
        <v>16</v>
      </c>
      <c r="N411" s="18">
        <v>3500</v>
      </c>
      <c r="O411" s="18">
        <v>15</v>
      </c>
      <c r="P411" s="18">
        <v>47600</v>
      </c>
      <c r="Q411" s="18">
        <v>3</v>
      </c>
      <c r="R411" s="18" t="s">
        <v>88</v>
      </c>
      <c r="S411" s="18" t="s">
        <v>61</v>
      </c>
      <c r="T411" s="18" t="s">
        <v>144</v>
      </c>
      <c r="U411" s="19" t="s">
        <v>1789</v>
      </c>
      <c r="V411" s="18" t="s">
        <v>69</v>
      </c>
    </row>
    <row r="412" spans="1:22">
      <c r="A412" s="15" t="s">
        <v>1790</v>
      </c>
      <c r="B412" s="15" t="s">
        <v>251</v>
      </c>
      <c r="C412" s="15" t="s">
        <v>222</v>
      </c>
      <c r="D412" s="15" t="s">
        <v>987</v>
      </c>
      <c r="E412" s="15" t="s">
        <v>1110</v>
      </c>
      <c r="F412" s="15" t="s">
        <v>254</v>
      </c>
      <c r="G412" s="15" t="s">
        <v>28</v>
      </c>
      <c r="H412" s="15" t="s">
        <v>1791</v>
      </c>
      <c r="I412" s="15" t="s">
        <v>59</v>
      </c>
      <c r="J412" s="15" t="s">
        <v>31</v>
      </c>
      <c r="K412" s="15" t="s">
        <v>122</v>
      </c>
      <c r="L412" s="15" t="s">
        <v>227</v>
      </c>
      <c r="M412" s="15">
        <v>20</v>
      </c>
      <c r="N412" s="15">
        <v>20</v>
      </c>
      <c r="O412" s="15">
        <v>15</v>
      </c>
      <c r="P412" s="15">
        <v>340</v>
      </c>
      <c r="Q412" s="15">
        <v>1</v>
      </c>
      <c r="R412" s="15" t="s">
        <v>48</v>
      </c>
      <c r="S412" s="15" t="s">
        <v>61</v>
      </c>
      <c r="T412" s="15" t="s">
        <v>256</v>
      </c>
      <c r="U412" s="17" t="s">
        <v>1792</v>
      </c>
      <c r="V412" s="15" t="s">
        <v>69</v>
      </c>
    </row>
    <row r="413" spans="1:22">
      <c r="A413" s="18" t="s">
        <v>1793</v>
      </c>
      <c r="B413" s="18" t="s">
        <v>168</v>
      </c>
      <c r="C413" s="18" t="s">
        <v>54</v>
      </c>
      <c r="D413" s="18" t="s">
        <v>652</v>
      </c>
      <c r="E413" s="18" t="s">
        <v>666</v>
      </c>
      <c r="F413" s="18" t="s">
        <v>361</v>
      </c>
      <c r="G413" s="18" t="s">
        <v>28</v>
      </c>
      <c r="H413" s="18" t="s">
        <v>1794</v>
      </c>
      <c r="I413" s="18" t="s">
        <v>138</v>
      </c>
      <c r="J413" s="18" t="s">
        <v>106</v>
      </c>
      <c r="K413" s="18" t="s">
        <v>46</v>
      </c>
      <c r="L413" s="18" t="s">
        <v>60</v>
      </c>
      <c r="M413" s="18">
        <v>1</v>
      </c>
      <c r="N413" s="18">
        <v>55000</v>
      </c>
      <c r="O413" s="18">
        <v>15</v>
      </c>
      <c r="P413" s="18">
        <v>46750</v>
      </c>
      <c r="Q413" s="18">
        <v>2</v>
      </c>
      <c r="R413" s="18" t="s">
        <v>88</v>
      </c>
      <c r="S413" s="18" t="s">
        <v>115</v>
      </c>
      <c r="T413" s="18" t="s">
        <v>175</v>
      </c>
      <c r="U413" s="19" t="s">
        <v>1795</v>
      </c>
      <c r="V413" s="18" t="s">
        <v>69</v>
      </c>
    </row>
    <row r="414" spans="1:22">
      <c r="A414" s="15" t="s">
        <v>1796</v>
      </c>
      <c r="B414" s="15" t="s">
        <v>100</v>
      </c>
      <c r="C414" s="15" t="s">
        <v>118</v>
      </c>
      <c r="D414" s="15" t="s">
        <v>142</v>
      </c>
      <c r="E414" s="15" t="s">
        <v>620</v>
      </c>
      <c r="F414" s="15" t="s">
        <v>103</v>
      </c>
      <c r="G414" s="15" t="s">
        <v>28</v>
      </c>
      <c r="H414" s="15" t="s">
        <v>1797</v>
      </c>
      <c r="I414" s="15" t="s">
        <v>138</v>
      </c>
      <c r="J414" s="15" t="s">
        <v>106</v>
      </c>
      <c r="K414" s="15" t="s">
        <v>122</v>
      </c>
      <c r="L414" s="15" t="s">
        <v>123</v>
      </c>
      <c r="M414" s="15">
        <v>15</v>
      </c>
      <c r="N414" s="15">
        <v>60</v>
      </c>
      <c r="O414" s="15">
        <v>5</v>
      </c>
      <c r="P414" s="15">
        <v>855</v>
      </c>
      <c r="Q414" s="15">
        <v>4</v>
      </c>
      <c r="R414" s="15" t="s">
        <v>48</v>
      </c>
      <c r="S414" s="15" t="s">
        <v>61</v>
      </c>
      <c r="T414" s="15" t="s">
        <v>144</v>
      </c>
      <c r="U414" s="17" t="s">
        <v>1798</v>
      </c>
      <c r="V414" s="15" t="s">
        <v>38</v>
      </c>
    </row>
    <row r="415" spans="1:22">
      <c r="A415" s="18" t="s">
        <v>1799</v>
      </c>
      <c r="B415" s="18" t="s">
        <v>83</v>
      </c>
      <c r="C415" s="18" t="s">
        <v>184</v>
      </c>
      <c r="D415" s="18" t="s">
        <v>1800</v>
      </c>
      <c r="E415" s="18" t="s">
        <v>66</v>
      </c>
      <c r="F415" s="18" t="s">
        <v>180</v>
      </c>
      <c r="G415" s="18" t="s">
        <v>76</v>
      </c>
      <c r="H415" s="18" t="s">
        <v>1801</v>
      </c>
      <c r="I415" s="18" t="s">
        <v>105</v>
      </c>
      <c r="J415" s="18" t="s">
        <v>106</v>
      </c>
      <c r="K415" s="18" t="s">
        <v>46</v>
      </c>
      <c r="L415" s="18" t="s">
        <v>189</v>
      </c>
      <c r="M415" s="18">
        <v>15</v>
      </c>
      <c r="N415" s="18">
        <v>700</v>
      </c>
      <c r="O415" s="18">
        <v>0</v>
      </c>
      <c r="P415" s="18">
        <v>10500</v>
      </c>
      <c r="Q415" s="18">
        <v>5</v>
      </c>
      <c r="R415" s="18" t="s">
        <v>48</v>
      </c>
      <c r="S415" s="18" t="s">
        <v>115</v>
      </c>
      <c r="T415" s="18" t="s">
        <v>89</v>
      </c>
      <c r="U415" s="19" t="s">
        <v>1802</v>
      </c>
      <c r="V415" s="18" t="s">
        <v>38</v>
      </c>
    </row>
    <row r="416" spans="1:22">
      <c r="A416" s="15" t="s">
        <v>1803</v>
      </c>
      <c r="B416" s="15" t="s">
        <v>221</v>
      </c>
      <c r="C416" s="15" t="s">
        <v>40</v>
      </c>
      <c r="D416" s="15" t="s">
        <v>1199</v>
      </c>
      <c r="E416" s="15" t="s">
        <v>440</v>
      </c>
      <c r="F416" s="15" t="s">
        <v>225</v>
      </c>
      <c r="G416" s="15" t="s">
        <v>76</v>
      </c>
      <c r="H416" s="15" t="s">
        <v>1804</v>
      </c>
      <c r="I416" s="15" t="s">
        <v>294</v>
      </c>
      <c r="J416" s="15" t="s">
        <v>295</v>
      </c>
      <c r="K416" s="15" t="s">
        <v>46</v>
      </c>
      <c r="L416" s="15" t="s">
        <v>47</v>
      </c>
      <c r="M416" s="15">
        <v>13</v>
      </c>
      <c r="N416" s="15">
        <v>12000</v>
      </c>
      <c r="O416" s="15">
        <v>10</v>
      </c>
      <c r="P416" s="15">
        <v>140400</v>
      </c>
      <c r="Q416" s="15">
        <v>1</v>
      </c>
      <c r="R416" s="15" t="s">
        <v>34</v>
      </c>
      <c r="S416" s="15" t="s">
        <v>151</v>
      </c>
      <c r="T416" s="15" t="s">
        <v>228</v>
      </c>
      <c r="U416" s="17" t="s">
        <v>1805</v>
      </c>
      <c r="V416" s="15" t="s">
        <v>69</v>
      </c>
    </row>
    <row r="417" spans="1:22">
      <c r="A417" s="18" t="s">
        <v>1806</v>
      </c>
      <c r="B417" s="18" t="s">
        <v>83</v>
      </c>
      <c r="C417" s="18" t="s">
        <v>40</v>
      </c>
      <c r="D417" s="18" t="s">
        <v>1807</v>
      </c>
      <c r="E417" s="18" t="s">
        <v>1081</v>
      </c>
      <c r="F417" s="18" t="s">
        <v>180</v>
      </c>
      <c r="G417" s="18" t="s">
        <v>76</v>
      </c>
      <c r="H417" s="18" t="s">
        <v>1808</v>
      </c>
      <c r="I417" s="18" t="s">
        <v>30</v>
      </c>
      <c r="J417" s="18" t="s">
        <v>31</v>
      </c>
      <c r="K417" s="18" t="s">
        <v>46</v>
      </c>
      <c r="L417" s="18" t="s">
        <v>47</v>
      </c>
      <c r="M417" s="18">
        <v>12</v>
      </c>
      <c r="N417" s="18">
        <v>12000</v>
      </c>
      <c r="O417" s="18">
        <v>20</v>
      </c>
      <c r="P417" s="18">
        <v>115200</v>
      </c>
      <c r="Q417" s="18">
        <v>2</v>
      </c>
      <c r="R417" s="18" t="s">
        <v>34</v>
      </c>
      <c r="S417" s="18" t="s">
        <v>35</v>
      </c>
      <c r="T417" s="18" t="s">
        <v>89</v>
      </c>
      <c r="U417" s="19" t="s">
        <v>1809</v>
      </c>
      <c r="V417" s="18" t="s">
        <v>38</v>
      </c>
    </row>
    <row r="418" spans="1:22">
      <c r="A418" s="15" t="s">
        <v>1810</v>
      </c>
      <c r="B418" s="15" t="s">
        <v>83</v>
      </c>
      <c r="C418" s="15" t="s">
        <v>259</v>
      </c>
      <c r="D418" s="15" t="s">
        <v>119</v>
      </c>
      <c r="E418" s="15" t="s">
        <v>1298</v>
      </c>
      <c r="F418" s="15" t="s">
        <v>180</v>
      </c>
      <c r="G418" s="15" t="s">
        <v>76</v>
      </c>
      <c r="H418" s="15" t="s">
        <v>1811</v>
      </c>
      <c r="I418" s="15" t="s">
        <v>105</v>
      </c>
      <c r="J418" s="15" t="s">
        <v>106</v>
      </c>
      <c r="K418" s="15" t="s">
        <v>122</v>
      </c>
      <c r="L418" s="15" t="s">
        <v>263</v>
      </c>
      <c r="M418" s="15">
        <v>10</v>
      </c>
      <c r="N418" s="15">
        <v>45</v>
      </c>
      <c r="O418" s="15">
        <v>0</v>
      </c>
      <c r="P418" s="15">
        <v>450</v>
      </c>
      <c r="Q418" s="15">
        <v>5</v>
      </c>
      <c r="R418" s="15" t="s">
        <v>79</v>
      </c>
      <c r="S418" s="15" t="s">
        <v>115</v>
      </c>
      <c r="T418" s="15" t="s">
        <v>89</v>
      </c>
      <c r="U418" s="17" t="s">
        <v>1812</v>
      </c>
      <c r="V418" s="15" t="s">
        <v>69</v>
      </c>
    </row>
    <row r="419" spans="1:22">
      <c r="A419" s="18" t="s">
        <v>1813</v>
      </c>
      <c r="B419" s="18" t="s">
        <v>127</v>
      </c>
      <c r="C419" s="18" t="s">
        <v>72</v>
      </c>
      <c r="D419" s="18" t="s">
        <v>41</v>
      </c>
      <c r="E419" s="18" t="s">
        <v>596</v>
      </c>
      <c r="F419" s="18" t="s">
        <v>200</v>
      </c>
      <c r="G419" s="18" t="s">
        <v>76</v>
      </c>
      <c r="H419" s="18" t="s">
        <v>1814</v>
      </c>
      <c r="I419" s="18" t="s">
        <v>105</v>
      </c>
      <c r="J419" s="18" t="s">
        <v>106</v>
      </c>
      <c r="K419" s="18" t="s">
        <v>46</v>
      </c>
      <c r="L419" s="18" t="s">
        <v>78</v>
      </c>
      <c r="M419" s="18">
        <v>20</v>
      </c>
      <c r="N419" s="18">
        <v>1200</v>
      </c>
      <c r="O419" s="18">
        <v>20</v>
      </c>
      <c r="P419" s="18">
        <v>19200</v>
      </c>
      <c r="Q419" s="18">
        <v>5</v>
      </c>
      <c r="R419" s="18" t="s">
        <v>48</v>
      </c>
      <c r="S419" s="18" t="s">
        <v>61</v>
      </c>
      <c r="T419" s="18" t="s">
        <v>132</v>
      </c>
      <c r="U419" s="19" t="s">
        <v>1815</v>
      </c>
      <c r="V419" s="18" t="s">
        <v>69</v>
      </c>
    </row>
    <row r="420" spans="1:22">
      <c r="A420" s="15" t="s">
        <v>1816</v>
      </c>
      <c r="B420" s="15" t="s">
        <v>71</v>
      </c>
      <c r="C420" s="15" t="s">
        <v>72</v>
      </c>
      <c r="D420" s="15" t="s">
        <v>128</v>
      </c>
      <c r="E420" s="15" t="s">
        <v>1817</v>
      </c>
      <c r="F420" s="15" t="s">
        <v>217</v>
      </c>
      <c r="G420" s="15" t="s">
        <v>76</v>
      </c>
      <c r="H420" s="15" t="s">
        <v>1818</v>
      </c>
      <c r="I420" s="15" t="s">
        <v>114</v>
      </c>
      <c r="J420" s="15" t="s">
        <v>106</v>
      </c>
      <c r="K420" s="15" t="s">
        <v>46</v>
      </c>
      <c r="L420" s="15" t="s">
        <v>78</v>
      </c>
      <c r="M420" s="15">
        <v>8</v>
      </c>
      <c r="N420" s="15">
        <v>1200</v>
      </c>
      <c r="O420" s="15">
        <v>10</v>
      </c>
      <c r="P420" s="15">
        <v>8640</v>
      </c>
      <c r="Q420" s="15">
        <v>4</v>
      </c>
      <c r="R420" s="15" t="s">
        <v>48</v>
      </c>
      <c r="S420" s="15" t="s">
        <v>61</v>
      </c>
      <c r="T420" s="15" t="s">
        <v>80</v>
      </c>
      <c r="U420" s="17" t="s">
        <v>1819</v>
      </c>
      <c r="V420" s="15" t="s">
        <v>38</v>
      </c>
    </row>
    <row r="421" spans="1:22">
      <c r="A421" s="18" t="s">
        <v>1820</v>
      </c>
      <c r="B421" s="18" t="s">
        <v>127</v>
      </c>
      <c r="C421" s="18" t="s">
        <v>72</v>
      </c>
      <c r="D421" s="18" t="s">
        <v>1085</v>
      </c>
      <c r="E421" s="18" t="s">
        <v>1086</v>
      </c>
      <c r="F421" s="18" t="s">
        <v>200</v>
      </c>
      <c r="G421" s="18" t="s">
        <v>76</v>
      </c>
      <c r="H421" s="18" t="s">
        <v>1821</v>
      </c>
      <c r="I421" s="18" t="s">
        <v>212</v>
      </c>
      <c r="J421" s="18" t="s">
        <v>45</v>
      </c>
      <c r="K421" s="18" t="s">
        <v>46</v>
      </c>
      <c r="L421" s="18" t="s">
        <v>78</v>
      </c>
      <c r="M421" s="18">
        <v>8</v>
      </c>
      <c r="N421" s="18">
        <v>1200</v>
      </c>
      <c r="O421" s="18">
        <v>10</v>
      </c>
      <c r="P421" s="18">
        <v>8640</v>
      </c>
      <c r="Q421" s="18">
        <v>5</v>
      </c>
      <c r="R421" s="18" t="s">
        <v>79</v>
      </c>
      <c r="S421" s="18" t="s">
        <v>49</v>
      </c>
      <c r="T421" s="18" t="s">
        <v>132</v>
      </c>
      <c r="U421" s="19" t="s">
        <v>1822</v>
      </c>
      <c r="V421" s="18" t="s">
        <v>69</v>
      </c>
    </row>
    <row r="422" spans="1:22">
      <c r="A422" s="15" t="s">
        <v>1823</v>
      </c>
      <c r="B422" s="15" t="s">
        <v>327</v>
      </c>
      <c r="C422" s="15" t="s">
        <v>24</v>
      </c>
      <c r="D422" s="15" t="s">
        <v>1824</v>
      </c>
      <c r="E422" s="15" t="s">
        <v>1444</v>
      </c>
      <c r="F422" s="15" t="s">
        <v>394</v>
      </c>
      <c r="G422" s="15" t="s">
        <v>76</v>
      </c>
      <c r="H422" s="15" t="s">
        <v>1825</v>
      </c>
      <c r="I422" s="15" t="s">
        <v>212</v>
      </c>
      <c r="J422" s="15" t="s">
        <v>45</v>
      </c>
      <c r="K422" s="15" t="s">
        <v>32</v>
      </c>
      <c r="L422" s="15" t="s">
        <v>33</v>
      </c>
      <c r="M422" s="15">
        <v>9</v>
      </c>
      <c r="N422" s="15">
        <v>2200</v>
      </c>
      <c r="O422" s="15">
        <v>20</v>
      </c>
      <c r="P422" s="15">
        <v>15840</v>
      </c>
      <c r="Q422" s="15">
        <v>1</v>
      </c>
      <c r="R422" s="15" t="s">
        <v>48</v>
      </c>
      <c r="S422" s="15" t="s">
        <v>115</v>
      </c>
      <c r="T422" s="15" t="s">
        <v>332</v>
      </c>
      <c r="U422" s="17" t="s">
        <v>1826</v>
      </c>
      <c r="V422" s="15" t="s">
        <v>38</v>
      </c>
    </row>
    <row r="423" spans="1:22">
      <c r="A423" s="18" t="s">
        <v>1827</v>
      </c>
      <c r="B423" s="18" t="s">
        <v>127</v>
      </c>
      <c r="C423" s="18" t="s">
        <v>222</v>
      </c>
      <c r="D423" s="18" t="s">
        <v>1268</v>
      </c>
      <c r="E423" s="18" t="s">
        <v>760</v>
      </c>
      <c r="F423" s="18" t="s">
        <v>200</v>
      </c>
      <c r="G423" s="18" t="s">
        <v>76</v>
      </c>
      <c r="H423" s="18" t="s">
        <v>1828</v>
      </c>
      <c r="I423" s="18" t="s">
        <v>294</v>
      </c>
      <c r="J423" s="18" t="s">
        <v>295</v>
      </c>
      <c r="K423" s="18" t="s">
        <v>122</v>
      </c>
      <c r="L423" s="18" t="s">
        <v>227</v>
      </c>
      <c r="M423" s="18">
        <v>8</v>
      </c>
      <c r="N423" s="18">
        <v>20</v>
      </c>
      <c r="O423" s="18">
        <v>20</v>
      </c>
      <c r="P423" s="18">
        <v>128</v>
      </c>
      <c r="Q423" s="18">
        <v>4</v>
      </c>
      <c r="R423" s="18" t="s">
        <v>34</v>
      </c>
      <c r="S423" s="18" t="s">
        <v>35</v>
      </c>
      <c r="T423" s="18" t="s">
        <v>132</v>
      </c>
      <c r="U423" s="19" t="s">
        <v>1829</v>
      </c>
      <c r="V423" s="18" t="s">
        <v>69</v>
      </c>
    </row>
    <row r="424" spans="1:22">
      <c r="A424" s="15" t="s">
        <v>1830</v>
      </c>
      <c r="B424" s="15" t="s">
        <v>221</v>
      </c>
      <c r="C424" s="15" t="s">
        <v>54</v>
      </c>
      <c r="D424" s="15" t="s">
        <v>1176</v>
      </c>
      <c r="E424" s="15" t="s">
        <v>1831</v>
      </c>
      <c r="F424" s="15" t="s">
        <v>225</v>
      </c>
      <c r="G424" s="15" t="s">
        <v>76</v>
      </c>
      <c r="H424" s="15" t="s">
        <v>1006</v>
      </c>
      <c r="I424" s="15" t="s">
        <v>114</v>
      </c>
      <c r="J424" s="15" t="s">
        <v>106</v>
      </c>
      <c r="K424" s="15" t="s">
        <v>46</v>
      </c>
      <c r="L424" s="15" t="s">
        <v>60</v>
      </c>
      <c r="M424" s="15">
        <v>5</v>
      </c>
      <c r="N424" s="15">
        <v>55000</v>
      </c>
      <c r="O424" s="15">
        <v>0</v>
      </c>
      <c r="P424" s="15">
        <v>275000</v>
      </c>
      <c r="Q424" s="15">
        <v>1</v>
      </c>
      <c r="R424" s="15" t="s">
        <v>79</v>
      </c>
      <c r="S424" s="15" t="s">
        <v>115</v>
      </c>
      <c r="T424" s="15" t="s">
        <v>228</v>
      </c>
      <c r="U424" s="17" t="s">
        <v>1832</v>
      </c>
      <c r="V424" s="15" t="s">
        <v>38</v>
      </c>
    </row>
    <row r="425" spans="1:22">
      <c r="A425" s="18" t="s">
        <v>1833</v>
      </c>
      <c r="B425" s="18" t="s">
        <v>100</v>
      </c>
      <c r="C425" s="18" t="s">
        <v>72</v>
      </c>
      <c r="D425" s="18" t="s">
        <v>1834</v>
      </c>
      <c r="E425" s="18" t="s">
        <v>636</v>
      </c>
      <c r="F425" s="18" t="s">
        <v>103</v>
      </c>
      <c r="G425" s="18" t="s">
        <v>28</v>
      </c>
      <c r="H425" s="18" t="s">
        <v>1835</v>
      </c>
      <c r="I425" s="18" t="s">
        <v>105</v>
      </c>
      <c r="J425" s="18" t="s">
        <v>106</v>
      </c>
      <c r="K425" s="18" t="s">
        <v>46</v>
      </c>
      <c r="L425" s="18" t="s">
        <v>78</v>
      </c>
      <c r="M425" s="18">
        <v>13</v>
      </c>
      <c r="N425" s="18">
        <v>1200</v>
      </c>
      <c r="O425" s="18">
        <v>5</v>
      </c>
      <c r="P425" s="18">
        <v>14820</v>
      </c>
      <c r="Q425" s="18">
        <v>2</v>
      </c>
      <c r="R425" s="18" t="s">
        <v>79</v>
      </c>
      <c r="S425" s="18" t="s">
        <v>35</v>
      </c>
      <c r="T425" s="18" t="s">
        <v>144</v>
      </c>
      <c r="U425" s="19" t="s">
        <v>1836</v>
      </c>
      <c r="V425" s="18" t="s">
        <v>69</v>
      </c>
    </row>
    <row r="426" spans="1:22">
      <c r="A426" s="15" t="s">
        <v>1837</v>
      </c>
      <c r="B426" s="15" t="s">
        <v>83</v>
      </c>
      <c r="C426" s="15" t="s">
        <v>169</v>
      </c>
      <c r="D426" s="15" t="s">
        <v>1484</v>
      </c>
      <c r="E426" s="15" t="s">
        <v>1838</v>
      </c>
      <c r="F426" s="15" t="s">
        <v>180</v>
      </c>
      <c r="G426" s="15" t="s">
        <v>76</v>
      </c>
      <c r="H426" s="15" t="s">
        <v>1839</v>
      </c>
      <c r="I426" s="15" t="s">
        <v>212</v>
      </c>
      <c r="J426" s="15" t="s">
        <v>45</v>
      </c>
      <c r="K426" s="15" t="s">
        <v>32</v>
      </c>
      <c r="L426" s="15" t="s">
        <v>174</v>
      </c>
      <c r="M426" s="15">
        <v>13</v>
      </c>
      <c r="N426" s="15">
        <v>8500</v>
      </c>
      <c r="O426" s="15">
        <v>20</v>
      </c>
      <c r="P426" s="15">
        <v>88400</v>
      </c>
      <c r="Q426" s="15">
        <v>5</v>
      </c>
      <c r="R426" s="15" t="s">
        <v>34</v>
      </c>
      <c r="S426" s="15" t="s">
        <v>49</v>
      </c>
      <c r="T426" s="15" t="s">
        <v>89</v>
      </c>
      <c r="U426" s="17" t="s">
        <v>1840</v>
      </c>
      <c r="V426" s="15" t="s">
        <v>64</v>
      </c>
    </row>
    <row r="427" spans="1:22">
      <c r="A427" s="18" t="s">
        <v>1841</v>
      </c>
      <c r="B427" s="18" t="s">
        <v>71</v>
      </c>
      <c r="C427" s="18" t="s">
        <v>118</v>
      </c>
      <c r="D427" s="18" t="s">
        <v>765</v>
      </c>
      <c r="E427" s="18" t="s">
        <v>1842</v>
      </c>
      <c r="F427" s="18" t="s">
        <v>217</v>
      </c>
      <c r="G427" s="18" t="s">
        <v>76</v>
      </c>
      <c r="H427" s="18" t="s">
        <v>1843</v>
      </c>
      <c r="I427" s="18" t="s">
        <v>114</v>
      </c>
      <c r="J427" s="18" t="s">
        <v>106</v>
      </c>
      <c r="K427" s="18" t="s">
        <v>122</v>
      </c>
      <c r="L427" s="18" t="s">
        <v>123</v>
      </c>
      <c r="M427" s="18">
        <v>14</v>
      </c>
      <c r="N427" s="18">
        <v>60</v>
      </c>
      <c r="O427" s="18">
        <v>10</v>
      </c>
      <c r="P427" s="18">
        <v>756</v>
      </c>
      <c r="Q427" s="18">
        <v>1</v>
      </c>
      <c r="R427" s="18" t="s">
        <v>34</v>
      </c>
      <c r="S427" s="18" t="s">
        <v>61</v>
      </c>
      <c r="T427" s="18" t="s">
        <v>80</v>
      </c>
      <c r="U427" s="19" t="s">
        <v>1844</v>
      </c>
      <c r="V427" s="18" t="s">
        <v>69</v>
      </c>
    </row>
    <row r="428" spans="1:22">
      <c r="A428" s="15" t="s">
        <v>1845</v>
      </c>
      <c r="B428" s="15" t="s">
        <v>251</v>
      </c>
      <c r="C428" s="15" t="s">
        <v>24</v>
      </c>
      <c r="D428" s="15" t="s">
        <v>336</v>
      </c>
      <c r="E428" s="15" t="s">
        <v>606</v>
      </c>
      <c r="F428" s="15" t="s">
        <v>254</v>
      </c>
      <c r="G428" s="15" t="s">
        <v>28</v>
      </c>
      <c r="H428" s="15" t="s">
        <v>1846</v>
      </c>
      <c r="I428" s="15" t="s">
        <v>59</v>
      </c>
      <c r="J428" s="15" t="s">
        <v>31</v>
      </c>
      <c r="K428" s="15" t="s">
        <v>32</v>
      </c>
      <c r="L428" s="15" t="s">
        <v>33</v>
      </c>
      <c r="M428" s="15">
        <v>15</v>
      </c>
      <c r="N428" s="15">
        <v>2200</v>
      </c>
      <c r="O428" s="15">
        <v>0</v>
      </c>
      <c r="P428" s="15">
        <v>33000</v>
      </c>
      <c r="Q428" s="15">
        <v>1</v>
      </c>
      <c r="R428" s="15" t="s">
        <v>34</v>
      </c>
      <c r="S428" s="15" t="s">
        <v>61</v>
      </c>
      <c r="T428" s="15" t="s">
        <v>256</v>
      </c>
      <c r="U428" s="17" t="s">
        <v>1847</v>
      </c>
      <c r="V428" s="15" t="s">
        <v>38</v>
      </c>
    </row>
    <row r="429" spans="1:22">
      <c r="A429" s="18" t="s">
        <v>1848</v>
      </c>
      <c r="B429" s="18" t="s">
        <v>83</v>
      </c>
      <c r="C429" s="18" t="s">
        <v>118</v>
      </c>
      <c r="D429" s="18" t="s">
        <v>1849</v>
      </c>
      <c r="E429" s="18" t="s">
        <v>1850</v>
      </c>
      <c r="F429" s="18" t="s">
        <v>180</v>
      </c>
      <c r="G429" s="18" t="s">
        <v>76</v>
      </c>
      <c r="H429" s="18" t="s">
        <v>1851</v>
      </c>
      <c r="I429" s="18" t="s">
        <v>212</v>
      </c>
      <c r="J429" s="18" t="s">
        <v>45</v>
      </c>
      <c r="K429" s="18" t="s">
        <v>122</v>
      </c>
      <c r="L429" s="18" t="s">
        <v>123</v>
      </c>
      <c r="M429" s="18">
        <v>19</v>
      </c>
      <c r="N429" s="18">
        <v>60</v>
      </c>
      <c r="O429" s="18">
        <v>20</v>
      </c>
      <c r="P429" s="18">
        <v>912</v>
      </c>
      <c r="Q429" s="18">
        <v>3</v>
      </c>
      <c r="R429" s="18" t="s">
        <v>34</v>
      </c>
      <c r="S429" s="18" t="s">
        <v>151</v>
      </c>
      <c r="T429" s="18" t="s">
        <v>89</v>
      </c>
      <c r="U429" s="19" t="s">
        <v>1852</v>
      </c>
      <c r="V429" s="18" t="s">
        <v>64</v>
      </c>
    </row>
    <row r="430" spans="1:22">
      <c r="A430" s="15" t="s">
        <v>1853</v>
      </c>
      <c r="B430" s="15" t="s">
        <v>53</v>
      </c>
      <c r="C430" s="15" t="s">
        <v>259</v>
      </c>
      <c r="D430" s="15" t="s">
        <v>1760</v>
      </c>
      <c r="E430" s="15" t="s">
        <v>341</v>
      </c>
      <c r="F430" s="15" t="s">
        <v>163</v>
      </c>
      <c r="G430" s="15" t="s">
        <v>28</v>
      </c>
      <c r="H430" s="15" t="s">
        <v>1854</v>
      </c>
      <c r="I430" s="15" t="s">
        <v>212</v>
      </c>
      <c r="J430" s="15" t="s">
        <v>45</v>
      </c>
      <c r="K430" s="15" t="s">
        <v>122</v>
      </c>
      <c r="L430" s="15" t="s">
        <v>263</v>
      </c>
      <c r="M430" s="15">
        <v>13</v>
      </c>
      <c r="N430" s="15">
        <v>45</v>
      </c>
      <c r="O430" s="15">
        <v>15</v>
      </c>
      <c r="P430" s="15">
        <v>497.25</v>
      </c>
      <c r="Q430" s="15">
        <v>2</v>
      </c>
      <c r="R430" s="15" t="s">
        <v>34</v>
      </c>
      <c r="S430" s="15" t="s">
        <v>49</v>
      </c>
      <c r="T430" s="15" t="s">
        <v>62</v>
      </c>
      <c r="U430" s="17" t="s">
        <v>1855</v>
      </c>
      <c r="V430" s="15" t="s">
        <v>38</v>
      </c>
    </row>
    <row r="431" spans="1:22">
      <c r="A431" s="18" t="s">
        <v>1856</v>
      </c>
      <c r="B431" s="18" t="s">
        <v>251</v>
      </c>
      <c r="C431" s="18" t="s">
        <v>40</v>
      </c>
      <c r="D431" s="18" t="s">
        <v>998</v>
      </c>
      <c r="E431" s="18" t="s">
        <v>1128</v>
      </c>
      <c r="F431" s="18" t="s">
        <v>254</v>
      </c>
      <c r="G431" s="18" t="s">
        <v>28</v>
      </c>
      <c r="H431" s="18" t="s">
        <v>1857</v>
      </c>
      <c r="I431" s="18" t="s">
        <v>105</v>
      </c>
      <c r="J431" s="18" t="s">
        <v>106</v>
      </c>
      <c r="K431" s="18" t="s">
        <v>46</v>
      </c>
      <c r="L431" s="18" t="s">
        <v>47</v>
      </c>
      <c r="M431" s="18">
        <v>7</v>
      </c>
      <c r="N431" s="18">
        <v>12000</v>
      </c>
      <c r="O431" s="18">
        <v>5</v>
      </c>
      <c r="P431" s="18">
        <v>79800</v>
      </c>
      <c r="Q431" s="18">
        <v>4</v>
      </c>
      <c r="R431" s="18" t="s">
        <v>79</v>
      </c>
      <c r="S431" s="18" t="s">
        <v>151</v>
      </c>
      <c r="T431" s="18" t="s">
        <v>256</v>
      </c>
      <c r="U431" s="19" t="s">
        <v>1858</v>
      </c>
      <c r="V431" s="18" t="s">
        <v>69</v>
      </c>
    </row>
    <row r="432" spans="1:22">
      <c r="A432" s="15" t="s">
        <v>1859</v>
      </c>
      <c r="B432" s="15" t="s">
        <v>327</v>
      </c>
      <c r="C432" s="15" t="s">
        <v>222</v>
      </c>
      <c r="D432" s="15" t="s">
        <v>601</v>
      </c>
      <c r="E432" s="15" t="s">
        <v>64</v>
      </c>
      <c r="F432" s="15" t="s">
        <v>394</v>
      </c>
      <c r="G432" s="15" t="s">
        <v>76</v>
      </c>
      <c r="H432" s="15" t="s">
        <v>1860</v>
      </c>
      <c r="I432" s="15" t="s">
        <v>294</v>
      </c>
      <c r="J432" s="15" t="s">
        <v>295</v>
      </c>
      <c r="K432" s="15" t="s">
        <v>122</v>
      </c>
      <c r="L432" s="15" t="s">
        <v>227</v>
      </c>
      <c r="M432" s="15">
        <v>8</v>
      </c>
      <c r="N432" s="15">
        <v>20</v>
      </c>
      <c r="O432" s="15">
        <v>0</v>
      </c>
      <c r="P432" s="15">
        <v>160</v>
      </c>
      <c r="Q432" s="15">
        <v>4</v>
      </c>
      <c r="R432" s="15" t="s">
        <v>79</v>
      </c>
      <c r="S432" s="15" t="s">
        <v>61</v>
      </c>
      <c r="T432" s="15" t="s">
        <v>332</v>
      </c>
      <c r="U432" s="17" t="s">
        <v>1861</v>
      </c>
      <c r="V432" s="15" t="s">
        <v>64</v>
      </c>
    </row>
    <row r="433" spans="1:22">
      <c r="A433" s="18" t="s">
        <v>1862</v>
      </c>
      <c r="B433" s="18" t="s">
        <v>23</v>
      </c>
      <c r="C433" s="18" t="s">
        <v>92</v>
      </c>
      <c r="D433" s="18" t="s">
        <v>1863</v>
      </c>
      <c r="E433" s="18" t="s">
        <v>900</v>
      </c>
      <c r="F433" s="18" t="s">
        <v>27</v>
      </c>
      <c r="G433" s="18" t="s">
        <v>28</v>
      </c>
      <c r="H433" s="18" t="s">
        <v>1864</v>
      </c>
      <c r="I433" s="18" t="s">
        <v>294</v>
      </c>
      <c r="J433" s="18" t="s">
        <v>295</v>
      </c>
      <c r="K433" s="18" t="s">
        <v>32</v>
      </c>
      <c r="L433" s="18" t="s">
        <v>97</v>
      </c>
      <c r="M433" s="18">
        <v>16</v>
      </c>
      <c r="N433" s="18">
        <v>3500</v>
      </c>
      <c r="O433" s="18">
        <v>5</v>
      </c>
      <c r="P433" s="18">
        <v>53200</v>
      </c>
      <c r="Q433" s="18">
        <v>1</v>
      </c>
      <c r="R433" s="18" t="s">
        <v>79</v>
      </c>
      <c r="S433" s="18" t="s">
        <v>61</v>
      </c>
      <c r="T433" s="18" t="s">
        <v>50</v>
      </c>
      <c r="U433" s="19" t="s">
        <v>1865</v>
      </c>
      <c r="V433" s="18" t="s">
        <v>69</v>
      </c>
    </row>
    <row r="434" spans="1:22">
      <c r="A434" s="15" t="s">
        <v>1866</v>
      </c>
      <c r="B434" s="15" t="s">
        <v>327</v>
      </c>
      <c r="C434" s="15" t="s">
        <v>169</v>
      </c>
      <c r="D434" s="15" t="s">
        <v>1867</v>
      </c>
      <c r="E434" s="15" t="s">
        <v>1157</v>
      </c>
      <c r="F434" s="15" t="s">
        <v>394</v>
      </c>
      <c r="G434" s="15" t="s">
        <v>76</v>
      </c>
      <c r="H434" s="15" t="s">
        <v>1868</v>
      </c>
      <c r="I434" s="15" t="s">
        <v>105</v>
      </c>
      <c r="J434" s="15" t="s">
        <v>106</v>
      </c>
      <c r="K434" s="15" t="s">
        <v>32</v>
      </c>
      <c r="L434" s="15" t="s">
        <v>174</v>
      </c>
      <c r="M434" s="15">
        <v>12</v>
      </c>
      <c r="N434" s="15">
        <v>8500</v>
      </c>
      <c r="O434" s="15">
        <v>10</v>
      </c>
      <c r="P434" s="15">
        <v>91800</v>
      </c>
      <c r="Q434" s="15">
        <v>3</v>
      </c>
      <c r="R434" s="15" t="s">
        <v>79</v>
      </c>
      <c r="S434" s="15" t="s">
        <v>35</v>
      </c>
      <c r="T434" s="15" t="s">
        <v>332</v>
      </c>
      <c r="U434" s="17" t="s">
        <v>1869</v>
      </c>
      <c r="V434" s="15" t="s">
        <v>38</v>
      </c>
    </row>
    <row r="435" spans="1:22">
      <c r="A435" s="18" t="s">
        <v>1870</v>
      </c>
      <c r="B435" s="18" t="s">
        <v>23</v>
      </c>
      <c r="C435" s="18" t="s">
        <v>118</v>
      </c>
      <c r="D435" s="18" t="s">
        <v>539</v>
      </c>
      <c r="E435" s="18" t="s">
        <v>1114</v>
      </c>
      <c r="F435" s="18" t="s">
        <v>27</v>
      </c>
      <c r="G435" s="18" t="s">
        <v>28</v>
      </c>
      <c r="H435" s="18" t="s">
        <v>1871</v>
      </c>
      <c r="I435" s="18" t="s">
        <v>138</v>
      </c>
      <c r="J435" s="18" t="s">
        <v>106</v>
      </c>
      <c r="K435" s="18" t="s">
        <v>122</v>
      </c>
      <c r="L435" s="18" t="s">
        <v>123</v>
      </c>
      <c r="M435" s="18">
        <v>1</v>
      </c>
      <c r="N435" s="18">
        <v>60</v>
      </c>
      <c r="O435" s="18">
        <v>20</v>
      </c>
      <c r="P435" s="18">
        <v>48</v>
      </c>
      <c r="Q435" s="18">
        <v>2</v>
      </c>
      <c r="R435" s="18" t="s">
        <v>79</v>
      </c>
      <c r="S435" s="18" t="s">
        <v>151</v>
      </c>
      <c r="T435" s="18" t="s">
        <v>50</v>
      </c>
      <c r="U435" s="19" t="s">
        <v>1872</v>
      </c>
      <c r="V435" s="18" t="s">
        <v>38</v>
      </c>
    </row>
    <row r="436" spans="1:22">
      <c r="A436" s="15" t="s">
        <v>1873</v>
      </c>
      <c r="B436" s="15" t="s">
        <v>127</v>
      </c>
      <c r="C436" s="15" t="s">
        <v>118</v>
      </c>
      <c r="D436" s="15" t="s">
        <v>507</v>
      </c>
      <c r="E436" s="15" t="s">
        <v>535</v>
      </c>
      <c r="F436" s="15" t="s">
        <v>200</v>
      </c>
      <c r="G436" s="15" t="s">
        <v>76</v>
      </c>
      <c r="H436" s="15" t="s">
        <v>1874</v>
      </c>
      <c r="I436" s="15" t="s">
        <v>30</v>
      </c>
      <c r="J436" s="15" t="s">
        <v>31</v>
      </c>
      <c r="K436" s="15" t="s">
        <v>122</v>
      </c>
      <c r="L436" s="15" t="s">
        <v>123</v>
      </c>
      <c r="M436" s="15">
        <v>3</v>
      </c>
      <c r="N436" s="15">
        <v>60</v>
      </c>
      <c r="O436" s="15">
        <v>15</v>
      </c>
      <c r="P436" s="15">
        <v>153</v>
      </c>
      <c r="Q436" s="15">
        <v>4</v>
      </c>
      <c r="R436" s="15" t="s">
        <v>79</v>
      </c>
      <c r="S436" s="15" t="s">
        <v>35</v>
      </c>
      <c r="T436" s="15" t="s">
        <v>132</v>
      </c>
      <c r="U436" s="17" t="s">
        <v>1875</v>
      </c>
      <c r="V436" s="15" t="s">
        <v>38</v>
      </c>
    </row>
    <row r="437" spans="1:22">
      <c r="A437" s="18" t="s">
        <v>1876</v>
      </c>
      <c r="B437" s="18" t="s">
        <v>100</v>
      </c>
      <c r="C437" s="18" t="s">
        <v>184</v>
      </c>
      <c r="D437" s="18" t="s">
        <v>568</v>
      </c>
      <c r="E437" s="18" t="s">
        <v>119</v>
      </c>
      <c r="F437" s="18" t="s">
        <v>103</v>
      </c>
      <c r="G437" s="18" t="s">
        <v>28</v>
      </c>
      <c r="H437" s="18" t="s">
        <v>1877</v>
      </c>
      <c r="I437" s="18" t="s">
        <v>294</v>
      </c>
      <c r="J437" s="18" t="s">
        <v>295</v>
      </c>
      <c r="K437" s="18" t="s">
        <v>46</v>
      </c>
      <c r="L437" s="18" t="s">
        <v>189</v>
      </c>
      <c r="M437" s="18">
        <v>10</v>
      </c>
      <c r="N437" s="18">
        <v>700</v>
      </c>
      <c r="O437" s="18">
        <v>15</v>
      </c>
      <c r="P437" s="18">
        <v>5950</v>
      </c>
      <c r="Q437" s="18">
        <v>3</v>
      </c>
      <c r="R437" s="18" t="s">
        <v>48</v>
      </c>
      <c r="S437" s="18" t="s">
        <v>35</v>
      </c>
      <c r="T437" s="18" t="s">
        <v>144</v>
      </c>
      <c r="U437" s="19" t="s">
        <v>1878</v>
      </c>
      <c r="V437" s="18" t="s">
        <v>64</v>
      </c>
    </row>
    <row r="438" spans="1:22">
      <c r="A438" s="15" t="s">
        <v>1879</v>
      </c>
      <c r="B438" s="15" t="s">
        <v>83</v>
      </c>
      <c r="C438" s="15" t="s">
        <v>222</v>
      </c>
      <c r="D438" s="15" t="s">
        <v>1880</v>
      </c>
      <c r="E438" s="15" t="s">
        <v>1881</v>
      </c>
      <c r="F438" s="15" t="s">
        <v>180</v>
      </c>
      <c r="G438" s="15" t="s">
        <v>76</v>
      </c>
      <c r="H438" s="15" t="s">
        <v>1882</v>
      </c>
      <c r="I438" s="15" t="s">
        <v>138</v>
      </c>
      <c r="J438" s="15" t="s">
        <v>106</v>
      </c>
      <c r="K438" s="15" t="s">
        <v>122</v>
      </c>
      <c r="L438" s="15" t="s">
        <v>227</v>
      </c>
      <c r="M438" s="15">
        <v>2</v>
      </c>
      <c r="N438" s="15">
        <v>20</v>
      </c>
      <c r="O438" s="15">
        <v>10</v>
      </c>
      <c r="P438" s="15">
        <v>36</v>
      </c>
      <c r="Q438" s="15">
        <v>2</v>
      </c>
      <c r="R438" s="15" t="s">
        <v>88</v>
      </c>
      <c r="S438" s="15" t="s">
        <v>61</v>
      </c>
      <c r="T438" s="15" t="s">
        <v>89</v>
      </c>
      <c r="U438" s="17" t="s">
        <v>1883</v>
      </c>
      <c r="V438" s="15" t="s">
        <v>38</v>
      </c>
    </row>
    <row r="439" spans="1:22">
      <c r="A439" s="18" t="s">
        <v>1884</v>
      </c>
      <c r="B439" s="18" t="s">
        <v>83</v>
      </c>
      <c r="C439" s="18" t="s">
        <v>222</v>
      </c>
      <c r="D439" s="18" t="s">
        <v>1885</v>
      </c>
      <c r="E439" s="18" t="s">
        <v>1199</v>
      </c>
      <c r="F439" s="18" t="s">
        <v>180</v>
      </c>
      <c r="G439" s="18" t="s">
        <v>76</v>
      </c>
      <c r="H439" s="18" t="s">
        <v>1886</v>
      </c>
      <c r="I439" s="18" t="s">
        <v>44</v>
      </c>
      <c r="J439" s="18" t="s">
        <v>45</v>
      </c>
      <c r="K439" s="18" t="s">
        <v>122</v>
      </c>
      <c r="L439" s="18" t="s">
        <v>227</v>
      </c>
      <c r="M439" s="18">
        <v>14</v>
      </c>
      <c r="N439" s="18">
        <v>20</v>
      </c>
      <c r="O439" s="18">
        <v>20</v>
      </c>
      <c r="P439" s="18">
        <v>224</v>
      </c>
      <c r="Q439" s="18">
        <v>5</v>
      </c>
      <c r="R439" s="18" t="s">
        <v>34</v>
      </c>
      <c r="S439" s="18" t="s">
        <v>151</v>
      </c>
      <c r="T439" s="18" t="s">
        <v>89</v>
      </c>
      <c r="U439" s="19" t="s">
        <v>1887</v>
      </c>
      <c r="V439" s="18" t="s">
        <v>64</v>
      </c>
    </row>
    <row r="440" spans="1:22">
      <c r="A440" s="15" t="s">
        <v>1888</v>
      </c>
      <c r="B440" s="15" t="s">
        <v>327</v>
      </c>
      <c r="C440" s="15" t="s">
        <v>92</v>
      </c>
      <c r="D440" s="15" t="s">
        <v>1713</v>
      </c>
      <c r="E440" s="15" t="s">
        <v>193</v>
      </c>
      <c r="F440" s="15" t="s">
        <v>394</v>
      </c>
      <c r="G440" s="15" t="s">
        <v>76</v>
      </c>
      <c r="H440" s="15" t="s">
        <v>1889</v>
      </c>
      <c r="I440" s="15" t="s">
        <v>138</v>
      </c>
      <c r="J440" s="15" t="s">
        <v>106</v>
      </c>
      <c r="K440" s="15" t="s">
        <v>32</v>
      </c>
      <c r="L440" s="15" t="s">
        <v>97</v>
      </c>
      <c r="M440" s="15">
        <v>4</v>
      </c>
      <c r="N440" s="15">
        <v>3500</v>
      </c>
      <c r="O440" s="15">
        <v>0</v>
      </c>
      <c r="P440" s="15">
        <v>14000</v>
      </c>
      <c r="Q440" s="15">
        <v>2</v>
      </c>
      <c r="R440" s="15" t="s">
        <v>88</v>
      </c>
      <c r="S440" s="15" t="s">
        <v>35</v>
      </c>
      <c r="T440" s="15" t="s">
        <v>332</v>
      </c>
      <c r="U440" s="17" t="s">
        <v>1890</v>
      </c>
      <c r="V440" s="15" t="s">
        <v>69</v>
      </c>
    </row>
    <row r="441" spans="1:22">
      <c r="A441" s="18" t="s">
        <v>1891</v>
      </c>
      <c r="B441" s="18" t="s">
        <v>83</v>
      </c>
      <c r="C441" s="18" t="s">
        <v>92</v>
      </c>
      <c r="D441" s="18" t="s">
        <v>318</v>
      </c>
      <c r="E441" s="18" t="s">
        <v>1119</v>
      </c>
      <c r="F441" s="18" t="s">
        <v>180</v>
      </c>
      <c r="G441" s="18" t="s">
        <v>76</v>
      </c>
      <c r="H441" s="18" t="s">
        <v>1892</v>
      </c>
      <c r="I441" s="18" t="s">
        <v>212</v>
      </c>
      <c r="J441" s="18" t="s">
        <v>45</v>
      </c>
      <c r="K441" s="18" t="s">
        <v>32</v>
      </c>
      <c r="L441" s="18" t="s">
        <v>97</v>
      </c>
      <c r="M441" s="18">
        <v>9</v>
      </c>
      <c r="N441" s="18">
        <v>3500</v>
      </c>
      <c r="O441" s="18">
        <v>5</v>
      </c>
      <c r="P441" s="18">
        <v>29925</v>
      </c>
      <c r="Q441" s="18">
        <v>3</v>
      </c>
      <c r="R441" s="18" t="s">
        <v>79</v>
      </c>
      <c r="S441" s="18" t="s">
        <v>61</v>
      </c>
      <c r="T441" s="18" t="s">
        <v>89</v>
      </c>
      <c r="U441" s="19" t="s">
        <v>1893</v>
      </c>
      <c r="V441" s="18" t="s">
        <v>38</v>
      </c>
    </row>
    <row r="442" spans="1:22">
      <c r="A442" s="15" t="s">
        <v>1894</v>
      </c>
      <c r="B442" s="15" t="s">
        <v>127</v>
      </c>
      <c r="C442" s="15" t="s">
        <v>118</v>
      </c>
      <c r="D442" s="15" t="s">
        <v>683</v>
      </c>
      <c r="E442" s="15" t="s">
        <v>1465</v>
      </c>
      <c r="F442" s="15" t="s">
        <v>200</v>
      </c>
      <c r="G442" s="15" t="s">
        <v>76</v>
      </c>
      <c r="H442" s="15" t="s">
        <v>1895</v>
      </c>
      <c r="I442" s="15" t="s">
        <v>105</v>
      </c>
      <c r="J442" s="15" t="s">
        <v>106</v>
      </c>
      <c r="K442" s="15" t="s">
        <v>122</v>
      </c>
      <c r="L442" s="15" t="s">
        <v>123</v>
      </c>
      <c r="M442" s="15">
        <v>9</v>
      </c>
      <c r="N442" s="15">
        <v>60</v>
      </c>
      <c r="O442" s="15">
        <v>0</v>
      </c>
      <c r="P442" s="15">
        <v>540</v>
      </c>
      <c r="Q442" s="15">
        <v>3</v>
      </c>
      <c r="R442" s="15" t="s">
        <v>88</v>
      </c>
      <c r="S442" s="15" t="s">
        <v>35</v>
      </c>
      <c r="T442" s="15" t="s">
        <v>132</v>
      </c>
      <c r="U442" s="17" t="s">
        <v>1896</v>
      </c>
      <c r="V442" s="15" t="s">
        <v>64</v>
      </c>
    </row>
    <row r="443" spans="1:22">
      <c r="A443" s="18" t="s">
        <v>1897</v>
      </c>
      <c r="B443" s="18" t="s">
        <v>168</v>
      </c>
      <c r="C443" s="18" t="s">
        <v>72</v>
      </c>
      <c r="D443" s="18" t="s">
        <v>1898</v>
      </c>
      <c r="E443" s="18" t="s">
        <v>1263</v>
      </c>
      <c r="F443" s="18" t="s">
        <v>361</v>
      </c>
      <c r="G443" s="18" t="s">
        <v>28</v>
      </c>
      <c r="H443" s="18" t="s">
        <v>1899</v>
      </c>
      <c r="I443" s="18" t="s">
        <v>138</v>
      </c>
      <c r="J443" s="18" t="s">
        <v>106</v>
      </c>
      <c r="K443" s="18" t="s">
        <v>46</v>
      </c>
      <c r="L443" s="18" t="s">
        <v>78</v>
      </c>
      <c r="M443" s="18">
        <v>4</v>
      </c>
      <c r="N443" s="18">
        <v>1200</v>
      </c>
      <c r="O443" s="18">
        <v>0</v>
      </c>
      <c r="P443" s="18">
        <v>4800</v>
      </c>
      <c r="Q443" s="18">
        <v>1</v>
      </c>
      <c r="R443" s="18" t="s">
        <v>48</v>
      </c>
      <c r="S443" s="18" t="s">
        <v>61</v>
      </c>
      <c r="T443" s="18" t="s">
        <v>175</v>
      </c>
      <c r="U443" s="19" t="s">
        <v>1900</v>
      </c>
      <c r="V443" s="18" t="s">
        <v>38</v>
      </c>
    </row>
    <row r="444" spans="1:22">
      <c r="A444" s="15" t="s">
        <v>1901</v>
      </c>
      <c r="B444" s="15" t="s">
        <v>53</v>
      </c>
      <c r="C444" s="15" t="s">
        <v>54</v>
      </c>
      <c r="D444" s="15" t="s">
        <v>1620</v>
      </c>
      <c r="E444" s="15" t="s">
        <v>302</v>
      </c>
      <c r="F444" s="15" t="s">
        <v>163</v>
      </c>
      <c r="G444" s="15" t="s">
        <v>28</v>
      </c>
      <c r="H444" s="15" t="s">
        <v>1902</v>
      </c>
      <c r="I444" s="15" t="s">
        <v>30</v>
      </c>
      <c r="J444" s="15" t="s">
        <v>31</v>
      </c>
      <c r="K444" s="15" t="s">
        <v>46</v>
      </c>
      <c r="L444" s="15" t="s">
        <v>60</v>
      </c>
      <c r="M444" s="15">
        <v>10</v>
      </c>
      <c r="N444" s="15">
        <v>55000</v>
      </c>
      <c r="O444" s="15">
        <v>5</v>
      </c>
      <c r="P444" s="15">
        <v>522500</v>
      </c>
      <c r="Q444" s="15">
        <v>5</v>
      </c>
      <c r="R444" s="15" t="s">
        <v>88</v>
      </c>
      <c r="S444" s="15" t="s">
        <v>115</v>
      </c>
      <c r="T444" s="15" t="s">
        <v>62</v>
      </c>
      <c r="U444" s="17" t="s">
        <v>1903</v>
      </c>
      <c r="V444" s="15" t="s">
        <v>38</v>
      </c>
    </row>
    <row r="445" spans="1:22">
      <c r="A445" s="18" t="s">
        <v>1904</v>
      </c>
      <c r="B445" s="18" t="s">
        <v>221</v>
      </c>
      <c r="C445" s="18" t="s">
        <v>259</v>
      </c>
      <c r="D445" s="18" t="s">
        <v>1905</v>
      </c>
      <c r="E445" s="18" t="s">
        <v>881</v>
      </c>
      <c r="F445" s="18" t="s">
        <v>225</v>
      </c>
      <c r="G445" s="18" t="s">
        <v>76</v>
      </c>
      <c r="H445" s="18" t="s">
        <v>1906</v>
      </c>
      <c r="I445" s="18" t="s">
        <v>30</v>
      </c>
      <c r="J445" s="18" t="s">
        <v>31</v>
      </c>
      <c r="K445" s="18" t="s">
        <v>122</v>
      </c>
      <c r="L445" s="18" t="s">
        <v>263</v>
      </c>
      <c r="M445" s="18">
        <v>20</v>
      </c>
      <c r="N445" s="18">
        <v>45</v>
      </c>
      <c r="O445" s="18">
        <v>15</v>
      </c>
      <c r="P445" s="18">
        <v>765</v>
      </c>
      <c r="Q445" s="18">
        <v>2</v>
      </c>
      <c r="R445" s="18" t="s">
        <v>79</v>
      </c>
      <c r="S445" s="18" t="s">
        <v>35</v>
      </c>
      <c r="T445" s="18" t="s">
        <v>228</v>
      </c>
      <c r="U445" s="19" t="s">
        <v>1907</v>
      </c>
      <c r="V445" s="18" t="s">
        <v>69</v>
      </c>
    </row>
    <row r="446" spans="1:22">
      <c r="A446" s="15" t="s">
        <v>1908</v>
      </c>
      <c r="B446" s="15" t="s">
        <v>23</v>
      </c>
      <c r="C446" s="15" t="s">
        <v>222</v>
      </c>
      <c r="D446" s="15" t="s">
        <v>314</v>
      </c>
      <c r="E446" s="15" t="s">
        <v>170</v>
      </c>
      <c r="F446" s="15" t="s">
        <v>27</v>
      </c>
      <c r="G446" s="15" t="s">
        <v>28</v>
      </c>
      <c r="H446" s="15" t="s">
        <v>1909</v>
      </c>
      <c r="I446" s="15" t="s">
        <v>105</v>
      </c>
      <c r="J446" s="15" t="s">
        <v>106</v>
      </c>
      <c r="K446" s="15" t="s">
        <v>122</v>
      </c>
      <c r="L446" s="15" t="s">
        <v>227</v>
      </c>
      <c r="M446" s="15">
        <v>9</v>
      </c>
      <c r="N446" s="15">
        <v>20</v>
      </c>
      <c r="O446" s="15">
        <v>20</v>
      </c>
      <c r="P446" s="15">
        <v>144</v>
      </c>
      <c r="Q446" s="15">
        <v>3</v>
      </c>
      <c r="R446" s="15" t="s">
        <v>79</v>
      </c>
      <c r="S446" s="15" t="s">
        <v>61</v>
      </c>
      <c r="T446" s="15" t="s">
        <v>50</v>
      </c>
      <c r="U446" s="17" t="s">
        <v>1910</v>
      </c>
      <c r="V446" s="15" t="s">
        <v>38</v>
      </c>
    </row>
    <row r="447" spans="1:22">
      <c r="A447" s="18" t="s">
        <v>1911</v>
      </c>
      <c r="B447" s="18" t="s">
        <v>23</v>
      </c>
      <c r="C447" s="18" t="s">
        <v>54</v>
      </c>
      <c r="D447" s="18" t="s">
        <v>1912</v>
      </c>
      <c r="E447" s="18" t="s">
        <v>910</v>
      </c>
      <c r="F447" s="18" t="s">
        <v>27</v>
      </c>
      <c r="G447" s="18" t="s">
        <v>28</v>
      </c>
      <c r="H447" s="18" t="s">
        <v>1913</v>
      </c>
      <c r="I447" s="18" t="s">
        <v>114</v>
      </c>
      <c r="J447" s="18" t="s">
        <v>106</v>
      </c>
      <c r="K447" s="18" t="s">
        <v>46</v>
      </c>
      <c r="L447" s="18" t="s">
        <v>60</v>
      </c>
      <c r="M447" s="18">
        <v>8</v>
      </c>
      <c r="N447" s="18">
        <v>55000</v>
      </c>
      <c r="O447" s="18">
        <v>0</v>
      </c>
      <c r="P447" s="18">
        <v>440000</v>
      </c>
      <c r="Q447" s="18">
        <v>4</v>
      </c>
      <c r="R447" s="18" t="s">
        <v>34</v>
      </c>
      <c r="S447" s="18" t="s">
        <v>115</v>
      </c>
      <c r="T447" s="18" t="s">
        <v>50</v>
      </c>
      <c r="U447" s="19" t="s">
        <v>1914</v>
      </c>
      <c r="V447" s="18" t="s">
        <v>38</v>
      </c>
    </row>
    <row r="448" spans="1:22">
      <c r="A448" s="15" t="s">
        <v>1915</v>
      </c>
      <c r="B448" s="15" t="s">
        <v>327</v>
      </c>
      <c r="C448" s="15" t="s">
        <v>72</v>
      </c>
      <c r="D448" s="15" t="s">
        <v>1916</v>
      </c>
      <c r="E448" s="15" t="s">
        <v>1430</v>
      </c>
      <c r="F448" s="15" t="s">
        <v>394</v>
      </c>
      <c r="G448" s="15" t="s">
        <v>76</v>
      </c>
      <c r="H448" s="15" t="s">
        <v>1917</v>
      </c>
      <c r="I448" s="15" t="s">
        <v>138</v>
      </c>
      <c r="J448" s="15" t="s">
        <v>106</v>
      </c>
      <c r="K448" s="15" t="s">
        <v>46</v>
      </c>
      <c r="L448" s="15" t="s">
        <v>78</v>
      </c>
      <c r="M448" s="15">
        <v>4</v>
      </c>
      <c r="N448" s="15">
        <v>1200</v>
      </c>
      <c r="O448" s="15">
        <v>10</v>
      </c>
      <c r="P448" s="15">
        <v>4320</v>
      </c>
      <c r="Q448" s="15">
        <v>4</v>
      </c>
      <c r="R448" s="15" t="s">
        <v>88</v>
      </c>
      <c r="S448" s="15" t="s">
        <v>35</v>
      </c>
      <c r="T448" s="16" t="s">
        <v>1918</v>
      </c>
      <c r="U448" s="17" t="s">
        <v>1919</v>
      </c>
      <c r="V448" s="15" t="s">
        <v>69</v>
      </c>
    </row>
    <row r="449" spans="1:22">
      <c r="A449" s="18" t="s">
        <v>1920</v>
      </c>
      <c r="B449" s="18" t="s">
        <v>327</v>
      </c>
      <c r="C449" s="18" t="s">
        <v>169</v>
      </c>
      <c r="D449" s="18" t="s">
        <v>518</v>
      </c>
      <c r="E449" s="18" t="s">
        <v>426</v>
      </c>
      <c r="F449" s="18" t="s">
        <v>394</v>
      </c>
      <c r="G449" s="18" t="s">
        <v>76</v>
      </c>
      <c r="H449" s="18" t="s">
        <v>1921</v>
      </c>
      <c r="I449" s="18" t="s">
        <v>294</v>
      </c>
      <c r="J449" s="18" t="s">
        <v>295</v>
      </c>
      <c r="K449" s="18" t="s">
        <v>32</v>
      </c>
      <c r="L449" s="18" t="s">
        <v>174</v>
      </c>
      <c r="M449" s="18">
        <v>14</v>
      </c>
      <c r="N449" s="18">
        <v>8500</v>
      </c>
      <c r="O449" s="18">
        <v>10</v>
      </c>
      <c r="P449" s="18">
        <v>107100</v>
      </c>
      <c r="Q449" s="18">
        <v>4</v>
      </c>
      <c r="R449" s="18" t="s">
        <v>34</v>
      </c>
      <c r="S449" s="18" t="s">
        <v>35</v>
      </c>
      <c r="T449" s="18" t="s">
        <v>332</v>
      </c>
      <c r="U449" s="19" t="s">
        <v>1922</v>
      </c>
      <c r="V449" s="18" t="s">
        <v>38</v>
      </c>
    </row>
    <row r="450" spans="1:22">
      <c r="A450" s="15" t="s">
        <v>1923</v>
      </c>
      <c r="B450" s="15" t="s">
        <v>71</v>
      </c>
      <c r="C450" s="15" t="s">
        <v>259</v>
      </c>
      <c r="D450" s="15" t="s">
        <v>683</v>
      </c>
      <c r="E450" s="15" t="s">
        <v>1924</v>
      </c>
      <c r="F450" s="15" t="s">
        <v>217</v>
      </c>
      <c r="G450" s="15" t="s">
        <v>76</v>
      </c>
      <c r="H450" s="15" t="s">
        <v>1925</v>
      </c>
      <c r="I450" s="15" t="s">
        <v>30</v>
      </c>
      <c r="J450" s="15" t="s">
        <v>31</v>
      </c>
      <c r="K450" s="15" t="s">
        <v>122</v>
      </c>
      <c r="L450" s="15" t="s">
        <v>263</v>
      </c>
      <c r="M450" s="15">
        <v>1</v>
      </c>
      <c r="N450" s="15">
        <v>45</v>
      </c>
      <c r="O450" s="15">
        <v>0</v>
      </c>
      <c r="P450" s="15">
        <v>45</v>
      </c>
      <c r="Q450" s="15">
        <v>3</v>
      </c>
      <c r="R450" s="15" t="s">
        <v>88</v>
      </c>
      <c r="S450" s="15" t="s">
        <v>151</v>
      </c>
      <c r="T450" s="15" t="s">
        <v>80</v>
      </c>
      <c r="U450" s="17" t="s">
        <v>1926</v>
      </c>
      <c r="V450" s="15" t="s">
        <v>69</v>
      </c>
    </row>
    <row r="451" spans="1:22">
      <c r="A451" s="18" t="s">
        <v>1927</v>
      </c>
      <c r="B451" s="18" t="s">
        <v>71</v>
      </c>
      <c r="C451" s="18" t="s">
        <v>54</v>
      </c>
      <c r="D451" s="18" t="s">
        <v>901</v>
      </c>
      <c r="E451" s="18" t="s">
        <v>1069</v>
      </c>
      <c r="F451" s="18" t="s">
        <v>217</v>
      </c>
      <c r="G451" s="18" t="s">
        <v>76</v>
      </c>
      <c r="H451" s="18" t="s">
        <v>1928</v>
      </c>
      <c r="I451" s="18" t="s">
        <v>44</v>
      </c>
      <c r="J451" s="18" t="s">
        <v>45</v>
      </c>
      <c r="K451" s="18" t="s">
        <v>46</v>
      </c>
      <c r="L451" s="18" t="s">
        <v>60</v>
      </c>
      <c r="M451" s="18">
        <v>16</v>
      </c>
      <c r="N451" s="18">
        <v>55000</v>
      </c>
      <c r="O451" s="18">
        <v>15</v>
      </c>
      <c r="P451" s="18">
        <v>748000</v>
      </c>
      <c r="Q451" s="18">
        <v>1</v>
      </c>
      <c r="R451" s="18" t="s">
        <v>79</v>
      </c>
      <c r="S451" s="18" t="s">
        <v>151</v>
      </c>
      <c r="T451" s="18" t="s">
        <v>80</v>
      </c>
      <c r="U451" s="19" t="s">
        <v>1929</v>
      </c>
      <c r="V451" s="18" t="s">
        <v>69</v>
      </c>
    </row>
    <row r="452" spans="1:22">
      <c r="A452" s="15" t="s">
        <v>1930</v>
      </c>
      <c r="B452" s="15" t="s">
        <v>53</v>
      </c>
      <c r="C452" s="15" t="s">
        <v>184</v>
      </c>
      <c r="D452" s="15" t="s">
        <v>1931</v>
      </c>
      <c r="E452" s="15" t="s">
        <v>1932</v>
      </c>
      <c r="F452" s="15" t="s">
        <v>163</v>
      </c>
      <c r="G452" s="15" t="s">
        <v>28</v>
      </c>
      <c r="H452" s="15" t="s">
        <v>1933</v>
      </c>
      <c r="I452" s="15" t="s">
        <v>138</v>
      </c>
      <c r="J452" s="15" t="s">
        <v>106</v>
      </c>
      <c r="K452" s="15" t="s">
        <v>46</v>
      </c>
      <c r="L452" s="15" t="s">
        <v>189</v>
      </c>
      <c r="M452" s="15">
        <v>8</v>
      </c>
      <c r="N452" s="15">
        <v>700</v>
      </c>
      <c r="O452" s="15">
        <v>0</v>
      </c>
      <c r="P452" s="15">
        <v>5600</v>
      </c>
      <c r="Q452" s="15">
        <v>3</v>
      </c>
      <c r="R452" s="15" t="s">
        <v>34</v>
      </c>
      <c r="S452" s="15" t="s">
        <v>49</v>
      </c>
      <c r="T452" s="15" t="s">
        <v>62</v>
      </c>
      <c r="U452" s="17" t="s">
        <v>1934</v>
      </c>
      <c r="V452" s="15" t="s">
        <v>38</v>
      </c>
    </row>
    <row r="453" spans="1:22">
      <c r="A453" s="18" t="s">
        <v>1935</v>
      </c>
      <c r="B453" s="18" t="s">
        <v>251</v>
      </c>
      <c r="C453" s="18" t="s">
        <v>72</v>
      </c>
      <c r="D453" s="18" t="s">
        <v>66</v>
      </c>
      <c r="E453" s="18" t="s">
        <v>1936</v>
      </c>
      <c r="F453" s="18" t="s">
        <v>254</v>
      </c>
      <c r="G453" s="18" t="s">
        <v>28</v>
      </c>
      <c r="H453" s="18" t="s">
        <v>1937</v>
      </c>
      <c r="I453" s="18" t="s">
        <v>138</v>
      </c>
      <c r="J453" s="18" t="s">
        <v>106</v>
      </c>
      <c r="K453" s="18" t="s">
        <v>46</v>
      </c>
      <c r="L453" s="18" t="s">
        <v>78</v>
      </c>
      <c r="M453" s="18">
        <v>3</v>
      </c>
      <c r="N453" s="18">
        <v>1200</v>
      </c>
      <c r="O453" s="18">
        <v>0</v>
      </c>
      <c r="P453" s="18">
        <v>3600</v>
      </c>
      <c r="Q453" s="18">
        <v>1</v>
      </c>
      <c r="R453" s="18" t="s">
        <v>79</v>
      </c>
      <c r="S453" s="18" t="s">
        <v>49</v>
      </c>
      <c r="T453" s="18" t="s">
        <v>256</v>
      </c>
      <c r="U453" s="19" t="s">
        <v>1938</v>
      </c>
      <c r="V453" s="18" t="s">
        <v>69</v>
      </c>
    </row>
    <row r="454" spans="1:22">
      <c r="A454" s="15" t="s">
        <v>1939</v>
      </c>
      <c r="B454" s="15" t="s">
        <v>71</v>
      </c>
      <c r="C454" s="15" t="s">
        <v>92</v>
      </c>
      <c r="D454" s="15" t="s">
        <v>988</v>
      </c>
      <c r="E454" s="15" t="s">
        <v>387</v>
      </c>
      <c r="F454" s="15" t="s">
        <v>217</v>
      </c>
      <c r="G454" s="15" t="s">
        <v>76</v>
      </c>
      <c r="H454" s="15" t="s">
        <v>1940</v>
      </c>
      <c r="I454" s="15" t="s">
        <v>294</v>
      </c>
      <c r="J454" s="15" t="s">
        <v>295</v>
      </c>
      <c r="K454" s="15" t="s">
        <v>32</v>
      </c>
      <c r="L454" s="15" t="s">
        <v>97</v>
      </c>
      <c r="M454" s="15">
        <v>7</v>
      </c>
      <c r="N454" s="15">
        <v>3500</v>
      </c>
      <c r="O454" s="15">
        <v>15</v>
      </c>
      <c r="P454" s="15">
        <v>20825</v>
      </c>
      <c r="Q454" s="15">
        <v>4</v>
      </c>
      <c r="R454" s="15" t="s">
        <v>79</v>
      </c>
      <c r="S454" s="15" t="s">
        <v>61</v>
      </c>
      <c r="T454" s="15" t="s">
        <v>80</v>
      </c>
      <c r="U454" s="17" t="s">
        <v>1941</v>
      </c>
      <c r="V454" s="15" t="s">
        <v>64</v>
      </c>
    </row>
    <row r="455" spans="1:22">
      <c r="A455" s="18" t="s">
        <v>1942</v>
      </c>
      <c r="B455" s="18" t="s">
        <v>53</v>
      </c>
      <c r="C455" s="18" t="s">
        <v>54</v>
      </c>
      <c r="D455" s="18" t="s">
        <v>1932</v>
      </c>
      <c r="E455" s="18" t="s">
        <v>740</v>
      </c>
      <c r="F455" s="18" t="s">
        <v>163</v>
      </c>
      <c r="G455" s="18" t="s">
        <v>28</v>
      </c>
      <c r="H455" s="18" t="s">
        <v>1943</v>
      </c>
      <c r="I455" s="18" t="s">
        <v>114</v>
      </c>
      <c r="J455" s="18" t="s">
        <v>106</v>
      </c>
      <c r="K455" s="18" t="s">
        <v>46</v>
      </c>
      <c r="L455" s="18" t="s">
        <v>60</v>
      </c>
      <c r="M455" s="18">
        <v>9</v>
      </c>
      <c r="N455" s="18">
        <v>55000</v>
      </c>
      <c r="O455" s="18">
        <v>15</v>
      </c>
      <c r="P455" s="18">
        <v>420750</v>
      </c>
      <c r="Q455" s="18">
        <v>3</v>
      </c>
      <c r="R455" s="18" t="s">
        <v>88</v>
      </c>
      <c r="S455" s="18" t="s">
        <v>35</v>
      </c>
      <c r="T455" s="18" t="s">
        <v>62</v>
      </c>
      <c r="U455" s="19" t="s">
        <v>1944</v>
      </c>
      <c r="V455" s="18" t="s">
        <v>69</v>
      </c>
    </row>
    <row r="456" spans="1:22">
      <c r="A456" s="15" t="s">
        <v>1945</v>
      </c>
      <c r="B456" s="15" t="s">
        <v>327</v>
      </c>
      <c r="C456" s="15" t="s">
        <v>40</v>
      </c>
      <c r="D456" s="15" t="s">
        <v>185</v>
      </c>
      <c r="E456" s="15" t="s">
        <v>918</v>
      </c>
      <c r="F456" s="15" t="s">
        <v>394</v>
      </c>
      <c r="G456" s="15" t="s">
        <v>76</v>
      </c>
      <c r="H456" s="15" t="s">
        <v>1946</v>
      </c>
      <c r="I456" s="15" t="s">
        <v>59</v>
      </c>
      <c r="J456" s="15" t="s">
        <v>31</v>
      </c>
      <c r="K456" s="15" t="s">
        <v>46</v>
      </c>
      <c r="L456" s="15" t="s">
        <v>47</v>
      </c>
      <c r="M456" s="15">
        <v>12</v>
      </c>
      <c r="N456" s="15">
        <v>12000</v>
      </c>
      <c r="O456" s="15">
        <v>0</v>
      </c>
      <c r="P456" s="15">
        <v>144000</v>
      </c>
      <c r="Q456" s="15">
        <v>3</v>
      </c>
      <c r="R456" s="15" t="s">
        <v>79</v>
      </c>
      <c r="S456" s="15" t="s">
        <v>151</v>
      </c>
      <c r="T456" s="15" t="s">
        <v>332</v>
      </c>
      <c r="U456" s="17" t="s">
        <v>1947</v>
      </c>
      <c r="V456" s="15" t="s">
        <v>69</v>
      </c>
    </row>
    <row r="457" spans="1:22">
      <c r="A457" s="18" t="s">
        <v>1948</v>
      </c>
      <c r="B457" s="18" t="s">
        <v>100</v>
      </c>
      <c r="C457" s="18" t="s">
        <v>118</v>
      </c>
      <c r="D457" s="18" t="s">
        <v>42</v>
      </c>
      <c r="E457" s="18" t="s">
        <v>597</v>
      </c>
      <c r="F457" s="18" t="s">
        <v>103</v>
      </c>
      <c r="G457" s="18" t="s">
        <v>28</v>
      </c>
      <c r="H457" s="18" t="s">
        <v>1949</v>
      </c>
      <c r="I457" s="18" t="s">
        <v>138</v>
      </c>
      <c r="J457" s="18" t="s">
        <v>106</v>
      </c>
      <c r="K457" s="18" t="s">
        <v>122</v>
      </c>
      <c r="L457" s="18" t="s">
        <v>123</v>
      </c>
      <c r="M457" s="18">
        <v>7</v>
      </c>
      <c r="N457" s="18">
        <v>60</v>
      </c>
      <c r="O457" s="18">
        <v>10</v>
      </c>
      <c r="P457" s="18">
        <v>378</v>
      </c>
      <c r="Q457" s="18">
        <v>4</v>
      </c>
      <c r="R457" s="18" t="s">
        <v>34</v>
      </c>
      <c r="S457" s="18" t="s">
        <v>49</v>
      </c>
      <c r="T457" s="18" t="s">
        <v>144</v>
      </c>
      <c r="U457" s="19" t="s">
        <v>1950</v>
      </c>
      <c r="V457" s="18" t="s">
        <v>69</v>
      </c>
    </row>
    <row r="458" spans="1:22">
      <c r="A458" s="15" t="s">
        <v>1951</v>
      </c>
      <c r="B458" s="15" t="s">
        <v>221</v>
      </c>
      <c r="C458" s="15" t="s">
        <v>24</v>
      </c>
      <c r="D458" s="15" t="s">
        <v>377</v>
      </c>
      <c r="E458" s="15" t="s">
        <v>674</v>
      </c>
      <c r="F458" s="15" t="s">
        <v>225</v>
      </c>
      <c r="G458" s="15" t="s">
        <v>76</v>
      </c>
      <c r="H458" s="15" t="s">
        <v>1952</v>
      </c>
      <c r="I458" s="15" t="s">
        <v>105</v>
      </c>
      <c r="J458" s="15" t="s">
        <v>106</v>
      </c>
      <c r="K458" s="15" t="s">
        <v>32</v>
      </c>
      <c r="L458" s="15" t="s">
        <v>33</v>
      </c>
      <c r="M458" s="15">
        <v>17</v>
      </c>
      <c r="N458" s="15">
        <v>2200</v>
      </c>
      <c r="O458" s="15">
        <v>15</v>
      </c>
      <c r="P458" s="15">
        <v>31790</v>
      </c>
      <c r="Q458" s="15">
        <v>3</v>
      </c>
      <c r="R458" s="15" t="s">
        <v>88</v>
      </c>
      <c r="S458" s="15" t="s">
        <v>151</v>
      </c>
      <c r="T458" s="15" t="s">
        <v>228</v>
      </c>
      <c r="U458" s="17" t="s">
        <v>1953</v>
      </c>
      <c r="V458" s="15" t="s">
        <v>64</v>
      </c>
    </row>
    <row r="459" spans="1:22">
      <c r="A459" s="18" t="s">
        <v>1954</v>
      </c>
      <c r="B459" s="18" t="s">
        <v>327</v>
      </c>
      <c r="C459" s="18" t="s">
        <v>184</v>
      </c>
      <c r="D459" s="18" t="s">
        <v>351</v>
      </c>
      <c r="E459" s="18" t="s">
        <v>1537</v>
      </c>
      <c r="F459" s="18" t="s">
        <v>394</v>
      </c>
      <c r="G459" s="18" t="s">
        <v>76</v>
      </c>
      <c r="H459" s="18" t="s">
        <v>1955</v>
      </c>
      <c r="I459" s="18" t="s">
        <v>59</v>
      </c>
      <c r="J459" s="18" t="s">
        <v>31</v>
      </c>
      <c r="K459" s="18" t="s">
        <v>46</v>
      </c>
      <c r="L459" s="18" t="s">
        <v>189</v>
      </c>
      <c r="M459" s="18">
        <v>17</v>
      </c>
      <c r="N459" s="18">
        <v>700</v>
      </c>
      <c r="O459" s="18">
        <v>10</v>
      </c>
      <c r="P459" s="18">
        <v>10710</v>
      </c>
      <c r="Q459" s="18">
        <v>2</v>
      </c>
      <c r="R459" s="18" t="s">
        <v>34</v>
      </c>
      <c r="S459" s="18" t="s">
        <v>61</v>
      </c>
      <c r="T459" s="18" t="s">
        <v>332</v>
      </c>
      <c r="U459" s="19" t="s">
        <v>1956</v>
      </c>
      <c r="V459" s="18" t="s">
        <v>64</v>
      </c>
    </row>
    <row r="460" spans="1:22">
      <c r="A460" s="15" t="s">
        <v>1957</v>
      </c>
      <c r="B460" s="15" t="s">
        <v>327</v>
      </c>
      <c r="C460" s="15" t="s">
        <v>54</v>
      </c>
      <c r="D460" s="15" t="s">
        <v>1958</v>
      </c>
      <c r="E460" s="15" t="s">
        <v>1188</v>
      </c>
      <c r="F460" s="15" t="s">
        <v>394</v>
      </c>
      <c r="G460" s="15" t="s">
        <v>76</v>
      </c>
      <c r="H460" s="15" t="s">
        <v>1959</v>
      </c>
      <c r="I460" s="15" t="s">
        <v>44</v>
      </c>
      <c r="J460" s="15" t="s">
        <v>45</v>
      </c>
      <c r="K460" s="15" t="s">
        <v>46</v>
      </c>
      <c r="L460" s="15" t="s">
        <v>60</v>
      </c>
      <c r="M460" s="15">
        <v>19</v>
      </c>
      <c r="N460" s="15">
        <v>55000</v>
      </c>
      <c r="O460" s="15">
        <v>20</v>
      </c>
      <c r="P460" s="15">
        <v>836000</v>
      </c>
      <c r="Q460" s="15">
        <v>5</v>
      </c>
      <c r="R460" s="15" t="s">
        <v>48</v>
      </c>
      <c r="S460" s="15" t="s">
        <v>61</v>
      </c>
      <c r="T460" s="15" t="s">
        <v>332</v>
      </c>
      <c r="U460" s="17" t="s">
        <v>1960</v>
      </c>
      <c r="V460" s="15" t="s">
        <v>38</v>
      </c>
    </row>
    <row r="461" spans="1:22">
      <c r="A461" s="18" t="s">
        <v>1961</v>
      </c>
      <c r="B461" s="18" t="s">
        <v>127</v>
      </c>
      <c r="C461" s="18" t="s">
        <v>118</v>
      </c>
      <c r="D461" s="18" t="s">
        <v>1172</v>
      </c>
      <c r="E461" s="18" t="s">
        <v>128</v>
      </c>
      <c r="F461" s="18" t="s">
        <v>200</v>
      </c>
      <c r="G461" s="18" t="s">
        <v>76</v>
      </c>
      <c r="H461" s="18" t="s">
        <v>1962</v>
      </c>
      <c r="I461" s="18" t="s">
        <v>44</v>
      </c>
      <c r="J461" s="18" t="s">
        <v>45</v>
      </c>
      <c r="K461" s="18" t="s">
        <v>122</v>
      </c>
      <c r="L461" s="18" t="s">
        <v>123</v>
      </c>
      <c r="M461" s="18">
        <v>1</v>
      </c>
      <c r="N461" s="18">
        <v>60</v>
      </c>
      <c r="O461" s="18">
        <v>10</v>
      </c>
      <c r="P461" s="18">
        <v>54</v>
      </c>
      <c r="Q461" s="18">
        <v>4</v>
      </c>
      <c r="R461" s="18" t="s">
        <v>48</v>
      </c>
      <c r="S461" s="15" t="s">
        <v>2154</v>
      </c>
      <c r="T461" s="20" t="s">
        <v>1963</v>
      </c>
      <c r="U461" s="19" t="s">
        <v>1964</v>
      </c>
      <c r="V461" s="18" t="s">
        <v>69</v>
      </c>
    </row>
    <row r="462" spans="1:22">
      <c r="A462" s="15" t="s">
        <v>1965</v>
      </c>
      <c r="B462" s="15" t="s">
        <v>71</v>
      </c>
      <c r="C462" s="15" t="s">
        <v>92</v>
      </c>
      <c r="D462" s="15" t="s">
        <v>1142</v>
      </c>
      <c r="E462" s="15" t="s">
        <v>554</v>
      </c>
      <c r="F462" s="15" t="s">
        <v>217</v>
      </c>
      <c r="G462" s="15" t="s">
        <v>76</v>
      </c>
      <c r="H462" s="15" t="s">
        <v>1966</v>
      </c>
      <c r="I462" s="15" t="s">
        <v>30</v>
      </c>
      <c r="J462" s="15" t="s">
        <v>31</v>
      </c>
      <c r="K462" s="15" t="s">
        <v>32</v>
      </c>
      <c r="L462" s="15" t="s">
        <v>97</v>
      </c>
      <c r="M462" s="15">
        <v>16</v>
      </c>
      <c r="N462" s="15">
        <v>3500</v>
      </c>
      <c r="O462" s="15">
        <v>0</v>
      </c>
      <c r="P462" s="15">
        <v>56000</v>
      </c>
      <c r="Q462" s="15">
        <v>4</v>
      </c>
      <c r="R462" s="15" t="s">
        <v>48</v>
      </c>
      <c r="S462" s="15" t="s">
        <v>35</v>
      </c>
      <c r="T462" s="15" t="s">
        <v>80</v>
      </c>
      <c r="U462" s="17" t="s">
        <v>1967</v>
      </c>
      <c r="V462" s="15" t="s">
        <v>64</v>
      </c>
    </row>
    <row r="463" spans="1:22">
      <c r="A463" s="18" t="s">
        <v>1968</v>
      </c>
      <c r="B463" s="18" t="s">
        <v>127</v>
      </c>
      <c r="C463" s="18" t="s">
        <v>222</v>
      </c>
      <c r="D463" s="18" t="s">
        <v>957</v>
      </c>
      <c r="E463" s="18" t="s">
        <v>766</v>
      </c>
      <c r="F463" s="18" t="s">
        <v>200</v>
      </c>
      <c r="G463" s="18" t="s">
        <v>76</v>
      </c>
      <c r="H463" s="18" t="s">
        <v>1295</v>
      </c>
      <c r="I463" s="18" t="s">
        <v>114</v>
      </c>
      <c r="J463" s="18" t="s">
        <v>106</v>
      </c>
      <c r="K463" s="18" t="s">
        <v>122</v>
      </c>
      <c r="L463" s="18" t="s">
        <v>227</v>
      </c>
      <c r="M463" s="18">
        <v>14</v>
      </c>
      <c r="N463" s="18">
        <v>20</v>
      </c>
      <c r="O463" s="18">
        <v>10</v>
      </c>
      <c r="P463" s="18">
        <v>252</v>
      </c>
      <c r="Q463" s="18">
        <v>1</v>
      </c>
      <c r="R463" s="18" t="s">
        <v>48</v>
      </c>
      <c r="S463" s="18" t="s">
        <v>61</v>
      </c>
      <c r="T463" s="18" t="s">
        <v>132</v>
      </c>
      <c r="U463" s="19" t="s">
        <v>1969</v>
      </c>
      <c r="V463" s="18" t="s">
        <v>64</v>
      </c>
    </row>
    <row r="464" spans="1:22">
      <c r="A464" s="15" t="s">
        <v>1970</v>
      </c>
      <c r="B464" s="15" t="s">
        <v>71</v>
      </c>
      <c r="C464" s="15" t="s">
        <v>24</v>
      </c>
      <c r="D464" s="15" t="s">
        <v>473</v>
      </c>
      <c r="E464" s="15" t="s">
        <v>454</v>
      </c>
      <c r="F464" s="15" t="s">
        <v>217</v>
      </c>
      <c r="G464" s="15" t="s">
        <v>76</v>
      </c>
      <c r="H464" s="15" t="s">
        <v>1971</v>
      </c>
      <c r="I464" s="15" t="s">
        <v>59</v>
      </c>
      <c r="J464" s="15" t="s">
        <v>31</v>
      </c>
      <c r="K464" s="15" t="s">
        <v>32</v>
      </c>
      <c r="L464" s="15" t="s">
        <v>33</v>
      </c>
      <c r="M464" s="15">
        <v>11</v>
      </c>
      <c r="N464" s="15">
        <v>2200</v>
      </c>
      <c r="O464" s="15">
        <v>15</v>
      </c>
      <c r="P464" s="15">
        <v>20570</v>
      </c>
      <c r="Q464" s="15">
        <v>4</v>
      </c>
      <c r="R464" s="15" t="s">
        <v>48</v>
      </c>
      <c r="S464" s="15" t="s">
        <v>49</v>
      </c>
      <c r="T464" s="15" t="s">
        <v>80</v>
      </c>
      <c r="U464" s="17" t="s">
        <v>1972</v>
      </c>
      <c r="V464" s="15" t="s">
        <v>69</v>
      </c>
    </row>
    <row r="465" spans="1:22">
      <c r="A465" s="18" t="s">
        <v>1973</v>
      </c>
      <c r="B465" s="18" t="s">
        <v>83</v>
      </c>
      <c r="C465" s="18" t="s">
        <v>54</v>
      </c>
      <c r="D465" s="18" t="s">
        <v>756</v>
      </c>
      <c r="E465" s="18" t="s">
        <v>1282</v>
      </c>
      <c r="F465" s="18" t="s">
        <v>180</v>
      </c>
      <c r="G465" s="18" t="s">
        <v>76</v>
      </c>
      <c r="H465" s="18" t="s">
        <v>1974</v>
      </c>
      <c r="I465" s="18" t="s">
        <v>212</v>
      </c>
      <c r="J465" s="18" t="s">
        <v>45</v>
      </c>
      <c r="K465" s="18" t="s">
        <v>46</v>
      </c>
      <c r="L465" s="18" t="s">
        <v>60</v>
      </c>
      <c r="M465" s="18">
        <v>2</v>
      </c>
      <c r="N465" s="18">
        <v>55000</v>
      </c>
      <c r="O465" s="18">
        <v>0</v>
      </c>
      <c r="P465" s="18">
        <v>110000</v>
      </c>
      <c r="Q465" s="18">
        <v>4</v>
      </c>
      <c r="R465" s="18" t="s">
        <v>48</v>
      </c>
      <c r="S465" s="18" t="s">
        <v>49</v>
      </c>
      <c r="T465" s="18" t="s">
        <v>89</v>
      </c>
      <c r="U465" s="19" t="s">
        <v>1975</v>
      </c>
      <c r="V465" s="18" t="s">
        <v>69</v>
      </c>
    </row>
    <row r="466" spans="1:22">
      <c r="A466" s="15" t="s">
        <v>1976</v>
      </c>
      <c r="B466" s="15" t="s">
        <v>53</v>
      </c>
      <c r="C466" s="15" t="s">
        <v>24</v>
      </c>
      <c r="D466" s="15" t="s">
        <v>512</v>
      </c>
      <c r="E466" s="15" t="s">
        <v>513</v>
      </c>
      <c r="F466" s="15" t="s">
        <v>163</v>
      </c>
      <c r="G466" s="15" t="s">
        <v>28</v>
      </c>
      <c r="H466" s="15" t="s">
        <v>1977</v>
      </c>
      <c r="I466" s="15" t="s">
        <v>114</v>
      </c>
      <c r="J466" s="15" t="s">
        <v>106</v>
      </c>
      <c r="K466" s="15" t="s">
        <v>32</v>
      </c>
      <c r="L466" s="15" t="s">
        <v>33</v>
      </c>
      <c r="M466" s="15">
        <v>7</v>
      </c>
      <c r="N466" s="15">
        <v>2200</v>
      </c>
      <c r="O466" s="15">
        <v>5</v>
      </c>
      <c r="P466" s="15">
        <v>14630</v>
      </c>
      <c r="Q466" s="15">
        <v>4</v>
      </c>
      <c r="R466" s="15" t="s">
        <v>79</v>
      </c>
      <c r="S466" s="15" t="s">
        <v>115</v>
      </c>
      <c r="T466" s="15" t="s">
        <v>62</v>
      </c>
      <c r="U466" s="17" t="s">
        <v>1978</v>
      </c>
      <c r="V466" s="15" t="s">
        <v>69</v>
      </c>
    </row>
    <row r="467" spans="1:22">
      <c r="A467" s="18" t="s">
        <v>1979</v>
      </c>
      <c r="B467" s="18" t="s">
        <v>23</v>
      </c>
      <c r="C467" s="18" t="s">
        <v>259</v>
      </c>
      <c r="D467" s="18" t="s">
        <v>1507</v>
      </c>
      <c r="E467" s="18" t="s">
        <v>577</v>
      </c>
      <c r="F467" s="18" t="s">
        <v>27</v>
      </c>
      <c r="G467" s="18" t="s">
        <v>28</v>
      </c>
      <c r="H467" s="18" t="s">
        <v>1980</v>
      </c>
      <c r="I467" s="18" t="s">
        <v>138</v>
      </c>
      <c r="J467" s="18" t="s">
        <v>106</v>
      </c>
      <c r="K467" s="18" t="s">
        <v>122</v>
      </c>
      <c r="L467" s="18" t="s">
        <v>263</v>
      </c>
      <c r="M467" s="18">
        <v>11</v>
      </c>
      <c r="N467" s="18">
        <v>45</v>
      </c>
      <c r="O467" s="18">
        <v>15</v>
      </c>
      <c r="P467" s="18">
        <v>420.75</v>
      </c>
      <c r="Q467" s="18">
        <v>4</v>
      </c>
      <c r="R467" s="18" t="s">
        <v>79</v>
      </c>
      <c r="S467" s="18" t="s">
        <v>61</v>
      </c>
      <c r="T467" s="18" t="s">
        <v>50</v>
      </c>
      <c r="U467" s="19" t="s">
        <v>1981</v>
      </c>
      <c r="V467" s="18" t="s">
        <v>64</v>
      </c>
    </row>
    <row r="468" spans="1:22">
      <c r="A468" s="15" t="s">
        <v>1982</v>
      </c>
      <c r="B468" s="15" t="s">
        <v>100</v>
      </c>
      <c r="C468" s="15" t="s">
        <v>118</v>
      </c>
      <c r="D468" s="15" t="s">
        <v>1114</v>
      </c>
      <c r="E468" s="15" t="s">
        <v>210</v>
      </c>
      <c r="F468" s="15" t="s">
        <v>103</v>
      </c>
      <c r="G468" s="15" t="s">
        <v>28</v>
      </c>
      <c r="H468" s="15" t="s">
        <v>1983</v>
      </c>
      <c r="I468" s="15" t="s">
        <v>105</v>
      </c>
      <c r="J468" s="15" t="s">
        <v>106</v>
      </c>
      <c r="K468" s="15" t="s">
        <v>122</v>
      </c>
      <c r="L468" s="15" t="s">
        <v>123</v>
      </c>
      <c r="M468" s="15">
        <v>16</v>
      </c>
      <c r="N468" s="15">
        <v>60</v>
      </c>
      <c r="O468" s="15">
        <v>5</v>
      </c>
      <c r="P468" s="15">
        <v>912</v>
      </c>
      <c r="Q468" s="15">
        <v>2</v>
      </c>
      <c r="R468" s="15" t="s">
        <v>34</v>
      </c>
      <c r="S468" s="15" t="s">
        <v>115</v>
      </c>
      <c r="T468" s="15" t="s">
        <v>144</v>
      </c>
      <c r="U468" s="17" t="s">
        <v>1984</v>
      </c>
      <c r="V468" s="15" t="s">
        <v>69</v>
      </c>
    </row>
    <row r="469" spans="1:22">
      <c r="A469" s="18" t="s">
        <v>1985</v>
      </c>
      <c r="B469" s="18" t="s">
        <v>327</v>
      </c>
      <c r="C469" s="18" t="s">
        <v>54</v>
      </c>
      <c r="D469" s="18" t="s">
        <v>1102</v>
      </c>
      <c r="E469" s="18" t="s">
        <v>864</v>
      </c>
      <c r="F469" s="18" t="s">
        <v>394</v>
      </c>
      <c r="G469" s="18" t="s">
        <v>76</v>
      </c>
      <c r="H469" s="18" t="s">
        <v>1986</v>
      </c>
      <c r="I469" s="18" t="s">
        <v>114</v>
      </c>
      <c r="J469" s="18" t="s">
        <v>106</v>
      </c>
      <c r="K469" s="18" t="s">
        <v>46</v>
      </c>
      <c r="L469" s="18" t="s">
        <v>60</v>
      </c>
      <c r="M469" s="18">
        <v>18</v>
      </c>
      <c r="N469" s="18">
        <v>55000</v>
      </c>
      <c r="O469" s="18">
        <v>0</v>
      </c>
      <c r="P469" s="18">
        <v>990000</v>
      </c>
      <c r="Q469" s="18">
        <v>5</v>
      </c>
      <c r="R469" s="18" t="s">
        <v>48</v>
      </c>
      <c r="S469" s="18" t="s">
        <v>49</v>
      </c>
      <c r="T469" s="18" t="s">
        <v>332</v>
      </c>
      <c r="U469" s="19" t="s">
        <v>1987</v>
      </c>
      <c r="V469" s="18" t="s">
        <v>64</v>
      </c>
    </row>
    <row r="470" spans="1:22">
      <c r="A470" s="15" t="s">
        <v>1988</v>
      </c>
      <c r="B470" s="15" t="s">
        <v>23</v>
      </c>
      <c r="C470" s="15" t="s">
        <v>72</v>
      </c>
      <c r="D470" s="15" t="s">
        <v>1989</v>
      </c>
      <c r="E470" s="15" t="s">
        <v>1880</v>
      </c>
      <c r="F470" s="15" t="s">
        <v>27</v>
      </c>
      <c r="G470" s="15" t="s">
        <v>28</v>
      </c>
      <c r="H470" s="15" t="s">
        <v>1990</v>
      </c>
      <c r="I470" s="15" t="s">
        <v>59</v>
      </c>
      <c r="J470" s="15" t="s">
        <v>31</v>
      </c>
      <c r="K470" s="15" t="s">
        <v>46</v>
      </c>
      <c r="L470" s="15" t="s">
        <v>78</v>
      </c>
      <c r="M470" s="15">
        <v>17</v>
      </c>
      <c r="N470" s="15">
        <v>1200</v>
      </c>
      <c r="O470" s="15">
        <v>5</v>
      </c>
      <c r="P470" s="15">
        <v>19380</v>
      </c>
      <c r="Q470" s="15">
        <v>1</v>
      </c>
      <c r="R470" s="15" t="s">
        <v>48</v>
      </c>
      <c r="S470" s="15" t="s">
        <v>35</v>
      </c>
      <c r="T470" s="15" t="s">
        <v>50</v>
      </c>
      <c r="U470" s="17" t="s">
        <v>1991</v>
      </c>
      <c r="V470" s="15" t="s">
        <v>64</v>
      </c>
    </row>
    <row r="471" spans="1:22">
      <c r="A471" s="18" t="s">
        <v>1992</v>
      </c>
      <c r="B471" s="18" t="s">
        <v>53</v>
      </c>
      <c r="C471" s="18" t="s">
        <v>54</v>
      </c>
      <c r="D471" s="18" t="s">
        <v>41</v>
      </c>
      <c r="E471" s="18" t="s">
        <v>199</v>
      </c>
      <c r="F471" s="18" t="s">
        <v>163</v>
      </c>
      <c r="G471" s="18" t="s">
        <v>28</v>
      </c>
      <c r="H471" s="18" t="s">
        <v>1993</v>
      </c>
      <c r="I471" s="18" t="s">
        <v>114</v>
      </c>
      <c r="J471" s="18" t="s">
        <v>106</v>
      </c>
      <c r="K471" s="18" t="s">
        <v>46</v>
      </c>
      <c r="L471" s="18" t="s">
        <v>60</v>
      </c>
      <c r="M471" s="18">
        <v>11</v>
      </c>
      <c r="N471" s="18">
        <v>55000</v>
      </c>
      <c r="O471" s="18">
        <v>0</v>
      </c>
      <c r="P471" s="18">
        <v>605000</v>
      </c>
      <c r="Q471" s="18">
        <v>2</v>
      </c>
      <c r="R471" s="18" t="s">
        <v>34</v>
      </c>
      <c r="S471" s="18" t="s">
        <v>61</v>
      </c>
      <c r="T471" s="18" t="s">
        <v>62</v>
      </c>
      <c r="U471" s="19" t="s">
        <v>1994</v>
      </c>
      <c r="V471" s="18" t="s">
        <v>64</v>
      </c>
    </row>
    <row r="472" spans="1:22">
      <c r="A472" s="15" t="s">
        <v>1995</v>
      </c>
      <c r="B472" s="15" t="s">
        <v>251</v>
      </c>
      <c r="C472" s="15" t="s">
        <v>184</v>
      </c>
      <c r="D472" s="15" t="s">
        <v>236</v>
      </c>
      <c r="E472" s="15" t="s">
        <v>678</v>
      </c>
      <c r="F472" s="15" t="s">
        <v>254</v>
      </c>
      <c r="G472" s="15" t="s">
        <v>28</v>
      </c>
      <c r="H472" s="15" t="s">
        <v>1996</v>
      </c>
      <c r="I472" s="15" t="s">
        <v>44</v>
      </c>
      <c r="J472" s="15" t="s">
        <v>45</v>
      </c>
      <c r="K472" s="15" t="s">
        <v>46</v>
      </c>
      <c r="L472" s="15" t="s">
        <v>189</v>
      </c>
      <c r="M472" s="15">
        <v>20</v>
      </c>
      <c r="N472" s="15">
        <v>700</v>
      </c>
      <c r="O472" s="15">
        <v>20</v>
      </c>
      <c r="P472" s="15">
        <v>11200</v>
      </c>
      <c r="Q472" s="15">
        <v>5</v>
      </c>
      <c r="R472" s="15" t="s">
        <v>48</v>
      </c>
      <c r="S472" s="15" t="s">
        <v>61</v>
      </c>
      <c r="T472" s="15" t="s">
        <v>256</v>
      </c>
      <c r="U472" s="17" t="s">
        <v>1997</v>
      </c>
      <c r="V472" s="15" t="s">
        <v>38</v>
      </c>
    </row>
    <row r="473" spans="1:22">
      <c r="A473" s="18" t="s">
        <v>1998</v>
      </c>
      <c r="B473" s="18" t="s">
        <v>71</v>
      </c>
      <c r="C473" s="18" t="s">
        <v>222</v>
      </c>
      <c r="D473" s="18" t="s">
        <v>484</v>
      </c>
      <c r="E473" s="18" t="s">
        <v>322</v>
      </c>
      <c r="F473" s="18" t="s">
        <v>217</v>
      </c>
      <c r="G473" s="18" t="s">
        <v>76</v>
      </c>
      <c r="H473" s="18" t="s">
        <v>1999</v>
      </c>
      <c r="I473" s="18" t="s">
        <v>44</v>
      </c>
      <c r="J473" s="18" t="s">
        <v>45</v>
      </c>
      <c r="K473" s="18" t="s">
        <v>122</v>
      </c>
      <c r="L473" s="18" t="s">
        <v>227</v>
      </c>
      <c r="M473" s="18">
        <v>5</v>
      </c>
      <c r="N473" s="18">
        <v>20</v>
      </c>
      <c r="O473" s="18">
        <v>5</v>
      </c>
      <c r="P473" s="18">
        <v>95</v>
      </c>
      <c r="Q473" s="18">
        <v>4</v>
      </c>
      <c r="R473" s="18" t="s">
        <v>34</v>
      </c>
      <c r="S473" s="18" t="s">
        <v>49</v>
      </c>
      <c r="T473" s="18" t="s">
        <v>80</v>
      </c>
      <c r="U473" s="19" t="s">
        <v>2000</v>
      </c>
      <c r="V473" s="18" t="s">
        <v>69</v>
      </c>
    </row>
    <row r="474" spans="1:22">
      <c r="A474" s="15" t="s">
        <v>2001</v>
      </c>
      <c r="B474" s="15" t="s">
        <v>327</v>
      </c>
      <c r="C474" s="15" t="s">
        <v>54</v>
      </c>
      <c r="D474" s="15" t="s">
        <v>765</v>
      </c>
      <c r="E474" s="15" t="s">
        <v>1373</v>
      </c>
      <c r="F474" s="15" t="s">
        <v>394</v>
      </c>
      <c r="G474" s="15" t="s">
        <v>76</v>
      </c>
      <c r="H474" s="15" t="s">
        <v>2002</v>
      </c>
      <c r="I474" s="15" t="s">
        <v>105</v>
      </c>
      <c r="J474" s="15" t="s">
        <v>106</v>
      </c>
      <c r="K474" s="15" t="s">
        <v>46</v>
      </c>
      <c r="L474" s="15" t="s">
        <v>60</v>
      </c>
      <c r="M474" s="15">
        <v>13</v>
      </c>
      <c r="N474" s="15">
        <v>55000</v>
      </c>
      <c r="O474" s="15">
        <v>5</v>
      </c>
      <c r="P474" s="15">
        <v>679250</v>
      </c>
      <c r="Q474" s="15">
        <v>1</v>
      </c>
      <c r="R474" s="15" t="s">
        <v>48</v>
      </c>
      <c r="S474" s="15" t="s">
        <v>49</v>
      </c>
      <c r="T474" s="15" t="s">
        <v>332</v>
      </c>
      <c r="U474" s="17" t="s">
        <v>2003</v>
      </c>
      <c r="V474" s="15" t="s">
        <v>64</v>
      </c>
    </row>
    <row r="475" spans="1:22">
      <c r="A475" s="18" t="s">
        <v>2004</v>
      </c>
      <c r="B475" s="18" t="s">
        <v>127</v>
      </c>
      <c r="C475" s="18" t="s">
        <v>54</v>
      </c>
      <c r="D475" s="18" t="s">
        <v>102</v>
      </c>
      <c r="E475" s="18" t="s">
        <v>1114</v>
      </c>
      <c r="F475" s="18" t="s">
        <v>200</v>
      </c>
      <c r="G475" s="18" t="s">
        <v>76</v>
      </c>
      <c r="H475" s="18" t="s">
        <v>2005</v>
      </c>
      <c r="I475" s="18" t="s">
        <v>294</v>
      </c>
      <c r="J475" s="18" t="s">
        <v>295</v>
      </c>
      <c r="K475" s="18" t="s">
        <v>46</v>
      </c>
      <c r="L475" s="18" t="s">
        <v>60</v>
      </c>
      <c r="M475" s="18">
        <v>12</v>
      </c>
      <c r="N475" s="18">
        <v>55000</v>
      </c>
      <c r="O475" s="18">
        <v>5</v>
      </c>
      <c r="P475" s="18">
        <v>627000</v>
      </c>
      <c r="Q475" s="18">
        <v>1</v>
      </c>
      <c r="R475" s="18" t="s">
        <v>48</v>
      </c>
      <c r="S475" s="18" t="s">
        <v>115</v>
      </c>
      <c r="T475" s="18" t="s">
        <v>132</v>
      </c>
      <c r="U475" s="19" t="s">
        <v>2006</v>
      </c>
      <c r="V475" s="18" t="s">
        <v>69</v>
      </c>
    </row>
    <row r="476" spans="1:22">
      <c r="A476" s="15" t="s">
        <v>2007</v>
      </c>
      <c r="B476" s="15" t="s">
        <v>53</v>
      </c>
      <c r="C476" s="15" t="s">
        <v>259</v>
      </c>
      <c r="D476" s="15" t="s">
        <v>761</v>
      </c>
      <c r="E476" s="15" t="s">
        <v>1705</v>
      </c>
      <c r="F476" s="15" t="s">
        <v>163</v>
      </c>
      <c r="G476" s="15" t="s">
        <v>28</v>
      </c>
      <c r="H476" s="15" t="s">
        <v>2008</v>
      </c>
      <c r="I476" s="15" t="s">
        <v>105</v>
      </c>
      <c r="J476" s="15" t="s">
        <v>106</v>
      </c>
      <c r="K476" s="15" t="s">
        <v>122</v>
      </c>
      <c r="L476" s="15" t="s">
        <v>263</v>
      </c>
      <c r="M476" s="15">
        <v>16</v>
      </c>
      <c r="N476" s="15">
        <v>45</v>
      </c>
      <c r="O476" s="15">
        <v>20</v>
      </c>
      <c r="P476" s="15">
        <v>576</v>
      </c>
      <c r="Q476" s="15">
        <v>2</v>
      </c>
      <c r="R476" s="15" t="s">
        <v>34</v>
      </c>
      <c r="S476" s="15" t="s">
        <v>49</v>
      </c>
      <c r="T476" s="15" t="s">
        <v>62</v>
      </c>
      <c r="U476" s="17" t="s">
        <v>2009</v>
      </c>
      <c r="V476" s="15" t="s">
        <v>64</v>
      </c>
    </row>
    <row r="477" spans="1:22">
      <c r="A477" s="18" t="s">
        <v>2010</v>
      </c>
      <c r="B477" s="18" t="s">
        <v>23</v>
      </c>
      <c r="C477" s="18" t="s">
        <v>72</v>
      </c>
      <c r="D477" s="18" t="s">
        <v>25</v>
      </c>
      <c r="E477" s="18" t="s">
        <v>73</v>
      </c>
      <c r="F477" s="18" t="s">
        <v>27</v>
      </c>
      <c r="G477" s="18" t="s">
        <v>28</v>
      </c>
      <c r="H477" s="18" t="s">
        <v>2011</v>
      </c>
      <c r="I477" s="18" t="s">
        <v>59</v>
      </c>
      <c r="J477" s="18" t="s">
        <v>31</v>
      </c>
      <c r="K477" s="18" t="s">
        <v>46</v>
      </c>
      <c r="L477" s="18" t="s">
        <v>78</v>
      </c>
      <c r="M477" s="18">
        <v>5</v>
      </c>
      <c r="N477" s="18">
        <v>1200</v>
      </c>
      <c r="O477" s="18">
        <v>10</v>
      </c>
      <c r="P477" s="18">
        <v>5400</v>
      </c>
      <c r="Q477" s="18">
        <v>1</v>
      </c>
      <c r="R477" s="18" t="s">
        <v>34</v>
      </c>
      <c r="S477" s="15" t="s">
        <v>2154</v>
      </c>
      <c r="T477" s="20" t="s">
        <v>2012</v>
      </c>
      <c r="U477" s="19" t="s">
        <v>2013</v>
      </c>
      <c r="V477" s="18" t="s">
        <v>38</v>
      </c>
    </row>
    <row r="478" spans="1:22">
      <c r="A478" s="15" t="s">
        <v>2014</v>
      </c>
      <c r="B478" s="15" t="s">
        <v>168</v>
      </c>
      <c r="C478" s="15" t="s">
        <v>259</v>
      </c>
      <c r="D478" s="15" t="s">
        <v>282</v>
      </c>
      <c r="E478" s="15" t="s">
        <v>702</v>
      </c>
      <c r="F478" s="15" t="s">
        <v>361</v>
      </c>
      <c r="G478" s="15" t="s">
        <v>28</v>
      </c>
      <c r="H478" s="15" t="s">
        <v>2016</v>
      </c>
      <c r="I478" s="15" t="s">
        <v>294</v>
      </c>
      <c r="J478" s="15" t="s">
        <v>295</v>
      </c>
      <c r="K478" s="15" t="s">
        <v>122</v>
      </c>
      <c r="L478" s="15" t="s">
        <v>263</v>
      </c>
      <c r="M478" s="15">
        <v>2</v>
      </c>
      <c r="N478" s="15">
        <v>45</v>
      </c>
      <c r="O478" s="15">
        <v>10</v>
      </c>
      <c r="P478" s="15">
        <v>81</v>
      </c>
      <c r="Q478" s="15">
        <v>4</v>
      </c>
      <c r="R478" s="15" t="s">
        <v>88</v>
      </c>
      <c r="S478" s="15" t="s">
        <v>49</v>
      </c>
      <c r="T478" s="15" t="s">
        <v>175</v>
      </c>
      <c r="U478" s="17" t="s">
        <v>2017</v>
      </c>
      <c r="V478" s="15" t="s">
        <v>64</v>
      </c>
    </row>
    <row r="479" spans="1:22">
      <c r="A479" s="18" t="s">
        <v>2018</v>
      </c>
      <c r="B479" s="18" t="s">
        <v>127</v>
      </c>
      <c r="C479" s="18" t="s">
        <v>40</v>
      </c>
      <c r="D479" s="18" t="s">
        <v>85</v>
      </c>
      <c r="E479" s="18" t="s">
        <v>587</v>
      </c>
      <c r="F479" s="18" t="s">
        <v>200</v>
      </c>
      <c r="G479" s="18" t="s">
        <v>76</v>
      </c>
      <c r="H479" s="18" t="s">
        <v>2019</v>
      </c>
      <c r="I479" s="18" t="s">
        <v>138</v>
      </c>
      <c r="J479" s="18" t="s">
        <v>106</v>
      </c>
      <c r="K479" s="18" t="s">
        <v>46</v>
      </c>
      <c r="L479" s="18" t="s">
        <v>47</v>
      </c>
      <c r="M479" s="18">
        <v>3</v>
      </c>
      <c r="N479" s="18">
        <v>12000</v>
      </c>
      <c r="O479" s="18">
        <v>0</v>
      </c>
      <c r="P479" s="18">
        <v>36000</v>
      </c>
      <c r="Q479" s="18">
        <v>2</v>
      </c>
      <c r="R479" s="18" t="s">
        <v>88</v>
      </c>
      <c r="S479" s="18" t="s">
        <v>151</v>
      </c>
      <c r="T479" s="18" t="s">
        <v>132</v>
      </c>
      <c r="U479" s="19" t="s">
        <v>2020</v>
      </c>
      <c r="V479" s="18" t="s">
        <v>64</v>
      </c>
    </row>
    <row r="480" spans="1:22">
      <c r="A480" s="15" t="s">
        <v>2021</v>
      </c>
      <c r="B480" s="15" t="s">
        <v>23</v>
      </c>
      <c r="C480" s="15" t="s">
        <v>40</v>
      </c>
      <c r="D480" s="15" t="s">
        <v>2022</v>
      </c>
      <c r="E480" s="15" t="s">
        <v>1863</v>
      </c>
      <c r="F480" s="15" t="s">
        <v>27</v>
      </c>
      <c r="G480" s="15" t="s">
        <v>28</v>
      </c>
      <c r="H480" s="15" t="s">
        <v>2023</v>
      </c>
      <c r="I480" s="15" t="s">
        <v>59</v>
      </c>
      <c r="J480" s="15" t="s">
        <v>31</v>
      </c>
      <c r="K480" s="15" t="s">
        <v>46</v>
      </c>
      <c r="L480" s="15" t="s">
        <v>47</v>
      </c>
      <c r="M480" s="15">
        <v>3</v>
      </c>
      <c r="N480" s="15">
        <v>12000</v>
      </c>
      <c r="O480" s="15">
        <v>20</v>
      </c>
      <c r="P480" s="15">
        <v>28800</v>
      </c>
      <c r="Q480" s="15">
        <v>3</v>
      </c>
      <c r="R480" s="15" t="s">
        <v>88</v>
      </c>
      <c r="S480" s="15" t="s">
        <v>115</v>
      </c>
      <c r="T480" s="15" t="s">
        <v>50</v>
      </c>
      <c r="U480" s="17" t="s">
        <v>2024</v>
      </c>
      <c r="V480" s="15" t="s">
        <v>38</v>
      </c>
    </row>
    <row r="481" spans="1:22">
      <c r="A481" s="18" t="s">
        <v>2025</v>
      </c>
      <c r="B481" s="18" t="s">
        <v>127</v>
      </c>
      <c r="C481" s="18" t="s">
        <v>169</v>
      </c>
      <c r="D481" s="18" t="s">
        <v>892</v>
      </c>
      <c r="E481" s="18" t="s">
        <v>161</v>
      </c>
      <c r="F481" s="18" t="s">
        <v>200</v>
      </c>
      <c r="G481" s="18" t="s">
        <v>76</v>
      </c>
      <c r="H481" s="18" t="s">
        <v>2026</v>
      </c>
      <c r="I481" s="18" t="s">
        <v>294</v>
      </c>
      <c r="J481" s="18" t="s">
        <v>295</v>
      </c>
      <c r="K481" s="18" t="s">
        <v>32</v>
      </c>
      <c r="L481" s="18" t="s">
        <v>174</v>
      </c>
      <c r="M481" s="18">
        <v>9</v>
      </c>
      <c r="N481" s="18">
        <v>8500</v>
      </c>
      <c r="O481" s="18">
        <v>15</v>
      </c>
      <c r="P481" s="18">
        <v>65025</v>
      </c>
      <c r="Q481" s="18">
        <v>5</v>
      </c>
      <c r="R481" s="18" t="s">
        <v>34</v>
      </c>
      <c r="S481" s="18" t="s">
        <v>49</v>
      </c>
      <c r="T481" s="18" t="s">
        <v>132</v>
      </c>
      <c r="U481" s="19" t="s">
        <v>2027</v>
      </c>
      <c r="V481" s="18" t="s">
        <v>64</v>
      </c>
    </row>
    <row r="482" spans="1:22">
      <c r="A482" s="15" t="s">
        <v>2028</v>
      </c>
      <c r="B482" s="15" t="s">
        <v>71</v>
      </c>
      <c r="C482" s="15" t="s">
        <v>184</v>
      </c>
      <c r="D482" s="15" t="s">
        <v>261</v>
      </c>
      <c r="E482" s="15" t="s">
        <v>881</v>
      </c>
      <c r="F482" s="15" t="s">
        <v>217</v>
      </c>
      <c r="G482" s="15" t="s">
        <v>76</v>
      </c>
      <c r="H482" s="15" t="s">
        <v>2030</v>
      </c>
      <c r="I482" s="15" t="s">
        <v>294</v>
      </c>
      <c r="J482" s="15" t="s">
        <v>295</v>
      </c>
      <c r="K482" s="15" t="s">
        <v>46</v>
      </c>
      <c r="L482" s="15" t="s">
        <v>189</v>
      </c>
      <c r="M482" s="15">
        <v>17</v>
      </c>
      <c r="N482" s="15">
        <v>700</v>
      </c>
      <c r="O482" s="15">
        <v>0</v>
      </c>
      <c r="P482" s="15">
        <v>11900</v>
      </c>
      <c r="Q482" s="15">
        <v>2</v>
      </c>
      <c r="R482" s="15" t="s">
        <v>34</v>
      </c>
      <c r="S482" s="15" t="s">
        <v>61</v>
      </c>
      <c r="T482" s="15" t="s">
        <v>80</v>
      </c>
      <c r="U482" s="17" t="s">
        <v>2031</v>
      </c>
      <c r="V482" s="15" t="s">
        <v>69</v>
      </c>
    </row>
    <row r="483" spans="1:22">
      <c r="A483" s="18" t="s">
        <v>2032</v>
      </c>
      <c r="B483" s="18" t="s">
        <v>23</v>
      </c>
      <c r="C483" s="18" t="s">
        <v>184</v>
      </c>
      <c r="D483" s="18" t="s">
        <v>1249</v>
      </c>
      <c r="E483" s="18" t="s">
        <v>1572</v>
      </c>
      <c r="F483" s="18" t="s">
        <v>27</v>
      </c>
      <c r="G483" s="18" t="s">
        <v>28</v>
      </c>
      <c r="H483" s="18" t="s">
        <v>2033</v>
      </c>
      <c r="I483" s="18" t="s">
        <v>30</v>
      </c>
      <c r="J483" s="18" t="s">
        <v>31</v>
      </c>
      <c r="K483" s="18" t="s">
        <v>46</v>
      </c>
      <c r="L483" s="18" t="s">
        <v>189</v>
      </c>
      <c r="M483" s="18">
        <v>20</v>
      </c>
      <c r="N483" s="18">
        <v>700</v>
      </c>
      <c r="O483" s="18">
        <v>5</v>
      </c>
      <c r="P483" s="18">
        <v>13300</v>
      </c>
      <c r="Q483" s="18">
        <v>2</v>
      </c>
      <c r="R483" s="18" t="s">
        <v>88</v>
      </c>
      <c r="S483" s="18" t="s">
        <v>35</v>
      </c>
      <c r="T483" s="18" t="s">
        <v>50</v>
      </c>
      <c r="U483" s="19" t="s">
        <v>2034</v>
      </c>
      <c r="V483" s="18" t="s">
        <v>38</v>
      </c>
    </row>
    <row r="484" spans="1:22">
      <c r="A484" s="15" t="s">
        <v>2035</v>
      </c>
      <c r="B484" s="15" t="s">
        <v>327</v>
      </c>
      <c r="C484" s="15" t="s">
        <v>72</v>
      </c>
      <c r="D484" s="15" t="s">
        <v>554</v>
      </c>
      <c r="E484" s="15" t="s">
        <v>65</v>
      </c>
      <c r="F484" s="15" t="s">
        <v>394</v>
      </c>
      <c r="G484" s="15" t="s">
        <v>76</v>
      </c>
      <c r="H484" s="15" t="s">
        <v>2037</v>
      </c>
      <c r="I484" s="15" t="s">
        <v>138</v>
      </c>
      <c r="J484" s="15" t="s">
        <v>106</v>
      </c>
      <c r="K484" s="15" t="s">
        <v>46</v>
      </c>
      <c r="L484" s="15" t="s">
        <v>78</v>
      </c>
      <c r="M484" s="15">
        <v>13</v>
      </c>
      <c r="N484" s="15">
        <v>1200</v>
      </c>
      <c r="O484" s="15">
        <v>20</v>
      </c>
      <c r="P484" s="15">
        <v>12480</v>
      </c>
      <c r="Q484" s="15">
        <v>5</v>
      </c>
      <c r="R484" s="15" t="s">
        <v>79</v>
      </c>
      <c r="S484" s="15" t="s">
        <v>115</v>
      </c>
      <c r="T484" s="15" t="s">
        <v>332</v>
      </c>
      <c r="U484" s="17" t="s">
        <v>2038</v>
      </c>
      <c r="V484" s="15" t="s">
        <v>38</v>
      </c>
    </row>
    <row r="485" spans="1:22">
      <c r="A485" s="18" t="s">
        <v>2039</v>
      </c>
      <c r="B485" s="18" t="s">
        <v>100</v>
      </c>
      <c r="C485" s="18" t="s">
        <v>54</v>
      </c>
      <c r="D485" s="18" t="s">
        <v>2040</v>
      </c>
      <c r="E485" s="18" t="s">
        <v>1932</v>
      </c>
      <c r="F485" s="18" t="s">
        <v>103</v>
      </c>
      <c r="G485" s="18" t="s">
        <v>28</v>
      </c>
      <c r="H485" s="18" t="s">
        <v>1082</v>
      </c>
      <c r="I485" s="18" t="s">
        <v>212</v>
      </c>
      <c r="J485" s="18" t="s">
        <v>45</v>
      </c>
      <c r="K485" s="18" t="s">
        <v>46</v>
      </c>
      <c r="L485" s="18" t="s">
        <v>60</v>
      </c>
      <c r="M485" s="18">
        <v>20</v>
      </c>
      <c r="N485" s="18">
        <v>55000</v>
      </c>
      <c r="O485" s="18">
        <v>10</v>
      </c>
      <c r="P485" s="18">
        <v>990000</v>
      </c>
      <c r="Q485" s="18">
        <v>1</v>
      </c>
      <c r="R485" s="18" t="s">
        <v>88</v>
      </c>
      <c r="S485" s="18" t="s">
        <v>35</v>
      </c>
      <c r="T485" s="18" t="s">
        <v>144</v>
      </c>
      <c r="U485" s="19" t="s">
        <v>2041</v>
      </c>
      <c r="V485" s="18" t="s">
        <v>64</v>
      </c>
    </row>
    <row r="486" spans="1:22">
      <c r="A486" s="15" t="s">
        <v>2042</v>
      </c>
      <c r="B486" s="15" t="s">
        <v>251</v>
      </c>
      <c r="C486" s="15" t="s">
        <v>72</v>
      </c>
      <c r="D486" s="15" t="s">
        <v>531</v>
      </c>
      <c r="E486" s="15" t="s">
        <v>291</v>
      </c>
      <c r="F486" s="15" t="s">
        <v>254</v>
      </c>
      <c r="G486" s="15" t="s">
        <v>28</v>
      </c>
      <c r="H486" s="15" t="s">
        <v>2043</v>
      </c>
      <c r="I486" s="15" t="s">
        <v>294</v>
      </c>
      <c r="J486" s="15" t="s">
        <v>295</v>
      </c>
      <c r="K486" s="15" t="s">
        <v>46</v>
      </c>
      <c r="L486" s="15" t="s">
        <v>78</v>
      </c>
      <c r="M486" s="15">
        <v>8</v>
      </c>
      <c r="N486" s="15">
        <v>1200</v>
      </c>
      <c r="O486" s="15">
        <v>0</v>
      </c>
      <c r="P486" s="15">
        <v>9600</v>
      </c>
      <c r="Q486" s="15">
        <v>2</v>
      </c>
      <c r="R486" s="15" t="s">
        <v>48</v>
      </c>
      <c r="S486" s="15" t="s">
        <v>151</v>
      </c>
      <c r="T486" s="15" t="s">
        <v>256</v>
      </c>
      <c r="U486" s="17" t="s">
        <v>2044</v>
      </c>
      <c r="V486" s="15" t="s">
        <v>38</v>
      </c>
    </row>
    <row r="487" spans="1:22">
      <c r="A487" s="18" t="s">
        <v>2045</v>
      </c>
      <c r="B487" s="18" t="s">
        <v>53</v>
      </c>
      <c r="C487" s="18" t="s">
        <v>222</v>
      </c>
      <c r="D487" s="18" t="s">
        <v>2046</v>
      </c>
      <c r="E487" s="18" t="s">
        <v>1238</v>
      </c>
      <c r="F487" s="18" t="s">
        <v>163</v>
      </c>
      <c r="G487" s="18" t="s">
        <v>28</v>
      </c>
      <c r="H487" s="18" t="s">
        <v>2047</v>
      </c>
      <c r="I487" s="18" t="s">
        <v>294</v>
      </c>
      <c r="J487" s="18" t="s">
        <v>295</v>
      </c>
      <c r="K487" s="18" t="s">
        <v>122</v>
      </c>
      <c r="L487" s="18" t="s">
        <v>227</v>
      </c>
      <c r="M487" s="18">
        <v>18</v>
      </c>
      <c r="N487" s="18">
        <v>20</v>
      </c>
      <c r="O487" s="18">
        <v>10</v>
      </c>
      <c r="P487" s="18">
        <v>324</v>
      </c>
      <c r="Q487" s="18">
        <v>5</v>
      </c>
      <c r="R487" s="18" t="s">
        <v>79</v>
      </c>
      <c r="S487" s="15" t="s">
        <v>2154</v>
      </c>
      <c r="T487" s="20" t="s">
        <v>2048</v>
      </c>
      <c r="U487" s="19" t="s">
        <v>2049</v>
      </c>
      <c r="V487" s="18" t="s">
        <v>64</v>
      </c>
    </row>
    <row r="488" spans="1:22">
      <c r="A488" s="15" t="s">
        <v>2050</v>
      </c>
      <c r="B488" s="15" t="s">
        <v>168</v>
      </c>
      <c r="C488" s="15" t="s">
        <v>40</v>
      </c>
      <c r="D488" s="15" t="s">
        <v>2051</v>
      </c>
      <c r="E488" s="15" t="s">
        <v>272</v>
      </c>
      <c r="F488" s="15" t="s">
        <v>361</v>
      </c>
      <c r="G488" s="15" t="s">
        <v>28</v>
      </c>
      <c r="H488" s="15" t="s">
        <v>2052</v>
      </c>
      <c r="I488" s="15" t="s">
        <v>114</v>
      </c>
      <c r="J488" s="15" t="s">
        <v>106</v>
      </c>
      <c r="K488" s="15" t="s">
        <v>46</v>
      </c>
      <c r="L488" s="15" t="s">
        <v>47</v>
      </c>
      <c r="M488" s="15">
        <v>11</v>
      </c>
      <c r="N488" s="15">
        <v>12000</v>
      </c>
      <c r="O488" s="15">
        <v>10</v>
      </c>
      <c r="P488" s="15">
        <v>118800</v>
      </c>
      <c r="Q488" s="15">
        <v>1</v>
      </c>
      <c r="R488" s="15" t="s">
        <v>79</v>
      </c>
      <c r="S488" s="15" t="s">
        <v>49</v>
      </c>
      <c r="T488" s="15" t="s">
        <v>175</v>
      </c>
      <c r="U488" s="17" t="s">
        <v>2053</v>
      </c>
      <c r="V488" s="15" t="s">
        <v>69</v>
      </c>
    </row>
    <row r="489" spans="1:22">
      <c r="A489" s="18" t="s">
        <v>2054</v>
      </c>
      <c r="B489" s="18" t="s">
        <v>327</v>
      </c>
      <c r="C489" s="18" t="s">
        <v>169</v>
      </c>
      <c r="D489" s="18" t="s">
        <v>142</v>
      </c>
      <c r="E489" s="18" t="s">
        <v>1378</v>
      </c>
      <c r="F489" s="18" t="s">
        <v>394</v>
      </c>
      <c r="G489" s="18" t="s">
        <v>76</v>
      </c>
      <c r="H489" s="18" t="s">
        <v>2055</v>
      </c>
      <c r="I489" s="18" t="s">
        <v>30</v>
      </c>
      <c r="J489" s="18" t="s">
        <v>31</v>
      </c>
      <c r="K489" s="18" t="s">
        <v>32</v>
      </c>
      <c r="L489" s="18" t="s">
        <v>174</v>
      </c>
      <c r="M489" s="18">
        <v>2</v>
      </c>
      <c r="N489" s="18">
        <v>8500</v>
      </c>
      <c r="O489" s="18">
        <v>5</v>
      </c>
      <c r="P489" s="18">
        <v>16150</v>
      </c>
      <c r="Q489" s="18">
        <v>1</v>
      </c>
      <c r="R489" s="18" t="s">
        <v>79</v>
      </c>
      <c r="S489" s="18" t="s">
        <v>61</v>
      </c>
      <c r="T489" s="18" t="s">
        <v>332</v>
      </c>
      <c r="U489" s="19" t="s">
        <v>2056</v>
      </c>
      <c r="V489" s="18" t="s">
        <v>38</v>
      </c>
    </row>
    <row r="490" spans="1:22">
      <c r="A490" s="15" t="s">
        <v>2057</v>
      </c>
      <c r="B490" s="15" t="s">
        <v>100</v>
      </c>
      <c r="C490" s="15" t="s">
        <v>24</v>
      </c>
      <c r="D490" s="15" t="s">
        <v>328</v>
      </c>
      <c r="E490" s="15" t="s">
        <v>1507</v>
      </c>
      <c r="F490" s="15" t="s">
        <v>103</v>
      </c>
      <c r="G490" s="15" t="s">
        <v>28</v>
      </c>
      <c r="H490" s="15" t="s">
        <v>2059</v>
      </c>
      <c r="I490" s="15" t="s">
        <v>114</v>
      </c>
      <c r="J490" s="15" t="s">
        <v>106</v>
      </c>
      <c r="K490" s="15" t="s">
        <v>32</v>
      </c>
      <c r="L490" s="15" t="s">
        <v>33</v>
      </c>
      <c r="M490" s="15">
        <v>7</v>
      </c>
      <c r="N490" s="15">
        <v>2200</v>
      </c>
      <c r="O490" s="15">
        <v>0</v>
      </c>
      <c r="P490" s="15">
        <v>15400</v>
      </c>
      <c r="Q490" s="15">
        <v>5</v>
      </c>
      <c r="R490" s="15" t="s">
        <v>48</v>
      </c>
      <c r="S490" s="15" t="s">
        <v>35</v>
      </c>
      <c r="T490" s="15" t="s">
        <v>144</v>
      </c>
      <c r="U490" s="17" t="s">
        <v>2060</v>
      </c>
      <c r="V490" s="15" t="s">
        <v>64</v>
      </c>
    </row>
    <row r="491" spans="1:22">
      <c r="A491" s="18" t="s">
        <v>2061</v>
      </c>
      <c r="B491" s="18" t="s">
        <v>83</v>
      </c>
      <c r="C491" s="18" t="s">
        <v>169</v>
      </c>
      <c r="D491" s="18" t="s">
        <v>1916</v>
      </c>
      <c r="E491" s="18" t="s">
        <v>1098</v>
      </c>
      <c r="F491" s="18" t="s">
        <v>180</v>
      </c>
      <c r="G491" s="18" t="s">
        <v>76</v>
      </c>
      <c r="H491" s="18" t="s">
        <v>2062</v>
      </c>
      <c r="I491" s="18" t="s">
        <v>44</v>
      </c>
      <c r="J491" s="18" t="s">
        <v>45</v>
      </c>
      <c r="K491" s="18" t="s">
        <v>32</v>
      </c>
      <c r="L491" s="18" t="s">
        <v>174</v>
      </c>
      <c r="M491" s="18">
        <v>20</v>
      </c>
      <c r="N491" s="18">
        <v>8500</v>
      </c>
      <c r="O491" s="18">
        <v>0</v>
      </c>
      <c r="P491" s="18">
        <v>170000</v>
      </c>
      <c r="Q491" s="18">
        <v>3</v>
      </c>
      <c r="R491" s="18" t="s">
        <v>48</v>
      </c>
      <c r="S491" s="18" t="s">
        <v>49</v>
      </c>
      <c r="T491" s="18" t="s">
        <v>89</v>
      </c>
      <c r="U491" s="19" t="s">
        <v>2063</v>
      </c>
      <c r="V491" s="18" t="s">
        <v>38</v>
      </c>
    </row>
    <row r="492" spans="1:22">
      <c r="A492" s="15" t="s">
        <v>2064</v>
      </c>
      <c r="B492" s="15" t="s">
        <v>127</v>
      </c>
      <c r="C492" s="15" t="s">
        <v>72</v>
      </c>
      <c r="D492" s="15" t="s">
        <v>1106</v>
      </c>
      <c r="E492" s="15" t="s">
        <v>839</v>
      </c>
      <c r="F492" s="15" t="s">
        <v>200</v>
      </c>
      <c r="G492" s="15" t="s">
        <v>76</v>
      </c>
      <c r="H492" s="15" t="s">
        <v>2066</v>
      </c>
      <c r="I492" s="15" t="s">
        <v>30</v>
      </c>
      <c r="J492" s="15" t="s">
        <v>31</v>
      </c>
      <c r="K492" s="15" t="s">
        <v>46</v>
      </c>
      <c r="L492" s="15" t="s">
        <v>78</v>
      </c>
      <c r="M492" s="15">
        <v>11</v>
      </c>
      <c r="N492" s="15">
        <v>1200</v>
      </c>
      <c r="O492" s="15">
        <v>5</v>
      </c>
      <c r="P492" s="15">
        <v>12540</v>
      </c>
      <c r="Q492" s="15">
        <v>2</v>
      </c>
      <c r="R492" s="15" t="s">
        <v>34</v>
      </c>
      <c r="S492" s="15" t="s">
        <v>35</v>
      </c>
      <c r="T492" s="15" t="s">
        <v>132</v>
      </c>
      <c r="U492" s="17" t="s">
        <v>2067</v>
      </c>
      <c r="V492" s="15" t="s">
        <v>64</v>
      </c>
    </row>
    <row r="493" spans="1:22">
      <c r="A493" s="18" t="s">
        <v>2068</v>
      </c>
      <c r="B493" s="18" t="s">
        <v>83</v>
      </c>
      <c r="C493" s="18" t="s">
        <v>184</v>
      </c>
      <c r="D493" s="18" t="s">
        <v>839</v>
      </c>
      <c r="E493" s="18" t="s">
        <v>756</v>
      </c>
      <c r="F493" s="18" t="s">
        <v>180</v>
      </c>
      <c r="G493" s="18" t="s">
        <v>76</v>
      </c>
      <c r="H493" s="18" t="s">
        <v>2069</v>
      </c>
      <c r="I493" s="18" t="s">
        <v>138</v>
      </c>
      <c r="J493" s="18" t="s">
        <v>106</v>
      </c>
      <c r="K493" s="18" t="s">
        <v>46</v>
      </c>
      <c r="L493" s="18" t="s">
        <v>189</v>
      </c>
      <c r="M493" s="18">
        <v>14</v>
      </c>
      <c r="N493" s="18">
        <v>700</v>
      </c>
      <c r="O493" s="18">
        <v>0</v>
      </c>
      <c r="P493" s="18">
        <v>9800</v>
      </c>
      <c r="Q493" s="18">
        <v>2</v>
      </c>
      <c r="R493" s="18" t="s">
        <v>79</v>
      </c>
      <c r="S493" s="18" t="s">
        <v>151</v>
      </c>
      <c r="T493" s="18" t="s">
        <v>89</v>
      </c>
      <c r="U493" s="19" t="s">
        <v>2070</v>
      </c>
      <c r="V493" s="18" t="s">
        <v>69</v>
      </c>
    </row>
    <row r="494" spans="1:22">
      <c r="A494" s="15" t="s">
        <v>2071</v>
      </c>
      <c r="B494" s="15" t="s">
        <v>71</v>
      </c>
      <c r="C494" s="15" t="s">
        <v>72</v>
      </c>
      <c r="D494" s="15" t="s">
        <v>793</v>
      </c>
      <c r="E494" s="15" t="s">
        <v>1650</v>
      </c>
      <c r="F494" s="15" t="s">
        <v>217</v>
      </c>
      <c r="G494" s="15" t="s">
        <v>76</v>
      </c>
      <c r="H494" s="15" t="s">
        <v>2072</v>
      </c>
      <c r="I494" s="15" t="s">
        <v>114</v>
      </c>
      <c r="J494" s="15" t="s">
        <v>106</v>
      </c>
      <c r="K494" s="15" t="s">
        <v>46</v>
      </c>
      <c r="L494" s="15" t="s">
        <v>78</v>
      </c>
      <c r="M494" s="15">
        <v>16</v>
      </c>
      <c r="N494" s="15">
        <v>1200</v>
      </c>
      <c r="O494" s="15">
        <v>15</v>
      </c>
      <c r="P494" s="15">
        <v>16320</v>
      </c>
      <c r="Q494" s="15">
        <v>4</v>
      </c>
      <c r="R494" s="15" t="s">
        <v>34</v>
      </c>
      <c r="S494" s="15" t="s">
        <v>151</v>
      </c>
      <c r="T494" s="15" t="s">
        <v>80</v>
      </c>
      <c r="U494" s="17" t="s">
        <v>2073</v>
      </c>
      <c r="V494" s="15" t="s">
        <v>64</v>
      </c>
    </row>
    <row r="495" spans="1:22">
      <c r="A495" s="18" t="s">
        <v>2074</v>
      </c>
      <c r="B495" s="18" t="s">
        <v>168</v>
      </c>
      <c r="C495" s="18" t="s">
        <v>24</v>
      </c>
      <c r="D495" s="18" t="s">
        <v>493</v>
      </c>
      <c r="E495" s="18" t="s">
        <v>1932</v>
      </c>
      <c r="F495" s="18" t="s">
        <v>361</v>
      </c>
      <c r="G495" s="18" t="s">
        <v>28</v>
      </c>
      <c r="H495" s="18" t="s">
        <v>2076</v>
      </c>
      <c r="I495" s="18" t="s">
        <v>212</v>
      </c>
      <c r="J495" s="18" t="s">
        <v>45</v>
      </c>
      <c r="K495" s="18" t="s">
        <v>32</v>
      </c>
      <c r="L495" s="18" t="s">
        <v>33</v>
      </c>
      <c r="M495" s="18">
        <v>20</v>
      </c>
      <c r="N495" s="18">
        <v>2200</v>
      </c>
      <c r="O495" s="18">
        <v>0</v>
      </c>
      <c r="P495" s="18">
        <v>44000</v>
      </c>
      <c r="Q495" s="18">
        <v>5</v>
      </c>
      <c r="R495" s="18" t="s">
        <v>34</v>
      </c>
      <c r="S495" s="18" t="s">
        <v>35</v>
      </c>
      <c r="T495" s="18" t="s">
        <v>175</v>
      </c>
      <c r="U495" s="19" t="s">
        <v>2077</v>
      </c>
      <c r="V495" s="18" t="s">
        <v>69</v>
      </c>
    </row>
    <row r="496" spans="1:22">
      <c r="A496" s="15" t="s">
        <v>2078</v>
      </c>
      <c r="B496" s="15" t="s">
        <v>83</v>
      </c>
      <c r="C496" s="15" t="s">
        <v>40</v>
      </c>
      <c r="D496" s="15" t="s">
        <v>2051</v>
      </c>
      <c r="E496" s="15" t="s">
        <v>272</v>
      </c>
      <c r="F496" s="15" t="s">
        <v>180</v>
      </c>
      <c r="G496" s="15" t="s">
        <v>76</v>
      </c>
      <c r="H496" s="15" t="s">
        <v>2079</v>
      </c>
      <c r="I496" s="15" t="s">
        <v>212</v>
      </c>
      <c r="J496" s="15" t="s">
        <v>45</v>
      </c>
      <c r="K496" s="15" t="s">
        <v>46</v>
      </c>
      <c r="L496" s="15" t="s">
        <v>47</v>
      </c>
      <c r="M496" s="15">
        <v>12</v>
      </c>
      <c r="N496" s="15">
        <v>12000</v>
      </c>
      <c r="O496" s="15">
        <v>15</v>
      </c>
      <c r="P496" s="15">
        <v>122400</v>
      </c>
      <c r="Q496" s="15">
        <v>5</v>
      </c>
      <c r="R496" s="15" t="s">
        <v>34</v>
      </c>
      <c r="S496" s="15" t="s">
        <v>151</v>
      </c>
      <c r="T496" s="15" t="s">
        <v>89</v>
      </c>
      <c r="U496" s="17" t="s">
        <v>2080</v>
      </c>
      <c r="V496" s="15" t="s">
        <v>38</v>
      </c>
    </row>
    <row r="497" spans="1:22">
      <c r="A497" s="18" t="s">
        <v>2081</v>
      </c>
      <c r="B497" s="18" t="s">
        <v>221</v>
      </c>
      <c r="C497" s="18" t="s">
        <v>72</v>
      </c>
      <c r="D497" s="18" t="s">
        <v>610</v>
      </c>
      <c r="E497" s="18" t="s">
        <v>611</v>
      </c>
      <c r="F497" s="18" t="s">
        <v>225</v>
      </c>
      <c r="G497" s="18" t="s">
        <v>76</v>
      </c>
      <c r="H497" s="18" t="s">
        <v>2082</v>
      </c>
      <c r="I497" s="18" t="s">
        <v>44</v>
      </c>
      <c r="J497" s="18" t="s">
        <v>45</v>
      </c>
      <c r="K497" s="18" t="s">
        <v>46</v>
      </c>
      <c r="L497" s="18" t="s">
        <v>78</v>
      </c>
      <c r="M497" s="18">
        <v>3</v>
      </c>
      <c r="N497" s="18">
        <v>1200</v>
      </c>
      <c r="O497" s="18">
        <v>20</v>
      </c>
      <c r="P497" s="18">
        <v>2880</v>
      </c>
      <c r="Q497" s="18">
        <v>2</v>
      </c>
      <c r="R497" s="18" t="s">
        <v>48</v>
      </c>
      <c r="S497" s="18" t="s">
        <v>115</v>
      </c>
      <c r="T497" s="18" t="s">
        <v>907</v>
      </c>
      <c r="U497" s="19" t="s">
        <v>2083</v>
      </c>
      <c r="V497" s="18" t="s">
        <v>64</v>
      </c>
    </row>
    <row r="498" spans="1:22">
      <c r="A498" s="15" t="s">
        <v>2084</v>
      </c>
      <c r="B498" s="15" t="s">
        <v>100</v>
      </c>
      <c r="C498" s="15" t="s">
        <v>54</v>
      </c>
      <c r="D498" s="15" t="s">
        <v>276</v>
      </c>
      <c r="E498" s="15" t="s">
        <v>2085</v>
      </c>
      <c r="F498" s="15" t="s">
        <v>103</v>
      </c>
      <c r="G498" s="15" t="s">
        <v>28</v>
      </c>
      <c r="H498" s="15" t="s">
        <v>2086</v>
      </c>
      <c r="I498" s="15" t="s">
        <v>105</v>
      </c>
      <c r="J498" s="15" t="s">
        <v>106</v>
      </c>
      <c r="K498" s="15" t="s">
        <v>46</v>
      </c>
      <c r="L498" s="15" t="s">
        <v>2087</v>
      </c>
      <c r="M498" s="15">
        <v>6</v>
      </c>
      <c r="N498" s="15">
        <v>55000</v>
      </c>
      <c r="O498" s="15">
        <v>20</v>
      </c>
      <c r="P498" s="15">
        <v>264000</v>
      </c>
      <c r="Q498" s="15">
        <v>3</v>
      </c>
      <c r="R498" s="15" t="s">
        <v>34</v>
      </c>
      <c r="S498" s="15" t="s">
        <v>151</v>
      </c>
      <c r="T498" s="15" t="s">
        <v>144</v>
      </c>
      <c r="U498" s="17" t="s">
        <v>2088</v>
      </c>
      <c r="V498" s="15" t="s">
        <v>38</v>
      </c>
    </row>
    <row r="499" spans="1:22">
      <c r="A499" s="18" t="s">
        <v>2089</v>
      </c>
      <c r="B499" s="18" t="s">
        <v>100</v>
      </c>
      <c r="C499" s="18" t="s">
        <v>92</v>
      </c>
      <c r="D499" s="18" t="s">
        <v>2090</v>
      </c>
      <c r="E499" s="18" t="s">
        <v>129</v>
      </c>
      <c r="F499" s="18" t="s">
        <v>103</v>
      </c>
      <c r="G499" s="18" t="s">
        <v>28</v>
      </c>
      <c r="H499" s="18" t="s">
        <v>2091</v>
      </c>
      <c r="I499" s="18" t="s">
        <v>59</v>
      </c>
      <c r="J499" s="18" t="s">
        <v>31</v>
      </c>
      <c r="K499" s="18" t="s">
        <v>32</v>
      </c>
      <c r="L499" s="18" t="s">
        <v>97</v>
      </c>
      <c r="M499" s="18">
        <v>20</v>
      </c>
      <c r="N499" s="18">
        <v>3500</v>
      </c>
      <c r="O499" s="18">
        <v>0</v>
      </c>
      <c r="P499" s="18">
        <v>70000</v>
      </c>
      <c r="Q499" s="18">
        <v>1</v>
      </c>
      <c r="R499" s="18" t="s">
        <v>48</v>
      </c>
      <c r="S499" s="18" t="s">
        <v>151</v>
      </c>
      <c r="T499" s="18" t="s">
        <v>144</v>
      </c>
      <c r="U499" s="19" t="s">
        <v>2092</v>
      </c>
      <c r="V499" s="18" t="s">
        <v>64</v>
      </c>
    </row>
  </sheetData>
  <autoFilter ref="A1:V499" xr:uid="{16C20A61-E661-4D0C-B9D9-7CF66B2C9746}"/>
  <conditionalFormatting sqref="O2:O499">
    <cfRule type="cellIs" dxfId="1" priority="1" operator="greaterThan">
      <formula>20</formula>
    </cfRule>
    <cfRule type="cellIs" dxfId="0" priority="2" operator="greaterThan">
      <formula>20</formula>
    </cfRule>
  </conditionalFormatting>
  <dataValidations count="2">
    <dataValidation type="list" allowBlank="1" showInputMessage="1" showErrorMessage="1" sqref="R2:R499" xr:uid="{DC34AEAD-A7EB-41BC-B424-BF3E42121F12}">
      <formula1>"UPI,Cash,Card,NetBanking"</formula1>
    </dataValidation>
    <dataValidation type="whole" allowBlank="1" showInputMessage="1" showErrorMessage="1" sqref="M2:M499" xr:uid="{C4E7C778-B3A2-4E57-84E5-454C9F114E83}">
      <formula1>1</formula1>
      <formula2>20</formula2>
    </dataValidation>
  </dataValidations>
  <hyperlinks>
    <hyperlink ref="T2" r:id="rId1" xr:uid="{D00E5EBF-41B6-4C89-BA13-0E3C48251488}"/>
    <hyperlink ref="T8" r:id="rId2" xr:uid="{E8405ABF-892A-41FD-9CC9-DA0F430C76DF}"/>
    <hyperlink ref="T10" r:id="rId3" xr:uid="{DC5E2AD2-A215-4354-AB79-220DF8C9D955}"/>
    <hyperlink ref="T15" r:id="rId4" xr:uid="{88BCEDF4-3561-405A-8F39-F5A57659C087}"/>
    <hyperlink ref="T14" r:id="rId5" xr:uid="{80D50BB4-2499-4448-AFB9-80E212EEB06D}"/>
    <hyperlink ref="T19" r:id="rId6" xr:uid="{70CE0FD4-8E2F-4839-9DED-C526FC39B573}"/>
    <hyperlink ref="T60" r:id="rId7" xr:uid="{23B0A22F-E189-4799-8762-A7845B9A9190}"/>
    <hyperlink ref="T71" r:id="rId8" xr:uid="{95F8312E-DB1A-4555-85B3-35124D892AD0}"/>
    <hyperlink ref="T292" r:id="rId9" xr:uid="{69B5817D-7973-4DB3-86FF-6CDDB96452CE}"/>
    <hyperlink ref="T487" r:id="rId10" xr:uid="{8B7A4783-1FA6-4E42-B19C-2901BD1AA16F}"/>
    <hyperlink ref="T477" r:id="rId11" xr:uid="{C67376EA-73B3-42E3-821A-57CC3998FD9A}"/>
    <hyperlink ref="T461" r:id="rId12" xr:uid="{F94E5460-9160-47A1-A7E6-3466C619756D}"/>
    <hyperlink ref="T448" r:id="rId13" xr:uid="{782BAA3A-53AE-449B-9A87-B4DF8B0228AE}"/>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D4733-49A2-4C27-9CD3-ED518587E90B}">
  <dimension ref="B2:AB368"/>
  <sheetViews>
    <sheetView workbookViewId="0">
      <selection activeCell="N4" sqref="N4"/>
    </sheetView>
  </sheetViews>
  <sheetFormatPr defaultRowHeight="14.4"/>
  <cols>
    <col min="2" max="2" width="12.5546875" bestFit="1" customWidth="1"/>
    <col min="3" max="3" width="11.6640625" bestFit="1" customWidth="1"/>
  </cols>
  <sheetData>
    <row r="2" spans="2:28">
      <c r="B2" s="51" t="s">
        <v>2158</v>
      </c>
      <c r="C2" t="s">
        <v>2157</v>
      </c>
    </row>
    <row r="3" spans="2:28">
      <c r="B3" s="52" t="s">
        <v>295</v>
      </c>
      <c r="C3">
        <v>4041922</v>
      </c>
    </row>
    <row r="4" spans="2:28">
      <c r="B4" s="52" t="s">
        <v>45</v>
      </c>
      <c r="C4">
        <v>10013332.5</v>
      </c>
    </row>
    <row r="5" spans="2:28">
      <c r="B5" s="52" t="s">
        <v>31</v>
      </c>
      <c r="C5">
        <v>7487181.5</v>
      </c>
    </row>
    <row r="6" spans="2:28">
      <c r="B6" s="52" t="s">
        <v>106</v>
      </c>
      <c r="C6">
        <v>13203531.5</v>
      </c>
    </row>
    <row r="7" spans="2:28" ht="14.4" customHeight="1">
      <c r="B7" s="52" t="s">
        <v>2159</v>
      </c>
      <c r="C7">
        <v>34745967.5</v>
      </c>
      <c r="N7" s="55"/>
      <c r="O7" s="55"/>
      <c r="P7" s="61" t="s">
        <v>2163</v>
      </c>
      <c r="Q7" s="61"/>
      <c r="R7" s="61"/>
      <c r="S7" s="61"/>
      <c r="T7" s="61"/>
      <c r="U7" s="61"/>
      <c r="V7" s="61"/>
      <c r="W7" s="61"/>
      <c r="X7" s="61"/>
      <c r="Y7" s="61"/>
    </row>
    <row r="8" spans="2:28">
      <c r="N8" s="55"/>
      <c r="O8" s="55"/>
      <c r="P8" s="61"/>
      <c r="Q8" s="61"/>
      <c r="R8" s="61"/>
      <c r="S8" s="61"/>
      <c r="T8" s="61"/>
      <c r="U8" s="61"/>
      <c r="V8" s="61"/>
      <c r="W8" s="61"/>
      <c r="X8" s="61"/>
      <c r="Y8" s="61"/>
    </row>
    <row r="9" spans="2:28">
      <c r="N9" s="55"/>
      <c r="O9" s="55"/>
      <c r="P9" s="61"/>
      <c r="Q9" s="61"/>
      <c r="R9" s="61"/>
      <c r="S9" s="61"/>
      <c r="T9" s="61"/>
      <c r="U9" s="61"/>
      <c r="V9" s="61"/>
      <c r="W9" s="61"/>
      <c r="X9" s="61"/>
      <c r="Y9" s="61"/>
    </row>
    <row r="15" spans="2:28" ht="14.4" customHeight="1">
      <c r="N15" s="62" t="s">
        <v>2164</v>
      </c>
      <c r="O15" s="62"/>
      <c r="P15" s="62"/>
      <c r="Q15" s="62"/>
      <c r="R15" s="62"/>
      <c r="S15" s="62"/>
      <c r="T15" s="62"/>
      <c r="U15" s="62"/>
      <c r="V15" s="62"/>
      <c r="W15" s="62"/>
      <c r="X15" s="62"/>
      <c r="Y15" s="62"/>
      <c r="Z15" s="62"/>
      <c r="AA15" s="62"/>
      <c r="AB15" s="62"/>
    </row>
    <row r="16" spans="2:28">
      <c r="N16" s="62"/>
      <c r="O16" s="62"/>
      <c r="P16" s="62"/>
      <c r="Q16" s="62"/>
      <c r="R16" s="62"/>
      <c r="S16" s="62"/>
      <c r="T16" s="62"/>
      <c r="U16" s="62"/>
      <c r="V16" s="62"/>
      <c r="W16" s="62"/>
      <c r="X16" s="62"/>
      <c r="Y16" s="62"/>
      <c r="Z16" s="62"/>
      <c r="AA16" s="62"/>
      <c r="AB16" s="62"/>
    </row>
    <row r="17" spans="2:28">
      <c r="N17" s="62"/>
      <c r="O17" s="62"/>
      <c r="P17" s="62"/>
      <c r="Q17" s="62"/>
      <c r="R17" s="62"/>
      <c r="S17" s="62"/>
      <c r="T17" s="62"/>
      <c r="U17" s="62"/>
      <c r="V17" s="62"/>
      <c r="W17" s="62"/>
      <c r="X17" s="62"/>
      <c r="Y17" s="62"/>
      <c r="Z17" s="62"/>
      <c r="AA17" s="62"/>
      <c r="AB17" s="62"/>
    </row>
    <row r="18" spans="2:28">
      <c r="N18" s="62"/>
      <c r="O18" s="62"/>
      <c r="P18" s="62"/>
      <c r="Q18" s="62"/>
      <c r="R18" s="62"/>
      <c r="S18" s="62"/>
      <c r="T18" s="62"/>
      <c r="U18" s="62"/>
      <c r="V18" s="62"/>
      <c r="W18" s="62"/>
      <c r="X18" s="62"/>
      <c r="Y18" s="62"/>
      <c r="Z18" s="62"/>
      <c r="AA18" s="62"/>
      <c r="AB18" s="62"/>
    </row>
    <row r="19" spans="2:28">
      <c r="N19" s="62"/>
      <c r="O19" s="62"/>
      <c r="P19" s="62"/>
      <c r="Q19" s="62"/>
      <c r="R19" s="62"/>
      <c r="S19" s="62"/>
      <c r="T19" s="62"/>
      <c r="U19" s="62"/>
      <c r="V19" s="62"/>
      <c r="W19" s="62"/>
      <c r="X19" s="62"/>
      <c r="Y19" s="62"/>
      <c r="Z19" s="62"/>
      <c r="AA19" s="62"/>
      <c r="AB19" s="62"/>
    </row>
    <row r="20" spans="2:28">
      <c r="N20" s="62"/>
      <c r="O20" s="62"/>
      <c r="P20" s="62"/>
      <c r="Q20" s="62"/>
      <c r="R20" s="62"/>
      <c r="S20" s="62"/>
      <c r="T20" s="62"/>
      <c r="U20" s="62"/>
      <c r="V20" s="62"/>
      <c r="W20" s="62"/>
      <c r="X20" s="62"/>
      <c r="Y20" s="62"/>
      <c r="Z20" s="62"/>
      <c r="AA20" s="62"/>
      <c r="AB20" s="62"/>
    </row>
    <row r="22" spans="2:28">
      <c r="B22" s="51" t="s">
        <v>2158</v>
      </c>
      <c r="C22" t="s">
        <v>2157</v>
      </c>
    </row>
    <row r="23" spans="2:28">
      <c r="B23" s="52" t="s">
        <v>46</v>
      </c>
      <c r="C23">
        <v>27823939</v>
      </c>
    </row>
    <row r="24" spans="2:28">
      <c r="B24" s="52" t="s">
        <v>32</v>
      </c>
      <c r="C24">
        <v>6806525</v>
      </c>
    </row>
    <row r="25" spans="2:28">
      <c r="B25" s="52" t="s">
        <v>1007</v>
      </c>
      <c r="C25">
        <v>59850</v>
      </c>
    </row>
    <row r="26" spans="2:28">
      <c r="B26" s="52" t="s">
        <v>122</v>
      </c>
      <c r="C26">
        <v>55653.5</v>
      </c>
    </row>
    <row r="27" spans="2:28">
      <c r="B27" s="52" t="s">
        <v>2159</v>
      </c>
      <c r="C27">
        <v>34745967.5</v>
      </c>
    </row>
    <row r="40" spans="2:3">
      <c r="B40" s="51" t="s">
        <v>2158</v>
      </c>
      <c r="C40" t="s">
        <v>2157</v>
      </c>
    </row>
    <row r="41" spans="2:3">
      <c r="B41" s="52" t="s">
        <v>1589</v>
      </c>
      <c r="C41">
        <v>1785</v>
      </c>
    </row>
    <row r="42" spans="2:3">
      <c r="B42" s="52" t="s">
        <v>512</v>
      </c>
      <c r="C42">
        <v>15012.5</v>
      </c>
    </row>
    <row r="43" spans="2:3">
      <c r="B43" s="52" t="s">
        <v>1863</v>
      </c>
      <c r="C43">
        <v>53200</v>
      </c>
    </row>
    <row r="44" spans="2:3">
      <c r="B44" s="52" t="s">
        <v>431</v>
      </c>
      <c r="C44">
        <v>10410</v>
      </c>
    </row>
    <row r="45" spans="2:3">
      <c r="B45" s="52" t="s">
        <v>1360</v>
      </c>
      <c r="C45">
        <v>17050</v>
      </c>
    </row>
    <row r="46" spans="2:3">
      <c r="B46" s="52" t="s">
        <v>891</v>
      </c>
      <c r="C46">
        <v>990969</v>
      </c>
    </row>
    <row r="47" spans="2:3">
      <c r="B47" s="52" t="s">
        <v>266</v>
      </c>
      <c r="C47">
        <v>132000</v>
      </c>
    </row>
    <row r="48" spans="2:3">
      <c r="B48" s="52" t="s">
        <v>756</v>
      </c>
      <c r="C48">
        <v>110000</v>
      </c>
    </row>
    <row r="49" spans="2:3">
      <c r="B49" s="52" t="s">
        <v>445</v>
      </c>
      <c r="C49">
        <v>441009.5</v>
      </c>
    </row>
    <row r="50" spans="2:3">
      <c r="B50" s="52" t="s">
        <v>1221</v>
      </c>
      <c r="C50">
        <v>61251</v>
      </c>
    </row>
    <row r="51" spans="2:3">
      <c r="B51" s="52" t="s">
        <v>1650</v>
      </c>
      <c r="C51">
        <v>3150</v>
      </c>
    </row>
    <row r="52" spans="2:3">
      <c r="B52" s="52" t="s">
        <v>185</v>
      </c>
      <c r="C52">
        <v>149985</v>
      </c>
    </row>
    <row r="53" spans="2:3">
      <c r="B53" s="52" t="s">
        <v>711</v>
      </c>
      <c r="C53">
        <v>441920</v>
      </c>
    </row>
    <row r="54" spans="2:3">
      <c r="B54" s="52" t="s">
        <v>1409</v>
      </c>
      <c r="C54">
        <v>17340</v>
      </c>
    </row>
    <row r="55" spans="2:3">
      <c r="B55" s="52" t="s">
        <v>66</v>
      </c>
      <c r="C55">
        <v>3600</v>
      </c>
    </row>
    <row r="56" spans="2:3">
      <c r="B56" s="52" t="s">
        <v>1898</v>
      </c>
      <c r="C56">
        <v>4800</v>
      </c>
    </row>
    <row r="57" spans="2:3">
      <c r="B57" s="52" t="s">
        <v>1098</v>
      </c>
      <c r="C57">
        <v>173526.75</v>
      </c>
    </row>
    <row r="58" spans="2:3">
      <c r="B58" s="52" t="s">
        <v>684</v>
      </c>
      <c r="C58">
        <v>4143</v>
      </c>
    </row>
    <row r="59" spans="2:3">
      <c r="B59" s="52" t="s">
        <v>232</v>
      </c>
      <c r="C59">
        <v>137700</v>
      </c>
    </row>
    <row r="60" spans="2:3">
      <c r="B60" s="52" t="s">
        <v>1102</v>
      </c>
      <c r="C60">
        <v>990000</v>
      </c>
    </row>
    <row r="61" spans="2:3">
      <c r="B61" s="52" t="s">
        <v>918</v>
      </c>
      <c r="C61">
        <v>220</v>
      </c>
    </row>
    <row r="62" spans="2:3">
      <c r="B62" s="52" t="s">
        <v>205</v>
      </c>
      <c r="C62">
        <v>47085</v>
      </c>
    </row>
    <row r="63" spans="2:3">
      <c r="B63" s="52" t="s">
        <v>464</v>
      </c>
      <c r="C63">
        <v>9065</v>
      </c>
    </row>
    <row r="64" spans="2:3">
      <c r="B64" s="52" t="s">
        <v>1620</v>
      </c>
      <c r="C64">
        <v>522600</v>
      </c>
    </row>
    <row r="65" spans="2:3">
      <c r="B65" s="52" t="s">
        <v>1912</v>
      </c>
      <c r="C65">
        <v>440000</v>
      </c>
    </row>
    <row r="66" spans="2:3">
      <c r="B66" s="52" t="s">
        <v>665</v>
      </c>
      <c r="C66">
        <v>2100</v>
      </c>
    </row>
    <row r="67" spans="2:3">
      <c r="B67" s="52" t="s">
        <v>656</v>
      </c>
      <c r="C67">
        <v>513</v>
      </c>
    </row>
    <row r="68" spans="2:3">
      <c r="B68" s="52" t="s">
        <v>1263</v>
      </c>
      <c r="C68">
        <v>2322</v>
      </c>
    </row>
    <row r="69" spans="2:3">
      <c r="B69" s="52" t="s">
        <v>518</v>
      </c>
      <c r="C69">
        <v>170100</v>
      </c>
    </row>
    <row r="70" spans="2:3">
      <c r="B70" s="52" t="s">
        <v>1465</v>
      </c>
      <c r="C70">
        <v>3420</v>
      </c>
    </row>
    <row r="71" spans="2:3">
      <c r="B71" s="52" t="s">
        <v>1732</v>
      </c>
      <c r="C71">
        <v>182400</v>
      </c>
    </row>
    <row r="72" spans="2:3">
      <c r="B72" s="52" t="s">
        <v>55</v>
      </c>
      <c r="C72">
        <v>261250</v>
      </c>
    </row>
    <row r="73" spans="2:3">
      <c r="B73" s="52" t="s">
        <v>1225</v>
      </c>
      <c r="C73">
        <v>40800</v>
      </c>
    </row>
    <row r="74" spans="2:3">
      <c r="B74" s="52" t="s">
        <v>84</v>
      </c>
      <c r="C74">
        <v>54700</v>
      </c>
    </row>
    <row r="75" spans="2:3">
      <c r="B75" s="52" t="s">
        <v>765</v>
      </c>
      <c r="C75">
        <v>680476.25</v>
      </c>
    </row>
    <row r="76" spans="2:3">
      <c r="B76" s="52" t="s">
        <v>478</v>
      </c>
      <c r="C76">
        <v>1870</v>
      </c>
    </row>
    <row r="77" spans="2:3">
      <c r="B77" s="52" t="s">
        <v>1142</v>
      </c>
      <c r="C77">
        <v>56000</v>
      </c>
    </row>
    <row r="78" spans="2:3">
      <c r="B78" s="52" t="s">
        <v>740</v>
      </c>
      <c r="C78">
        <v>64851</v>
      </c>
    </row>
    <row r="79" spans="2:3">
      <c r="B79" s="52" t="s">
        <v>42</v>
      </c>
      <c r="C79">
        <v>378</v>
      </c>
    </row>
    <row r="80" spans="2:3">
      <c r="B80" s="52" t="s">
        <v>582</v>
      </c>
      <c r="C80">
        <v>137275</v>
      </c>
    </row>
    <row r="81" spans="2:3">
      <c r="B81" s="52" t="s">
        <v>318</v>
      </c>
      <c r="C81">
        <v>109725</v>
      </c>
    </row>
    <row r="82" spans="2:3">
      <c r="B82" s="52" t="s">
        <v>276</v>
      </c>
      <c r="C82">
        <v>301761</v>
      </c>
    </row>
    <row r="83" spans="2:3">
      <c r="B83" s="52" t="s">
        <v>720</v>
      </c>
      <c r="C83">
        <v>47250</v>
      </c>
    </row>
    <row r="84" spans="2:3">
      <c r="B84" s="52" t="s">
        <v>572</v>
      </c>
      <c r="C84">
        <v>35640</v>
      </c>
    </row>
    <row r="85" spans="2:3">
      <c r="B85" s="52" t="s">
        <v>940</v>
      </c>
      <c r="C85">
        <v>912</v>
      </c>
    </row>
    <row r="86" spans="2:3">
      <c r="B86" s="52" t="s">
        <v>864</v>
      </c>
      <c r="C86">
        <v>420</v>
      </c>
    </row>
    <row r="87" spans="2:3">
      <c r="B87" s="52" t="s">
        <v>186</v>
      </c>
      <c r="C87">
        <v>548</v>
      </c>
    </row>
    <row r="88" spans="2:3">
      <c r="B88" s="52" t="s">
        <v>1199</v>
      </c>
      <c r="C88">
        <v>150900</v>
      </c>
    </row>
    <row r="89" spans="2:3">
      <c r="B89" s="52" t="s">
        <v>413</v>
      </c>
      <c r="C89">
        <v>89040</v>
      </c>
    </row>
    <row r="90" spans="2:3">
      <c r="B90" s="52" t="s">
        <v>179</v>
      </c>
      <c r="C90">
        <v>15600</v>
      </c>
    </row>
    <row r="91" spans="2:3">
      <c r="B91" s="52" t="s">
        <v>1506</v>
      </c>
      <c r="C91">
        <v>432</v>
      </c>
    </row>
    <row r="92" spans="2:3">
      <c r="B92" s="52" t="s">
        <v>2046</v>
      </c>
      <c r="C92">
        <v>324</v>
      </c>
    </row>
    <row r="93" spans="2:3">
      <c r="B93" s="52" t="s">
        <v>1119</v>
      </c>
      <c r="C93">
        <v>8925</v>
      </c>
    </row>
    <row r="94" spans="2:3">
      <c r="B94" s="52" t="s">
        <v>382</v>
      </c>
      <c r="C94">
        <v>56000</v>
      </c>
    </row>
    <row r="95" spans="2:3">
      <c r="B95" s="52" t="s">
        <v>308</v>
      </c>
      <c r="C95">
        <v>212544.5</v>
      </c>
    </row>
    <row r="96" spans="2:3">
      <c r="B96" s="52" t="s">
        <v>291</v>
      </c>
      <c r="C96">
        <v>573237</v>
      </c>
    </row>
    <row r="97" spans="2:3">
      <c r="B97" s="52" t="s">
        <v>1565</v>
      </c>
      <c r="C97">
        <v>4400</v>
      </c>
    </row>
    <row r="98" spans="2:3">
      <c r="B98" s="52" t="s">
        <v>712</v>
      </c>
      <c r="C98">
        <v>170000</v>
      </c>
    </row>
    <row r="99" spans="2:3">
      <c r="B99" s="52" t="s">
        <v>900</v>
      </c>
      <c r="C99">
        <v>81834.25</v>
      </c>
    </row>
    <row r="100" spans="2:3">
      <c r="B100" s="52" t="s">
        <v>414</v>
      </c>
      <c r="C100">
        <v>33660</v>
      </c>
    </row>
    <row r="101" spans="2:3">
      <c r="B101" s="52" t="s">
        <v>1065</v>
      </c>
      <c r="C101">
        <v>114000</v>
      </c>
    </row>
    <row r="102" spans="2:3">
      <c r="B102" s="52" t="s">
        <v>1035</v>
      </c>
      <c r="C102">
        <v>10710</v>
      </c>
    </row>
    <row r="103" spans="2:3">
      <c r="B103" s="52" t="s">
        <v>881</v>
      </c>
      <c r="C103">
        <v>627000</v>
      </c>
    </row>
    <row r="104" spans="2:3">
      <c r="B104" s="52" t="s">
        <v>1324</v>
      </c>
      <c r="C104">
        <v>12000</v>
      </c>
    </row>
    <row r="105" spans="2:3">
      <c r="B105" s="52" t="s">
        <v>941</v>
      </c>
      <c r="C105">
        <v>9920.25</v>
      </c>
    </row>
    <row r="106" spans="2:3">
      <c r="B106" s="52" t="s">
        <v>507</v>
      </c>
      <c r="C106">
        <v>273</v>
      </c>
    </row>
    <row r="107" spans="2:3">
      <c r="B107" s="52" t="s">
        <v>1537</v>
      </c>
      <c r="C107">
        <v>663</v>
      </c>
    </row>
    <row r="108" spans="2:3">
      <c r="B108" s="52" t="s">
        <v>932</v>
      </c>
      <c r="C108">
        <v>71330</v>
      </c>
    </row>
    <row r="109" spans="2:3">
      <c r="B109" s="52" t="s">
        <v>272</v>
      </c>
      <c r="C109">
        <v>41800</v>
      </c>
    </row>
    <row r="110" spans="2:3">
      <c r="B110" s="52" t="s">
        <v>797</v>
      </c>
      <c r="C110">
        <v>8778</v>
      </c>
    </row>
    <row r="111" spans="2:3">
      <c r="B111" s="52" t="s">
        <v>366</v>
      </c>
      <c r="C111">
        <v>792285</v>
      </c>
    </row>
    <row r="112" spans="2:3">
      <c r="B112" s="52" t="s">
        <v>892</v>
      </c>
      <c r="C112">
        <v>65025</v>
      </c>
    </row>
    <row r="113" spans="2:3">
      <c r="B113" s="52" t="s">
        <v>583</v>
      </c>
      <c r="C113">
        <v>56384.75</v>
      </c>
    </row>
    <row r="114" spans="2:3">
      <c r="B114" s="52" t="s">
        <v>489</v>
      </c>
      <c r="C114">
        <v>12960</v>
      </c>
    </row>
    <row r="115" spans="2:3">
      <c r="B115" s="52" t="s">
        <v>1165</v>
      </c>
      <c r="C115">
        <v>612</v>
      </c>
    </row>
    <row r="116" spans="2:3">
      <c r="B116" s="52" t="s">
        <v>1153</v>
      </c>
      <c r="C116">
        <v>251200</v>
      </c>
    </row>
    <row r="117" spans="2:3">
      <c r="B117" s="52" t="s">
        <v>322</v>
      </c>
      <c r="C117">
        <v>8500</v>
      </c>
    </row>
    <row r="118" spans="2:3">
      <c r="B118" s="52" t="s">
        <v>135</v>
      </c>
      <c r="C118">
        <v>39850</v>
      </c>
    </row>
    <row r="119" spans="2:3">
      <c r="B119" s="52" t="s">
        <v>298</v>
      </c>
      <c r="C119">
        <v>88570</v>
      </c>
    </row>
    <row r="120" spans="2:3">
      <c r="B120" s="52" t="s">
        <v>1507</v>
      </c>
      <c r="C120">
        <v>420.75</v>
      </c>
    </row>
    <row r="121" spans="2:3">
      <c r="B121" s="52" t="s">
        <v>161</v>
      </c>
      <c r="C121">
        <v>26220</v>
      </c>
    </row>
    <row r="122" spans="2:3">
      <c r="B122" s="52" t="s">
        <v>1437</v>
      </c>
      <c r="C122">
        <v>679250</v>
      </c>
    </row>
    <row r="123" spans="2:3">
      <c r="B123" s="52" t="s">
        <v>1343</v>
      </c>
      <c r="C123">
        <v>8330</v>
      </c>
    </row>
    <row r="124" spans="2:3">
      <c r="B124" s="52" t="s">
        <v>750</v>
      </c>
      <c r="C124">
        <v>34000</v>
      </c>
    </row>
    <row r="125" spans="2:3">
      <c r="B125" s="52" t="s">
        <v>1249</v>
      </c>
      <c r="C125">
        <v>21660</v>
      </c>
    </row>
    <row r="126" spans="2:3">
      <c r="B126" s="52" t="s">
        <v>246</v>
      </c>
      <c r="C126">
        <v>51000</v>
      </c>
    </row>
    <row r="127" spans="2:3">
      <c r="B127" s="52" t="s">
        <v>1267</v>
      </c>
      <c r="C127">
        <v>161500</v>
      </c>
    </row>
    <row r="128" spans="2:3">
      <c r="B128" s="52" t="s">
        <v>440</v>
      </c>
      <c r="C128">
        <v>13888</v>
      </c>
    </row>
    <row r="129" spans="2:3">
      <c r="B129" s="52" t="s">
        <v>435</v>
      </c>
      <c r="C129">
        <v>114.75</v>
      </c>
    </row>
    <row r="130" spans="2:3">
      <c r="B130" s="52" t="s">
        <v>450</v>
      </c>
      <c r="C130">
        <v>37698</v>
      </c>
    </row>
    <row r="131" spans="2:3">
      <c r="B131" s="52" t="s">
        <v>147</v>
      </c>
      <c r="C131">
        <v>35530</v>
      </c>
    </row>
    <row r="132" spans="2:3">
      <c r="B132" s="52" t="s">
        <v>652</v>
      </c>
      <c r="C132">
        <v>104540</v>
      </c>
    </row>
    <row r="133" spans="2:3">
      <c r="B133" s="52" t="s">
        <v>223</v>
      </c>
      <c r="C133">
        <v>138</v>
      </c>
    </row>
    <row r="134" spans="2:3">
      <c r="B134" s="52" t="s">
        <v>596</v>
      </c>
      <c r="C134">
        <v>999999</v>
      </c>
    </row>
    <row r="135" spans="2:3">
      <c r="B135" s="52" t="s">
        <v>1238</v>
      </c>
      <c r="C135">
        <v>11970</v>
      </c>
    </row>
    <row r="136" spans="2:3">
      <c r="B136" s="52" t="s">
        <v>497</v>
      </c>
      <c r="C136">
        <v>7140</v>
      </c>
    </row>
    <row r="137" spans="2:3">
      <c r="B137" s="52" t="s">
        <v>1149</v>
      </c>
      <c r="C137">
        <v>76800</v>
      </c>
    </row>
    <row r="138" spans="2:3">
      <c r="B138" s="52" t="s">
        <v>1282</v>
      </c>
      <c r="C138">
        <v>247</v>
      </c>
    </row>
    <row r="139" spans="2:3">
      <c r="B139" s="52" t="s">
        <v>281</v>
      </c>
      <c r="C139">
        <v>648</v>
      </c>
    </row>
    <row r="140" spans="2:3">
      <c r="B140" s="52" t="s">
        <v>927</v>
      </c>
      <c r="C140">
        <v>535.5</v>
      </c>
    </row>
    <row r="141" spans="2:3">
      <c r="B141" s="52" t="s">
        <v>141</v>
      </c>
      <c r="C141">
        <v>29700</v>
      </c>
    </row>
    <row r="142" spans="2:3">
      <c r="B142" s="52" t="s">
        <v>313</v>
      </c>
      <c r="C142">
        <v>408</v>
      </c>
    </row>
    <row r="143" spans="2:3">
      <c r="B143" s="52" t="s">
        <v>459</v>
      </c>
      <c r="C143">
        <v>56108</v>
      </c>
    </row>
    <row r="144" spans="2:3">
      <c r="B144" s="52" t="s">
        <v>601</v>
      </c>
      <c r="C144">
        <v>304</v>
      </c>
    </row>
    <row r="145" spans="2:3">
      <c r="B145" s="52" t="s">
        <v>640</v>
      </c>
      <c r="C145">
        <v>17340</v>
      </c>
    </row>
    <row r="146" spans="2:3">
      <c r="B146" s="52" t="s">
        <v>392</v>
      </c>
      <c r="C146">
        <v>432</v>
      </c>
    </row>
    <row r="147" spans="2:3">
      <c r="B147" s="52" t="s">
        <v>792</v>
      </c>
      <c r="C147">
        <v>35640</v>
      </c>
    </row>
    <row r="148" spans="2:3">
      <c r="B148" s="52" t="s">
        <v>1475</v>
      </c>
      <c r="C148">
        <v>15840</v>
      </c>
    </row>
    <row r="149" spans="2:3">
      <c r="B149" s="52" t="s">
        <v>252</v>
      </c>
      <c r="C149">
        <v>129314</v>
      </c>
    </row>
    <row r="150" spans="2:3">
      <c r="B150" s="52" t="s">
        <v>1373</v>
      </c>
      <c r="C150">
        <v>478</v>
      </c>
    </row>
    <row r="151" spans="2:3">
      <c r="B151" s="52" t="s">
        <v>1787</v>
      </c>
      <c r="C151">
        <v>47600</v>
      </c>
    </row>
    <row r="152" spans="2:3">
      <c r="B152" s="52" t="s">
        <v>554</v>
      </c>
      <c r="C152">
        <v>157980</v>
      </c>
    </row>
    <row r="153" spans="2:3">
      <c r="B153" s="52" t="s">
        <v>775</v>
      </c>
      <c r="C153">
        <v>56000</v>
      </c>
    </row>
    <row r="154" spans="2:3">
      <c r="B154" s="52" t="s">
        <v>162</v>
      </c>
      <c r="C154">
        <v>28900</v>
      </c>
    </row>
    <row r="155" spans="2:3">
      <c r="B155" s="52" t="s">
        <v>597</v>
      </c>
      <c r="C155">
        <v>85.5</v>
      </c>
    </row>
    <row r="156" spans="2:3">
      <c r="B156" s="52" t="s">
        <v>1344</v>
      </c>
      <c r="C156">
        <v>224</v>
      </c>
    </row>
    <row r="157" spans="2:3">
      <c r="B157" s="52" t="s">
        <v>679</v>
      </c>
      <c r="C157">
        <v>50575</v>
      </c>
    </row>
    <row r="158" spans="2:3">
      <c r="B158" s="52" t="s">
        <v>345</v>
      </c>
      <c r="C158">
        <v>9138.75</v>
      </c>
    </row>
    <row r="159" spans="2:3">
      <c r="B159" s="52" t="s">
        <v>610</v>
      </c>
      <c r="C159">
        <v>25340</v>
      </c>
    </row>
    <row r="160" spans="2:3">
      <c r="B160" s="52" t="s">
        <v>1268</v>
      </c>
      <c r="C160">
        <v>128</v>
      </c>
    </row>
    <row r="161" spans="2:3">
      <c r="B161" s="52" t="s">
        <v>85</v>
      </c>
      <c r="C161">
        <v>36000</v>
      </c>
    </row>
    <row r="162" spans="2:3">
      <c r="B162" s="52" t="s">
        <v>314</v>
      </c>
      <c r="C162">
        <v>144</v>
      </c>
    </row>
    <row r="163" spans="2:3">
      <c r="B163" s="52" t="s">
        <v>1031</v>
      </c>
      <c r="C163">
        <v>9600</v>
      </c>
    </row>
    <row r="164" spans="2:3">
      <c r="B164" s="52" t="s">
        <v>577</v>
      </c>
      <c r="C164">
        <v>20825</v>
      </c>
    </row>
    <row r="165" spans="2:3">
      <c r="B165" s="52" t="s">
        <v>1319</v>
      </c>
      <c r="C165">
        <v>47600</v>
      </c>
    </row>
    <row r="166" spans="2:3">
      <c r="B166" s="52" t="s">
        <v>969</v>
      </c>
      <c r="C166">
        <v>68400</v>
      </c>
    </row>
    <row r="167" spans="2:3">
      <c r="B167" s="52" t="s">
        <v>1642</v>
      </c>
      <c r="C167">
        <v>162</v>
      </c>
    </row>
    <row r="168" spans="2:3">
      <c r="B168" s="52" t="s">
        <v>1172</v>
      </c>
      <c r="C168">
        <v>54</v>
      </c>
    </row>
    <row r="169" spans="2:3">
      <c r="B169" s="52" t="s">
        <v>1760</v>
      </c>
      <c r="C169">
        <v>497.25</v>
      </c>
    </row>
    <row r="170" spans="2:3">
      <c r="B170" s="52" t="s">
        <v>1253</v>
      </c>
      <c r="C170">
        <v>264000</v>
      </c>
    </row>
    <row r="171" spans="2:3">
      <c r="B171" s="52" t="s">
        <v>619</v>
      </c>
      <c r="C171">
        <v>574930</v>
      </c>
    </row>
    <row r="172" spans="2:3">
      <c r="B172" s="52" t="s">
        <v>1176</v>
      </c>
      <c r="C172">
        <v>275000</v>
      </c>
    </row>
    <row r="173" spans="2:3">
      <c r="B173" s="52" t="s">
        <v>302</v>
      </c>
      <c r="C173">
        <v>100</v>
      </c>
    </row>
    <row r="174" spans="2:3">
      <c r="B174" s="52" t="s">
        <v>1368</v>
      </c>
      <c r="C174">
        <v>12080</v>
      </c>
    </row>
    <row r="175" spans="2:3">
      <c r="B175" s="52" t="s">
        <v>148</v>
      </c>
      <c r="C175">
        <v>180000</v>
      </c>
    </row>
    <row r="176" spans="2:3">
      <c r="B176" s="52" t="s">
        <v>241</v>
      </c>
      <c r="C176">
        <v>305589.5</v>
      </c>
    </row>
    <row r="177" spans="2:3">
      <c r="B177" s="52" t="s">
        <v>101</v>
      </c>
      <c r="C177">
        <v>143760</v>
      </c>
    </row>
    <row r="178" spans="2:3">
      <c r="B178" s="52" t="s">
        <v>1747</v>
      </c>
      <c r="C178">
        <v>15360</v>
      </c>
    </row>
    <row r="179" spans="2:3">
      <c r="B179" s="52" t="s">
        <v>426</v>
      </c>
      <c r="C179">
        <v>69325</v>
      </c>
    </row>
    <row r="180" spans="2:3">
      <c r="B180" s="52" t="s">
        <v>562</v>
      </c>
      <c r="C180">
        <v>18780</v>
      </c>
    </row>
    <row r="181" spans="2:3">
      <c r="B181" s="52" t="s">
        <v>340</v>
      </c>
      <c r="C181">
        <v>142408.25</v>
      </c>
    </row>
    <row r="182" spans="2:3">
      <c r="B182" s="52" t="s">
        <v>473</v>
      </c>
      <c r="C182">
        <v>21710</v>
      </c>
    </row>
    <row r="183" spans="2:3">
      <c r="B183" s="52" t="s">
        <v>998</v>
      </c>
      <c r="C183">
        <v>79800</v>
      </c>
    </row>
    <row r="184" spans="2:3">
      <c r="B184" s="52" t="s">
        <v>323</v>
      </c>
      <c r="C184">
        <v>1062</v>
      </c>
    </row>
    <row r="185" spans="2:3">
      <c r="B185" s="52" t="s">
        <v>910</v>
      </c>
      <c r="C185">
        <v>650.25</v>
      </c>
    </row>
    <row r="186" spans="2:3">
      <c r="B186" s="52" t="s">
        <v>592</v>
      </c>
      <c r="C186">
        <v>140</v>
      </c>
    </row>
    <row r="187" spans="2:3">
      <c r="B187" s="52" t="s">
        <v>1677</v>
      </c>
      <c r="C187">
        <v>68</v>
      </c>
    </row>
    <row r="188" spans="2:3">
      <c r="B188" s="52" t="s">
        <v>948</v>
      </c>
      <c r="C188">
        <v>12320</v>
      </c>
    </row>
    <row r="189" spans="2:3">
      <c r="B189" s="52" t="s">
        <v>779</v>
      </c>
      <c r="C189">
        <v>28160</v>
      </c>
    </row>
    <row r="190" spans="2:3">
      <c r="B190" s="52" t="s">
        <v>454</v>
      </c>
      <c r="C190">
        <v>198900</v>
      </c>
    </row>
    <row r="191" spans="2:3">
      <c r="B191" s="52" t="s">
        <v>142</v>
      </c>
      <c r="C191">
        <v>20505</v>
      </c>
    </row>
    <row r="192" spans="2:3">
      <c r="B192" s="52" t="s">
        <v>1834</v>
      </c>
      <c r="C192">
        <v>14820</v>
      </c>
    </row>
    <row r="193" spans="2:3">
      <c r="B193" s="52" t="s">
        <v>1005</v>
      </c>
      <c r="C193">
        <v>59850</v>
      </c>
    </row>
    <row r="194" spans="2:3">
      <c r="B194" s="52" t="s">
        <v>944</v>
      </c>
      <c r="C194">
        <v>43732.5</v>
      </c>
    </row>
    <row r="195" spans="2:3">
      <c r="B195" s="52" t="s">
        <v>408</v>
      </c>
      <c r="C195">
        <v>10127</v>
      </c>
    </row>
    <row r="196" spans="2:3">
      <c r="B196" s="52" t="s">
        <v>548</v>
      </c>
      <c r="C196">
        <v>69540</v>
      </c>
    </row>
    <row r="197" spans="2:3">
      <c r="B197" s="52" t="s">
        <v>309</v>
      </c>
      <c r="C197">
        <v>76.5</v>
      </c>
    </row>
    <row r="198" spans="2:3">
      <c r="B198" s="52" t="s">
        <v>502</v>
      </c>
      <c r="C198">
        <v>89400</v>
      </c>
    </row>
    <row r="199" spans="2:3">
      <c r="B199" s="52" t="s">
        <v>1214</v>
      </c>
      <c r="C199">
        <v>10200</v>
      </c>
    </row>
    <row r="200" spans="2:3">
      <c r="B200" s="52" t="s">
        <v>760</v>
      </c>
      <c r="C200">
        <v>360</v>
      </c>
    </row>
    <row r="201" spans="2:3">
      <c r="B201" s="52" t="s">
        <v>253</v>
      </c>
      <c r="C201">
        <v>133</v>
      </c>
    </row>
    <row r="202" spans="2:3">
      <c r="B202" s="52" t="s">
        <v>987</v>
      </c>
      <c r="C202">
        <v>26580</v>
      </c>
    </row>
    <row r="203" spans="2:3">
      <c r="B203" s="52" t="s">
        <v>567</v>
      </c>
      <c r="C203">
        <v>200</v>
      </c>
    </row>
    <row r="204" spans="2:3">
      <c r="B204" s="52" t="s">
        <v>543</v>
      </c>
      <c r="C204">
        <v>54720</v>
      </c>
    </row>
    <row r="205" spans="2:3">
      <c r="B205" s="52" t="s">
        <v>1286</v>
      </c>
      <c r="C205">
        <v>24310</v>
      </c>
    </row>
    <row r="206" spans="2:3">
      <c r="B206" s="52" t="s">
        <v>1320</v>
      </c>
      <c r="C206">
        <v>585</v>
      </c>
    </row>
    <row r="207" spans="2:3">
      <c r="B207" s="52" t="s">
        <v>1180</v>
      </c>
      <c r="C207">
        <v>18240</v>
      </c>
    </row>
    <row r="208" spans="2:3">
      <c r="B208" s="52" t="s">
        <v>260</v>
      </c>
      <c r="C208">
        <v>177659</v>
      </c>
    </row>
    <row r="209" spans="2:3">
      <c r="B209" s="52" t="s">
        <v>422</v>
      </c>
      <c r="C209">
        <v>514570</v>
      </c>
    </row>
    <row r="210" spans="2:3">
      <c r="B210" s="52" t="s">
        <v>2090</v>
      </c>
      <c r="C210">
        <v>70000</v>
      </c>
    </row>
    <row r="211" spans="2:3">
      <c r="B211" s="52" t="s">
        <v>503</v>
      </c>
      <c r="C211">
        <v>34200</v>
      </c>
    </row>
    <row r="212" spans="2:3">
      <c r="B212" s="52" t="s">
        <v>692</v>
      </c>
      <c r="C212">
        <v>720</v>
      </c>
    </row>
    <row r="213" spans="2:3">
      <c r="B213" s="52" t="s">
        <v>1378</v>
      </c>
      <c r="C213">
        <v>20220</v>
      </c>
    </row>
    <row r="214" spans="2:3">
      <c r="B214" s="52" t="s">
        <v>1039</v>
      </c>
      <c r="C214">
        <v>660000</v>
      </c>
    </row>
    <row r="215" spans="2:3">
      <c r="B215" s="52" t="s">
        <v>901</v>
      </c>
      <c r="C215">
        <v>748000</v>
      </c>
    </row>
    <row r="216" spans="2:3">
      <c r="B216" s="52" t="s">
        <v>736</v>
      </c>
      <c r="C216">
        <v>18096</v>
      </c>
    </row>
    <row r="217" spans="2:3">
      <c r="B217" s="52" t="s">
        <v>624</v>
      </c>
      <c r="C217">
        <v>30087</v>
      </c>
    </row>
    <row r="218" spans="2:3">
      <c r="B218" s="52" t="s">
        <v>493</v>
      </c>
      <c r="C218">
        <v>55970</v>
      </c>
    </row>
    <row r="219" spans="2:3">
      <c r="B219" s="52" t="s">
        <v>1278</v>
      </c>
      <c r="C219">
        <v>64600</v>
      </c>
    </row>
    <row r="220" spans="2:3">
      <c r="B220" s="52" t="s">
        <v>1807</v>
      </c>
      <c r="C220">
        <v>115200</v>
      </c>
    </row>
    <row r="221" spans="2:3">
      <c r="B221" s="52" t="s">
        <v>860</v>
      </c>
      <c r="C221">
        <v>2200</v>
      </c>
    </row>
    <row r="222" spans="2:3">
      <c r="B222" s="52" t="s">
        <v>787</v>
      </c>
      <c r="C222">
        <v>180</v>
      </c>
    </row>
    <row r="223" spans="2:3">
      <c r="B223" s="52" t="s">
        <v>587</v>
      </c>
      <c r="C223">
        <v>139080</v>
      </c>
    </row>
    <row r="224" spans="2:3">
      <c r="B224" s="52" t="s">
        <v>988</v>
      </c>
      <c r="C224">
        <v>20825</v>
      </c>
    </row>
    <row r="225" spans="2:3">
      <c r="B225" s="52" t="s">
        <v>1302</v>
      </c>
      <c r="C225">
        <v>173060</v>
      </c>
    </row>
    <row r="226" spans="2:3">
      <c r="B226" s="52" t="s">
        <v>525</v>
      </c>
      <c r="C226">
        <v>18360</v>
      </c>
    </row>
    <row r="227" spans="2:3">
      <c r="B227" s="52" t="s">
        <v>539</v>
      </c>
      <c r="C227">
        <v>48</v>
      </c>
    </row>
    <row r="228" spans="2:3">
      <c r="B228" s="52" t="s">
        <v>1085</v>
      </c>
      <c r="C228">
        <v>144640</v>
      </c>
    </row>
    <row r="229" spans="2:3">
      <c r="B229" s="52" t="s">
        <v>1572</v>
      </c>
      <c r="C229">
        <v>9350</v>
      </c>
    </row>
    <row r="230" spans="2:3">
      <c r="B230" s="52" t="s">
        <v>25</v>
      </c>
      <c r="C230">
        <v>105120</v>
      </c>
    </row>
    <row r="231" spans="2:3">
      <c r="B231" s="52" t="s">
        <v>1989</v>
      </c>
      <c r="C231">
        <v>19380</v>
      </c>
    </row>
    <row r="232" spans="2:3">
      <c r="B232" s="52" t="s">
        <v>645</v>
      </c>
      <c r="C232">
        <v>127713.75</v>
      </c>
    </row>
    <row r="233" spans="2:3">
      <c r="B233" s="52" t="s">
        <v>788</v>
      </c>
      <c r="C233">
        <v>415175</v>
      </c>
    </row>
    <row r="234" spans="2:3">
      <c r="B234" s="52" t="s">
        <v>1094</v>
      </c>
      <c r="C234">
        <v>12000</v>
      </c>
    </row>
    <row r="235" spans="2:3">
      <c r="B235" s="52" t="s">
        <v>303</v>
      </c>
      <c r="C235">
        <v>136</v>
      </c>
    </row>
    <row r="236" spans="2:3">
      <c r="B236" s="52" t="s">
        <v>1688</v>
      </c>
      <c r="C236">
        <v>37400</v>
      </c>
    </row>
    <row r="237" spans="2:3">
      <c r="B237" s="52" t="s">
        <v>102</v>
      </c>
      <c r="C237">
        <v>638593</v>
      </c>
    </row>
    <row r="238" spans="2:3">
      <c r="B238" s="52" t="s">
        <v>356</v>
      </c>
      <c r="C238">
        <v>235030</v>
      </c>
    </row>
    <row r="239" spans="2:3">
      <c r="B239" s="52" t="s">
        <v>1294</v>
      </c>
      <c r="C239">
        <v>304</v>
      </c>
    </row>
    <row r="240" spans="2:3">
      <c r="B240" s="52" t="s">
        <v>872</v>
      </c>
      <c r="C240">
        <v>120925</v>
      </c>
    </row>
    <row r="241" spans="2:3">
      <c r="B241" s="52" t="s">
        <v>821</v>
      </c>
      <c r="C241">
        <v>3240</v>
      </c>
    </row>
    <row r="242" spans="2:3">
      <c r="B242" s="52" t="s">
        <v>376</v>
      </c>
      <c r="C242">
        <v>769800</v>
      </c>
    </row>
    <row r="243" spans="2:3">
      <c r="B243" s="52" t="s">
        <v>128</v>
      </c>
      <c r="C243">
        <v>84842</v>
      </c>
    </row>
    <row r="244" spans="2:3">
      <c r="B244" s="52" t="s">
        <v>282</v>
      </c>
      <c r="C244">
        <v>81</v>
      </c>
    </row>
    <row r="245" spans="2:3">
      <c r="B245" s="52" t="s">
        <v>286</v>
      </c>
      <c r="C245">
        <v>22080</v>
      </c>
    </row>
    <row r="246" spans="2:3">
      <c r="B246" s="52" t="s">
        <v>1010</v>
      </c>
      <c r="C246">
        <v>880000</v>
      </c>
    </row>
    <row r="247" spans="2:3">
      <c r="B247" s="52" t="s">
        <v>1141</v>
      </c>
      <c r="C247">
        <v>26400</v>
      </c>
    </row>
    <row r="248" spans="2:3">
      <c r="B248" s="52" t="s">
        <v>568</v>
      </c>
      <c r="C248">
        <v>5950</v>
      </c>
    </row>
    <row r="249" spans="2:3">
      <c r="B249" s="52" t="s">
        <v>1114</v>
      </c>
      <c r="C249">
        <v>103512</v>
      </c>
    </row>
    <row r="250" spans="2:3">
      <c r="B250" s="52" t="s">
        <v>224</v>
      </c>
      <c r="C250">
        <v>522595</v>
      </c>
    </row>
    <row r="251" spans="2:3">
      <c r="B251" s="52" t="s">
        <v>1086</v>
      </c>
      <c r="C251">
        <v>154080</v>
      </c>
    </row>
    <row r="252" spans="2:3">
      <c r="B252" s="52" t="s">
        <v>1712</v>
      </c>
      <c r="C252">
        <v>20400</v>
      </c>
    </row>
    <row r="253" spans="2:3">
      <c r="B253" s="52" t="s">
        <v>1106</v>
      </c>
      <c r="C253">
        <v>50456.5</v>
      </c>
    </row>
    <row r="254" spans="2:3">
      <c r="B254" s="52" t="s">
        <v>558</v>
      </c>
      <c r="C254">
        <v>5202</v>
      </c>
    </row>
    <row r="255" spans="2:3">
      <c r="B255" s="52" t="s">
        <v>702</v>
      </c>
      <c r="C255">
        <v>326940</v>
      </c>
    </row>
    <row r="256" spans="2:3">
      <c r="B256" s="52" t="s">
        <v>761</v>
      </c>
      <c r="C256">
        <v>576</v>
      </c>
    </row>
    <row r="257" spans="2:3">
      <c r="B257" s="52" t="s">
        <v>1306</v>
      </c>
      <c r="C257">
        <v>30004</v>
      </c>
    </row>
    <row r="258" spans="2:3">
      <c r="B258" s="52" t="s">
        <v>386</v>
      </c>
      <c r="C258">
        <v>969</v>
      </c>
    </row>
    <row r="259" spans="2:3">
      <c r="B259" s="52" t="s">
        <v>923</v>
      </c>
      <c r="C259">
        <v>6600</v>
      </c>
    </row>
    <row r="260" spans="2:3">
      <c r="B260" s="52" t="s">
        <v>65</v>
      </c>
      <c r="C260">
        <v>765</v>
      </c>
    </row>
    <row r="261" spans="2:3">
      <c r="B261" s="52" t="s">
        <v>605</v>
      </c>
      <c r="C261">
        <v>1026</v>
      </c>
    </row>
    <row r="262" spans="2:3">
      <c r="B262" s="52" t="s">
        <v>1713</v>
      </c>
      <c r="C262">
        <v>14000</v>
      </c>
    </row>
    <row r="263" spans="2:3">
      <c r="B263" s="52" t="s">
        <v>834</v>
      </c>
      <c r="C263">
        <v>10260</v>
      </c>
    </row>
    <row r="264" spans="2:3">
      <c r="B264" s="52" t="s">
        <v>1048</v>
      </c>
      <c r="C264">
        <v>81600</v>
      </c>
    </row>
    <row r="265" spans="2:3">
      <c r="B265" s="52" t="s">
        <v>793</v>
      </c>
      <c r="C265">
        <v>16320</v>
      </c>
    </row>
    <row r="266" spans="2:3">
      <c r="B266" s="52" t="s">
        <v>770</v>
      </c>
      <c r="C266">
        <v>1077300</v>
      </c>
    </row>
    <row r="267" spans="2:3">
      <c r="B267" s="52" t="s">
        <v>1867</v>
      </c>
      <c r="C267">
        <v>91800</v>
      </c>
    </row>
    <row r="268" spans="2:3">
      <c r="B268" s="52" t="s">
        <v>170</v>
      </c>
      <c r="C268">
        <v>88400</v>
      </c>
    </row>
    <row r="269" spans="2:3">
      <c r="B269" s="52" t="s">
        <v>1931</v>
      </c>
      <c r="C269">
        <v>5600</v>
      </c>
    </row>
    <row r="270" spans="2:3">
      <c r="B270" s="52" t="s">
        <v>953</v>
      </c>
      <c r="C270">
        <v>136000</v>
      </c>
    </row>
    <row r="271" spans="2:3">
      <c r="B271" s="52" t="s">
        <v>1061</v>
      </c>
      <c r="C271">
        <v>855</v>
      </c>
    </row>
    <row r="272" spans="2:3">
      <c r="B272" s="52" t="s">
        <v>236</v>
      </c>
      <c r="C272">
        <v>46900</v>
      </c>
    </row>
    <row r="273" spans="2:3">
      <c r="B273" s="52" t="s">
        <v>1290</v>
      </c>
      <c r="C273">
        <v>95</v>
      </c>
    </row>
    <row r="274" spans="2:3">
      <c r="B274" s="52" t="s">
        <v>829</v>
      </c>
      <c r="C274">
        <v>25914</v>
      </c>
    </row>
    <row r="275" spans="2:3">
      <c r="B275" s="52" t="s">
        <v>26</v>
      </c>
      <c r="C275">
        <v>2400</v>
      </c>
    </row>
    <row r="276" spans="2:3">
      <c r="B276" s="52" t="s">
        <v>1880</v>
      </c>
      <c r="C276">
        <v>36</v>
      </c>
    </row>
    <row r="277" spans="2:3">
      <c r="B277" s="52" t="s">
        <v>215</v>
      </c>
      <c r="C277">
        <v>685740</v>
      </c>
    </row>
    <row r="278" spans="2:3">
      <c r="B278" s="52" t="s">
        <v>1609</v>
      </c>
      <c r="C278">
        <v>6720</v>
      </c>
    </row>
    <row r="279" spans="2:3">
      <c r="B279" s="52" t="s">
        <v>2051</v>
      </c>
      <c r="C279">
        <v>241200</v>
      </c>
    </row>
    <row r="280" spans="2:3">
      <c r="B280" s="52" t="s">
        <v>825</v>
      </c>
      <c r="C280">
        <v>136650.25</v>
      </c>
    </row>
    <row r="281" spans="2:3">
      <c r="B281" s="52" t="s">
        <v>2040</v>
      </c>
      <c r="C281">
        <v>990000</v>
      </c>
    </row>
    <row r="282" spans="2:3">
      <c r="B282" s="52" t="s">
        <v>1328</v>
      </c>
      <c r="C282">
        <v>3360</v>
      </c>
    </row>
    <row r="283" spans="2:3">
      <c r="B283" s="52" t="s">
        <v>1405</v>
      </c>
      <c r="C283">
        <v>63175</v>
      </c>
    </row>
    <row r="284" spans="2:3">
      <c r="B284" s="52" t="s">
        <v>830</v>
      </c>
      <c r="C284">
        <v>176000</v>
      </c>
    </row>
    <row r="285" spans="2:3">
      <c r="B285" s="52" t="s">
        <v>377</v>
      </c>
      <c r="C285">
        <v>31790</v>
      </c>
    </row>
    <row r="286" spans="2:3">
      <c r="B286" s="52" t="s">
        <v>341</v>
      </c>
      <c r="C286">
        <v>35485</v>
      </c>
    </row>
    <row r="287" spans="2:3">
      <c r="B287" s="52" t="s">
        <v>474</v>
      </c>
      <c r="C287">
        <v>40375</v>
      </c>
    </row>
    <row r="288" spans="2:3">
      <c r="B288" s="52" t="s">
        <v>957</v>
      </c>
      <c r="C288">
        <v>952</v>
      </c>
    </row>
    <row r="289" spans="2:3">
      <c r="B289" s="52" t="s">
        <v>1128</v>
      </c>
      <c r="C289">
        <v>46550</v>
      </c>
    </row>
    <row r="290" spans="2:3">
      <c r="B290" s="52" t="s">
        <v>1369</v>
      </c>
      <c r="C290">
        <v>408</v>
      </c>
    </row>
    <row r="291" spans="2:3">
      <c r="B291" s="52" t="s">
        <v>398</v>
      </c>
      <c r="C291">
        <v>4902</v>
      </c>
    </row>
    <row r="292" spans="2:3">
      <c r="B292" s="52" t="s">
        <v>1916</v>
      </c>
      <c r="C292">
        <v>174320</v>
      </c>
    </row>
    <row r="293" spans="2:3">
      <c r="B293" s="52" t="s">
        <v>1017</v>
      </c>
      <c r="C293">
        <v>76.5</v>
      </c>
    </row>
    <row r="294" spans="2:3">
      <c r="B294" s="52" t="s">
        <v>231</v>
      </c>
      <c r="C294">
        <v>59944</v>
      </c>
    </row>
    <row r="295" spans="2:3">
      <c r="B295" s="52" t="s">
        <v>673</v>
      </c>
      <c r="C295">
        <v>1190</v>
      </c>
    </row>
    <row r="296" spans="2:3">
      <c r="B296" s="52" t="s">
        <v>463</v>
      </c>
      <c r="C296">
        <v>34020</v>
      </c>
    </row>
    <row r="297" spans="2:3">
      <c r="B297" s="52" t="s">
        <v>1704</v>
      </c>
      <c r="C297">
        <v>20570</v>
      </c>
    </row>
    <row r="298" spans="2:3">
      <c r="B298" s="52" t="s">
        <v>628</v>
      </c>
      <c r="C298">
        <v>11029.5</v>
      </c>
    </row>
    <row r="299" spans="2:3">
      <c r="B299" s="52" t="s">
        <v>94</v>
      </c>
      <c r="C299">
        <v>607.5</v>
      </c>
    </row>
    <row r="300" spans="2:3">
      <c r="B300" s="52" t="s">
        <v>119</v>
      </c>
      <c r="C300">
        <v>116410</v>
      </c>
    </row>
    <row r="301" spans="2:3">
      <c r="B301" s="52" t="s">
        <v>335</v>
      </c>
      <c r="C301">
        <v>33542</v>
      </c>
    </row>
    <row r="302" spans="2:3">
      <c r="B302" s="52" t="s">
        <v>517</v>
      </c>
      <c r="C302">
        <v>39900</v>
      </c>
    </row>
    <row r="303" spans="2:3">
      <c r="B303" s="52" t="s">
        <v>237</v>
      </c>
      <c r="C303">
        <v>12635</v>
      </c>
    </row>
    <row r="304" spans="2:3">
      <c r="B304" s="52" t="s">
        <v>193</v>
      </c>
      <c r="C304">
        <v>352000</v>
      </c>
    </row>
    <row r="305" spans="2:3">
      <c r="B305" s="52" t="s">
        <v>755</v>
      </c>
      <c r="C305">
        <v>44132</v>
      </c>
    </row>
    <row r="306" spans="2:3">
      <c r="B306" s="52" t="s">
        <v>371</v>
      </c>
      <c r="C306">
        <v>432</v>
      </c>
    </row>
    <row r="307" spans="2:3">
      <c r="B307" s="52" t="s">
        <v>1484</v>
      </c>
      <c r="C307">
        <v>89520</v>
      </c>
    </row>
    <row r="308" spans="2:3">
      <c r="B308" s="52" t="s">
        <v>2022</v>
      </c>
      <c r="C308">
        <v>28800</v>
      </c>
    </row>
    <row r="309" spans="2:3">
      <c r="B309" s="52" t="s">
        <v>483</v>
      </c>
      <c r="C309">
        <v>3294</v>
      </c>
    </row>
    <row r="310" spans="2:3">
      <c r="B310" s="52" t="s">
        <v>387</v>
      </c>
      <c r="C310">
        <v>9450</v>
      </c>
    </row>
    <row r="311" spans="2:3">
      <c r="B311" s="52" t="s">
        <v>876</v>
      </c>
      <c r="C311">
        <v>63175</v>
      </c>
    </row>
    <row r="312" spans="2:3">
      <c r="B312" s="52" t="s">
        <v>544</v>
      </c>
      <c r="C312">
        <v>33250</v>
      </c>
    </row>
    <row r="313" spans="2:3">
      <c r="B313" s="52" t="s">
        <v>198</v>
      </c>
      <c r="C313">
        <v>5600</v>
      </c>
    </row>
    <row r="314" spans="2:3">
      <c r="B314" s="52" t="s">
        <v>716</v>
      </c>
      <c r="C314">
        <v>204000</v>
      </c>
    </row>
    <row r="315" spans="2:3">
      <c r="B315" s="52" t="s">
        <v>936</v>
      </c>
      <c r="C315">
        <v>137275</v>
      </c>
    </row>
    <row r="316" spans="2:3">
      <c r="B316" s="52" t="s">
        <v>261</v>
      </c>
      <c r="C316">
        <v>11900</v>
      </c>
    </row>
    <row r="317" spans="2:3">
      <c r="B317" s="52" t="s">
        <v>155</v>
      </c>
      <c r="C317">
        <v>44625</v>
      </c>
    </row>
    <row r="318" spans="2:3">
      <c r="B318" s="52" t="s">
        <v>1501</v>
      </c>
      <c r="C318">
        <v>54000</v>
      </c>
    </row>
    <row r="319" spans="2:3">
      <c r="B319" s="52" t="s">
        <v>961</v>
      </c>
      <c r="C319">
        <v>193800</v>
      </c>
    </row>
    <row r="320" spans="2:3">
      <c r="B320" s="52" t="s">
        <v>1379</v>
      </c>
      <c r="C320">
        <v>729</v>
      </c>
    </row>
    <row r="321" spans="2:3">
      <c r="B321" s="52" t="s">
        <v>588</v>
      </c>
      <c r="C321">
        <v>450</v>
      </c>
    </row>
    <row r="322" spans="2:3">
      <c r="B322" s="52" t="s">
        <v>632</v>
      </c>
      <c r="C322">
        <v>8330</v>
      </c>
    </row>
    <row r="323" spans="2:3">
      <c r="B323" s="52" t="s">
        <v>120</v>
      </c>
      <c r="C323">
        <v>4800</v>
      </c>
    </row>
    <row r="324" spans="2:3">
      <c r="B324" s="52" t="s">
        <v>1800</v>
      </c>
      <c r="C324">
        <v>10500</v>
      </c>
    </row>
    <row r="325" spans="2:3">
      <c r="B325" s="52" t="s">
        <v>41</v>
      </c>
      <c r="C325">
        <v>808016</v>
      </c>
    </row>
    <row r="326" spans="2:3">
      <c r="B326" s="52" t="s">
        <v>731</v>
      </c>
      <c r="C326">
        <v>16800</v>
      </c>
    </row>
    <row r="327" spans="2:3">
      <c r="B327" s="52" t="s">
        <v>488</v>
      </c>
      <c r="C327">
        <v>34160</v>
      </c>
    </row>
    <row r="328" spans="2:3">
      <c r="B328" s="52" t="s">
        <v>381</v>
      </c>
      <c r="C328">
        <v>2100</v>
      </c>
    </row>
    <row r="329" spans="2:3">
      <c r="B329" s="52" t="s">
        <v>1849</v>
      </c>
      <c r="C329">
        <v>912</v>
      </c>
    </row>
    <row r="330" spans="2:3">
      <c r="B330" s="52" t="s">
        <v>73</v>
      </c>
      <c r="C330">
        <v>9120</v>
      </c>
    </row>
    <row r="331" spans="2:3">
      <c r="B331" s="52" t="s">
        <v>351</v>
      </c>
      <c r="C331">
        <v>21350</v>
      </c>
    </row>
    <row r="332" spans="2:3">
      <c r="B332" s="52" t="s">
        <v>1052</v>
      </c>
      <c r="C332">
        <v>80750</v>
      </c>
    </row>
    <row r="333" spans="2:3">
      <c r="B333" s="52" t="s">
        <v>1705</v>
      </c>
      <c r="C333">
        <v>48450</v>
      </c>
    </row>
    <row r="334" spans="2:3">
      <c r="B334" s="52" t="s">
        <v>484</v>
      </c>
      <c r="C334">
        <v>95</v>
      </c>
    </row>
    <row r="335" spans="2:3">
      <c r="B335" s="52" t="s">
        <v>1069</v>
      </c>
      <c r="C335">
        <v>168361</v>
      </c>
    </row>
    <row r="336" spans="2:3">
      <c r="B336" s="52" t="s">
        <v>178</v>
      </c>
      <c r="C336">
        <v>27200</v>
      </c>
    </row>
    <row r="337" spans="2:3">
      <c r="B337" s="52" t="s">
        <v>365</v>
      </c>
      <c r="C337">
        <v>13090</v>
      </c>
    </row>
    <row r="338" spans="2:3">
      <c r="B338" s="52" t="s">
        <v>336</v>
      </c>
      <c r="C338">
        <v>33126</v>
      </c>
    </row>
    <row r="339" spans="2:3">
      <c r="B339" s="52" t="s">
        <v>1717</v>
      </c>
      <c r="C339">
        <v>221</v>
      </c>
    </row>
    <row r="340" spans="2:3">
      <c r="B340" s="52" t="s">
        <v>1530</v>
      </c>
      <c r="C340">
        <v>864</v>
      </c>
    </row>
    <row r="341" spans="2:3">
      <c r="B341" s="52" t="s">
        <v>372</v>
      </c>
      <c r="C341">
        <v>43350</v>
      </c>
    </row>
    <row r="342" spans="2:3">
      <c r="B342" s="52" t="s">
        <v>661</v>
      </c>
      <c r="C342">
        <v>8160</v>
      </c>
    </row>
    <row r="343" spans="2:3">
      <c r="B343" s="52" t="s">
        <v>1198</v>
      </c>
      <c r="C343">
        <v>27229.5</v>
      </c>
    </row>
    <row r="344" spans="2:3">
      <c r="B344" s="52" t="s">
        <v>1298</v>
      </c>
      <c r="C344">
        <v>726.75</v>
      </c>
    </row>
    <row r="345" spans="2:3">
      <c r="B345" s="52" t="s">
        <v>1932</v>
      </c>
      <c r="C345">
        <v>420750</v>
      </c>
    </row>
    <row r="346" spans="2:3">
      <c r="B346" s="52" t="s">
        <v>1081</v>
      </c>
      <c r="C346">
        <v>153</v>
      </c>
    </row>
    <row r="347" spans="2:3">
      <c r="B347" s="52" t="s">
        <v>1958</v>
      </c>
      <c r="C347">
        <v>836000</v>
      </c>
    </row>
    <row r="348" spans="2:3">
      <c r="B348" s="52" t="s">
        <v>1905</v>
      </c>
      <c r="C348">
        <v>765</v>
      </c>
    </row>
    <row r="349" spans="2:3">
      <c r="B349" s="52" t="s">
        <v>839</v>
      </c>
      <c r="C349">
        <v>9800</v>
      </c>
    </row>
    <row r="350" spans="2:3">
      <c r="B350" s="52" t="s">
        <v>1311</v>
      </c>
      <c r="C350">
        <v>816</v>
      </c>
    </row>
    <row r="351" spans="2:3">
      <c r="B351" s="52" t="s">
        <v>896</v>
      </c>
      <c r="C351">
        <v>9975</v>
      </c>
    </row>
    <row r="352" spans="2:3">
      <c r="B352" s="52" t="s">
        <v>816</v>
      </c>
      <c r="C352">
        <v>36</v>
      </c>
    </row>
    <row r="353" spans="2:3">
      <c r="B353" s="52" t="s">
        <v>1824</v>
      </c>
      <c r="C353">
        <v>15840</v>
      </c>
    </row>
    <row r="354" spans="2:3">
      <c r="B354" s="52" t="s">
        <v>1077</v>
      </c>
      <c r="C354">
        <v>3920</v>
      </c>
    </row>
    <row r="355" spans="2:3">
      <c r="B355" s="52" t="s">
        <v>328</v>
      </c>
      <c r="C355">
        <v>15706</v>
      </c>
    </row>
    <row r="356" spans="2:3">
      <c r="B356" s="52" t="s">
        <v>210</v>
      </c>
      <c r="C356">
        <v>21660</v>
      </c>
    </row>
    <row r="357" spans="2:3">
      <c r="B357" s="52" t="s">
        <v>683</v>
      </c>
      <c r="C357">
        <v>7797</v>
      </c>
    </row>
    <row r="358" spans="2:3">
      <c r="B358" s="52" t="s">
        <v>1242</v>
      </c>
      <c r="C358">
        <v>8925</v>
      </c>
    </row>
    <row r="359" spans="2:3">
      <c r="B359" s="52" t="s">
        <v>469</v>
      </c>
      <c r="C359">
        <v>171</v>
      </c>
    </row>
    <row r="360" spans="2:3">
      <c r="B360" s="52" t="s">
        <v>530</v>
      </c>
      <c r="C360">
        <v>183600</v>
      </c>
    </row>
    <row r="361" spans="2:3">
      <c r="B361" s="52" t="s">
        <v>1654</v>
      </c>
      <c r="C361">
        <v>228000</v>
      </c>
    </row>
    <row r="362" spans="2:3">
      <c r="B362" s="52" t="s">
        <v>110</v>
      </c>
      <c r="C362">
        <v>40935</v>
      </c>
    </row>
    <row r="363" spans="2:3">
      <c r="B363" s="52" t="s">
        <v>93</v>
      </c>
      <c r="C363">
        <v>6650</v>
      </c>
    </row>
    <row r="364" spans="2:3">
      <c r="B364" s="52" t="s">
        <v>678</v>
      </c>
      <c r="C364">
        <v>720</v>
      </c>
    </row>
    <row r="365" spans="2:3">
      <c r="B365" s="52" t="s">
        <v>531</v>
      </c>
      <c r="C365">
        <v>702590</v>
      </c>
    </row>
    <row r="366" spans="2:3">
      <c r="B366" s="52" t="s">
        <v>1885</v>
      </c>
      <c r="C366">
        <v>224</v>
      </c>
    </row>
    <row r="367" spans="2:3">
      <c r="B367" s="52" t="s">
        <v>64</v>
      </c>
      <c r="C367">
        <v>832140</v>
      </c>
    </row>
    <row r="368" spans="2:3">
      <c r="B368" s="52" t="s">
        <v>2159</v>
      </c>
      <c r="C368">
        <v>34745967.5</v>
      </c>
    </row>
  </sheetData>
  <mergeCells count="2">
    <mergeCell ref="P7:Y9"/>
    <mergeCell ref="N15:AB20"/>
  </mergeCells>
  <pageMargins left="0.7" right="0.7" top="0.75" bottom="0.75" header="0.3" footer="0.3"/>
  <drawing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C0385-60F2-4723-AE83-EB8E5164EC90}">
  <dimension ref="B2:F4"/>
  <sheetViews>
    <sheetView showGridLines="0" workbookViewId="0">
      <selection activeCell="F4" sqref="F4"/>
    </sheetView>
  </sheetViews>
  <sheetFormatPr defaultRowHeight="14.4"/>
  <cols>
    <col min="1" max="1" width="0.44140625" customWidth="1"/>
    <col min="2" max="2" width="23.109375" customWidth="1"/>
    <col min="3" max="3" width="0.33203125" customWidth="1"/>
    <col min="4" max="4" width="22.33203125" customWidth="1"/>
    <col min="5" max="5" width="0.33203125" customWidth="1"/>
    <col min="6" max="6" width="20.6640625" customWidth="1"/>
    <col min="7" max="7" width="0.88671875" customWidth="1"/>
    <col min="8" max="8" width="12.5546875" bestFit="1" customWidth="1"/>
    <col min="9" max="10" width="11.6640625" bestFit="1" customWidth="1"/>
    <col min="11" max="11" width="12.5546875" bestFit="1" customWidth="1"/>
    <col min="12" max="12" width="11.6640625" bestFit="1" customWidth="1"/>
  </cols>
  <sheetData>
    <row r="2" spans="2:6">
      <c r="D2" t="s">
        <v>2161</v>
      </c>
    </row>
    <row r="3" spans="2:6">
      <c r="B3" s="53" t="s">
        <v>2162</v>
      </c>
      <c r="D3" s="54" t="s">
        <v>2161</v>
      </c>
      <c r="F3" s="53" t="s">
        <v>2160</v>
      </c>
    </row>
    <row r="4" spans="2:6">
      <c r="B4" s="54">
        <v>1260920</v>
      </c>
      <c r="D4" s="54">
        <v>498</v>
      </c>
      <c r="F4" s="54">
        <f>1260920/498</f>
        <v>2531.9678714859438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Sales_data</vt:lpstr>
      <vt:lpstr>Product_master</vt:lpstr>
      <vt:lpstr>Customer_master</vt:lpstr>
      <vt:lpstr>Que_1</vt:lpstr>
      <vt:lpstr>Que_2</vt:lpstr>
      <vt:lpstr>Que_3</vt:lpstr>
      <vt:lpstr>Que_4 (Product Lookup)</vt:lpstr>
      <vt:lpstr>Sales Summary Report</vt:lpstr>
      <vt:lpstr>Sales Statistics Report </vt:lpstr>
      <vt:lpstr>Product Prformance Report </vt:lpstr>
      <vt:lpstr>Financial Analysis Report</vt:lpstr>
      <vt:lpstr>Cleaned_Data</vt:lpstr>
      <vt:lpstr>Clean data(copy for dashboard)</vt:lpstr>
      <vt:lpstr>Data for Dashboared</vt:lpstr>
      <vt:lpstr>Sales Dashboared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billu saini</dc:creator>
  <cp:lastModifiedBy>billu saini</cp:lastModifiedBy>
  <dcterms:created xsi:type="dcterms:W3CDTF">2026-10-03T10:58:23Z</dcterms:created>
  <dcterms:modified xsi:type="dcterms:W3CDTF">2026-10-04T02:30:53Z</dcterms:modified>
</cp:coreProperties>
</file>